
<file path=[Content_Types].xml><?xml version="1.0" encoding="utf-8"?>
<Types xmlns="http://schemas.openxmlformats.org/package/2006/content-types">
  <Override PartName="/xl/worksheets/sheet13.xml" ContentType="application/vnd.openxmlformats-officedocument.spreadsheetml.worksheet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drawings/drawing17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drawings/drawing15.xml" ContentType="application/vnd.openxmlformats-officedocument.drawing+xml"/>
  <Override PartName="/xl/charts/chart49.xml" ContentType="application/vnd.openxmlformats-officedocument.drawingml.chart+xml"/>
  <Override PartName="/xl/worksheets/sheet3.xml" ContentType="application/vnd.openxmlformats-officedocument.spreadsheetml.worksheet+xml"/>
  <Override PartName="/xl/activeX/activeX1.xml" ContentType="application/vnd.ms-office.activeX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drawings/drawing13.xml" ContentType="application/vnd.openxmlformats-officedocument.drawing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charts/chart47.xml" ContentType="application/vnd.openxmlformats-officedocument.drawingml.chart+xml"/>
  <Override PartName="/xl/worksheets/sheet1.xml" ContentType="application/vnd.openxmlformats-officedocument.spreadsheetml.worksheet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drawings/drawing11.xml" ContentType="application/vnd.openxmlformats-officedocument.drawing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8.xml" ContentType="application/vnd.openxmlformats-officedocument.spreadsheetml.worksheet+xml"/>
  <Override PartName="/xl/charts/chart9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30.xml" ContentType="application/vnd.openxmlformats-officedocument.drawingml.chart+xml"/>
  <Override PartName="/xl/charts/chart41.xml" ContentType="application/vnd.openxmlformats-officedocument.drawingml.char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drawings/drawing9.xml" ContentType="application/vnd.openxmlformats-officedocument.drawing+xml"/>
  <Override PartName="/xl/worksheets/sheet14.xml" ContentType="application/vnd.openxmlformats-officedocument.spreadsheetml.worksheet+xml"/>
  <Override PartName="/xl/activeX/activeX1.bin" ContentType="application/vnd.ms-office.activeX"/>
  <Override PartName="/xl/tables/table1.xml" ContentType="application/vnd.openxmlformats-officedocument.spreadsheetml.table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Default Extension="emf" ContentType="image/x-emf"/>
  <Override PartName="/xl/charts/chart3.xml" ContentType="application/vnd.openxmlformats-officedocument.drawingml.chart+xml"/>
  <Default Extension="jpeg" ContentType="image/jpeg"/>
  <Override PartName="/xl/drawings/drawing5.xml" ContentType="application/vnd.openxmlformats-officedocument.drawing+xml"/>
  <Override PartName="/xl/drawings/drawing18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activeX/activeX2.xml" ContentType="application/vnd.ms-office.activeX+xml"/>
  <Override PartName="/xl/charts/chart39.xml" ContentType="application/vnd.openxmlformats-officedocument.drawingml.chart+xml"/>
  <Override PartName="/xl/drawings/drawing16.xml" ContentType="application/vnd.openxmlformats-officedocument.drawing+xml"/>
  <Override PartName="/xl/charts/chart48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drawings/drawing14.xml" ContentType="application/vnd.openxmlformats-officedocument.drawing+xml"/>
  <Override PartName="/xl/charts/chart37.xml" ContentType="application/vnd.openxmlformats-officedocument.drawingml.chart+xml"/>
  <Override PartName="/xl/charts/chart46.xml" ContentType="application/vnd.openxmlformats-officedocument.drawingml.chart+xml"/>
  <Default Extension="vml" ContentType="application/vnd.openxmlformats-officedocument.vmlDrawing"/>
  <Default Extension="gif" ContentType="image/gif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drawings/drawing12.xml" ContentType="application/vnd.openxmlformats-officedocument.drawing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drawings/drawing10.xml" ContentType="application/vnd.openxmlformats-officedocument.drawing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  <Override PartName="/xl/worksheets/sheet17.xml" ContentType="application/vnd.openxmlformats-officedocument.spreadsheetml.worksheet+xml"/>
  <Override PartName="/xl/charts/chart8.xml" ContentType="application/vnd.openxmlformats-officedocument.drawingml.chart+xml"/>
  <Override PartName="/xl/charts/chart11.xml" ContentType="application/vnd.openxmlformats-officedocument.drawingml.chart+xml"/>
  <Override PartName="/xl/charts/chart22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docProps/core.xml" ContentType="application/vnd.openxmlformats-package.core-properties+xml"/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activeX/activeX2.bin" ContentType="application/vnd.ms-office.activeX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drawings/drawing8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240" yWindow="120" windowWidth="14880" windowHeight="7935" tabRatio="964" firstSheet="1" activeTab="2"/>
  </bookViews>
  <sheets>
    <sheet name="verilerin Hepsi" sheetId="1" r:id="rId1"/>
    <sheet name="Şenol" sheetId="3" r:id="rId2"/>
    <sheet name="Bahar 1" sheetId="5" r:id="rId3"/>
    <sheet name="Bahar 2" sheetId="7" r:id="rId4"/>
    <sheet name="Aylık" sheetId="10" r:id="rId5"/>
    <sheet name="Veriler Yedek" sheetId="8" r:id="rId6"/>
    <sheet name="Sayfa1" sheetId="11" r:id="rId7"/>
    <sheet name="Aylık Yedek" sheetId="24" r:id="rId8"/>
    <sheet name="Ocak" sheetId="12" r:id="rId9"/>
    <sheet name="Şubat" sheetId="13" r:id="rId10"/>
    <sheet name="Mart" sheetId="14" r:id="rId11"/>
    <sheet name="Nisan" sheetId="15" r:id="rId12"/>
    <sheet name="Mayıs" sheetId="16" r:id="rId13"/>
    <sheet name="Haziran" sheetId="17" r:id="rId14"/>
    <sheet name="Temmuz" sheetId="18" r:id="rId15"/>
    <sheet name="Ağustos" sheetId="19" r:id="rId16"/>
    <sheet name="Eylül" sheetId="20" r:id="rId17"/>
    <sheet name="Ekim" sheetId="21" r:id="rId18"/>
    <sheet name="Kasım" sheetId="22" r:id="rId19"/>
    <sheet name="Aralık" sheetId="23" r:id="rId20"/>
  </sheets>
  <definedNames>
    <definedName name="_xlnm._FilterDatabase" localSheetId="2" hidden="1">'Bahar 1'!$A$4:$F$108</definedName>
    <definedName name="_xlnm._FilterDatabase" localSheetId="0" hidden="1">'verilerin Hepsi'!$A$1:$DA$413</definedName>
  </definedNames>
  <calcPr calcId="124519"/>
</workbook>
</file>

<file path=xl/calcChain.xml><?xml version="1.0" encoding="utf-8"?>
<calcChain xmlns="http://schemas.openxmlformats.org/spreadsheetml/2006/main">
  <c r="D35" i="13"/>
  <c r="BG36" i="24"/>
  <c r="BF36"/>
  <c r="BE36"/>
  <c r="BB36"/>
  <c r="BA36"/>
  <c r="AZ36"/>
  <c r="AW36"/>
  <c r="AV36"/>
  <c r="AU36"/>
  <c r="AR36"/>
  <c r="AQ36"/>
  <c r="AP36"/>
  <c r="AM36"/>
  <c r="AL36"/>
  <c r="AK36"/>
  <c r="AH36"/>
  <c r="AG36"/>
  <c r="AF36"/>
  <c r="AC36"/>
  <c r="AB36"/>
  <c r="AA36"/>
  <c r="X36"/>
  <c r="W36"/>
  <c r="V36"/>
  <c r="S36"/>
  <c r="R36"/>
  <c r="Q36"/>
  <c r="N36"/>
  <c r="M36"/>
  <c r="L36"/>
  <c r="I36"/>
  <c r="H36"/>
  <c r="G36"/>
  <c r="D36"/>
  <c r="C36"/>
  <c r="B36"/>
  <c r="BG35"/>
  <c r="BF35"/>
  <c r="BE35"/>
  <c r="BB35"/>
  <c r="BA35"/>
  <c r="AZ35"/>
  <c r="AW35"/>
  <c r="AV35"/>
  <c r="AU35"/>
  <c r="AR35"/>
  <c r="AQ35"/>
  <c r="AP35"/>
  <c r="AM35"/>
  <c r="AL35"/>
  <c r="AK35"/>
  <c r="AH35"/>
  <c r="AG35"/>
  <c r="AF35"/>
  <c r="AC35"/>
  <c r="AB35"/>
  <c r="AA35"/>
  <c r="X35"/>
  <c r="W35"/>
  <c r="V35"/>
  <c r="S35"/>
  <c r="R35"/>
  <c r="Q35"/>
  <c r="N35"/>
  <c r="M35"/>
  <c r="L35"/>
  <c r="I35"/>
  <c r="H35"/>
  <c r="G35"/>
  <c r="D35"/>
  <c r="C35"/>
  <c r="B35"/>
  <c r="H51" i="11"/>
  <c r="I51"/>
  <c r="G51"/>
  <c r="C51"/>
  <c r="D51"/>
  <c r="B51"/>
  <c r="BG36"/>
  <c r="BF36"/>
  <c r="BE36"/>
  <c r="BB36"/>
  <c r="BA36"/>
  <c r="AZ36"/>
  <c r="AW36"/>
  <c r="AV36"/>
  <c r="AU36"/>
  <c r="AR36"/>
  <c r="AQ36"/>
  <c r="AP36"/>
  <c r="AM36"/>
  <c r="AL36"/>
  <c r="AK36"/>
  <c r="AH36"/>
  <c r="AG36"/>
  <c r="AF36"/>
  <c r="AC36"/>
  <c r="AB36"/>
  <c r="AA36"/>
  <c r="X36"/>
  <c r="W36"/>
  <c r="V36"/>
  <c r="S36"/>
  <c r="R36"/>
  <c r="Q36"/>
  <c r="N36"/>
  <c r="M36"/>
  <c r="L36"/>
  <c r="I36"/>
  <c r="H36"/>
  <c r="G36"/>
  <c r="D36"/>
  <c r="C36"/>
  <c r="B36"/>
  <c r="BG35"/>
  <c r="BF35"/>
  <c r="BE35"/>
  <c r="BB35"/>
  <c r="BA35"/>
  <c r="AZ35"/>
  <c r="AW35"/>
  <c r="AV35"/>
  <c r="AU35"/>
  <c r="AR35"/>
  <c r="AQ35"/>
  <c r="AP35"/>
  <c r="AM35"/>
  <c r="AL35"/>
  <c r="AK35"/>
  <c r="AH35"/>
  <c r="AG35"/>
  <c r="AF35"/>
  <c r="AC35"/>
  <c r="AB35"/>
  <c r="AA35"/>
  <c r="X35"/>
  <c r="W35"/>
  <c r="V35"/>
  <c r="S35"/>
  <c r="R35"/>
  <c r="Q35"/>
  <c r="N35"/>
  <c r="M35"/>
  <c r="L35"/>
  <c r="I35"/>
  <c r="H35"/>
  <c r="G35"/>
  <c r="D35"/>
  <c r="C35"/>
  <c r="B35"/>
  <c r="BN36" i="10"/>
  <c r="BM36"/>
  <c r="BL36"/>
  <c r="BN35"/>
  <c r="BM35"/>
  <c r="BL35"/>
  <c r="BI36"/>
  <c r="BH36"/>
  <c r="BG36"/>
  <c r="BI35"/>
  <c r="BH35"/>
  <c r="BG35"/>
  <c r="BD36"/>
  <c r="BC36"/>
  <c r="BB36"/>
  <c r="BD35"/>
  <c r="BC35"/>
  <c r="BB35"/>
  <c r="AY36"/>
  <c r="AX36"/>
  <c r="AW36"/>
  <c r="AY35"/>
  <c r="AX35"/>
  <c r="AW35"/>
  <c r="AT36"/>
  <c r="AS36"/>
  <c r="AR36"/>
  <c r="AT35"/>
  <c r="AS35"/>
  <c r="AR35"/>
  <c r="AO36"/>
  <c r="AN36"/>
  <c r="AM36"/>
  <c r="AO35"/>
  <c r="AN35"/>
  <c r="AM35"/>
  <c r="AJ36"/>
  <c r="AI36"/>
  <c r="AH36"/>
  <c r="AJ35"/>
  <c r="AI35"/>
  <c r="AH35"/>
  <c r="AE36"/>
  <c r="AD36"/>
  <c r="AC36"/>
  <c r="AE35"/>
  <c r="AD35"/>
  <c r="AC35"/>
  <c r="Z36"/>
  <c r="Y36"/>
  <c r="X36"/>
  <c r="Z35"/>
  <c r="Y35"/>
  <c r="X35"/>
  <c r="U36"/>
  <c r="T36"/>
  <c r="S36"/>
  <c r="U35"/>
  <c r="T35"/>
  <c r="S35"/>
  <c r="P36"/>
  <c r="O36"/>
  <c r="N36"/>
  <c r="P35"/>
  <c r="O35"/>
  <c r="N35"/>
  <c r="J36"/>
  <c r="K36"/>
  <c r="J35"/>
  <c r="K35"/>
  <c r="I36"/>
  <c r="I35"/>
  <c r="CZ370" i="8"/>
  <c r="C370"/>
  <c r="D370"/>
  <c r="E370"/>
  <c r="F370"/>
  <c r="G370"/>
  <c r="H370"/>
  <c r="I370"/>
  <c r="J370"/>
  <c r="K370"/>
  <c r="L370"/>
  <c r="M370"/>
  <c r="N370"/>
  <c r="O370"/>
  <c r="P370"/>
  <c r="Q370"/>
  <c r="R370"/>
  <c r="S370"/>
  <c r="T370"/>
  <c r="U370"/>
  <c r="V370"/>
  <c r="W370"/>
  <c r="X370"/>
  <c r="Y370"/>
  <c r="Z370"/>
  <c r="AA370"/>
  <c r="AB370"/>
  <c r="AC370"/>
  <c r="AD370"/>
  <c r="AE370"/>
  <c r="AF370"/>
  <c r="AG370"/>
  <c r="AH370"/>
  <c r="AI370"/>
  <c r="AJ370"/>
  <c r="AK370"/>
  <c r="AL370"/>
  <c r="AM370"/>
  <c r="AN370"/>
  <c r="AO370"/>
  <c r="AP370"/>
  <c r="AQ370"/>
  <c r="AR370"/>
  <c r="AS370"/>
  <c r="AT370"/>
  <c r="AU370"/>
  <c r="AV370"/>
  <c r="AW370"/>
  <c r="AX370"/>
  <c r="AY370"/>
  <c r="AZ370"/>
  <c r="BA370"/>
  <c r="BB370"/>
  <c r="BC370"/>
  <c r="BD370"/>
  <c r="BE370"/>
  <c r="BF370"/>
  <c r="BG370"/>
  <c r="BH370"/>
  <c r="BI370"/>
  <c r="BJ370"/>
  <c r="BK370"/>
  <c r="BL370"/>
  <c r="BM370"/>
  <c r="BN370"/>
  <c r="BO370"/>
  <c r="BP370"/>
  <c r="BQ370"/>
  <c r="BR370"/>
  <c r="BS370"/>
  <c r="BT370"/>
  <c r="BU370"/>
  <c r="BV370"/>
  <c r="BW370"/>
  <c r="BX370"/>
  <c r="BY370"/>
  <c r="BZ370"/>
  <c r="CA370"/>
  <c r="CB370"/>
  <c r="CC370"/>
  <c r="CD370"/>
  <c r="CE370"/>
  <c r="CF370"/>
  <c r="CG370"/>
  <c r="CH370"/>
  <c r="CI370"/>
  <c r="CJ370"/>
  <c r="CK370"/>
  <c r="CL370"/>
  <c r="CM370"/>
  <c r="CN370"/>
  <c r="CO370"/>
  <c r="CP370"/>
  <c r="CQ370"/>
  <c r="CR370"/>
  <c r="CS370"/>
  <c r="CT370"/>
  <c r="CU370"/>
  <c r="CV370"/>
  <c r="CW370"/>
  <c r="CX370"/>
  <c r="CY370"/>
  <c r="B370"/>
  <c r="CZ369"/>
  <c r="CY369"/>
  <c r="CX369"/>
  <c r="CW369"/>
  <c r="CV369"/>
  <c r="CU369"/>
  <c r="CT369"/>
  <c r="CS369"/>
  <c r="CR369"/>
  <c r="CQ369"/>
  <c r="CP369"/>
  <c r="CO369"/>
  <c r="CN369"/>
  <c r="CM369"/>
  <c r="CL369"/>
  <c r="CK369"/>
  <c r="CJ369"/>
  <c r="CI369"/>
  <c r="CH369"/>
  <c r="CG369"/>
  <c r="CF369"/>
  <c r="CE369"/>
  <c r="CD369"/>
  <c r="CC369"/>
  <c r="CB369"/>
  <c r="CA369"/>
  <c r="BZ369"/>
  <c r="BY369"/>
  <c r="BX369"/>
  <c r="BW369"/>
  <c r="BV369"/>
  <c r="BU369"/>
  <c r="BT369"/>
  <c r="BS369"/>
  <c r="BR369"/>
  <c r="BQ369"/>
  <c r="BP369"/>
  <c r="BO369"/>
  <c r="BN369"/>
  <c r="BM369"/>
  <c r="BL369"/>
  <c r="BK369"/>
  <c r="BJ369"/>
  <c r="BI369"/>
  <c r="BH369"/>
  <c r="BG369"/>
  <c r="BF369"/>
  <c r="BE369"/>
  <c r="BD369"/>
  <c r="BC369"/>
  <c r="BB369"/>
  <c r="BA369"/>
  <c r="AZ369"/>
  <c r="AY369"/>
  <c r="AX369"/>
  <c r="AW369"/>
  <c r="AV369"/>
  <c r="AU369"/>
  <c r="AT369"/>
  <c r="AS369"/>
  <c r="AR369"/>
  <c r="AQ369"/>
  <c r="AP369"/>
  <c r="AO369"/>
  <c r="AN369"/>
  <c r="AM369"/>
  <c r="AL369"/>
  <c r="AK369"/>
  <c r="AJ369"/>
  <c r="AI369"/>
  <c r="AH369"/>
  <c r="AG369"/>
  <c r="AF369"/>
  <c r="AE369"/>
  <c r="AD369"/>
  <c r="AC369"/>
  <c r="AB369"/>
  <c r="AA369"/>
  <c r="Z369"/>
  <c r="Y369"/>
  <c r="X369"/>
  <c r="W369"/>
  <c r="V369"/>
  <c r="U369"/>
  <c r="T369"/>
  <c r="S369"/>
  <c r="R369"/>
  <c r="Q369"/>
  <c r="P369"/>
  <c r="O369"/>
  <c r="N369"/>
  <c r="M369"/>
  <c r="L369"/>
  <c r="K369"/>
  <c r="J369"/>
  <c r="I369"/>
  <c r="H369"/>
  <c r="G369"/>
  <c r="F369"/>
  <c r="E369"/>
  <c r="D369"/>
  <c r="C369"/>
  <c r="B369"/>
  <c r="B413" i="1" l="1"/>
  <c r="B414"/>
  <c r="B378"/>
  <c r="B379"/>
  <c r="B344"/>
  <c r="B345"/>
  <c r="B309"/>
  <c r="B310"/>
  <c r="B275"/>
  <c r="B276"/>
  <c r="CZ413"/>
  <c r="CZ414"/>
  <c r="E413"/>
  <c r="F413"/>
  <c r="G413"/>
  <c r="H413"/>
  <c r="I413"/>
  <c r="J413"/>
  <c r="K413"/>
  <c r="L413"/>
  <c r="M413"/>
  <c r="N413"/>
  <c r="O413"/>
  <c r="P413"/>
  <c r="Q413"/>
  <c r="R413"/>
  <c r="S413"/>
  <c r="T413"/>
  <c r="U413"/>
  <c r="V413"/>
  <c r="W413"/>
  <c r="X413"/>
  <c r="Y413"/>
  <c r="Z413"/>
  <c r="AA413"/>
  <c r="AB413"/>
  <c r="AC413"/>
  <c r="AD413"/>
  <c r="AE413"/>
  <c r="AF413"/>
  <c r="AG413"/>
  <c r="AH413"/>
  <c r="AI413"/>
  <c r="AJ413"/>
  <c r="AK413"/>
  <c r="AL413"/>
  <c r="AM413"/>
  <c r="AN413"/>
  <c r="AO413"/>
  <c r="AP413"/>
  <c r="AQ413"/>
  <c r="AR413"/>
  <c r="AS413"/>
  <c r="AT413"/>
  <c r="AU413"/>
  <c r="AV413"/>
  <c r="AW413"/>
  <c r="AX413"/>
  <c r="AY413"/>
  <c r="AZ413"/>
  <c r="BA413"/>
  <c r="BB413"/>
  <c r="BC413"/>
  <c r="BD413"/>
  <c r="BE413"/>
  <c r="BF413"/>
  <c r="BG413"/>
  <c r="BH413"/>
  <c r="BI413"/>
  <c r="BJ413"/>
  <c r="BK413"/>
  <c r="BL413"/>
  <c r="BM413"/>
  <c r="BN413"/>
  <c r="BO413"/>
  <c r="BP413"/>
  <c r="BQ413"/>
  <c r="BR413"/>
  <c r="BS413"/>
  <c r="BT413"/>
  <c r="BU413"/>
  <c r="BV413"/>
  <c r="BW413"/>
  <c r="BX413"/>
  <c r="BY413"/>
  <c r="BZ413"/>
  <c r="CA413"/>
  <c r="CB413"/>
  <c r="CC413"/>
  <c r="CD413"/>
  <c r="CE413"/>
  <c r="CF413"/>
  <c r="CG413"/>
  <c r="CH413"/>
  <c r="CI413"/>
  <c r="CJ413"/>
  <c r="CK413"/>
  <c r="CL413"/>
  <c r="CM413"/>
  <c r="CN413"/>
  <c r="CO413"/>
  <c r="CP413"/>
  <c r="CQ413"/>
  <c r="CR413"/>
  <c r="CS413"/>
  <c r="CT413"/>
  <c r="CU413"/>
  <c r="CV413"/>
  <c r="CW413"/>
  <c r="CX413"/>
  <c r="CY413"/>
  <c r="E414"/>
  <c r="F414"/>
  <c r="G414"/>
  <c r="H414"/>
  <c r="I414"/>
  <c r="J414"/>
  <c r="K414"/>
  <c r="L414"/>
  <c r="M414"/>
  <c r="N414"/>
  <c r="O414"/>
  <c r="P414"/>
  <c r="Q414"/>
  <c r="R414"/>
  <c r="S414"/>
  <c r="T414"/>
  <c r="U414"/>
  <c r="V414"/>
  <c r="W414"/>
  <c r="X414"/>
  <c r="Y414"/>
  <c r="Z414"/>
  <c r="AA414"/>
  <c r="AB414"/>
  <c r="AC414"/>
  <c r="AD414"/>
  <c r="AE414"/>
  <c r="AF414"/>
  <c r="AG414"/>
  <c r="AH414"/>
  <c r="AI414"/>
  <c r="AJ414"/>
  <c r="AK414"/>
  <c r="AL414"/>
  <c r="AM414"/>
  <c r="AN414"/>
  <c r="AO414"/>
  <c r="AP414"/>
  <c r="AQ414"/>
  <c r="AR414"/>
  <c r="AS414"/>
  <c r="AT414"/>
  <c r="AU414"/>
  <c r="AV414"/>
  <c r="AW414"/>
  <c r="AX414"/>
  <c r="AY414"/>
  <c r="AZ414"/>
  <c r="BA414"/>
  <c r="BB414"/>
  <c r="BC414"/>
  <c r="BD414"/>
  <c r="BE414"/>
  <c r="BF414"/>
  <c r="BG414"/>
  <c r="BH414"/>
  <c r="BI414"/>
  <c r="BJ414"/>
  <c r="BK414"/>
  <c r="BL414"/>
  <c r="BM414"/>
  <c r="BN414"/>
  <c r="BO414"/>
  <c r="BP414"/>
  <c r="BQ414"/>
  <c r="BR414"/>
  <c r="BS414"/>
  <c r="BT414"/>
  <c r="BU414"/>
  <c r="BV414"/>
  <c r="BW414"/>
  <c r="BX414"/>
  <c r="BY414"/>
  <c r="BZ414"/>
  <c r="CA414"/>
  <c r="CB414"/>
  <c r="CC414"/>
  <c r="CD414"/>
  <c r="CE414"/>
  <c r="CF414"/>
  <c r="CG414"/>
  <c r="CH414"/>
  <c r="CI414"/>
  <c r="CJ414"/>
  <c r="CK414"/>
  <c r="CL414"/>
  <c r="CM414"/>
  <c r="CN414"/>
  <c r="CO414"/>
  <c r="CP414"/>
  <c r="CQ414"/>
  <c r="CR414"/>
  <c r="CS414"/>
  <c r="CT414"/>
  <c r="CU414"/>
  <c r="CV414"/>
  <c r="CW414"/>
  <c r="CX414"/>
  <c r="CY414"/>
  <c r="D413"/>
  <c r="D414"/>
  <c r="C414"/>
  <c r="C413"/>
  <c r="E378"/>
  <c r="F378"/>
  <c r="G378"/>
  <c r="H378"/>
  <c r="I378"/>
  <c r="J378"/>
  <c r="K378"/>
  <c r="L378"/>
  <c r="M378"/>
  <c r="N378"/>
  <c r="O378"/>
  <c r="P378"/>
  <c r="Q378"/>
  <c r="R378"/>
  <c r="S378"/>
  <c r="T378"/>
  <c r="U378"/>
  <c r="V378"/>
  <c r="W378"/>
  <c r="X378"/>
  <c r="Y378"/>
  <c r="Z378"/>
  <c r="AA378"/>
  <c r="AB378"/>
  <c r="AC378"/>
  <c r="AD378"/>
  <c r="AE378"/>
  <c r="AF378"/>
  <c r="AG378"/>
  <c r="AH378"/>
  <c r="AI378"/>
  <c r="AJ378"/>
  <c r="AK378"/>
  <c r="AL378"/>
  <c r="AM378"/>
  <c r="AN378"/>
  <c r="AO378"/>
  <c r="AP378"/>
  <c r="AQ378"/>
  <c r="AR378"/>
  <c r="AS378"/>
  <c r="AT378"/>
  <c r="AU378"/>
  <c r="AV378"/>
  <c r="AW378"/>
  <c r="AX378"/>
  <c r="AY378"/>
  <c r="AZ378"/>
  <c r="BA378"/>
  <c r="BB378"/>
  <c r="BC378"/>
  <c r="BD378"/>
  <c r="BE378"/>
  <c r="BF378"/>
  <c r="BG378"/>
  <c r="BH378"/>
  <c r="BI378"/>
  <c r="BJ378"/>
  <c r="BK378"/>
  <c r="BL378"/>
  <c r="BM378"/>
  <c r="BN378"/>
  <c r="BO378"/>
  <c r="BP378"/>
  <c r="BQ378"/>
  <c r="BR378"/>
  <c r="BS378"/>
  <c r="BT378"/>
  <c r="BU378"/>
  <c r="BV378"/>
  <c r="BW378"/>
  <c r="BX378"/>
  <c r="BY378"/>
  <c r="BZ378"/>
  <c r="CA378"/>
  <c r="CB378"/>
  <c r="CC378"/>
  <c r="CD378"/>
  <c r="CE378"/>
  <c r="CF378"/>
  <c r="CG378"/>
  <c r="CH378"/>
  <c r="CI378"/>
  <c r="CJ378"/>
  <c r="CK378"/>
  <c r="CL378"/>
  <c r="CM378"/>
  <c r="CN378"/>
  <c r="CO378"/>
  <c r="CP378"/>
  <c r="CQ378"/>
  <c r="CR378"/>
  <c r="CS378"/>
  <c r="CT378"/>
  <c r="CU378"/>
  <c r="CV378"/>
  <c r="CW378"/>
  <c r="CX378"/>
  <c r="CY378"/>
  <c r="CZ378"/>
  <c r="E379"/>
  <c r="F379"/>
  <c r="G379"/>
  <c r="H379"/>
  <c r="I379"/>
  <c r="J379"/>
  <c r="K379"/>
  <c r="L379"/>
  <c r="M379"/>
  <c r="N379"/>
  <c r="O379"/>
  <c r="P379"/>
  <c r="Q379"/>
  <c r="R379"/>
  <c r="S379"/>
  <c r="T379"/>
  <c r="U379"/>
  <c r="V379"/>
  <c r="W379"/>
  <c r="X379"/>
  <c r="Y379"/>
  <c r="Z379"/>
  <c r="AA379"/>
  <c r="AB379"/>
  <c r="AC379"/>
  <c r="AD379"/>
  <c r="AE379"/>
  <c r="AF379"/>
  <c r="AG379"/>
  <c r="AH379"/>
  <c r="AI379"/>
  <c r="AJ379"/>
  <c r="AK379"/>
  <c r="AL379"/>
  <c r="AM379"/>
  <c r="AN379"/>
  <c r="AO379"/>
  <c r="AP379"/>
  <c r="AQ379"/>
  <c r="AR379"/>
  <c r="AS379"/>
  <c r="AT379"/>
  <c r="AU379"/>
  <c r="AV379"/>
  <c r="AW379"/>
  <c r="AX379"/>
  <c r="AY379"/>
  <c r="AZ379"/>
  <c r="BA379"/>
  <c r="BB379"/>
  <c r="BC379"/>
  <c r="BD379"/>
  <c r="BE379"/>
  <c r="BF379"/>
  <c r="BG379"/>
  <c r="BH379"/>
  <c r="BI379"/>
  <c r="BJ379"/>
  <c r="BK379"/>
  <c r="BL379"/>
  <c r="BM379"/>
  <c r="BN379"/>
  <c r="BO379"/>
  <c r="BP379"/>
  <c r="BQ379"/>
  <c r="BR379"/>
  <c r="BS379"/>
  <c r="BT379"/>
  <c r="BU379"/>
  <c r="BV379"/>
  <c r="BW379"/>
  <c r="BX379"/>
  <c r="BY379"/>
  <c r="BZ379"/>
  <c r="CA379"/>
  <c r="CB379"/>
  <c r="CC379"/>
  <c r="CD379"/>
  <c r="CE379"/>
  <c r="CF379"/>
  <c r="CG379"/>
  <c r="CH379"/>
  <c r="CI379"/>
  <c r="CJ379"/>
  <c r="CK379"/>
  <c r="CL379"/>
  <c r="CM379"/>
  <c r="CN379"/>
  <c r="CO379"/>
  <c r="CP379"/>
  <c r="CQ379"/>
  <c r="CR379"/>
  <c r="CS379"/>
  <c r="CT379"/>
  <c r="CU379"/>
  <c r="CV379"/>
  <c r="CW379"/>
  <c r="CX379"/>
  <c r="CY379"/>
  <c r="CZ379"/>
  <c r="D378"/>
  <c r="D379"/>
  <c r="C379"/>
  <c r="C378"/>
  <c r="E344"/>
  <c r="F344"/>
  <c r="G344"/>
  <c r="H344"/>
  <c r="I344"/>
  <c r="J344"/>
  <c r="K344"/>
  <c r="L344"/>
  <c r="M344"/>
  <c r="N344"/>
  <c r="O344"/>
  <c r="P344"/>
  <c r="Q344"/>
  <c r="R344"/>
  <c r="S344"/>
  <c r="T344"/>
  <c r="U344"/>
  <c r="V344"/>
  <c r="W344"/>
  <c r="X344"/>
  <c r="Y344"/>
  <c r="Z344"/>
  <c r="AA344"/>
  <c r="AB344"/>
  <c r="AC344"/>
  <c r="AD344"/>
  <c r="AE344"/>
  <c r="AF344"/>
  <c r="AG344"/>
  <c r="AH344"/>
  <c r="AI344"/>
  <c r="AJ344"/>
  <c r="AK344"/>
  <c r="AL344"/>
  <c r="AM344"/>
  <c r="AN344"/>
  <c r="AO344"/>
  <c r="AP344"/>
  <c r="AQ344"/>
  <c r="AR344"/>
  <c r="AS344"/>
  <c r="AT344"/>
  <c r="AU344"/>
  <c r="AV344"/>
  <c r="AW344"/>
  <c r="AX344"/>
  <c r="AY344"/>
  <c r="AZ344"/>
  <c r="BA344"/>
  <c r="BB344"/>
  <c r="BC344"/>
  <c r="BD344"/>
  <c r="BE344"/>
  <c r="BF344"/>
  <c r="BG344"/>
  <c r="BH344"/>
  <c r="BI344"/>
  <c r="BJ344"/>
  <c r="BK344"/>
  <c r="BL344"/>
  <c r="BM344"/>
  <c r="BN344"/>
  <c r="BO344"/>
  <c r="BP344"/>
  <c r="BQ344"/>
  <c r="BR344"/>
  <c r="BS344"/>
  <c r="BT344"/>
  <c r="BU344"/>
  <c r="BV344"/>
  <c r="BW344"/>
  <c r="BX344"/>
  <c r="BY344"/>
  <c r="BZ344"/>
  <c r="CA344"/>
  <c r="CB344"/>
  <c r="CC344"/>
  <c r="CD344"/>
  <c r="CE344"/>
  <c r="CF344"/>
  <c r="CG344"/>
  <c r="CH344"/>
  <c r="CI344"/>
  <c r="CJ344"/>
  <c r="CK344"/>
  <c r="CL344"/>
  <c r="CM344"/>
  <c r="CN344"/>
  <c r="CO344"/>
  <c r="CP344"/>
  <c r="CQ344"/>
  <c r="CR344"/>
  <c r="CS344"/>
  <c r="CT344"/>
  <c r="CU344"/>
  <c r="CV344"/>
  <c r="CW344"/>
  <c r="CX344"/>
  <c r="CY344"/>
  <c r="CZ344"/>
  <c r="E345"/>
  <c r="F345"/>
  <c r="G345"/>
  <c r="H345"/>
  <c r="I345"/>
  <c r="J345"/>
  <c r="K345"/>
  <c r="L345"/>
  <c r="M345"/>
  <c r="N345"/>
  <c r="O345"/>
  <c r="P345"/>
  <c r="Q345"/>
  <c r="R345"/>
  <c r="S345"/>
  <c r="T345"/>
  <c r="U345"/>
  <c r="V345"/>
  <c r="W345"/>
  <c r="X345"/>
  <c r="Y345"/>
  <c r="Z345"/>
  <c r="AA345"/>
  <c r="AB345"/>
  <c r="AC345"/>
  <c r="AD345"/>
  <c r="AE345"/>
  <c r="AF345"/>
  <c r="AG345"/>
  <c r="AH345"/>
  <c r="AI345"/>
  <c r="AJ345"/>
  <c r="AK345"/>
  <c r="AL345"/>
  <c r="AM345"/>
  <c r="AN345"/>
  <c r="AO345"/>
  <c r="AP345"/>
  <c r="AQ345"/>
  <c r="AR345"/>
  <c r="AS345"/>
  <c r="AT345"/>
  <c r="AU345"/>
  <c r="AV345"/>
  <c r="AW345"/>
  <c r="AX345"/>
  <c r="AY345"/>
  <c r="AZ345"/>
  <c r="BA345"/>
  <c r="BB345"/>
  <c r="BC345"/>
  <c r="BD345"/>
  <c r="BE345"/>
  <c r="BF345"/>
  <c r="BG345"/>
  <c r="BH345"/>
  <c r="BI345"/>
  <c r="BJ345"/>
  <c r="BK345"/>
  <c r="BL345"/>
  <c r="BM345"/>
  <c r="BN345"/>
  <c r="BO345"/>
  <c r="BP345"/>
  <c r="BQ345"/>
  <c r="BR345"/>
  <c r="BS345"/>
  <c r="BT345"/>
  <c r="BU345"/>
  <c r="BV345"/>
  <c r="BW345"/>
  <c r="BX345"/>
  <c r="BY345"/>
  <c r="BZ345"/>
  <c r="CA345"/>
  <c r="CB345"/>
  <c r="CC345"/>
  <c r="CD345"/>
  <c r="CE345"/>
  <c r="CF345"/>
  <c r="CG345"/>
  <c r="CH345"/>
  <c r="CI345"/>
  <c r="CJ345"/>
  <c r="CK345"/>
  <c r="CL345"/>
  <c r="CM345"/>
  <c r="CN345"/>
  <c r="CO345"/>
  <c r="CP345"/>
  <c r="CQ345"/>
  <c r="CR345"/>
  <c r="CS345"/>
  <c r="CT345"/>
  <c r="CU345"/>
  <c r="CV345"/>
  <c r="CW345"/>
  <c r="CX345"/>
  <c r="CY345"/>
  <c r="CZ345"/>
  <c r="D345"/>
  <c r="D344"/>
  <c r="C345"/>
  <c r="C344"/>
  <c r="E309"/>
  <c r="F309"/>
  <c r="G309"/>
  <c r="H309"/>
  <c r="I309"/>
  <c r="J309"/>
  <c r="K309"/>
  <c r="L309"/>
  <c r="M309"/>
  <c r="N309"/>
  <c r="O309"/>
  <c r="P309"/>
  <c r="Q309"/>
  <c r="R309"/>
  <c r="S309"/>
  <c r="T309"/>
  <c r="U309"/>
  <c r="V309"/>
  <c r="W309"/>
  <c r="X309"/>
  <c r="Y309"/>
  <c r="Z309"/>
  <c r="AA309"/>
  <c r="AB309"/>
  <c r="AC309"/>
  <c r="AD309"/>
  <c r="AE309"/>
  <c r="AF309"/>
  <c r="AG309"/>
  <c r="AH309"/>
  <c r="AI309"/>
  <c r="AJ309"/>
  <c r="AK309"/>
  <c r="AL309"/>
  <c r="AM309"/>
  <c r="AN309"/>
  <c r="AO309"/>
  <c r="AP309"/>
  <c r="AQ309"/>
  <c r="AR309"/>
  <c r="AS309"/>
  <c r="AT309"/>
  <c r="AU309"/>
  <c r="AV309"/>
  <c r="AW309"/>
  <c r="AX309"/>
  <c r="AY309"/>
  <c r="AZ309"/>
  <c r="BA309"/>
  <c r="BB309"/>
  <c r="BC309"/>
  <c r="BD309"/>
  <c r="BE309"/>
  <c r="BF309"/>
  <c r="BG309"/>
  <c r="BH309"/>
  <c r="BI309"/>
  <c r="BJ309"/>
  <c r="BK309"/>
  <c r="BL309"/>
  <c r="BM309"/>
  <c r="BN309"/>
  <c r="BO309"/>
  <c r="BP309"/>
  <c r="BQ309"/>
  <c r="BR309"/>
  <c r="BS309"/>
  <c r="BT309"/>
  <c r="BU309"/>
  <c r="BV309"/>
  <c r="BW309"/>
  <c r="BX309"/>
  <c r="BY309"/>
  <c r="BZ309"/>
  <c r="CA309"/>
  <c r="CB309"/>
  <c r="CC309"/>
  <c r="CD309"/>
  <c r="CE309"/>
  <c r="CF309"/>
  <c r="CG309"/>
  <c r="CH309"/>
  <c r="CI309"/>
  <c r="CJ309"/>
  <c r="CK309"/>
  <c r="CL309"/>
  <c r="CM309"/>
  <c r="CN309"/>
  <c r="CO309"/>
  <c r="CP309"/>
  <c r="CQ309"/>
  <c r="CR309"/>
  <c r="CS309"/>
  <c r="CT309"/>
  <c r="CU309"/>
  <c r="CV309"/>
  <c r="CW309"/>
  <c r="CX309"/>
  <c r="CY309"/>
  <c r="CZ309"/>
  <c r="E310"/>
  <c r="F310"/>
  <c r="G310"/>
  <c r="H310"/>
  <c r="I310"/>
  <c r="J310"/>
  <c r="K310"/>
  <c r="L310"/>
  <c r="M310"/>
  <c r="N310"/>
  <c r="O310"/>
  <c r="P310"/>
  <c r="Q310"/>
  <c r="R310"/>
  <c r="S310"/>
  <c r="T310"/>
  <c r="U310"/>
  <c r="V310"/>
  <c r="W310"/>
  <c r="X310"/>
  <c r="Y310"/>
  <c r="Z310"/>
  <c r="AA310"/>
  <c r="AB310"/>
  <c r="AC310"/>
  <c r="AD310"/>
  <c r="AE310"/>
  <c r="AF310"/>
  <c r="AG310"/>
  <c r="AH310"/>
  <c r="AI310"/>
  <c r="AJ310"/>
  <c r="AK310"/>
  <c r="AL310"/>
  <c r="AM310"/>
  <c r="AN310"/>
  <c r="AO310"/>
  <c r="AP310"/>
  <c r="AQ310"/>
  <c r="AR310"/>
  <c r="AS310"/>
  <c r="AT310"/>
  <c r="AU310"/>
  <c r="AV310"/>
  <c r="AW310"/>
  <c r="AX310"/>
  <c r="AY310"/>
  <c r="AZ310"/>
  <c r="BA310"/>
  <c r="BB310"/>
  <c r="BC310"/>
  <c r="BD310"/>
  <c r="BE310"/>
  <c r="BF310"/>
  <c r="BG310"/>
  <c r="BH310"/>
  <c r="BI310"/>
  <c r="BJ310"/>
  <c r="BK310"/>
  <c r="BL310"/>
  <c r="BM310"/>
  <c r="BN310"/>
  <c r="BO310"/>
  <c r="BP310"/>
  <c r="BQ310"/>
  <c r="BR310"/>
  <c r="BS310"/>
  <c r="BT310"/>
  <c r="BU310"/>
  <c r="BV310"/>
  <c r="BW310"/>
  <c r="BX310"/>
  <c r="BY310"/>
  <c r="BZ310"/>
  <c r="CA310"/>
  <c r="CB310"/>
  <c r="CC310"/>
  <c r="CD310"/>
  <c r="CE310"/>
  <c r="CF310"/>
  <c r="CG310"/>
  <c r="CH310"/>
  <c r="CI310"/>
  <c r="CJ310"/>
  <c r="CK310"/>
  <c r="CL310"/>
  <c r="CM310"/>
  <c r="CN310"/>
  <c r="CO310"/>
  <c r="CP310"/>
  <c r="CQ310"/>
  <c r="CR310"/>
  <c r="CS310"/>
  <c r="CT310"/>
  <c r="CU310"/>
  <c r="CV310"/>
  <c r="CW310"/>
  <c r="CX310"/>
  <c r="CY310"/>
  <c r="CZ310"/>
  <c r="D309"/>
  <c r="D310"/>
  <c r="C310"/>
  <c r="C309"/>
  <c r="E275"/>
  <c r="F275"/>
  <c r="G275"/>
  <c r="H275"/>
  <c r="I275"/>
  <c r="J275"/>
  <c r="K275"/>
  <c r="L275"/>
  <c r="M275"/>
  <c r="N275"/>
  <c r="O275"/>
  <c r="P275"/>
  <c r="Q275"/>
  <c r="R275"/>
  <c r="S275"/>
  <c r="T275"/>
  <c r="U275"/>
  <c r="V275"/>
  <c r="W275"/>
  <c r="X275"/>
  <c r="Y275"/>
  <c r="Z275"/>
  <c r="AA275"/>
  <c r="AB275"/>
  <c r="AC275"/>
  <c r="AD275"/>
  <c r="AE275"/>
  <c r="AF275"/>
  <c r="AG275"/>
  <c r="AH275"/>
  <c r="AI275"/>
  <c r="AJ275"/>
  <c r="AK275"/>
  <c r="AL275"/>
  <c r="AM275"/>
  <c r="AN275"/>
  <c r="AO275"/>
  <c r="AP275"/>
  <c r="AQ275"/>
  <c r="AR275"/>
  <c r="AS275"/>
  <c r="AT275"/>
  <c r="AU275"/>
  <c r="AV275"/>
  <c r="AW275"/>
  <c r="AX275"/>
  <c r="AY275"/>
  <c r="AZ275"/>
  <c r="BA275"/>
  <c r="BB275"/>
  <c r="BC275"/>
  <c r="BD275"/>
  <c r="BE275"/>
  <c r="BF275"/>
  <c r="BG275"/>
  <c r="BH275"/>
  <c r="BI275"/>
  <c r="BJ275"/>
  <c r="BK275"/>
  <c r="BL275"/>
  <c r="BM275"/>
  <c r="BN275"/>
  <c r="BO275"/>
  <c r="BP275"/>
  <c r="BQ275"/>
  <c r="BR275"/>
  <c r="BS275"/>
  <c r="BT275"/>
  <c r="BU275"/>
  <c r="BV275"/>
  <c r="BW275"/>
  <c r="BX275"/>
  <c r="BY275"/>
  <c r="BZ275"/>
  <c r="CA275"/>
  <c r="CB275"/>
  <c r="CC275"/>
  <c r="CD275"/>
  <c r="CE275"/>
  <c r="CF275"/>
  <c r="CG275"/>
  <c r="CH275"/>
  <c r="CI275"/>
  <c r="CJ275"/>
  <c r="CK275"/>
  <c r="CL275"/>
  <c r="CM275"/>
  <c r="CN275"/>
  <c r="CO275"/>
  <c r="CP275"/>
  <c r="CQ275"/>
  <c r="CR275"/>
  <c r="CS275"/>
  <c r="CT275"/>
  <c r="CU275"/>
  <c r="CV275"/>
  <c r="CW275"/>
  <c r="CX275"/>
  <c r="CY275"/>
  <c r="CZ275"/>
  <c r="E276"/>
  <c r="F276"/>
  <c r="G276"/>
  <c r="H276"/>
  <c r="I276"/>
  <c r="J276"/>
  <c r="K276"/>
  <c r="L276"/>
  <c r="M276"/>
  <c r="N276"/>
  <c r="O276"/>
  <c r="P276"/>
  <c r="Q276"/>
  <c r="R276"/>
  <c r="S276"/>
  <c r="T276"/>
  <c r="U276"/>
  <c r="V276"/>
  <c r="W276"/>
  <c r="X276"/>
  <c r="Y276"/>
  <c r="Z276"/>
  <c r="AA276"/>
  <c r="AB276"/>
  <c r="AC276"/>
  <c r="AD276"/>
  <c r="AE276"/>
  <c r="AF276"/>
  <c r="AG276"/>
  <c r="AH276"/>
  <c r="AI276"/>
  <c r="AJ276"/>
  <c r="AK276"/>
  <c r="AL276"/>
  <c r="AM276"/>
  <c r="AN276"/>
  <c r="AO276"/>
  <c r="AP276"/>
  <c r="AQ276"/>
  <c r="AR276"/>
  <c r="AS276"/>
  <c r="AT276"/>
  <c r="AU276"/>
  <c r="AV276"/>
  <c r="AW276"/>
  <c r="AX276"/>
  <c r="AY276"/>
  <c r="AZ276"/>
  <c r="BA276"/>
  <c r="BB276"/>
  <c r="BC276"/>
  <c r="BD276"/>
  <c r="BE276"/>
  <c r="BF276"/>
  <c r="BG276"/>
  <c r="BH276"/>
  <c r="BI276"/>
  <c r="BJ276"/>
  <c r="BK276"/>
  <c r="BL276"/>
  <c r="BM276"/>
  <c r="BN276"/>
  <c r="BO276"/>
  <c r="BP276"/>
  <c r="BQ276"/>
  <c r="BR276"/>
  <c r="BS276"/>
  <c r="BT276"/>
  <c r="BU276"/>
  <c r="BV276"/>
  <c r="BW276"/>
  <c r="BX276"/>
  <c r="BY276"/>
  <c r="BZ276"/>
  <c r="CA276"/>
  <c r="CB276"/>
  <c r="CC276"/>
  <c r="CD276"/>
  <c r="CE276"/>
  <c r="CF276"/>
  <c r="CG276"/>
  <c r="CH276"/>
  <c r="CI276"/>
  <c r="CJ276"/>
  <c r="CK276"/>
  <c r="CL276"/>
  <c r="CM276"/>
  <c r="CN276"/>
  <c r="CO276"/>
  <c r="CP276"/>
  <c r="CQ276"/>
  <c r="CR276"/>
  <c r="CS276"/>
  <c r="CT276"/>
  <c r="CU276"/>
  <c r="CV276"/>
  <c r="CW276"/>
  <c r="CX276"/>
  <c r="CY276"/>
  <c r="CZ276"/>
  <c r="D275"/>
  <c r="D276"/>
  <c r="C276"/>
  <c r="C275"/>
  <c r="E240"/>
  <c r="F240"/>
  <c r="G240"/>
  <c r="H240"/>
  <c r="I240"/>
  <c r="J240"/>
  <c r="K240"/>
  <c r="L240"/>
  <c r="M240"/>
  <c r="N240"/>
  <c r="O240"/>
  <c r="P240"/>
  <c r="Q240"/>
  <c r="R240"/>
  <c r="S240"/>
  <c r="T240"/>
  <c r="U240"/>
  <c r="V240"/>
  <c r="W240"/>
  <c r="X240"/>
  <c r="Y240"/>
  <c r="Z240"/>
  <c r="AA240"/>
  <c r="AB240"/>
  <c r="AC240"/>
  <c r="AD240"/>
  <c r="AE240"/>
  <c r="AF240"/>
  <c r="AG240"/>
  <c r="AH240"/>
  <c r="AI240"/>
  <c r="AJ240"/>
  <c r="AK240"/>
  <c r="AL240"/>
  <c r="AM240"/>
  <c r="AN240"/>
  <c r="AO240"/>
  <c r="AP240"/>
  <c r="AQ240"/>
  <c r="AR240"/>
  <c r="AS240"/>
  <c r="AT240"/>
  <c r="AU240"/>
  <c r="AV240"/>
  <c r="AW240"/>
  <c r="AX240"/>
  <c r="AY240"/>
  <c r="AZ240"/>
  <c r="BA240"/>
  <c r="BB240"/>
  <c r="BC240"/>
  <c r="BD240"/>
  <c r="BE240"/>
  <c r="BF240"/>
  <c r="BG240"/>
  <c r="BH240"/>
  <c r="BI240"/>
  <c r="BJ240"/>
  <c r="BK240"/>
  <c r="BL240"/>
  <c r="BM240"/>
  <c r="BN240"/>
  <c r="BO240"/>
  <c r="BP240"/>
  <c r="BQ240"/>
  <c r="BR240"/>
  <c r="BS240"/>
  <c r="BT240"/>
  <c r="BU240"/>
  <c r="BV240"/>
  <c r="BW240"/>
  <c r="BX240"/>
  <c r="BY240"/>
  <c r="BZ240"/>
  <c r="CA240"/>
  <c r="CB240"/>
  <c r="CC240"/>
  <c r="CD240"/>
  <c r="CE240"/>
  <c r="CF240"/>
  <c r="CG240"/>
  <c r="CH240"/>
  <c r="CI240"/>
  <c r="CJ240"/>
  <c r="CK240"/>
  <c r="CL240"/>
  <c r="CM240"/>
  <c r="CN240"/>
  <c r="CO240"/>
  <c r="CP240"/>
  <c r="CQ240"/>
  <c r="CR240"/>
  <c r="CS240"/>
  <c r="CT240"/>
  <c r="CU240"/>
  <c r="CV240"/>
  <c r="CW240"/>
  <c r="CX240"/>
  <c r="CY240"/>
  <c r="CZ240"/>
  <c r="E241"/>
  <c r="F241"/>
  <c r="G241"/>
  <c r="H241"/>
  <c r="I241"/>
  <c r="J241"/>
  <c r="K241"/>
  <c r="L241"/>
  <c r="M241"/>
  <c r="N241"/>
  <c r="O241"/>
  <c r="P241"/>
  <c r="Q241"/>
  <c r="R241"/>
  <c r="S241"/>
  <c r="T241"/>
  <c r="U241"/>
  <c r="V241"/>
  <c r="W241"/>
  <c r="X241"/>
  <c r="Y241"/>
  <c r="Z241"/>
  <c r="AA241"/>
  <c r="AB241"/>
  <c r="AC241"/>
  <c r="AD241"/>
  <c r="AE241"/>
  <c r="AF241"/>
  <c r="AG241"/>
  <c r="AH241"/>
  <c r="AI241"/>
  <c r="AJ241"/>
  <c r="AK241"/>
  <c r="AL241"/>
  <c r="AM241"/>
  <c r="AN241"/>
  <c r="AO241"/>
  <c r="AP241"/>
  <c r="AQ241"/>
  <c r="AR241"/>
  <c r="AS241"/>
  <c r="AT241"/>
  <c r="AU241"/>
  <c r="AV241"/>
  <c r="AW241"/>
  <c r="AX241"/>
  <c r="AY241"/>
  <c r="AZ241"/>
  <c r="BA241"/>
  <c r="BB241"/>
  <c r="BC241"/>
  <c r="BD241"/>
  <c r="BE241"/>
  <c r="BF241"/>
  <c r="BG241"/>
  <c r="BH241"/>
  <c r="BI241"/>
  <c r="BJ241"/>
  <c r="BK241"/>
  <c r="BL241"/>
  <c r="BM241"/>
  <c r="BN241"/>
  <c r="BO241"/>
  <c r="BP241"/>
  <c r="BQ241"/>
  <c r="BR241"/>
  <c r="BS241"/>
  <c r="BT241"/>
  <c r="BU241"/>
  <c r="BV241"/>
  <c r="BW241"/>
  <c r="BX241"/>
  <c r="BY241"/>
  <c r="BZ241"/>
  <c r="CA241"/>
  <c r="CB241"/>
  <c r="CC241"/>
  <c r="CD241"/>
  <c r="CE241"/>
  <c r="CF241"/>
  <c r="CG241"/>
  <c r="CH241"/>
  <c r="CI241"/>
  <c r="CJ241"/>
  <c r="CK241"/>
  <c r="CL241"/>
  <c r="CM241"/>
  <c r="CN241"/>
  <c r="CO241"/>
  <c r="CP241"/>
  <c r="CQ241"/>
  <c r="CR241"/>
  <c r="CS241"/>
  <c r="CT241"/>
  <c r="CU241"/>
  <c r="CV241"/>
  <c r="CW241"/>
  <c r="CX241"/>
  <c r="CY241"/>
  <c r="CZ241"/>
  <c r="D240"/>
  <c r="D241"/>
  <c r="C241"/>
  <c r="C240"/>
  <c r="E205"/>
  <c r="F205"/>
  <c r="G205"/>
  <c r="H205"/>
  <c r="I205"/>
  <c r="J205"/>
  <c r="K205"/>
  <c r="L205"/>
  <c r="M205"/>
  <c r="N205"/>
  <c r="O205"/>
  <c r="P205"/>
  <c r="Q205"/>
  <c r="R205"/>
  <c r="S205"/>
  <c r="T205"/>
  <c r="U205"/>
  <c r="V205"/>
  <c r="W205"/>
  <c r="X205"/>
  <c r="Y205"/>
  <c r="Z205"/>
  <c r="AA205"/>
  <c r="AB205"/>
  <c r="AC205"/>
  <c r="AD205"/>
  <c r="AE205"/>
  <c r="AF205"/>
  <c r="AG205"/>
  <c r="AH205"/>
  <c r="AI205"/>
  <c r="AJ205"/>
  <c r="AK205"/>
  <c r="AL205"/>
  <c r="AM205"/>
  <c r="AN205"/>
  <c r="AO205"/>
  <c r="AP205"/>
  <c r="AQ205"/>
  <c r="AR205"/>
  <c r="AS205"/>
  <c r="AT205"/>
  <c r="AU205"/>
  <c r="AV205"/>
  <c r="AW205"/>
  <c r="AX205"/>
  <c r="AY205"/>
  <c r="AZ205"/>
  <c r="BA205"/>
  <c r="BB205"/>
  <c r="BC205"/>
  <c r="BD205"/>
  <c r="BE205"/>
  <c r="BF205"/>
  <c r="BG205"/>
  <c r="BH205"/>
  <c r="BI205"/>
  <c r="BJ205"/>
  <c r="BK205"/>
  <c r="BL205"/>
  <c r="BM205"/>
  <c r="BN205"/>
  <c r="BO205"/>
  <c r="BP205"/>
  <c r="BQ205"/>
  <c r="BR205"/>
  <c r="BS205"/>
  <c r="BT205"/>
  <c r="BU205"/>
  <c r="BV205"/>
  <c r="BW205"/>
  <c r="BX205"/>
  <c r="BY205"/>
  <c r="BZ205"/>
  <c r="CA205"/>
  <c r="CB205"/>
  <c r="CC205"/>
  <c r="CD205"/>
  <c r="CE205"/>
  <c r="CF205"/>
  <c r="CG205"/>
  <c r="CH205"/>
  <c r="CI205"/>
  <c r="CJ205"/>
  <c r="CK205"/>
  <c r="CL205"/>
  <c r="CM205"/>
  <c r="CN205"/>
  <c r="CO205"/>
  <c r="CP205"/>
  <c r="CQ205"/>
  <c r="CR205"/>
  <c r="CS205"/>
  <c r="CT205"/>
  <c r="CU205"/>
  <c r="CV205"/>
  <c r="CW205"/>
  <c r="CX205"/>
  <c r="CY205"/>
  <c r="CZ205"/>
  <c r="E206"/>
  <c r="F206"/>
  <c r="G206"/>
  <c r="H206"/>
  <c r="I206"/>
  <c r="J206"/>
  <c r="K206"/>
  <c r="L206"/>
  <c r="M206"/>
  <c r="N206"/>
  <c r="O206"/>
  <c r="P206"/>
  <c r="Q206"/>
  <c r="R206"/>
  <c r="S206"/>
  <c r="T206"/>
  <c r="U206"/>
  <c r="V206"/>
  <c r="W206"/>
  <c r="X206"/>
  <c r="Y206"/>
  <c r="Z206"/>
  <c r="AA206"/>
  <c r="AB206"/>
  <c r="AC206"/>
  <c r="AD206"/>
  <c r="AE206"/>
  <c r="AF206"/>
  <c r="AG206"/>
  <c r="AH206"/>
  <c r="AI206"/>
  <c r="AJ206"/>
  <c r="AK206"/>
  <c r="AL206"/>
  <c r="AM206"/>
  <c r="AN206"/>
  <c r="AO206"/>
  <c r="AP206"/>
  <c r="AQ206"/>
  <c r="AR206"/>
  <c r="AS206"/>
  <c r="AT206"/>
  <c r="AU206"/>
  <c r="AV206"/>
  <c r="AW206"/>
  <c r="AX206"/>
  <c r="AY206"/>
  <c r="AZ206"/>
  <c r="BA206"/>
  <c r="BB206"/>
  <c r="BC206"/>
  <c r="BD206"/>
  <c r="BE206"/>
  <c r="BF206"/>
  <c r="BG206"/>
  <c r="BH206"/>
  <c r="BI206"/>
  <c r="BJ206"/>
  <c r="BK206"/>
  <c r="BL206"/>
  <c r="BM206"/>
  <c r="BN206"/>
  <c r="BO206"/>
  <c r="BP206"/>
  <c r="BQ206"/>
  <c r="BR206"/>
  <c r="BS206"/>
  <c r="BT206"/>
  <c r="BU206"/>
  <c r="BV206"/>
  <c r="BW206"/>
  <c r="BX206"/>
  <c r="BY206"/>
  <c r="BZ206"/>
  <c r="CA206"/>
  <c r="CB206"/>
  <c r="CC206"/>
  <c r="CD206"/>
  <c r="CE206"/>
  <c r="CF206"/>
  <c r="CG206"/>
  <c r="CH206"/>
  <c r="CI206"/>
  <c r="CJ206"/>
  <c r="CK206"/>
  <c r="CL206"/>
  <c r="CM206"/>
  <c r="CN206"/>
  <c r="CO206"/>
  <c r="CP206"/>
  <c r="CQ206"/>
  <c r="CR206"/>
  <c r="CS206"/>
  <c r="CT206"/>
  <c r="CU206"/>
  <c r="CV206"/>
  <c r="CW206"/>
  <c r="CX206"/>
  <c r="CY206"/>
  <c r="CZ206"/>
  <c r="D205"/>
  <c r="D206"/>
  <c r="C206"/>
  <c r="C205"/>
  <c r="E171"/>
  <c r="F171"/>
  <c r="G171"/>
  <c r="H171"/>
  <c r="I171"/>
  <c r="J171"/>
  <c r="K171"/>
  <c r="L171"/>
  <c r="M171"/>
  <c r="N171"/>
  <c r="O171"/>
  <c r="P171"/>
  <c r="Q171"/>
  <c r="R171"/>
  <c r="S171"/>
  <c r="T171"/>
  <c r="U171"/>
  <c r="V171"/>
  <c r="W171"/>
  <c r="X171"/>
  <c r="Y171"/>
  <c r="Z171"/>
  <c r="AA171"/>
  <c r="AB171"/>
  <c r="AC171"/>
  <c r="AD171"/>
  <c r="AE171"/>
  <c r="AF171"/>
  <c r="AG171"/>
  <c r="AH171"/>
  <c r="AI171"/>
  <c r="AJ171"/>
  <c r="AK171"/>
  <c r="AL171"/>
  <c r="AM171"/>
  <c r="AN171"/>
  <c r="AO171"/>
  <c r="AP171"/>
  <c r="AQ171"/>
  <c r="AR171"/>
  <c r="AS171"/>
  <c r="AT171"/>
  <c r="AU171"/>
  <c r="AV171"/>
  <c r="AW171"/>
  <c r="AX171"/>
  <c r="AY171"/>
  <c r="AZ171"/>
  <c r="BA171"/>
  <c r="BB171"/>
  <c r="BC171"/>
  <c r="BD171"/>
  <c r="BE171"/>
  <c r="BF171"/>
  <c r="BG171"/>
  <c r="BH171"/>
  <c r="BI171"/>
  <c r="BJ171"/>
  <c r="BK171"/>
  <c r="BL171"/>
  <c r="BM171"/>
  <c r="BN171"/>
  <c r="BO171"/>
  <c r="BP171"/>
  <c r="BQ171"/>
  <c r="BR171"/>
  <c r="BS171"/>
  <c r="BT171"/>
  <c r="BU171"/>
  <c r="BV171"/>
  <c r="BW171"/>
  <c r="BX171"/>
  <c r="BY171"/>
  <c r="BZ171"/>
  <c r="CA171"/>
  <c r="CB171"/>
  <c r="CC171"/>
  <c r="CD171"/>
  <c r="CE171"/>
  <c r="CF171"/>
  <c r="CG171"/>
  <c r="CH171"/>
  <c r="CI171"/>
  <c r="CJ171"/>
  <c r="CK171"/>
  <c r="CL171"/>
  <c r="CM171"/>
  <c r="CN171"/>
  <c r="CO171"/>
  <c r="CP171"/>
  <c r="CQ171"/>
  <c r="CR171"/>
  <c r="CS171"/>
  <c r="CT171"/>
  <c r="CU171"/>
  <c r="CV171"/>
  <c r="CW171"/>
  <c r="CX171"/>
  <c r="CY171"/>
  <c r="CZ171"/>
  <c r="E172"/>
  <c r="F172"/>
  <c r="G172"/>
  <c r="H172"/>
  <c r="I172"/>
  <c r="J172"/>
  <c r="K172"/>
  <c r="L172"/>
  <c r="M172"/>
  <c r="N172"/>
  <c r="O172"/>
  <c r="P172"/>
  <c r="Q172"/>
  <c r="R172"/>
  <c r="S172"/>
  <c r="T172"/>
  <c r="U172"/>
  <c r="V172"/>
  <c r="W172"/>
  <c r="X172"/>
  <c r="Y172"/>
  <c r="Z172"/>
  <c r="AA172"/>
  <c r="AB172"/>
  <c r="AC172"/>
  <c r="AD172"/>
  <c r="AE172"/>
  <c r="AF172"/>
  <c r="AG172"/>
  <c r="AH172"/>
  <c r="AI172"/>
  <c r="AJ172"/>
  <c r="AK172"/>
  <c r="AL172"/>
  <c r="AM172"/>
  <c r="AN172"/>
  <c r="AO172"/>
  <c r="AP172"/>
  <c r="AQ172"/>
  <c r="AR172"/>
  <c r="AS172"/>
  <c r="AT172"/>
  <c r="AU172"/>
  <c r="AV172"/>
  <c r="AW172"/>
  <c r="AX172"/>
  <c r="AY172"/>
  <c r="AZ172"/>
  <c r="BA172"/>
  <c r="BB172"/>
  <c r="BC172"/>
  <c r="BD172"/>
  <c r="BE172"/>
  <c r="BF172"/>
  <c r="BG172"/>
  <c r="BH172"/>
  <c r="BI172"/>
  <c r="BJ172"/>
  <c r="BK172"/>
  <c r="BL172"/>
  <c r="BM172"/>
  <c r="BN172"/>
  <c r="BO172"/>
  <c r="BP172"/>
  <c r="BQ172"/>
  <c r="BR172"/>
  <c r="BS172"/>
  <c r="BT172"/>
  <c r="BU172"/>
  <c r="BV172"/>
  <c r="BW172"/>
  <c r="BX172"/>
  <c r="BY172"/>
  <c r="BZ172"/>
  <c r="CA172"/>
  <c r="CB172"/>
  <c r="CC172"/>
  <c r="CD172"/>
  <c r="CE172"/>
  <c r="CF172"/>
  <c r="CG172"/>
  <c r="CH172"/>
  <c r="CI172"/>
  <c r="CJ172"/>
  <c r="CK172"/>
  <c r="CL172"/>
  <c r="CM172"/>
  <c r="CN172"/>
  <c r="CO172"/>
  <c r="CP172"/>
  <c r="CQ172"/>
  <c r="CR172"/>
  <c r="CS172"/>
  <c r="CT172"/>
  <c r="CU172"/>
  <c r="CV172"/>
  <c r="CW172"/>
  <c r="CX172"/>
  <c r="CY172"/>
  <c r="CZ172"/>
  <c r="D171"/>
  <c r="D172"/>
  <c r="C172"/>
  <c r="C171"/>
  <c r="E136"/>
  <c r="F136"/>
  <c r="G136"/>
  <c r="H136"/>
  <c r="I136"/>
  <c r="J136"/>
  <c r="K136"/>
  <c r="L136"/>
  <c r="M136"/>
  <c r="N136"/>
  <c r="O136"/>
  <c r="P136"/>
  <c r="Q136"/>
  <c r="R136"/>
  <c r="S136"/>
  <c r="T136"/>
  <c r="U136"/>
  <c r="V136"/>
  <c r="W136"/>
  <c r="X136"/>
  <c r="Y136"/>
  <c r="Z136"/>
  <c r="AA136"/>
  <c r="AB136"/>
  <c r="AC136"/>
  <c r="AD136"/>
  <c r="AE136"/>
  <c r="AF136"/>
  <c r="AG136"/>
  <c r="AH136"/>
  <c r="AI136"/>
  <c r="AJ136"/>
  <c r="AK136"/>
  <c r="AL136"/>
  <c r="AM136"/>
  <c r="AN136"/>
  <c r="AO136"/>
  <c r="AP136"/>
  <c r="AQ136"/>
  <c r="AR136"/>
  <c r="AS136"/>
  <c r="AT136"/>
  <c r="AU136"/>
  <c r="AV136"/>
  <c r="AW136"/>
  <c r="AX136"/>
  <c r="AY136"/>
  <c r="AZ136"/>
  <c r="BA136"/>
  <c r="BB136"/>
  <c r="BC136"/>
  <c r="BD136"/>
  <c r="BE136"/>
  <c r="BF136"/>
  <c r="BG136"/>
  <c r="BH136"/>
  <c r="BI136"/>
  <c r="BJ136"/>
  <c r="BK136"/>
  <c r="BL136"/>
  <c r="BM136"/>
  <c r="BN136"/>
  <c r="BO136"/>
  <c r="BP136"/>
  <c r="BQ136"/>
  <c r="BR136"/>
  <c r="BS136"/>
  <c r="BT136"/>
  <c r="BU136"/>
  <c r="BV136"/>
  <c r="BW136"/>
  <c r="BX136"/>
  <c r="BY136"/>
  <c r="BZ136"/>
  <c r="CA136"/>
  <c r="CB136"/>
  <c r="CC136"/>
  <c r="CD136"/>
  <c r="CE136"/>
  <c r="CF136"/>
  <c r="CG136"/>
  <c r="CH136"/>
  <c r="CI136"/>
  <c r="CJ136"/>
  <c r="CK136"/>
  <c r="CL136"/>
  <c r="CM136"/>
  <c r="CN136"/>
  <c r="CO136"/>
  <c r="CP136"/>
  <c r="CQ136"/>
  <c r="CR136"/>
  <c r="CS136"/>
  <c r="CT136"/>
  <c r="CU136"/>
  <c r="CV136"/>
  <c r="CW136"/>
  <c r="CX136"/>
  <c r="CY136"/>
  <c r="CZ136"/>
  <c r="E137"/>
  <c r="F137"/>
  <c r="G137"/>
  <c r="H137"/>
  <c r="I137"/>
  <c r="J137"/>
  <c r="K137"/>
  <c r="L137"/>
  <c r="M137"/>
  <c r="N137"/>
  <c r="O137"/>
  <c r="P137"/>
  <c r="Q137"/>
  <c r="R137"/>
  <c r="S137"/>
  <c r="T137"/>
  <c r="U137"/>
  <c r="V137"/>
  <c r="W137"/>
  <c r="X137"/>
  <c r="Y137"/>
  <c r="Z137"/>
  <c r="AA137"/>
  <c r="AB137"/>
  <c r="AC137"/>
  <c r="AD137"/>
  <c r="AE137"/>
  <c r="AF137"/>
  <c r="AG137"/>
  <c r="AH137"/>
  <c r="AI137"/>
  <c r="AJ137"/>
  <c r="AK137"/>
  <c r="AL137"/>
  <c r="AM137"/>
  <c r="AN137"/>
  <c r="AO137"/>
  <c r="AP137"/>
  <c r="AQ137"/>
  <c r="AR137"/>
  <c r="AS137"/>
  <c r="AT137"/>
  <c r="AU137"/>
  <c r="AV137"/>
  <c r="AW137"/>
  <c r="AX137"/>
  <c r="AY137"/>
  <c r="AZ137"/>
  <c r="BA137"/>
  <c r="BB137"/>
  <c r="BC137"/>
  <c r="BD137"/>
  <c r="BE137"/>
  <c r="BF137"/>
  <c r="BG137"/>
  <c r="BH137"/>
  <c r="BI137"/>
  <c r="BJ137"/>
  <c r="BK137"/>
  <c r="BL137"/>
  <c r="BM137"/>
  <c r="BN137"/>
  <c r="BO137"/>
  <c r="BP137"/>
  <c r="BQ137"/>
  <c r="BR137"/>
  <c r="BS137"/>
  <c r="BT137"/>
  <c r="BU137"/>
  <c r="BV137"/>
  <c r="BW137"/>
  <c r="BX137"/>
  <c r="BY137"/>
  <c r="BZ137"/>
  <c r="CA137"/>
  <c r="CB137"/>
  <c r="CC137"/>
  <c r="CD137"/>
  <c r="CE137"/>
  <c r="CF137"/>
  <c r="CG137"/>
  <c r="CH137"/>
  <c r="CI137"/>
  <c r="CJ137"/>
  <c r="CK137"/>
  <c r="CL137"/>
  <c r="CM137"/>
  <c r="CN137"/>
  <c r="CO137"/>
  <c r="CP137"/>
  <c r="CQ137"/>
  <c r="CR137"/>
  <c r="CS137"/>
  <c r="CT137"/>
  <c r="CU137"/>
  <c r="CV137"/>
  <c r="CW137"/>
  <c r="CX137"/>
  <c r="CY137"/>
  <c r="CZ137"/>
  <c r="D136"/>
  <c r="D137"/>
  <c r="C137"/>
  <c r="C136"/>
  <c r="D102"/>
  <c r="E102"/>
  <c r="F102"/>
  <c r="G102"/>
  <c r="H102"/>
  <c r="I102"/>
  <c r="J102"/>
  <c r="K102"/>
  <c r="L102"/>
  <c r="M102"/>
  <c r="N102"/>
  <c r="O102"/>
  <c r="P102"/>
  <c r="Q102"/>
  <c r="R102"/>
  <c r="S102"/>
  <c r="T102"/>
  <c r="U102"/>
  <c r="V102"/>
  <c r="W102"/>
  <c r="X102"/>
  <c r="Y102"/>
  <c r="Z102"/>
  <c r="AA102"/>
  <c r="AB102"/>
  <c r="AC102"/>
  <c r="AD102"/>
  <c r="AE102"/>
  <c r="AF102"/>
  <c r="AG102"/>
  <c r="AH102"/>
  <c r="AI102"/>
  <c r="AJ102"/>
  <c r="AK102"/>
  <c r="AL102"/>
  <c r="AM102"/>
  <c r="AN102"/>
  <c r="AO102"/>
  <c r="AP102"/>
  <c r="AQ102"/>
  <c r="AR102"/>
  <c r="AS102"/>
  <c r="AT102"/>
  <c r="AU102"/>
  <c r="AV102"/>
  <c r="AW102"/>
  <c r="AX102"/>
  <c r="AY102"/>
  <c r="AZ102"/>
  <c r="BA102"/>
  <c r="BB102"/>
  <c r="BC102"/>
  <c r="BD102"/>
  <c r="BE102"/>
  <c r="BF102"/>
  <c r="BG102"/>
  <c r="BH102"/>
  <c r="BI102"/>
  <c r="BJ102"/>
  <c r="BK102"/>
  <c r="BL102"/>
  <c r="BM102"/>
  <c r="BN102"/>
  <c r="BO102"/>
  <c r="BP102"/>
  <c r="BQ102"/>
  <c r="BR102"/>
  <c r="BS102"/>
  <c r="BT102"/>
  <c r="BU102"/>
  <c r="BV102"/>
  <c r="BW102"/>
  <c r="BX102"/>
  <c r="BY102"/>
  <c r="BZ102"/>
  <c r="CA102"/>
  <c r="CB102"/>
  <c r="CC102"/>
  <c r="CD102"/>
  <c r="CE102"/>
  <c r="CF102"/>
  <c r="CG102"/>
  <c r="CH102"/>
  <c r="CI102"/>
  <c r="CJ102"/>
  <c r="CK102"/>
  <c r="CL102"/>
  <c r="CM102"/>
  <c r="CN102"/>
  <c r="CO102"/>
  <c r="CP102"/>
  <c r="CQ102"/>
  <c r="CR102"/>
  <c r="CS102"/>
  <c r="CT102"/>
  <c r="CU102"/>
  <c r="CV102"/>
  <c r="CW102"/>
  <c r="CX102"/>
  <c r="CY102"/>
  <c r="CZ102"/>
  <c r="D103"/>
  <c r="E103"/>
  <c r="F103"/>
  <c r="G103"/>
  <c r="H103"/>
  <c r="I103"/>
  <c r="J103"/>
  <c r="K103"/>
  <c r="L103"/>
  <c r="M103"/>
  <c r="N103"/>
  <c r="O103"/>
  <c r="P103"/>
  <c r="Q103"/>
  <c r="R103"/>
  <c r="S103"/>
  <c r="T103"/>
  <c r="U103"/>
  <c r="V103"/>
  <c r="W103"/>
  <c r="X103"/>
  <c r="Y103"/>
  <c r="Z103"/>
  <c r="AA103"/>
  <c r="AB103"/>
  <c r="AC103"/>
  <c r="AD103"/>
  <c r="AE103"/>
  <c r="AF103"/>
  <c r="AG103"/>
  <c r="AH103"/>
  <c r="AI103"/>
  <c r="AJ103"/>
  <c r="AK103"/>
  <c r="AL103"/>
  <c r="AM103"/>
  <c r="AN103"/>
  <c r="AO103"/>
  <c r="AP103"/>
  <c r="AQ103"/>
  <c r="AR103"/>
  <c r="AS103"/>
  <c r="AT103"/>
  <c r="AU103"/>
  <c r="AV103"/>
  <c r="AW103"/>
  <c r="AX103"/>
  <c r="AY103"/>
  <c r="AZ103"/>
  <c r="BA103"/>
  <c r="BB103"/>
  <c r="BC103"/>
  <c r="BD103"/>
  <c r="BE103"/>
  <c r="BF103"/>
  <c r="BG103"/>
  <c r="BH103"/>
  <c r="BI103"/>
  <c r="BJ103"/>
  <c r="BK103"/>
  <c r="BL103"/>
  <c r="BM103"/>
  <c r="BN103"/>
  <c r="BO103"/>
  <c r="BP103"/>
  <c r="BQ103"/>
  <c r="BR103"/>
  <c r="BS103"/>
  <c r="BT103"/>
  <c r="BU103"/>
  <c r="BV103"/>
  <c r="BW103"/>
  <c r="BX103"/>
  <c r="BY103"/>
  <c r="BZ103"/>
  <c r="CA103"/>
  <c r="CB103"/>
  <c r="CC103"/>
  <c r="CD103"/>
  <c r="CE103"/>
  <c r="CF103"/>
  <c r="CG103"/>
  <c r="CH103"/>
  <c r="CI103"/>
  <c r="CJ103"/>
  <c r="CK103"/>
  <c r="CL103"/>
  <c r="CM103"/>
  <c r="CN103"/>
  <c r="CO103"/>
  <c r="CP103"/>
  <c r="CQ103"/>
  <c r="CR103"/>
  <c r="CS103"/>
  <c r="CT103"/>
  <c r="CU103"/>
  <c r="CV103"/>
  <c r="CW103"/>
  <c r="CX103"/>
  <c r="CY103"/>
  <c r="CZ103"/>
  <c r="C103"/>
  <c r="C102"/>
  <c r="D67"/>
  <c r="E67"/>
  <c r="F67"/>
  <c r="G67"/>
  <c r="H67"/>
  <c r="I67"/>
  <c r="J67"/>
  <c r="K67"/>
  <c r="L67"/>
  <c r="M67"/>
  <c r="N67"/>
  <c r="O67"/>
  <c r="P67"/>
  <c r="Q67"/>
  <c r="R67"/>
  <c r="S67"/>
  <c r="T67"/>
  <c r="U67"/>
  <c r="V67"/>
  <c r="W67"/>
  <c r="X67"/>
  <c r="Y67"/>
  <c r="Z67"/>
  <c r="AA67"/>
  <c r="AB67"/>
  <c r="AC67"/>
  <c r="AD67"/>
  <c r="AE67"/>
  <c r="AF67"/>
  <c r="AG67"/>
  <c r="AH67"/>
  <c r="AI67"/>
  <c r="AJ67"/>
  <c r="AK67"/>
  <c r="AL67"/>
  <c r="AM67"/>
  <c r="AN67"/>
  <c r="AO67"/>
  <c r="AP67"/>
  <c r="AQ67"/>
  <c r="AR67"/>
  <c r="AS67"/>
  <c r="AT67"/>
  <c r="AU67"/>
  <c r="AV67"/>
  <c r="AW67"/>
  <c r="AX67"/>
  <c r="AY67"/>
  <c r="AZ67"/>
  <c r="BA67"/>
  <c r="BB67"/>
  <c r="BC67"/>
  <c r="BD67"/>
  <c r="BE67"/>
  <c r="BF67"/>
  <c r="BG67"/>
  <c r="BH67"/>
  <c r="BI67"/>
  <c r="BJ67"/>
  <c r="BK67"/>
  <c r="BL67"/>
  <c r="BM67"/>
  <c r="BN67"/>
  <c r="BO67"/>
  <c r="BP67"/>
  <c r="BQ67"/>
  <c r="BR67"/>
  <c r="BS67"/>
  <c r="BT67"/>
  <c r="BU67"/>
  <c r="BV67"/>
  <c r="BW67"/>
  <c r="BX67"/>
  <c r="BY67"/>
  <c r="BZ67"/>
  <c r="CA67"/>
  <c r="CB67"/>
  <c r="CC67"/>
  <c r="CD67"/>
  <c r="CE67"/>
  <c r="CF67"/>
  <c r="CG67"/>
  <c r="CH67"/>
  <c r="CI67"/>
  <c r="CJ67"/>
  <c r="CK67"/>
  <c r="CL67"/>
  <c r="CM67"/>
  <c r="CN67"/>
  <c r="CO67"/>
  <c r="CP67"/>
  <c r="CQ67"/>
  <c r="CR67"/>
  <c r="CS67"/>
  <c r="CT67"/>
  <c r="CU67"/>
  <c r="CV67"/>
  <c r="CW67"/>
  <c r="CX67"/>
  <c r="CY67"/>
  <c r="CZ67"/>
  <c r="D68"/>
  <c r="E68"/>
  <c r="F68"/>
  <c r="G68"/>
  <c r="H68"/>
  <c r="I68"/>
  <c r="J68"/>
  <c r="K68"/>
  <c r="L68"/>
  <c r="M68"/>
  <c r="N68"/>
  <c r="O68"/>
  <c r="P68"/>
  <c r="Q68"/>
  <c r="R68"/>
  <c r="S68"/>
  <c r="T68"/>
  <c r="U68"/>
  <c r="V68"/>
  <c r="W68"/>
  <c r="X68"/>
  <c r="Y68"/>
  <c r="Z68"/>
  <c r="AA68"/>
  <c r="AB68"/>
  <c r="AC68"/>
  <c r="AD68"/>
  <c r="AE68"/>
  <c r="AF68"/>
  <c r="AG68"/>
  <c r="AH68"/>
  <c r="AI68"/>
  <c r="AJ68"/>
  <c r="AK68"/>
  <c r="AL68"/>
  <c r="AM68"/>
  <c r="AN68"/>
  <c r="AO68"/>
  <c r="AP68"/>
  <c r="AQ68"/>
  <c r="AR68"/>
  <c r="AS68"/>
  <c r="AT68"/>
  <c r="AU68"/>
  <c r="AV68"/>
  <c r="AW68"/>
  <c r="AX68"/>
  <c r="AY68"/>
  <c r="AZ68"/>
  <c r="BA68"/>
  <c r="BB68"/>
  <c r="BC68"/>
  <c r="BD68"/>
  <c r="BE68"/>
  <c r="BF68"/>
  <c r="BG68"/>
  <c r="BH68"/>
  <c r="BI68"/>
  <c r="BJ68"/>
  <c r="BK68"/>
  <c r="BL68"/>
  <c r="BM68"/>
  <c r="BN68"/>
  <c r="BO68"/>
  <c r="BP68"/>
  <c r="BQ68"/>
  <c r="BR68"/>
  <c r="BS68"/>
  <c r="BT68"/>
  <c r="BU68"/>
  <c r="BV68"/>
  <c r="BW68"/>
  <c r="BX68"/>
  <c r="BY68"/>
  <c r="BZ68"/>
  <c r="CA68"/>
  <c r="CB68"/>
  <c r="CC68"/>
  <c r="CD68"/>
  <c r="CE68"/>
  <c r="CF68"/>
  <c r="CG68"/>
  <c r="CH68"/>
  <c r="CI68"/>
  <c r="CJ68"/>
  <c r="CK68"/>
  <c r="CL68"/>
  <c r="CM68"/>
  <c r="CN68"/>
  <c r="CO68"/>
  <c r="CP68"/>
  <c r="CQ68"/>
  <c r="CR68"/>
  <c r="CS68"/>
  <c r="CT68"/>
  <c r="CU68"/>
  <c r="CV68"/>
  <c r="CW68"/>
  <c r="CX68"/>
  <c r="CY68"/>
  <c r="CZ68"/>
  <c r="C68"/>
  <c r="C67"/>
  <c r="D34"/>
  <c r="E34"/>
  <c r="F34"/>
  <c r="G34"/>
  <c r="H34"/>
  <c r="I34"/>
  <c r="J34"/>
  <c r="K34"/>
  <c r="L34"/>
  <c r="M34"/>
  <c r="N34"/>
  <c r="O34"/>
  <c r="P34"/>
  <c r="Q34"/>
  <c r="R34"/>
  <c r="S34"/>
  <c r="T34"/>
  <c r="U34"/>
  <c r="V34"/>
  <c r="W34"/>
  <c r="X34"/>
  <c r="Y34"/>
  <c r="Z34"/>
  <c r="AA34"/>
  <c r="AB34"/>
  <c r="AC34"/>
  <c r="AD34"/>
  <c r="AE34"/>
  <c r="AF34"/>
  <c r="AG34"/>
  <c r="AH34"/>
  <c r="AI34"/>
  <c r="AJ34"/>
  <c r="AK34"/>
  <c r="AL34"/>
  <c r="AM34"/>
  <c r="AN34"/>
  <c r="AO34"/>
  <c r="AP34"/>
  <c r="AQ34"/>
  <c r="AR34"/>
  <c r="AS34"/>
  <c r="AT34"/>
  <c r="AU34"/>
  <c r="AV34"/>
  <c r="AW34"/>
  <c r="AX34"/>
  <c r="AY34"/>
  <c r="AZ34"/>
  <c r="BA34"/>
  <c r="BB34"/>
  <c r="BC34"/>
  <c r="BD34"/>
  <c r="BE34"/>
  <c r="BF34"/>
  <c r="BG34"/>
  <c r="BH34"/>
  <c r="BI34"/>
  <c r="BJ34"/>
  <c r="BK34"/>
  <c r="BL34"/>
  <c r="BM34"/>
  <c r="BN34"/>
  <c r="BO34"/>
  <c r="BP34"/>
  <c r="BQ34"/>
  <c r="BR34"/>
  <c r="BS34"/>
  <c r="BT34"/>
  <c r="BU34"/>
  <c r="BV34"/>
  <c r="BW34"/>
  <c r="BX34"/>
  <c r="BY34"/>
  <c r="BZ34"/>
  <c r="CA34"/>
  <c r="CB34"/>
  <c r="CC34"/>
  <c r="CD34"/>
  <c r="CE34"/>
  <c r="CF34"/>
  <c r="CG34"/>
  <c r="CH34"/>
  <c r="CI34"/>
  <c r="CJ34"/>
  <c r="CK34"/>
  <c r="CL34"/>
  <c r="CM34"/>
  <c r="CN34"/>
  <c r="CO34"/>
  <c r="CP34"/>
  <c r="CQ34"/>
  <c r="CR34"/>
  <c r="CS34"/>
  <c r="CT34"/>
  <c r="CU34"/>
  <c r="CV34"/>
  <c r="CW34"/>
  <c r="CX34"/>
  <c r="CY34"/>
  <c r="CZ34"/>
  <c r="D35"/>
  <c r="E35"/>
  <c r="F35"/>
  <c r="G35"/>
  <c r="H35"/>
  <c r="I35"/>
  <c r="J35"/>
  <c r="K35"/>
  <c r="L35"/>
  <c r="M35"/>
  <c r="N35"/>
  <c r="O35"/>
  <c r="P35"/>
  <c r="Q35"/>
  <c r="R35"/>
  <c r="S35"/>
  <c r="T35"/>
  <c r="U35"/>
  <c r="V35"/>
  <c r="W35"/>
  <c r="X35"/>
  <c r="Y35"/>
  <c r="Z35"/>
  <c r="AA35"/>
  <c r="AB35"/>
  <c r="AC35"/>
  <c r="AD35"/>
  <c r="AE35"/>
  <c r="AF35"/>
  <c r="AG35"/>
  <c r="AH35"/>
  <c r="AI35"/>
  <c r="AJ35"/>
  <c r="AK35"/>
  <c r="AL35"/>
  <c r="AM35"/>
  <c r="AN35"/>
  <c r="AO35"/>
  <c r="AP35"/>
  <c r="AQ35"/>
  <c r="AR35"/>
  <c r="AS35"/>
  <c r="AT35"/>
  <c r="AU35"/>
  <c r="AV35"/>
  <c r="AW35"/>
  <c r="AX35"/>
  <c r="AY35"/>
  <c r="AZ35"/>
  <c r="BA35"/>
  <c r="BB35"/>
  <c r="BC35"/>
  <c r="BD35"/>
  <c r="BE35"/>
  <c r="BF35"/>
  <c r="BG35"/>
  <c r="BH35"/>
  <c r="BI35"/>
  <c r="BJ35"/>
  <c r="BK35"/>
  <c r="BL35"/>
  <c r="BM35"/>
  <c r="BN35"/>
  <c r="BO35"/>
  <c r="BP35"/>
  <c r="BQ35"/>
  <c r="BR35"/>
  <c r="BS35"/>
  <c r="BT35"/>
  <c r="BU35"/>
  <c r="BV35"/>
  <c r="BW35"/>
  <c r="BX35"/>
  <c r="BY35"/>
  <c r="BZ35"/>
  <c r="CA35"/>
  <c r="CB35"/>
  <c r="CC35"/>
  <c r="CD35"/>
  <c r="CE35"/>
  <c r="CF35"/>
  <c r="CG35"/>
  <c r="CH35"/>
  <c r="CI35"/>
  <c r="CJ35"/>
  <c r="CK35"/>
  <c r="CL35"/>
  <c r="CM35"/>
  <c r="CN35"/>
  <c r="CO35"/>
  <c r="CP35"/>
  <c r="CQ35"/>
  <c r="CR35"/>
  <c r="CS35"/>
  <c r="CT35"/>
  <c r="CU35"/>
  <c r="CV35"/>
  <c r="CW35"/>
  <c r="CX35"/>
  <c r="CY35"/>
  <c r="CZ35"/>
  <c r="C35"/>
  <c r="C34"/>
  <c r="DW112"/>
  <c r="DX112"/>
  <c r="DY112"/>
  <c r="DZ112"/>
  <c r="EA112"/>
  <c r="EB112"/>
  <c r="EC112"/>
  <c r="ED112"/>
  <c r="EE112"/>
  <c r="EF112"/>
  <c r="EG112"/>
  <c r="DV112"/>
  <c r="K60" i="3" l="1"/>
  <c r="J60"/>
  <c r="DG238" i="1"/>
  <c r="DG243"/>
  <c r="DG244"/>
  <c r="DG245"/>
  <c r="DG246"/>
  <c r="DG247"/>
  <c r="DG248"/>
  <c r="DG249"/>
  <c r="DG250"/>
  <c r="DG251"/>
  <c r="DG252"/>
  <c r="DG253"/>
  <c r="DG254"/>
  <c r="DG255"/>
  <c r="DG256"/>
  <c r="DG257"/>
  <c r="DG258"/>
  <c r="DG259"/>
  <c r="DG260"/>
  <c r="DG261"/>
  <c r="DG262"/>
  <c r="DG263"/>
  <c r="DG264"/>
  <c r="DG265"/>
  <c r="DG266"/>
  <c r="DG267"/>
  <c r="DG268"/>
  <c r="DG269"/>
  <c r="DG270"/>
  <c r="DG271"/>
  <c r="DG272"/>
  <c r="DG273"/>
  <c r="DG278"/>
  <c r="DG279"/>
  <c r="DG280"/>
  <c r="DG281"/>
  <c r="DG282"/>
  <c r="DG283"/>
  <c r="DG284"/>
  <c r="DG285"/>
  <c r="DG286"/>
  <c r="DG287"/>
  <c r="DG288"/>
  <c r="DG289"/>
  <c r="DG290"/>
  <c r="DG291"/>
  <c r="DG292"/>
  <c r="DG293"/>
  <c r="DG294"/>
  <c r="DG295"/>
  <c r="DG296"/>
  <c r="DG297"/>
  <c r="DG298"/>
  <c r="DG299"/>
  <c r="DG300"/>
  <c r="DG301"/>
  <c r="DG302"/>
  <c r="DG303"/>
  <c r="DG304"/>
  <c r="DG305"/>
  <c r="DG306"/>
  <c r="DG307"/>
  <c r="DG312"/>
  <c r="DG313"/>
  <c r="DG314"/>
  <c r="DG315"/>
  <c r="DG316"/>
  <c r="DG317"/>
  <c r="DG318"/>
  <c r="DG319"/>
  <c r="DG320"/>
  <c r="DG321"/>
  <c r="DG322"/>
  <c r="DG323"/>
  <c r="DG324"/>
  <c r="DG325"/>
  <c r="DG326"/>
  <c r="DG327"/>
  <c r="DG328"/>
  <c r="DG329"/>
  <c r="DG330"/>
  <c r="DG331"/>
  <c r="DG332"/>
  <c r="DG333"/>
  <c r="DG334"/>
  <c r="DG335"/>
  <c r="DG336"/>
  <c r="DG337"/>
  <c r="DG338"/>
  <c r="DG339"/>
  <c r="DG340"/>
  <c r="DG341"/>
  <c r="DG342"/>
  <c r="DG347"/>
  <c r="DG348"/>
  <c r="DG349"/>
  <c r="DG350"/>
  <c r="DG351"/>
  <c r="DG352"/>
  <c r="DG353"/>
  <c r="DG354"/>
  <c r="DG355"/>
  <c r="DG356"/>
  <c r="DG357"/>
  <c r="DG358"/>
  <c r="DG359"/>
  <c r="DG360"/>
  <c r="DG361"/>
  <c r="DG362"/>
  <c r="DG363"/>
  <c r="DG364"/>
  <c r="DG365"/>
  <c r="DG366"/>
  <c r="DG367"/>
  <c r="DG368"/>
  <c r="DG369"/>
  <c r="DG370"/>
  <c r="DG371"/>
  <c r="DG372"/>
  <c r="DG373"/>
  <c r="DG374"/>
  <c r="DG375"/>
  <c r="DG376"/>
  <c r="DG381"/>
  <c r="DG382"/>
  <c r="DG383"/>
  <c r="DG384"/>
  <c r="DG385"/>
  <c r="DG386"/>
  <c r="DG387"/>
  <c r="DG388"/>
  <c r="DG389"/>
  <c r="DG390"/>
  <c r="DG391"/>
  <c r="DG392"/>
  <c r="DG393"/>
  <c r="DG394"/>
  <c r="DG395"/>
  <c r="DG396"/>
  <c r="DG397"/>
  <c r="DG398"/>
  <c r="DG399"/>
  <c r="DG400"/>
  <c r="DG401"/>
  <c r="DG402"/>
  <c r="DG403"/>
  <c r="DG404"/>
  <c r="DG405"/>
  <c r="DG406"/>
  <c r="DG407"/>
  <c r="DG408"/>
  <c r="DG409"/>
  <c r="DG410"/>
  <c r="DG411"/>
  <c r="DZ110"/>
  <c r="DW110"/>
  <c r="DX110"/>
  <c r="DY110"/>
  <c r="EE110"/>
  <c r="EF110"/>
  <c r="EG110"/>
  <c r="DV110"/>
  <c r="DI2"/>
  <c r="DH3"/>
  <c r="DH4"/>
  <c r="DH5"/>
  <c r="DH6"/>
  <c r="DH7"/>
  <c r="DH8"/>
  <c r="DH9"/>
  <c r="DH10"/>
  <c r="DH11"/>
  <c r="DH12"/>
  <c r="DH13"/>
  <c r="DH14"/>
  <c r="DH15"/>
  <c r="DH16"/>
  <c r="DH17"/>
  <c r="DH18"/>
  <c r="DH19"/>
  <c r="DH20"/>
  <c r="DH21"/>
  <c r="DH22"/>
  <c r="DH23"/>
  <c r="DH24"/>
  <c r="DH25"/>
  <c r="DH26"/>
  <c r="DH27"/>
  <c r="DH28"/>
  <c r="DH29"/>
  <c r="DH30"/>
  <c r="DH31"/>
  <c r="DH32"/>
  <c r="DH37"/>
  <c r="DH38"/>
  <c r="DH39"/>
  <c r="DH40"/>
  <c r="DH41"/>
  <c r="DH42"/>
  <c r="DH43"/>
  <c r="DH44"/>
  <c r="DH45"/>
  <c r="DH46"/>
  <c r="DH47"/>
  <c r="DH48"/>
  <c r="DH49"/>
  <c r="DH50"/>
  <c r="DH51"/>
  <c r="DH52"/>
  <c r="DH53"/>
  <c r="DH54"/>
  <c r="DH55"/>
  <c r="DH56"/>
  <c r="DH57"/>
  <c r="DH58"/>
  <c r="DH59"/>
  <c r="DH60"/>
  <c r="DH61"/>
  <c r="DH62"/>
  <c r="DH63"/>
  <c r="DH64"/>
  <c r="DH65"/>
  <c r="DH70"/>
  <c r="DH71"/>
  <c r="DH72"/>
  <c r="DH73"/>
  <c r="DH74"/>
  <c r="DH75"/>
  <c r="DH76"/>
  <c r="DH77"/>
  <c r="DH78"/>
  <c r="DH79"/>
  <c r="DH80"/>
  <c r="DH81"/>
  <c r="DH82"/>
  <c r="DH83"/>
  <c r="DH84"/>
  <c r="DH85"/>
  <c r="DH86"/>
  <c r="DH87"/>
  <c r="DH88"/>
  <c r="DH89"/>
  <c r="DH90"/>
  <c r="DH91"/>
  <c r="DH92"/>
  <c r="DH93"/>
  <c r="DH94"/>
  <c r="DH95"/>
  <c r="DH96"/>
  <c r="DH97"/>
  <c r="DH98"/>
  <c r="DH99"/>
  <c r="DH100"/>
  <c r="DH105"/>
  <c r="DH106"/>
  <c r="DH107"/>
  <c r="DH108"/>
  <c r="DH109"/>
  <c r="DH110"/>
  <c r="DH111"/>
  <c r="DH112"/>
  <c r="DH113"/>
  <c r="DH114"/>
  <c r="DH115"/>
  <c r="DH116"/>
  <c r="DH117"/>
  <c r="DH118"/>
  <c r="DH119"/>
  <c r="DH120"/>
  <c r="DH121"/>
  <c r="DH122"/>
  <c r="DH123"/>
  <c r="DH124"/>
  <c r="DH125"/>
  <c r="DH126"/>
  <c r="DH127"/>
  <c r="DH128"/>
  <c r="DH129"/>
  <c r="DH130"/>
  <c r="DH131"/>
  <c r="DH132"/>
  <c r="DH133"/>
  <c r="DH134"/>
  <c r="DH139"/>
  <c r="DH140"/>
  <c r="DH141"/>
  <c r="DH142"/>
  <c r="DH143"/>
  <c r="DH144"/>
  <c r="DH145"/>
  <c r="DH146"/>
  <c r="DH147"/>
  <c r="DH148"/>
  <c r="DH149"/>
  <c r="DH150"/>
  <c r="DH151"/>
  <c r="DH152"/>
  <c r="DH153"/>
  <c r="DH154"/>
  <c r="DH155"/>
  <c r="DH156"/>
  <c r="DH157"/>
  <c r="DH158"/>
  <c r="DH159"/>
  <c r="DH160"/>
  <c r="DH161"/>
  <c r="DH162"/>
  <c r="DH163"/>
  <c r="DH164"/>
  <c r="DH165"/>
  <c r="DH166"/>
  <c r="DH167"/>
  <c r="DH168"/>
  <c r="DH169"/>
  <c r="DH174"/>
  <c r="DH175"/>
  <c r="DH176"/>
  <c r="DH177"/>
  <c r="DH178"/>
  <c r="DH179"/>
  <c r="DH180"/>
  <c r="DH181"/>
  <c r="DH182"/>
  <c r="DH183"/>
  <c r="DH184"/>
  <c r="DH185"/>
  <c r="DH186"/>
  <c r="DH187"/>
  <c r="DH188"/>
  <c r="DH189"/>
  <c r="DH190"/>
  <c r="DH191"/>
  <c r="DH192"/>
  <c r="DH193"/>
  <c r="DH194"/>
  <c r="DH195"/>
  <c r="DH196"/>
  <c r="DH197"/>
  <c r="DH198"/>
  <c r="DH199"/>
  <c r="DH200"/>
  <c r="DH201"/>
  <c r="DH202"/>
  <c r="DH203"/>
  <c r="DH208"/>
  <c r="DH209"/>
  <c r="DH210"/>
  <c r="DH211"/>
  <c r="DH212"/>
  <c r="DH213"/>
  <c r="DH214"/>
  <c r="DH215"/>
  <c r="DH216"/>
  <c r="DH217"/>
  <c r="DH218"/>
  <c r="DH219"/>
  <c r="DH220"/>
  <c r="DH221"/>
  <c r="DH222"/>
  <c r="DH223"/>
  <c r="DH224"/>
  <c r="DH225"/>
  <c r="DH226"/>
  <c r="DH227"/>
  <c r="DH228"/>
  <c r="DH229"/>
  <c r="DH230"/>
  <c r="DH231"/>
  <c r="DH232"/>
  <c r="DH233"/>
  <c r="DH234"/>
  <c r="DH235"/>
  <c r="DH236"/>
  <c r="DH237"/>
  <c r="DH238"/>
  <c r="DH243"/>
  <c r="DH244"/>
  <c r="DH245"/>
  <c r="DH246"/>
  <c r="DH247"/>
  <c r="DH248"/>
  <c r="DH249"/>
  <c r="DH250"/>
  <c r="DH251"/>
  <c r="DH252"/>
  <c r="DH253"/>
  <c r="DH254"/>
  <c r="DH255"/>
  <c r="DH256"/>
  <c r="DH257"/>
  <c r="DH258"/>
  <c r="DH259"/>
  <c r="DH260"/>
  <c r="DH261"/>
  <c r="DH262"/>
  <c r="DH263"/>
  <c r="DH264"/>
  <c r="DH265"/>
  <c r="DH266"/>
  <c r="DH267"/>
  <c r="DH268"/>
  <c r="DH269"/>
  <c r="DH270"/>
  <c r="DH271"/>
  <c r="DH272"/>
  <c r="DH273"/>
  <c r="DH278"/>
  <c r="DH279"/>
  <c r="DH280"/>
  <c r="DH281"/>
  <c r="DH282"/>
  <c r="DH283"/>
  <c r="DH284"/>
  <c r="DH285"/>
  <c r="DH286"/>
  <c r="DH287"/>
  <c r="DH288"/>
  <c r="DH289"/>
  <c r="DH290"/>
  <c r="DH291"/>
  <c r="DH292"/>
  <c r="DH293"/>
  <c r="DH294"/>
  <c r="DH295"/>
  <c r="DH296"/>
  <c r="DH297"/>
  <c r="DH298"/>
  <c r="DH299"/>
  <c r="DH300"/>
  <c r="DH301"/>
  <c r="DH302"/>
  <c r="DH303"/>
  <c r="DH304"/>
  <c r="DH305"/>
  <c r="DH306"/>
  <c r="DH307"/>
  <c r="DH312"/>
  <c r="DH313"/>
  <c r="DH314"/>
  <c r="DH315"/>
  <c r="DH316"/>
  <c r="DH317"/>
  <c r="DH318"/>
  <c r="DH319"/>
  <c r="DH320"/>
  <c r="DH321"/>
  <c r="DH322"/>
  <c r="DH323"/>
  <c r="DH324"/>
  <c r="DH325"/>
  <c r="DH326"/>
  <c r="DH327"/>
  <c r="DH328"/>
  <c r="DH329"/>
  <c r="DH330"/>
  <c r="DH331"/>
  <c r="DH332"/>
  <c r="DH333"/>
  <c r="DH334"/>
  <c r="DH335"/>
  <c r="DH336"/>
  <c r="DH337"/>
  <c r="DH338"/>
  <c r="DH339"/>
  <c r="DH340"/>
  <c r="DH341"/>
  <c r="DH342"/>
  <c r="DH347"/>
  <c r="DH348"/>
  <c r="DH349"/>
  <c r="DH350"/>
  <c r="DH351"/>
  <c r="DH352"/>
  <c r="DH353"/>
  <c r="DH354"/>
  <c r="DH355"/>
  <c r="DH356"/>
  <c r="DH357"/>
  <c r="DH358"/>
  <c r="DH359"/>
  <c r="DH360"/>
  <c r="DH361"/>
  <c r="DH362"/>
  <c r="DH363"/>
  <c r="DH364"/>
  <c r="DH365"/>
  <c r="DH366"/>
  <c r="DH367"/>
  <c r="DH368"/>
  <c r="DH369"/>
  <c r="DH370"/>
  <c r="DH371"/>
  <c r="DH372"/>
  <c r="DH373"/>
  <c r="DH374"/>
  <c r="DH375"/>
  <c r="DH376"/>
  <c r="DH381"/>
  <c r="DH382"/>
  <c r="DH383"/>
  <c r="DH384"/>
  <c r="DH385"/>
  <c r="DH386"/>
  <c r="DH387"/>
  <c r="DH388"/>
  <c r="DH389"/>
  <c r="DH390"/>
  <c r="DH391"/>
  <c r="DH392"/>
  <c r="DH393"/>
  <c r="DH394"/>
  <c r="DH395"/>
  <c r="DH396"/>
  <c r="DH397"/>
  <c r="DH398"/>
  <c r="DH399"/>
  <c r="DH400"/>
  <c r="DH401"/>
  <c r="DH402"/>
  <c r="DH403"/>
  <c r="DH404"/>
  <c r="DH405"/>
  <c r="DH406"/>
  <c r="DH407"/>
  <c r="DH408"/>
  <c r="DH409"/>
  <c r="DH410"/>
  <c r="DH411"/>
  <c r="DH2"/>
  <c r="DI411" l="1"/>
  <c r="DF411"/>
  <c r="DE411"/>
  <c r="DI410"/>
  <c r="DF410"/>
  <c r="DE410"/>
  <c r="DI409"/>
  <c r="DF409"/>
  <c r="DE409"/>
  <c r="DI408"/>
  <c r="DF408"/>
  <c r="DE408"/>
  <c r="DI407"/>
  <c r="DF407"/>
  <c r="DE407"/>
  <c r="DI406"/>
  <c r="DF406"/>
  <c r="DE406"/>
  <c r="DI405"/>
  <c r="DF405"/>
  <c r="DE405"/>
  <c r="DI404"/>
  <c r="DF404"/>
  <c r="DE404"/>
  <c r="DI403"/>
  <c r="DF403"/>
  <c r="DE403"/>
  <c r="DI402"/>
  <c r="DF402"/>
  <c r="DE402"/>
  <c r="DI401"/>
  <c r="DF401"/>
  <c r="DE401"/>
  <c r="DI400"/>
  <c r="DF400"/>
  <c r="DE400"/>
  <c r="DI399"/>
  <c r="DF399"/>
  <c r="DE399"/>
  <c r="DI398"/>
  <c r="DF398"/>
  <c r="DE398"/>
  <c r="DI397"/>
  <c r="DF397"/>
  <c r="DE397"/>
  <c r="DI396"/>
  <c r="DF396"/>
  <c r="DE396"/>
  <c r="DI395"/>
  <c r="DF395"/>
  <c r="DE395"/>
  <c r="DI394"/>
  <c r="DF394"/>
  <c r="DE394"/>
  <c r="DI393"/>
  <c r="DF393"/>
  <c r="DE393"/>
  <c r="DI392"/>
  <c r="DF392"/>
  <c r="DE392"/>
  <c r="DI391"/>
  <c r="DF391"/>
  <c r="DE391"/>
  <c r="DI390"/>
  <c r="DF390"/>
  <c r="DE390"/>
  <c r="DI389"/>
  <c r="DF389"/>
  <c r="DE389"/>
  <c r="DI388"/>
  <c r="DF388"/>
  <c r="DE388"/>
  <c r="DI387"/>
  <c r="DF387"/>
  <c r="DE387"/>
  <c r="DI386"/>
  <c r="DF386"/>
  <c r="DE386"/>
  <c r="DI385"/>
  <c r="DF385"/>
  <c r="DE385"/>
  <c r="DI384"/>
  <c r="DF384"/>
  <c r="DE384"/>
  <c r="DI383"/>
  <c r="DF383"/>
  <c r="DE383"/>
  <c r="DI382"/>
  <c r="DF382"/>
  <c r="DE382"/>
  <c r="DI381"/>
  <c r="DF381"/>
  <c r="DE381"/>
  <c r="DI376"/>
  <c r="DF376"/>
  <c r="DE376"/>
  <c r="DI375"/>
  <c r="DF375"/>
  <c r="DE375"/>
  <c r="DI374"/>
  <c r="DF374"/>
  <c r="DE374"/>
  <c r="DI373"/>
  <c r="DF373"/>
  <c r="DE373"/>
  <c r="DI372"/>
  <c r="DF372"/>
  <c r="DE372"/>
  <c r="DI371"/>
  <c r="DF371"/>
  <c r="DE371"/>
  <c r="DI370"/>
  <c r="DF370"/>
  <c r="DE370"/>
  <c r="DI369"/>
  <c r="DF369"/>
  <c r="DE369"/>
  <c r="DI368"/>
  <c r="DF368"/>
  <c r="DE368"/>
  <c r="DI367"/>
  <c r="DF367"/>
  <c r="DE367"/>
  <c r="DI366"/>
  <c r="DF366"/>
  <c r="DE366"/>
  <c r="DI365"/>
  <c r="DF365"/>
  <c r="DE365"/>
  <c r="DI364"/>
  <c r="DF364"/>
  <c r="DE364"/>
  <c r="DI363"/>
  <c r="DF363"/>
  <c r="DE363"/>
  <c r="DI362"/>
  <c r="DF362"/>
  <c r="DE362"/>
  <c r="DI361"/>
  <c r="DF361"/>
  <c r="DE361"/>
  <c r="DI360"/>
  <c r="DF360"/>
  <c r="DE360"/>
  <c r="DI359"/>
  <c r="DF359"/>
  <c r="DE359"/>
  <c r="DI358"/>
  <c r="DF358"/>
  <c r="DE358"/>
  <c r="DI357"/>
  <c r="DF357"/>
  <c r="DE357"/>
  <c r="DI356"/>
  <c r="DF356"/>
  <c r="DE356"/>
  <c r="DI355"/>
  <c r="DF355"/>
  <c r="DE355"/>
  <c r="DI354"/>
  <c r="DF354"/>
  <c r="DE354"/>
  <c r="DI353"/>
  <c r="DF353"/>
  <c r="DE353"/>
  <c r="DI352"/>
  <c r="DF352"/>
  <c r="DE352"/>
  <c r="DI351"/>
  <c r="DF351"/>
  <c r="DE351"/>
  <c r="DI350"/>
  <c r="DF350"/>
  <c r="DE350"/>
  <c r="DI349"/>
  <c r="DF349"/>
  <c r="DE349"/>
  <c r="DI348"/>
  <c r="DF348"/>
  <c r="DE348"/>
  <c r="DI347"/>
  <c r="DF347"/>
  <c r="DE347"/>
  <c r="DI342"/>
  <c r="DF342"/>
  <c r="DE342"/>
  <c r="DI341"/>
  <c r="DF341"/>
  <c r="DE341"/>
  <c r="DI340"/>
  <c r="DF340"/>
  <c r="DE340"/>
  <c r="DI339"/>
  <c r="DF339"/>
  <c r="DE339"/>
  <c r="DI338"/>
  <c r="DF338"/>
  <c r="DE338"/>
  <c r="DI337"/>
  <c r="DF337"/>
  <c r="DE337"/>
  <c r="DI336"/>
  <c r="DF336"/>
  <c r="DE336"/>
  <c r="DI335"/>
  <c r="DF335"/>
  <c r="DE335"/>
  <c r="DI334"/>
  <c r="DF334"/>
  <c r="DE334"/>
  <c r="DI333"/>
  <c r="DF333"/>
  <c r="DE333"/>
  <c r="DI332"/>
  <c r="DF332"/>
  <c r="DE332"/>
  <c r="DI331"/>
  <c r="DF331"/>
  <c r="DE331"/>
  <c r="DI330"/>
  <c r="DF330"/>
  <c r="DE330"/>
  <c r="DI329"/>
  <c r="DF329"/>
  <c r="DE329"/>
  <c r="DI328"/>
  <c r="DF328"/>
  <c r="DE328"/>
  <c r="DI327"/>
  <c r="DF327"/>
  <c r="DE327"/>
  <c r="DI326"/>
  <c r="DF326"/>
  <c r="DE326"/>
  <c r="DI325"/>
  <c r="DF325"/>
  <c r="DE325"/>
  <c r="DI324"/>
  <c r="DF324"/>
  <c r="DE324"/>
  <c r="DI323"/>
  <c r="DF323"/>
  <c r="DE323"/>
  <c r="DI322"/>
  <c r="DF322"/>
  <c r="DE322"/>
  <c r="DI321"/>
  <c r="DF321"/>
  <c r="DE321"/>
  <c r="DI320"/>
  <c r="DF320"/>
  <c r="DE320"/>
  <c r="DI319"/>
  <c r="DF319"/>
  <c r="DE319"/>
  <c r="DI318"/>
  <c r="DF318"/>
  <c r="DE318"/>
  <c r="DI317"/>
  <c r="DF317"/>
  <c r="DE317"/>
  <c r="DI316"/>
  <c r="DF316"/>
  <c r="DE316"/>
  <c r="DI315"/>
  <c r="DF315"/>
  <c r="DE315"/>
  <c r="DI314"/>
  <c r="DF314"/>
  <c r="DE314"/>
  <c r="DI313"/>
  <c r="DF313"/>
  <c r="DE313"/>
  <c r="DI312"/>
  <c r="DF312"/>
  <c r="DE312"/>
  <c r="DI307"/>
  <c r="DF307"/>
  <c r="DE307"/>
  <c r="DI306"/>
  <c r="DF306"/>
  <c r="DE306"/>
  <c r="DI305"/>
  <c r="DF305"/>
  <c r="DE305"/>
  <c r="DI304"/>
  <c r="DF304"/>
  <c r="DE304"/>
  <c r="DI303"/>
  <c r="DF303"/>
  <c r="DE303"/>
  <c r="DI302"/>
  <c r="DF302"/>
  <c r="DE302"/>
  <c r="DI301"/>
  <c r="DF301"/>
  <c r="DE301"/>
  <c r="DI300"/>
  <c r="DF300"/>
  <c r="DE300"/>
  <c r="DI299"/>
  <c r="DF299"/>
  <c r="DE299"/>
  <c r="DI298"/>
  <c r="DF298"/>
  <c r="DE298"/>
  <c r="DI297"/>
  <c r="DF297"/>
  <c r="DE297"/>
  <c r="DI296"/>
  <c r="DF296"/>
  <c r="DE296"/>
  <c r="DI295"/>
  <c r="DF295"/>
  <c r="DE295"/>
  <c r="DI294"/>
  <c r="DF294"/>
  <c r="DE294"/>
  <c r="DI293"/>
  <c r="DF293"/>
  <c r="DE293"/>
  <c r="DI292"/>
  <c r="DF292"/>
  <c r="DE292"/>
  <c r="DI291"/>
  <c r="DF291"/>
  <c r="DE291"/>
  <c r="DI290"/>
  <c r="DF290"/>
  <c r="DE290"/>
  <c r="DI289"/>
  <c r="DF289"/>
  <c r="DE289"/>
  <c r="DI288"/>
  <c r="DF288"/>
  <c r="DE288"/>
  <c r="DI287"/>
  <c r="DF287"/>
  <c r="DE287"/>
  <c r="DI286"/>
  <c r="DF286"/>
  <c r="DE286"/>
  <c r="DI285"/>
  <c r="DF285"/>
  <c r="DE285"/>
  <c r="DI284"/>
  <c r="DF284"/>
  <c r="DE284"/>
  <c r="DI283"/>
  <c r="DF283"/>
  <c r="DE283"/>
  <c r="DI282"/>
  <c r="DF282"/>
  <c r="DE282"/>
  <c r="DI281"/>
  <c r="DF281"/>
  <c r="DE281"/>
  <c r="DI280"/>
  <c r="DF280"/>
  <c r="DE280"/>
  <c r="DI279"/>
  <c r="DF279"/>
  <c r="DE279"/>
  <c r="DI278"/>
  <c r="DF278"/>
  <c r="DE278"/>
  <c r="DI273"/>
  <c r="DF273"/>
  <c r="DE273"/>
  <c r="DI272"/>
  <c r="DF272"/>
  <c r="DE272"/>
  <c r="DI271"/>
  <c r="DF271"/>
  <c r="DE271"/>
  <c r="DI270"/>
  <c r="DF270"/>
  <c r="DE270"/>
  <c r="DI269"/>
  <c r="DF269"/>
  <c r="DE269"/>
  <c r="DI268"/>
  <c r="DF268"/>
  <c r="DE268"/>
  <c r="DI267"/>
  <c r="DF267"/>
  <c r="DE267"/>
  <c r="DI266"/>
  <c r="DF266"/>
  <c r="DE266"/>
  <c r="DI265"/>
  <c r="DF265"/>
  <c r="DE265"/>
  <c r="DI264"/>
  <c r="DF264"/>
  <c r="DE264"/>
  <c r="DI263"/>
  <c r="DF263"/>
  <c r="DE263"/>
  <c r="DI262"/>
  <c r="DF262"/>
  <c r="DE262"/>
  <c r="DI261"/>
  <c r="DF261"/>
  <c r="DE261"/>
  <c r="DI260"/>
  <c r="DF260"/>
  <c r="DE260"/>
  <c r="DI259"/>
  <c r="DF259"/>
  <c r="DE259"/>
  <c r="DI258"/>
  <c r="DF258"/>
  <c r="DE258"/>
  <c r="DI257"/>
  <c r="DF257"/>
  <c r="DE257"/>
  <c r="DI256"/>
  <c r="DF256"/>
  <c r="DE256"/>
  <c r="DI255"/>
  <c r="DF255"/>
  <c r="DE255"/>
  <c r="DI254"/>
  <c r="DF254"/>
  <c r="DE254"/>
  <c r="DI253"/>
  <c r="DF253"/>
  <c r="DE253"/>
  <c r="DI252"/>
  <c r="DF252"/>
  <c r="DE252"/>
  <c r="DI251"/>
  <c r="DF251"/>
  <c r="DE251"/>
  <c r="DI250"/>
  <c r="DF250"/>
  <c r="DE250"/>
  <c r="DI249"/>
  <c r="DF249"/>
  <c r="DE249"/>
  <c r="DI248"/>
  <c r="DF248"/>
  <c r="DE248"/>
  <c r="DI247"/>
  <c r="DF247"/>
  <c r="DE247"/>
  <c r="DI246"/>
  <c r="DF246"/>
  <c r="DE246"/>
  <c r="DI245"/>
  <c r="DF245"/>
  <c r="DE245"/>
  <c r="DI244"/>
  <c r="DF244"/>
  <c r="DE244"/>
  <c r="DI243"/>
  <c r="DF243"/>
  <c r="DE243"/>
  <c r="DI238"/>
  <c r="DF238"/>
  <c r="DE238"/>
  <c r="DI237"/>
  <c r="DG237"/>
  <c r="DF237"/>
  <c r="DE237"/>
  <c r="DI236"/>
  <c r="DG236"/>
  <c r="DF236"/>
  <c r="DE236"/>
  <c r="DI235"/>
  <c r="DG235"/>
  <c r="DF235"/>
  <c r="DE235"/>
  <c r="DI234"/>
  <c r="DG234"/>
  <c r="DF234"/>
  <c r="DE234"/>
  <c r="DI233"/>
  <c r="DG233"/>
  <c r="DF233"/>
  <c r="DE233"/>
  <c r="DI232"/>
  <c r="DG232"/>
  <c r="DF232"/>
  <c r="DE232"/>
  <c r="DI231"/>
  <c r="DG231"/>
  <c r="DF231"/>
  <c r="DE231"/>
  <c r="DI230"/>
  <c r="DG230"/>
  <c r="DF230"/>
  <c r="DE230"/>
  <c r="DI229"/>
  <c r="DG229"/>
  <c r="DF229"/>
  <c r="DE229"/>
  <c r="DI228"/>
  <c r="DG228"/>
  <c r="DF228"/>
  <c r="DE228"/>
  <c r="DI227"/>
  <c r="DG227"/>
  <c r="DF227"/>
  <c r="DE227"/>
  <c r="DI226"/>
  <c r="DG226"/>
  <c r="DF226"/>
  <c r="DE226"/>
  <c r="DI225"/>
  <c r="DG225"/>
  <c r="DF225"/>
  <c r="DE225"/>
  <c r="DI224"/>
  <c r="DG224"/>
  <c r="DF224"/>
  <c r="DE224"/>
  <c r="DI223"/>
  <c r="DG223"/>
  <c r="DF223"/>
  <c r="DE223"/>
  <c r="DI222"/>
  <c r="DG222"/>
  <c r="DF222"/>
  <c r="DE222"/>
  <c r="DI221"/>
  <c r="DG221"/>
  <c r="DF221"/>
  <c r="DE221"/>
  <c r="DI220"/>
  <c r="DG220"/>
  <c r="DF220"/>
  <c r="DE220"/>
  <c r="DI219"/>
  <c r="DG219"/>
  <c r="DF219"/>
  <c r="DE219"/>
  <c r="DI218"/>
  <c r="DG218"/>
  <c r="DF218"/>
  <c r="DE218"/>
  <c r="DI217"/>
  <c r="DG217"/>
  <c r="DF217"/>
  <c r="DE217"/>
  <c r="DI216"/>
  <c r="DG216"/>
  <c r="DF216"/>
  <c r="DE216"/>
  <c r="DI215"/>
  <c r="DG215"/>
  <c r="DF215"/>
  <c r="DE215"/>
  <c r="DI214"/>
  <c r="DG214"/>
  <c r="DF214"/>
  <c r="DE214"/>
  <c r="DI213"/>
  <c r="DG213"/>
  <c r="DF213"/>
  <c r="DE213"/>
  <c r="DI212"/>
  <c r="DG212"/>
  <c r="DF212"/>
  <c r="DE212"/>
  <c r="DI211"/>
  <c r="DG211"/>
  <c r="DF211"/>
  <c r="DE211"/>
  <c r="DI210"/>
  <c r="DG210"/>
  <c r="DF210"/>
  <c r="DE210"/>
  <c r="DI209"/>
  <c r="DG209"/>
  <c r="DF209"/>
  <c r="DE209"/>
  <c r="DI208"/>
  <c r="DR8" s="1"/>
  <c r="DG208"/>
  <c r="DF208"/>
  <c r="DE208"/>
  <c r="DI203"/>
  <c r="DG203"/>
  <c r="DF203"/>
  <c r="DE203"/>
  <c r="DI202"/>
  <c r="DG202"/>
  <c r="DF202"/>
  <c r="DE202"/>
  <c r="DI201"/>
  <c r="DG201"/>
  <c r="DF201"/>
  <c r="DE201"/>
  <c r="DI200"/>
  <c r="DG200"/>
  <c r="DF200"/>
  <c r="DE200"/>
  <c r="DI199"/>
  <c r="DG199"/>
  <c r="DF199"/>
  <c r="DE199"/>
  <c r="DI198"/>
  <c r="DG198"/>
  <c r="DF198"/>
  <c r="DE198"/>
  <c r="DI197"/>
  <c r="DG197"/>
  <c r="DF197"/>
  <c r="DE197"/>
  <c r="DI196"/>
  <c r="DG196"/>
  <c r="DF196"/>
  <c r="DE196"/>
  <c r="DI195"/>
  <c r="DG195"/>
  <c r="DF195"/>
  <c r="DE195"/>
  <c r="DI194"/>
  <c r="DG194"/>
  <c r="DF194"/>
  <c r="DE194"/>
  <c r="DI193"/>
  <c r="DG193"/>
  <c r="DF193"/>
  <c r="DE193"/>
  <c r="DI192"/>
  <c r="DG192"/>
  <c r="DF192"/>
  <c r="DE192"/>
  <c r="DI191"/>
  <c r="DG191"/>
  <c r="DF191"/>
  <c r="DE191"/>
  <c r="DI190"/>
  <c r="DG190"/>
  <c r="DF190"/>
  <c r="DE190"/>
  <c r="DI189"/>
  <c r="DG189"/>
  <c r="DF189"/>
  <c r="DE189"/>
  <c r="DI188"/>
  <c r="DG188"/>
  <c r="DF188"/>
  <c r="DE188"/>
  <c r="DI187"/>
  <c r="DG187"/>
  <c r="DF187"/>
  <c r="DE187"/>
  <c r="DI186"/>
  <c r="DG186"/>
  <c r="DF186"/>
  <c r="DE186"/>
  <c r="DI185"/>
  <c r="DG185"/>
  <c r="DF185"/>
  <c r="DE185"/>
  <c r="DI184"/>
  <c r="DG184"/>
  <c r="DF184"/>
  <c r="DE184"/>
  <c r="DI183"/>
  <c r="DG183"/>
  <c r="DF183"/>
  <c r="DE183"/>
  <c r="DI182"/>
  <c r="DG182"/>
  <c r="DF182"/>
  <c r="DE182"/>
  <c r="DI181"/>
  <c r="DG181"/>
  <c r="DF181"/>
  <c r="DE181"/>
  <c r="DI180"/>
  <c r="DG180"/>
  <c r="DF180"/>
  <c r="DE180"/>
  <c r="DI179"/>
  <c r="DG179"/>
  <c r="DF179"/>
  <c r="DE179"/>
  <c r="DI178"/>
  <c r="DG178"/>
  <c r="DF178"/>
  <c r="DE178"/>
  <c r="DI177"/>
  <c r="DG177"/>
  <c r="DF177"/>
  <c r="DE177"/>
  <c r="DI176"/>
  <c r="DG176"/>
  <c r="DF176"/>
  <c r="DE176"/>
  <c r="DI175"/>
  <c r="DG175"/>
  <c r="DF175"/>
  <c r="DE175"/>
  <c r="DI174"/>
  <c r="DR7" s="1"/>
  <c r="DG174"/>
  <c r="DF174"/>
  <c r="DE174"/>
  <c r="DI169"/>
  <c r="DG169"/>
  <c r="DF169"/>
  <c r="DE169"/>
  <c r="DI168"/>
  <c r="DG168"/>
  <c r="DF168"/>
  <c r="DE168"/>
  <c r="DI167"/>
  <c r="DG167"/>
  <c r="DF167"/>
  <c r="DE167"/>
  <c r="DI166"/>
  <c r="DG166"/>
  <c r="DF166"/>
  <c r="DE166"/>
  <c r="DI165"/>
  <c r="DG165"/>
  <c r="DF165"/>
  <c r="DE165"/>
  <c r="DI164"/>
  <c r="DG164"/>
  <c r="DF164"/>
  <c r="DE164"/>
  <c r="DI163"/>
  <c r="DG163"/>
  <c r="DF163"/>
  <c r="DE163"/>
  <c r="DI162"/>
  <c r="DG162"/>
  <c r="DF162"/>
  <c r="DE162"/>
  <c r="DI161"/>
  <c r="DG161"/>
  <c r="DF161"/>
  <c r="DE161"/>
  <c r="DI160"/>
  <c r="DG160"/>
  <c r="DF160"/>
  <c r="DE160"/>
  <c r="DI159"/>
  <c r="DG159"/>
  <c r="DF159"/>
  <c r="DE159"/>
  <c r="DI158"/>
  <c r="DG158"/>
  <c r="DF158"/>
  <c r="DE158"/>
  <c r="DI157"/>
  <c r="DG157"/>
  <c r="DF157"/>
  <c r="DE157"/>
  <c r="DI156"/>
  <c r="DG156"/>
  <c r="DF156"/>
  <c r="DE156"/>
  <c r="DI155"/>
  <c r="DG155"/>
  <c r="DF155"/>
  <c r="DE155"/>
  <c r="DI154"/>
  <c r="DG154"/>
  <c r="DF154"/>
  <c r="DE154"/>
  <c r="DI153"/>
  <c r="DG153"/>
  <c r="DF153"/>
  <c r="DE153"/>
  <c r="DI152"/>
  <c r="DG152"/>
  <c r="DF152"/>
  <c r="DE152"/>
  <c r="DI151"/>
  <c r="DG151"/>
  <c r="DF151"/>
  <c r="DE151"/>
  <c r="DI150"/>
  <c r="DG150"/>
  <c r="DF150"/>
  <c r="DE150"/>
  <c r="DI149"/>
  <c r="DG149"/>
  <c r="DF149"/>
  <c r="DE149"/>
  <c r="DI148"/>
  <c r="DG148"/>
  <c r="DF148"/>
  <c r="DE148"/>
  <c r="DI147"/>
  <c r="DG147"/>
  <c r="DF147"/>
  <c r="DE147"/>
  <c r="DI146"/>
  <c r="DG146"/>
  <c r="DF146"/>
  <c r="DE146"/>
  <c r="DI145"/>
  <c r="DG145"/>
  <c r="DF145"/>
  <c r="DE145"/>
  <c r="DI144"/>
  <c r="DG144"/>
  <c r="DF144"/>
  <c r="DE144"/>
  <c r="DI143"/>
  <c r="DG143"/>
  <c r="DF143"/>
  <c r="DE143"/>
  <c r="DI142"/>
  <c r="DG142"/>
  <c r="DF142"/>
  <c r="DE142"/>
  <c r="DI141"/>
  <c r="DG141"/>
  <c r="DF141"/>
  <c r="DE141"/>
  <c r="DI140"/>
  <c r="DG140"/>
  <c r="DF140"/>
  <c r="DE140"/>
  <c r="DI139"/>
  <c r="DR6" s="1"/>
  <c r="DG139"/>
  <c r="DF139"/>
  <c r="DE139"/>
  <c r="DI134"/>
  <c r="DG134"/>
  <c r="DF134"/>
  <c r="DE134"/>
  <c r="DI133"/>
  <c r="DG133"/>
  <c r="DF133"/>
  <c r="DE133"/>
  <c r="DI132"/>
  <c r="DG132"/>
  <c r="DF132"/>
  <c r="DE132"/>
  <c r="DI131"/>
  <c r="DG131"/>
  <c r="DF131"/>
  <c r="DE131"/>
  <c r="DI130"/>
  <c r="DG130"/>
  <c r="DF130"/>
  <c r="DE130"/>
  <c r="DI129"/>
  <c r="DG129"/>
  <c r="DF129"/>
  <c r="DE129"/>
  <c r="DI128"/>
  <c r="DG128"/>
  <c r="DF128"/>
  <c r="DE128"/>
  <c r="DI127"/>
  <c r="DG127"/>
  <c r="DF127"/>
  <c r="DE127"/>
  <c r="DI126"/>
  <c r="DG126"/>
  <c r="DF126"/>
  <c r="DE126"/>
  <c r="DI125"/>
  <c r="DG125"/>
  <c r="DF125"/>
  <c r="DE125"/>
  <c r="DI124"/>
  <c r="DG124"/>
  <c r="DF124"/>
  <c r="DE124"/>
  <c r="DI123"/>
  <c r="DG123"/>
  <c r="DF123"/>
  <c r="DE123"/>
  <c r="DI122"/>
  <c r="DG122"/>
  <c r="DF122"/>
  <c r="DE122"/>
  <c r="GI109"/>
  <c r="GH109"/>
  <c r="GG109"/>
  <c r="GF109"/>
  <c r="GE109"/>
  <c r="GD109"/>
  <c r="GC109"/>
  <c r="GB109"/>
  <c r="GA109"/>
  <c r="FZ109"/>
  <c r="FY109"/>
  <c r="FX109"/>
  <c r="FQ109"/>
  <c r="FP109"/>
  <c r="FO109"/>
  <c r="FN109"/>
  <c r="FM109"/>
  <c r="FL109"/>
  <c r="FK109"/>
  <c r="FJ109"/>
  <c r="FI109"/>
  <c r="FH109"/>
  <c r="FG109"/>
  <c r="FF109"/>
  <c r="DI121"/>
  <c r="DG121"/>
  <c r="DF121"/>
  <c r="DE121"/>
  <c r="GI108"/>
  <c r="GH108"/>
  <c r="GG108"/>
  <c r="GF108"/>
  <c r="GE108"/>
  <c r="GD108"/>
  <c r="GC108"/>
  <c r="GB108"/>
  <c r="GA108"/>
  <c r="FZ108"/>
  <c r="FY108"/>
  <c r="FX108"/>
  <c r="FQ108"/>
  <c r="FP108"/>
  <c r="FO108"/>
  <c r="FN108"/>
  <c r="FM108"/>
  <c r="FL108"/>
  <c r="FK108"/>
  <c r="FJ108"/>
  <c r="FI108"/>
  <c r="FH108"/>
  <c r="FG108"/>
  <c r="FF108"/>
  <c r="DI120"/>
  <c r="DG120"/>
  <c r="DF120"/>
  <c r="DE120"/>
  <c r="DI119"/>
  <c r="DG119"/>
  <c r="DF119"/>
  <c r="DE119"/>
  <c r="GI106"/>
  <c r="GH106"/>
  <c r="GG106"/>
  <c r="GF106"/>
  <c r="GE106"/>
  <c r="GD106"/>
  <c r="GC106"/>
  <c r="GB106"/>
  <c r="GA106"/>
  <c r="FZ106"/>
  <c r="FY106"/>
  <c r="FX106"/>
  <c r="FQ106"/>
  <c r="FP106"/>
  <c r="FO106"/>
  <c r="FN106"/>
  <c r="FM106"/>
  <c r="FL106"/>
  <c r="FK106"/>
  <c r="FJ106"/>
  <c r="FI106"/>
  <c r="FH106"/>
  <c r="FG106"/>
  <c r="FF106"/>
  <c r="DI118"/>
  <c r="DG118"/>
  <c r="DF118"/>
  <c r="DE118"/>
  <c r="DI117"/>
  <c r="DG117"/>
  <c r="DF117"/>
  <c r="DE117"/>
  <c r="GK104"/>
  <c r="FS104"/>
  <c r="DI116"/>
  <c r="DG116"/>
  <c r="DF116"/>
  <c r="DE116"/>
  <c r="GK103"/>
  <c r="FS103"/>
  <c r="DI115"/>
  <c r="DG115"/>
  <c r="DF115"/>
  <c r="DE115"/>
  <c r="GK102"/>
  <c r="FS102"/>
  <c r="DI114"/>
  <c r="DG114"/>
  <c r="DF114"/>
  <c r="DE114"/>
  <c r="GK101"/>
  <c r="FS101"/>
  <c r="DI113"/>
  <c r="DG113"/>
  <c r="DF113"/>
  <c r="DE113"/>
  <c r="GK100"/>
  <c r="FS100"/>
  <c r="DI112"/>
  <c r="DG112"/>
  <c r="DF112"/>
  <c r="DE112"/>
  <c r="GK99"/>
  <c r="FS99"/>
  <c r="DI111"/>
  <c r="DG111"/>
  <c r="DF111"/>
  <c r="DE111"/>
  <c r="GK98"/>
  <c r="FS98"/>
  <c r="DI110"/>
  <c r="DG110"/>
  <c r="DF110"/>
  <c r="DE110"/>
  <c r="GK97"/>
  <c r="FS97"/>
  <c r="DI109"/>
  <c r="DG109"/>
  <c r="DF109"/>
  <c r="DE109"/>
  <c r="GK96"/>
  <c r="FS96"/>
  <c r="DI108"/>
  <c r="DG108"/>
  <c r="DF108"/>
  <c r="DE108"/>
  <c r="GK95"/>
  <c r="FS95"/>
  <c r="DI107"/>
  <c r="DG107"/>
  <c r="DF107"/>
  <c r="DE107"/>
  <c r="GK94"/>
  <c r="FS94"/>
  <c r="DI106"/>
  <c r="DG106"/>
  <c r="DF106"/>
  <c r="DE106"/>
  <c r="GK93"/>
  <c r="FS93"/>
  <c r="DI105"/>
  <c r="DR5" s="1"/>
  <c r="DG105"/>
  <c r="DP5" s="1"/>
  <c r="DF105"/>
  <c r="DE105"/>
  <c r="GK92"/>
  <c r="FS92"/>
  <c r="DI100"/>
  <c r="DG100"/>
  <c r="DF100"/>
  <c r="DE100"/>
  <c r="GK91"/>
  <c r="FS91"/>
  <c r="DI99"/>
  <c r="DG99"/>
  <c r="DF99"/>
  <c r="DE99"/>
  <c r="GK90"/>
  <c r="FS90"/>
  <c r="DI98"/>
  <c r="DG98"/>
  <c r="DF98"/>
  <c r="DE98"/>
  <c r="GK89"/>
  <c r="FS89"/>
  <c r="DI97"/>
  <c r="DG97"/>
  <c r="DF97"/>
  <c r="DE97"/>
  <c r="GK88"/>
  <c r="FS88"/>
  <c r="DI96"/>
  <c r="DG96"/>
  <c r="DF96"/>
  <c r="DE96"/>
  <c r="GK87"/>
  <c r="FS87"/>
  <c r="DI95"/>
  <c r="DG95"/>
  <c r="DF95"/>
  <c r="DE95"/>
  <c r="GK86"/>
  <c r="FS86"/>
  <c r="DI94"/>
  <c r="DG94"/>
  <c r="DF94"/>
  <c r="DE94"/>
  <c r="GK85"/>
  <c r="FS85"/>
  <c r="DI93"/>
  <c r="DG93"/>
  <c r="DF93"/>
  <c r="DE93"/>
  <c r="GK84"/>
  <c r="FS84"/>
  <c r="DI92"/>
  <c r="DG92"/>
  <c r="DF92"/>
  <c r="DE92"/>
  <c r="GK83"/>
  <c r="FS83"/>
  <c r="DI91"/>
  <c r="DG91"/>
  <c r="DF91"/>
  <c r="DE91"/>
  <c r="GK82"/>
  <c r="FS82"/>
  <c r="DI90"/>
  <c r="DG90"/>
  <c r="DF90"/>
  <c r="DE90"/>
  <c r="GK81"/>
  <c r="FS81"/>
  <c r="DI89"/>
  <c r="DG89"/>
  <c r="DF89"/>
  <c r="DE89"/>
  <c r="GK80"/>
  <c r="FS80"/>
  <c r="DI88"/>
  <c r="DG88"/>
  <c r="DF88"/>
  <c r="DE88"/>
  <c r="GK79"/>
  <c r="FS79"/>
  <c r="DI87"/>
  <c r="DG87"/>
  <c r="DF87"/>
  <c r="DE87"/>
  <c r="GK78"/>
  <c r="FS78"/>
  <c r="DI86"/>
  <c r="DG86"/>
  <c r="DF86"/>
  <c r="DE86"/>
  <c r="GK77"/>
  <c r="FS77"/>
  <c r="DI85"/>
  <c r="DG85"/>
  <c r="DF85"/>
  <c r="DE85"/>
  <c r="GK76"/>
  <c r="FS76"/>
  <c r="DI84"/>
  <c r="DG84"/>
  <c r="DF84"/>
  <c r="DE84"/>
  <c r="GK75"/>
  <c r="FS75"/>
  <c r="DI83"/>
  <c r="DG83"/>
  <c r="DF83"/>
  <c r="DE83"/>
  <c r="GK74"/>
  <c r="FS74"/>
  <c r="DI82"/>
  <c r="DG82"/>
  <c r="DF82"/>
  <c r="DE82"/>
  <c r="GK73"/>
  <c r="FS73"/>
  <c r="DI81"/>
  <c r="DG81"/>
  <c r="DF81"/>
  <c r="DE81"/>
  <c r="GK72"/>
  <c r="FS72"/>
  <c r="DI80"/>
  <c r="DG80"/>
  <c r="DF80"/>
  <c r="DE80"/>
  <c r="GK71"/>
  <c r="FS71"/>
  <c r="DI79"/>
  <c r="DG79"/>
  <c r="DF79"/>
  <c r="DE79"/>
  <c r="GK70"/>
  <c r="FS70"/>
  <c r="DI78"/>
  <c r="DG78"/>
  <c r="DF78"/>
  <c r="DE78"/>
  <c r="GK69"/>
  <c r="FS69"/>
  <c r="DI77"/>
  <c r="DG77"/>
  <c r="DF77"/>
  <c r="DE77"/>
  <c r="GK68"/>
  <c r="FS68"/>
  <c r="DI76"/>
  <c r="DG76"/>
  <c r="DF76"/>
  <c r="DE76"/>
  <c r="GK67"/>
  <c r="FS67"/>
  <c r="DI75"/>
  <c r="DG75"/>
  <c r="DF75"/>
  <c r="DE75"/>
  <c r="GK66"/>
  <c r="FS66"/>
  <c r="DI74"/>
  <c r="DG74"/>
  <c r="DF74"/>
  <c r="DE74"/>
  <c r="GK65"/>
  <c r="FS65"/>
  <c r="DI73"/>
  <c r="DG73"/>
  <c r="DF73"/>
  <c r="DE73"/>
  <c r="GK64"/>
  <c r="FS64"/>
  <c r="DI72"/>
  <c r="DG72"/>
  <c r="DF72"/>
  <c r="DE72"/>
  <c r="GK63"/>
  <c r="FS63"/>
  <c r="DI71"/>
  <c r="DG71"/>
  <c r="DF71"/>
  <c r="DE71"/>
  <c r="GK62"/>
  <c r="FS62"/>
  <c r="DI70"/>
  <c r="DR4" s="1"/>
  <c r="DG70"/>
  <c r="DP4" s="1"/>
  <c r="DF70"/>
  <c r="DE70"/>
  <c r="GK61"/>
  <c r="FS61"/>
  <c r="DI65"/>
  <c r="DG65"/>
  <c r="DF65"/>
  <c r="DE65"/>
  <c r="GK60"/>
  <c r="FS60"/>
  <c r="DI64"/>
  <c r="DG64"/>
  <c r="DF64"/>
  <c r="DE64"/>
  <c r="GK59"/>
  <c r="FS59"/>
  <c r="DI63"/>
  <c r="DG63"/>
  <c r="DF63"/>
  <c r="DE63"/>
  <c r="GK58"/>
  <c r="FS58"/>
  <c r="DI62"/>
  <c r="DG62"/>
  <c r="DF62"/>
  <c r="DE62"/>
  <c r="GK57"/>
  <c r="FS57"/>
  <c r="DI61"/>
  <c r="DG61"/>
  <c r="DF61"/>
  <c r="DE61"/>
  <c r="GK56"/>
  <c r="FS56"/>
  <c r="DI60"/>
  <c r="DG60"/>
  <c r="DF60"/>
  <c r="DE60"/>
  <c r="GK55"/>
  <c r="FS55"/>
  <c r="DI59"/>
  <c r="DG59"/>
  <c r="DF59"/>
  <c r="DE59"/>
  <c r="GK54"/>
  <c r="FS54"/>
  <c r="DI58"/>
  <c r="DG58"/>
  <c r="DF58"/>
  <c r="DE58"/>
  <c r="GK53"/>
  <c r="FS53"/>
  <c r="DI57"/>
  <c r="DG57"/>
  <c r="DF57"/>
  <c r="DE57"/>
  <c r="GK52"/>
  <c r="FS52"/>
  <c r="DI56"/>
  <c r="DG56"/>
  <c r="DF56"/>
  <c r="DE56"/>
  <c r="GK51"/>
  <c r="FS51"/>
  <c r="DI55"/>
  <c r="DG55"/>
  <c r="DF55"/>
  <c r="DE55"/>
  <c r="GK50"/>
  <c r="FS50"/>
  <c r="DI54"/>
  <c r="DG54"/>
  <c r="DF54"/>
  <c r="DE54"/>
  <c r="GK49"/>
  <c r="FS49"/>
  <c r="DI53"/>
  <c r="DG53"/>
  <c r="DF53"/>
  <c r="DE53"/>
  <c r="GK48"/>
  <c r="FS48"/>
  <c r="DI52"/>
  <c r="DG52"/>
  <c r="DF52"/>
  <c r="DE52"/>
  <c r="GK47"/>
  <c r="FS47"/>
  <c r="DI51"/>
  <c r="DG51"/>
  <c r="DF51"/>
  <c r="DE51"/>
  <c r="GK46"/>
  <c r="FS46"/>
  <c r="DI50"/>
  <c r="DG50"/>
  <c r="DF50"/>
  <c r="DE50"/>
  <c r="GK45"/>
  <c r="FS45"/>
  <c r="DI49"/>
  <c r="DG49"/>
  <c r="DF49"/>
  <c r="DE49"/>
  <c r="GK44"/>
  <c r="FS44"/>
  <c r="DI48"/>
  <c r="DG48"/>
  <c r="DF48"/>
  <c r="DE48"/>
  <c r="GK43"/>
  <c r="FS43"/>
  <c r="DI47"/>
  <c r="DG47"/>
  <c r="DF47"/>
  <c r="DE47"/>
  <c r="GK42"/>
  <c r="FS42"/>
  <c r="DI46"/>
  <c r="DG46"/>
  <c r="DF46"/>
  <c r="DE46"/>
  <c r="GK41"/>
  <c r="FS41"/>
  <c r="DI45"/>
  <c r="DG45"/>
  <c r="DF45"/>
  <c r="DE45"/>
  <c r="GK40"/>
  <c r="FS40"/>
  <c r="DI44"/>
  <c r="DG44"/>
  <c r="DF44"/>
  <c r="DE44"/>
  <c r="GK39"/>
  <c r="FS39"/>
  <c r="DI43"/>
  <c r="DG43"/>
  <c r="DF43"/>
  <c r="DE43"/>
  <c r="GK38"/>
  <c r="FS38"/>
  <c r="DI42"/>
  <c r="DG42"/>
  <c r="DF42"/>
  <c r="DE42"/>
  <c r="GK37"/>
  <c r="FS37"/>
  <c r="DI41"/>
  <c r="DG41"/>
  <c r="DF41"/>
  <c r="DE41"/>
  <c r="GK36"/>
  <c r="FS36"/>
  <c r="DI40"/>
  <c r="DG40"/>
  <c r="DF40"/>
  <c r="DE40"/>
  <c r="GK35"/>
  <c r="FS35"/>
  <c r="DI39"/>
  <c r="DG39"/>
  <c r="DF39"/>
  <c r="DE39"/>
  <c r="GK34"/>
  <c r="FS34"/>
  <c r="DI38"/>
  <c r="DG38"/>
  <c r="DF38"/>
  <c r="DE38"/>
  <c r="GK33"/>
  <c r="FS33"/>
  <c r="DI37"/>
  <c r="DR3" s="1"/>
  <c r="DG37"/>
  <c r="DF37"/>
  <c r="DE37"/>
  <c r="GK32"/>
  <c r="FS32"/>
  <c r="DI32"/>
  <c r="DG32"/>
  <c r="DF32"/>
  <c r="DE32"/>
  <c r="GK31"/>
  <c r="FS31"/>
  <c r="DI31"/>
  <c r="DG31"/>
  <c r="DF31"/>
  <c r="DE31"/>
  <c r="GK30"/>
  <c r="FS30"/>
  <c r="DI30"/>
  <c r="DG30"/>
  <c r="DF30"/>
  <c r="DE30"/>
  <c r="GK29"/>
  <c r="FS29"/>
  <c r="DI29"/>
  <c r="DG29"/>
  <c r="DF29"/>
  <c r="DE29"/>
  <c r="GK28"/>
  <c r="FS28"/>
  <c r="DI28"/>
  <c r="DG28"/>
  <c r="DF28"/>
  <c r="DE28"/>
  <c r="GK27"/>
  <c r="FS27"/>
  <c r="DI27"/>
  <c r="DG27"/>
  <c r="DF27"/>
  <c r="DE27"/>
  <c r="GK26"/>
  <c r="FS26"/>
  <c r="DI26"/>
  <c r="DG26"/>
  <c r="DF26"/>
  <c r="DE26"/>
  <c r="GK25"/>
  <c r="FS25"/>
  <c r="DI25"/>
  <c r="DG25"/>
  <c r="DF25"/>
  <c r="DE25"/>
  <c r="GK24"/>
  <c r="FS24"/>
  <c r="DI24"/>
  <c r="DG24"/>
  <c r="DF24"/>
  <c r="DE24"/>
  <c r="GK23"/>
  <c r="FS23"/>
  <c r="DI23"/>
  <c r="DG23"/>
  <c r="DF23"/>
  <c r="DE23"/>
  <c r="GK22"/>
  <c r="FS22"/>
  <c r="DI22"/>
  <c r="DG22"/>
  <c r="DF22"/>
  <c r="DE22"/>
  <c r="GK21"/>
  <c r="FS21"/>
  <c r="DI21"/>
  <c r="DG21"/>
  <c r="DF21"/>
  <c r="DE21"/>
  <c r="GK20"/>
  <c r="FS20"/>
  <c r="DI20"/>
  <c r="DG20"/>
  <c r="DF20"/>
  <c r="DE20"/>
  <c r="GK19"/>
  <c r="FS19"/>
  <c r="DP19" s="1"/>
  <c r="DO19"/>
  <c r="DI19"/>
  <c r="DG19"/>
  <c r="DF19"/>
  <c r="DE19"/>
  <c r="GK18"/>
  <c r="FS18"/>
  <c r="DI18"/>
  <c r="DG18"/>
  <c r="DF18"/>
  <c r="DE18"/>
  <c r="GK17"/>
  <c r="FS17"/>
  <c r="DI17"/>
  <c r="DG17"/>
  <c r="DF17"/>
  <c r="DE17"/>
  <c r="GK16"/>
  <c r="FS16"/>
  <c r="DI16"/>
  <c r="DG16"/>
  <c r="DF16"/>
  <c r="DE16"/>
  <c r="GK15"/>
  <c r="FS15"/>
  <c r="DI15"/>
  <c r="DG15"/>
  <c r="DF15"/>
  <c r="DE15"/>
  <c r="GK14"/>
  <c r="FS14"/>
  <c r="DI14"/>
  <c r="DG14"/>
  <c r="DF14"/>
  <c r="DE14"/>
  <c r="GK13"/>
  <c r="FS13"/>
  <c r="DQ13"/>
  <c r="DP13"/>
  <c r="DO13"/>
  <c r="DN13"/>
  <c r="DM13"/>
  <c r="DI13"/>
  <c r="DG13"/>
  <c r="DF13"/>
  <c r="DE13"/>
  <c r="GK12"/>
  <c r="FS12"/>
  <c r="DQ12"/>
  <c r="DP12"/>
  <c r="DO12"/>
  <c r="DN12"/>
  <c r="DM12"/>
  <c r="DI12"/>
  <c r="DG12"/>
  <c r="DF12"/>
  <c r="DE12"/>
  <c r="GK11"/>
  <c r="FS11"/>
  <c r="DQ11"/>
  <c r="DP11"/>
  <c r="DO11"/>
  <c r="DN11"/>
  <c r="DM11"/>
  <c r="DI11"/>
  <c r="DG11"/>
  <c r="DF11"/>
  <c r="DE11"/>
  <c r="GK10"/>
  <c r="FS10"/>
  <c r="DQ10"/>
  <c r="DP10"/>
  <c r="DO10"/>
  <c r="DM10"/>
  <c r="DI10"/>
  <c r="DG10"/>
  <c r="DF10"/>
  <c r="DE10"/>
  <c r="GK9"/>
  <c r="FS9"/>
  <c r="DQ9"/>
  <c r="DP9"/>
  <c r="DO9"/>
  <c r="DM9"/>
  <c r="DI9"/>
  <c r="DG9"/>
  <c r="DF9"/>
  <c r="DE9"/>
  <c r="GK8"/>
  <c r="FS8"/>
  <c r="DQ8"/>
  <c r="DP8"/>
  <c r="DN10" l="1"/>
  <c r="DR12"/>
  <c r="DR13"/>
  <c r="DR9"/>
  <c r="DN9"/>
  <c r="DR10"/>
  <c r="DR11"/>
  <c r="DO8"/>
  <c r="DN8"/>
  <c r="DM8"/>
  <c r="DI8"/>
  <c r="DG8"/>
  <c r="DF8"/>
  <c r="DE8"/>
  <c r="GK7"/>
  <c r="FS7"/>
  <c r="DQ7"/>
  <c r="DP7"/>
  <c r="DO7"/>
  <c r="DN7"/>
  <c r="DM7"/>
  <c r="DI7"/>
  <c r="DG7"/>
  <c r="DF7"/>
  <c r="DE7"/>
  <c r="GK6"/>
  <c r="FS6"/>
  <c r="DQ6"/>
  <c r="DP6"/>
  <c r="DO6"/>
  <c r="DN6" l="1"/>
  <c r="DM6"/>
  <c r="DI6"/>
  <c r="DG6"/>
  <c r="DF6"/>
  <c r="DE6"/>
  <c r="GK5"/>
  <c r="FS5"/>
  <c r="DQ5"/>
  <c r="DO5"/>
  <c r="DN5"/>
  <c r="DM5"/>
  <c r="DI5"/>
  <c r="DG5"/>
  <c r="DF5"/>
  <c r="DE5"/>
  <c r="GK4"/>
  <c r="FS4"/>
  <c r="DQ4"/>
  <c r="DO4"/>
  <c r="DN4"/>
  <c r="DM4"/>
  <c r="DI4"/>
  <c r="DG4"/>
  <c r="DF4"/>
  <c r="DE4"/>
  <c r="GK3"/>
  <c r="FS3"/>
  <c r="DQ3"/>
  <c r="DP3"/>
  <c r="DO3"/>
  <c r="DN3"/>
  <c r="DM3"/>
  <c r="DI3"/>
  <c r="DG3"/>
  <c r="DF3"/>
  <c r="DE3"/>
  <c r="GK2"/>
  <c r="FS2"/>
  <c r="DQ2"/>
  <c r="DG2"/>
  <c r="DP2" s="1"/>
  <c r="DO2" s="1"/>
  <c r="DF2"/>
  <c r="DE2"/>
  <c r="DM2" s="1"/>
  <c r="DN2" l="1"/>
  <c r="DR2"/>
</calcChain>
</file>

<file path=xl/sharedStrings.xml><?xml version="1.0" encoding="utf-8"?>
<sst xmlns="http://schemas.openxmlformats.org/spreadsheetml/2006/main" count="1157" uniqueCount="450">
  <si>
    <t xml:space="preserve"> </t>
  </si>
  <si>
    <t>0.0!</t>
  </si>
  <si>
    <t>Ortalama</t>
  </si>
  <si>
    <t>Olasılık</t>
  </si>
  <si>
    <t>Maksimum</t>
  </si>
  <si>
    <t>Ocak</t>
  </si>
  <si>
    <t>Şubat</t>
  </si>
  <si>
    <t>Mart</t>
  </si>
  <si>
    <t>Nisan</t>
  </si>
  <si>
    <t>Mayıs</t>
  </si>
  <si>
    <t>Haziran</t>
  </si>
  <si>
    <t>Temmuz</t>
  </si>
  <si>
    <t>Ağustos</t>
  </si>
  <si>
    <t>Eylül</t>
  </si>
  <si>
    <t>Ekim</t>
  </si>
  <si>
    <t>Kasım</t>
  </si>
  <si>
    <t>Aralık</t>
  </si>
  <si>
    <t>Ort</t>
  </si>
  <si>
    <t>Yağ.Ortalama</t>
  </si>
  <si>
    <t>Yağışlı Gün Sayısı</t>
  </si>
  <si>
    <t>Kar Yağışlı Gün</t>
  </si>
  <si>
    <t>YAĞIŞLI GÜNLER</t>
  </si>
  <si>
    <t>Toplam Yağış (mm)</t>
  </si>
  <si>
    <t>Yağ.Ortalama*</t>
  </si>
  <si>
    <t>Günlük</t>
  </si>
  <si>
    <t>Aylık Toplam</t>
  </si>
  <si>
    <t>Karlı Gün Sayısı</t>
  </si>
  <si>
    <t>Miktar (mm)</t>
  </si>
  <si>
    <t>Yıl</t>
  </si>
  <si>
    <t>Minimum</t>
  </si>
  <si>
    <t>Toplam</t>
  </si>
  <si>
    <t>Min</t>
  </si>
  <si>
    <t>Mak</t>
  </si>
  <si>
    <t>Tarih</t>
  </si>
  <si>
    <t>1 Ocak</t>
  </si>
  <si>
    <t>2 Ocak</t>
  </si>
  <si>
    <t>3 Ocak</t>
  </si>
  <si>
    <t>4 Ocak</t>
  </si>
  <si>
    <t>5 Ocak</t>
  </si>
  <si>
    <t>6 Ocak</t>
  </si>
  <si>
    <t>7 Ocak</t>
  </si>
  <si>
    <t>8 Ocak</t>
  </si>
  <si>
    <t>9 Ocak</t>
  </si>
  <si>
    <t>10 Ocak</t>
  </si>
  <si>
    <t>11 Ocak</t>
  </si>
  <si>
    <t>12 Ocak</t>
  </si>
  <si>
    <t>13 Ocak</t>
  </si>
  <si>
    <t>14 Ocak</t>
  </si>
  <si>
    <t>15 Ocak</t>
  </si>
  <si>
    <t>16 Ocak</t>
  </si>
  <si>
    <t>17 Ocak</t>
  </si>
  <si>
    <t>18 Ocak</t>
  </si>
  <si>
    <t>19 Ocak</t>
  </si>
  <si>
    <t>20 Ocak</t>
  </si>
  <si>
    <t>21 Ocak</t>
  </si>
  <si>
    <t>22 Ocak</t>
  </si>
  <si>
    <t>23 Ocak</t>
  </si>
  <si>
    <t>24 Ocak</t>
  </si>
  <si>
    <t>25 Ocak</t>
  </si>
  <si>
    <t>26 Ocak</t>
  </si>
  <si>
    <t>27 Ocak</t>
  </si>
  <si>
    <t>28 Ocak</t>
  </si>
  <si>
    <t>29 Ocak</t>
  </si>
  <si>
    <t>30 Ocak</t>
  </si>
  <si>
    <t>31 Ocak</t>
  </si>
  <si>
    <t>1 Şubat</t>
  </si>
  <si>
    <t>2 Şubat</t>
  </si>
  <si>
    <t>3 Şubat</t>
  </si>
  <si>
    <t>4 Şubat</t>
  </si>
  <si>
    <t>5 Şubat</t>
  </si>
  <si>
    <t>6 Şubat</t>
  </si>
  <si>
    <t>7 Şubat</t>
  </si>
  <si>
    <t>8 Şubat</t>
  </si>
  <si>
    <t>9 Şubat</t>
  </si>
  <si>
    <t>10 Şubat</t>
  </si>
  <si>
    <t>11 Şubat</t>
  </si>
  <si>
    <t>12 Şubat</t>
  </si>
  <si>
    <t>13 Şubat</t>
  </si>
  <si>
    <t>14 Şubat</t>
  </si>
  <si>
    <t>15 Şubat</t>
  </si>
  <si>
    <t>16 Şubat</t>
  </si>
  <si>
    <t>17 Şubat</t>
  </si>
  <si>
    <t>18 Şubat</t>
  </si>
  <si>
    <t>19 Şubat</t>
  </si>
  <si>
    <t>20 Şubat</t>
  </si>
  <si>
    <t>21 Şubat</t>
  </si>
  <si>
    <t>22 Şubat</t>
  </si>
  <si>
    <t>23 Şubat</t>
  </si>
  <si>
    <t>24 Şubat</t>
  </si>
  <si>
    <t>25 Şubat</t>
  </si>
  <si>
    <t>26 Şubat</t>
  </si>
  <si>
    <t>27 Şubat</t>
  </si>
  <si>
    <t>28 Şubat</t>
  </si>
  <si>
    <t>29 Şubat</t>
  </si>
  <si>
    <t>1 Mart</t>
  </si>
  <si>
    <t>2 Mart</t>
  </si>
  <si>
    <t>3 Mart</t>
  </si>
  <si>
    <t>4 Mart</t>
  </si>
  <si>
    <t>5 Mart</t>
  </si>
  <si>
    <t>6 Mart</t>
  </si>
  <si>
    <t>7 Mart</t>
  </si>
  <si>
    <t>8 Mart</t>
  </si>
  <si>
    <t>9 Mart</t>
  </si>
  <si>
    <t>10 Mart</t>
  </si>
  <si>
    <t>11 Mart</t>
  </si>
  <si>
    <t>12 Mart</t>
  </si>
  <si>
    <t>13 Mart</t>
  </si>
  <si>
    <t>14 Mart</t>
  </si>
  <si>
    <t>15 Mart</t>
  </si>
  <si>
    <t>16 Mart</t>
  </si>
  <si>
    <t>17 Mart</t>
  </si>
  <si>
    <t>18 Mart</t>
  </si>
  <si>
    <t>19 Mart</t>
  </si>
  <si>
    <t>20 Mart</t>
  </si>
  <si>
    <t>21 Mart</t>
  </si>
  <si>
    <t>22 Mart</t>
  </si>
  <si>
    <t>23 Mart</t>
  </si>
  <si>
    <t>24 Mart</t>
  </si>
  <si>
    <t>25 Mart</t>
  </si>
  <si>
    <t>26 Mart</t>
  </si>
  <si>
    <t>27 Mart</t>
  </si>
  <si>
    <t>28 Mart</t>
  </si>
  <si>
    <t>29 Mart</t>
  </si>
  <si>
    <t>30 Mart</t>
  </si>
  <si>
    <t>31 Mart</t>
  </si>
  <si>
    <t>1 Nisan</t>
  </si>
  <si>
    <t>2 Nisan</t>
  </si>
  <si>
    <t>3 Nisan</t>
  </si>
  <si>
    <t>4 Nisan</t>
  </si>
  <si>
    <t>5 Nisan</t>
  </si>
  <si>
    <t>6 Nisan</t>
  </si>
  <si>
    <t>7 Nisan</t>
  </si>
  <si>
    <t>8 Nisan</t>
  </si>
  <si>
    <t>9 Nisan</t>
  </si>
  <si>
    <t>10 Nisan</t>
  </si>
  <si>
    <t>11 Nisan</t>
  </si>
  <si>
    <t>12 Nisan</t>
  </si>
  <si>
    <t>13 Nisan</t>
  </si>
  <si>
    <t>14 Nisan</t>
  </si>
  <si>
    <t>15 Nisan</t>
  </si>
  <si>
    <t>16 Nisan</t>
  </si>
  <si>
    <t>17 Nisan</t>
  </si>
  <si>
    <t>18 Nisan</t>
  </si>
  <si>
    <t>19 Nisan</t>
  </si>
  <si>
    <t>20 Nisan</t>
  </si>
  <si>
    <t>21 Nisan</t>
  </si>
  <si>
    <t>22 Nisan</t>
  </si>
  <si>
    <t>23 Nisan</t>
  </si>
  <si>
    <t>24 Nisan</t>
  </si>
  <si>
    <t>25 Nisan</t>
  </si>
  <si>
    <t>26 Nisan</t>
  </si>
  <si>
    <t>27 Nisan</t>
  </si>
  <si>
    <t>28 Nisan</t>
  </si>
  <si>
    <t>29 Nisan</t>
  </si>
  <si>
    <t>30 Nisan</t>
  </si>
  <si>
    <t>1 Mayıs</t>
  </si>
  <si>
    <t>2 Mayıs</t>
  </si>
  <si>
    <t>3 Mayıs</t>
  </si>
  <si>
    <t>4 Mayıs</t>
  </si>
  <si>
    <t>5 Mayıs</t>
  </si>
  <si>
    <t>6 Mayıs</t>
  </si>
  <si>
    <t>7 Mayıs</t>
  </si>
  <si>
    <t>8 Mayıs</t>
  </si>
  <si>
    <t>9 Mayıs</t>
  </si>
  <si>
    <t>10 Mayıs</t>
  </si>
  <si>
    <t>11 Mayıs</t>
  </si>
  <si>
    <t>12 Mayıs</t>
  </si>
  <si>
    <t>13 Mayıs</t>
  </si>
  <si>
    <t>14 Mayıs</t>
  </si>
  <si>
    <t>15 Mayıs</t>
  </si>
  <si>
    <t>16 Mayıs</t>
  </si>
  <si>
    <t>17 Mayıs</t>
  </si>
  <si>
    <t>18 Mayıs</t>
  </si>
  <si>
    <t>19 Mayıs</t>
  </si>
  <si>
    <t>20 Mayıs</t>
  </si>
  <si>
    <t>21 Mayıs</t>
  </si>
  <si>
    <t>22 Mayıs</t>
  </si>
  <si>
    <t>23 Mayıs</t>
  </si>
  <si>
    <t>24 Mayıs</t>
  </si>
  <si>
    <t>25 Mayıs</t>
  </si>
  <si>
    <t>26 Mayıs</t>
  </si>
  <si>
    <t>27 Mayıs</t>
  </si>
  <si>
    <t>28 Mayıs</t>
  </si>
  <si>
    <t>29 Mayıs</t>
  </si>
  <si>
    <t>30 Mayıs</t>
  </si>
  <si>
    <t>31 Mayıs</t>
  </si>
  <si>
    <t>1 Haziran</t>
  </si>
  <si>
    <t>2 Haziran</t>
  </si>
  <si>
    <t>3 Haziran</t>
  </si>
  <si>
    <t>4 Haziran</t>
  </si>
  <si>
    <t>5 Haziran</t>
  </si>
  <si>
    <t>6 Haziran</t>
  </si>
  <si>
    <t>7 Haziran</t>
  </si>
  <si>
    <t>8 Haziran</t>
  </si>
  <si>
    <t>9 Haziran</t>
  </si>
  <si>
    <t>10 Haziran</t>
  </si>
  <si>
    <t>11 Haziran</t>
  </si>
  <si>
    <t>12 Haziran</t>
  </si>
  <si>
    <t>13 Haziran</t>
  </si>
  <si>
    <t>14 Haziran</t>
  </si>
  <si>
    <t>15 Haziran</t>
  </si>
  <si>
    <t>16 Haziran</t>
  </si>
  <si>
    <t>17 Haziran</t>
  </si>
  <si>
    <t>18 Haziran</t>
  </si>
  <si>
    <t>19 Haziran</t>
  </si>
  <si>
    <t>20 Haziran</t>
  </si>
  <si>
    <t>21 Haziran</t>
  </si>
  <si>
    <t>22 Haziran</t>
  </si>
  <si>
    <t>23 Haziran</t>
  </si>
  <si>
    <t>24 Haziran</t>
  </si>
  <si>
    <t>25 Haziran</t>
  </si>
  <si>
    <t>26 Haziran</t>
  </si>
  <si>
    <t>27 Haziran</t>
  </si>
  <si>
    <t>28 Haziran</t>
  </si>
  <si>
    <t>29 Haziran</t>
  </si>
  <si>
    <t>30 Haziran</t>
  </si>
  <si>
    <t>1 Temmuz</t>
  </si>
  <si>
    <t>2 Temmuz</t>
  </si>
  <si>
    <t>3 Temmuz</t>
  </si>
  <si>
    <t>4 Temmuz</t>
  </si>
  <si>
    <t>5 Temmuz</t>
  </si>
  <si>
    <t>6 Temmuz</t>
  </si>
  <si>
    <t>7 Temmuz</t>
  </si>
  <si>
    <t>8 Temmuz</t>
  </si>
  <si>
    <t>9 Temmuz</t>
  </si>
  <si>
    <t>10 Temmuz</t>
  </si>
  <si>
    <t>11 Temmuz</t>
  </si>
  <si>
    <t>12 Temmuz</t>
  </si>
  <si>
    <t>13 Temmuz</t>
  </si>
  <si>
    <t>14 Temmuz</t>
  </si>
  <si>
    <t>15 Temmuz</t>
  </si>
  <si>
    <t>16 Temmuz</t>
  </si>
  <si>
    <t>17 Temmuz</t>
  </si>
  <si>
    <t>18 Temmuz</t>
  </si>
  <si>
    <t>19 Temmuz</t>
  </si>
  <si>
    <t>20 Temmuz</t>
  </si>
  <si>
    <t>21 Temmuz</t>
  </si>
  <si>
    <t>22 Temmuz</t>
  </si>
  <si>
    <t>23 Temmuz</t>
  </si>
  <si>
    <t>24 Temmuz</t>
  </si>
  <si>
    <t>25 Temmuz</t>
  </si>
  <si>
    <t>26 Temmuz</t>
  </si>
  <si>
    <t>27 Temmuz</t>
  </si>
  <si>
    <t>28 Temmuz</t>
  </si>
  <si>
    <t>29 Temmuz</t>
  </si>
  <si>
    <t>30 Temmuz</t>
  </si>
  <si>
    <t>31 Temmuz</t>
  </si>
  <si>
    <t>1 Ağustos</t>
  </si>
  <si>
    <t>2 Ağustos</t>
  </si>
  <si>
    <t>3 Ağustos</t>
  </si>
  <si>
    <t>4 Ağustos</t>
  </si>
  <si>
    <t>5 Ağustos</t>
  </si>
  <si>
    <t>6 Ağustos</t>
  </si>
  <si>
    <t>7 Ağustos</t>
  </si>
  <si>
    <t>8 Ağustos</t>
  </si>
  <si>
    <t>9 Ağustos</t>
  </si>
  <si>
    <t>10 Ağustos</t>
  </si>
  <si>
    <t>11 Ağustos</t>
  </si>
  <si>
    <t>12 Ağustos</t>
  </si>
  <si>
    <t>13 Ağustos</t>
  </si>
  <si>
    <t>14 Ağustos</t>
  </si>
  <si>
    <t>15 Ağustos</t>
  </si>
  <si>
    <t>16 Ağustos</t>
  </si>
  <si>
    <t>17 Ağustos</t>
  </si>
  <si>
    <t>18 Ağustos</t>
  </si>
  <si>
    <t>19 Ağustos</t>
  </si>
  <si>
    <t>20 Ağustos</t>
  </si>
  <si>
    <t>21 Ağustos</t>
  </si>
  <si>
    <t>22 Ağustos</t>
  </si>
  <si>
    <t>23 Ağustos</t>
  </si>
  <si>
    <t>24 Ağustos</t>
  </si>
  <si>
    <t>25 Ağustos</t>
  </si>
  <si>
    <t>26 Ağustos</t>
  </si>
  <si>
    <t>27 Ağustos</t>
  </si>
  <si>
    <t>28 Ağustos</t>
  </si>
  <si>
    <t>29 Ağustos</t>
  </si>
  <si>
    <t>30 Ağustos</t>
  </si>
  <si>
    <t>31 Ağustos</t>
  </si>
  <si>
    <t>1 Eylül</t>
  </si>
  <si>
    <t>2 Eylül</t>
  </si>
  <si>
    <t>3 Eylül</t>
  </si>
  <si>
    <t>4 Eylül</t>
  </si>
  <si>
    <t>5 Eylül</t>
  </si>
  <si>
    <t>6 Eylül</t>
  </si>
  <si>
    <t>7 Eylül</t>
  </si>
  <si>
    <t>8 Eylül</t>
  </si>
  <si>
    <t>9 Eylül</t>
  </si>
  <si>
    <t>10 Eylül</t>
  </si>
  <si>
    <t>11 Eylül</t>
  </si>
  <si>
    <t>12 Eylül</t>
  </si>
  <si>
    <t>13 Eylül</t>
  </si>
  <si>
    <t>14 Eylül</t>
  </si>
  <si>
    <t>15 Eylül</t>
  </si>
  <si>
    <t>16 Eylül</t>
  </si>
  <si>
    <t>17 Eylül</t>
  </si>
  <si>
    <t>18 Eylül</t>
  </si>
  <si>
    <t>19 Eylül</t>
  </si>
  <si>
    <t>20 Eylül</t>
  </si>
  <si>
    <t>21 Eylül</t>
  </si>
  <si>
    <t>22 Eylül</t>
  </si>
  <si>
    <t>23 Eylül</t>
  </si>
  <si>
    <t>24 Eylül</t>
  </si>
  <si>
    <t>25 Eylül</t>
  </si>
  <si>
    <t>26 Eylül</t>
  </si>
  <si>
    <t>27 Eylül</t>
  </si>
  <si>
    <t>28 Eylül</t>
  </si>
  <si>
    <t>29 Eylül</t>
  </si>
  <si>
    <t>30 Eylül</t>
  </si>
  <si>
    <t>1 Ekim</t>
  </si>
  <si>
    <t>2 Ekim</t>
  </si>
  <si>
    <t>3 Ekim</t>
  </si>
  <si>
    <t>4 Ekim</t>
  </si>
  <si>
    <t>5 Ekim</t>
  </si>
  <si>
    <t>6 Ekim</t>
  </si>
  <si>
    <t>7 Ekim</t>
  </si>
  <si>
    <t>8 Ekim</t>
  </si>
  <si>
    <t>9 Ekim</t>
  </si>
  <si>
    <t>10 Ekim</t>
  </si>
  <si>
    <t>11 Ekim</t>
  </si>
  <si>
    <t>12 Ekim</t>
  </si>
  <si>
    <t>13 Ekim</t>
  </si>
  <si>
    <t>14 Ekim</t>
  </si>
  <si>
    <t>15 Ekim</t>
  </si>
  <si>
    <t>16 Ekim</t>
  </si>
  <si>
    <t>17 Ekim</t>
  </si>
  <si>
    <t>18 Ekim</t>
  </si>
  <si>
    <t>19 Ekim</t>
  </si>
  <si>
    <t>20 Ekim</t>
  </si>
  <si>
    <t>21 Ekim</t>
  </si>
  <si>
    <t>22 Ekim</t>
  </si>
  <si>
    <t>23 Ekim</t>
  </si>
  <si>
    <t>24 Ekim</t>
  </si>
  <si>
    <t>25 Ekim</t>
  </si>
  <si>
    <t>26 Ekim</t>
  </si>
  <si>
    <t>27 Ekim</t>
  </si>
  <si>
    <t>28 Ekim</t>
  </si>
  <si>
    <t>29 Ekim</t>
  </si>
  <si>
    <t>30 Ekim</t>
  </si>
  <si>
    <t>31 Ekim</t>
  </si>
  <si>
    <t>1 Kasım</t>
  </si>
  <si>
    <t>2 Kasım</t>
  </si>
  <si>
    <t>3 Kasım</t>
  </si>
  <si>
    <t>4 Kasım</t>
  </si>
  <si>
    <t>5 Kasım</t>
  </si>
  <si>
    <t>6 Kasım</t>
  </si>
  <si>
    <t>7 Kasım</t>
  </si>
  <si>
    <t>8 Kasım</t>
  </si>
  <si>
    <t>9 Kasım</t>
  </si>
  <si>
    <t>10 Kasım</t>
  </si>
  <si>
    <t>11 Kasım</t>
  </si>
  <si>
    <t>12 Kasım</t>
  </si>
  <si>
    <t>13 Kasım</t>
  </si>
  <si>
    <t>14 Kasım</t>
  </si>
  <si>
    <t>15 Kasım</t>
  </si>
  <si>
    <t>16 Kasım</t>
  </si>
  <si>
    <t>17 Kasım</t>
  </si>
  <si>
    <t>18 Kasım</t>
  </si>
  <si>
    <t>19 Kasım</t>
  </si>
  <si>
    <t>20 Kasım</t>
  </si>
  <si>
    <t>21 Kasım</t>
  </si>
  <si>
    <t>22 Kasım</t>
  </si>
  <si>
    <t>23 Kasım</t>
  </si>
  <si>
    <t>24 Kasım</t>
  </si>
  <si>
    <t>25 Kasım</t>
  </si>
  <si>
    <t>26 Kasım</t>
  </si>
  <si>
    <t>27 Kasım</t>
  </si>
  <si>
    <t>28 Kasım</t>
  </si>
  <si>
    <t>29 Kasım</t>
  </si>
  <si>
    <t>30 Kasım</t>
  </si>
  <si>
    <t>1 Aralık</t>
  </si>
  <si>
    <t>2 Aralık</t>
  </si>
  <si>
    <t>3 Aralık</t>
  </si>
  <si>
    <t>4 Aralık</t>
  </si>
  <si>
    <t>5 Aralık</t>
  </si>
  <si>
    <t>6 Aralık</t>
  </si>
  <si>
    <t>7 Aralık</t>
  </si>
  <si>
    <t>8 Aralık</t>
  </si>
  <si>
    <t>9 Aralık</t>
  </si>
  <si>
    <t>10 Aralık</t>
  </si>
  <si>
    <t>11 Aralık</t>
  </si>
  <si>
    <t>12 Aralık</t>
  </si>
  <si>
    <t>13 Aralık</t>
  </si>
  <si>
    <t>14 Aralık</t>
  </si>
  <si>
    <t>15 Aralık</t>
  </si>
  <si>
    <t>16 Aralık</t>
  </si>
  <si>
    <t>17 Aralık</t>
  </si>
  <si>
    <t>18 Aralık</t>
  </si>
  <si>
    <t>19 Aralık</t>
  </si>
  <si>
    <t>20 Aralık</t>
  </si>
  <si>
    <t>21 Aralık</t>
  </si>
  <si>
    <t>22 Aralık</t>
  </si>
  <si>
    <t>23 Aralık</t>
  </si>
  <si>
    <t>24 Aralık</t>
  </si>
  <si>
    <t>25 Aralık</t>
  </si>
  <si>
    <t>26 Aralık</t>
  </si>
  <si>
    <t>27 Aralık</t>
  </si>
  <si>
    <t>28 Aralık</t>
  </si>
  <si>
    <t>29 Aralık</t>
  </si>
  <si>
    <t>30 Aralık</t>
  </si>
  <si>
    <t>31 Aralık</t>
  </si>
  <si>
    <t>Maksimum Ort.</t>
  </si>
  <si>
    <t>Olasık Ortalama</t>
  </si>
  <si>
    <t xml:space="preserve">Ortalama </t>
  </si>
  <si>
    <t>Uzun Yıllar İstatistik (mm)</t>
  </si>
  <si>
    <t>Gözlemler 1911 Yılı Temmuz Ayında başladığı için bu yıl hesaplamalarda kullnılmamıştır</t>
  </si>
  <si>
    <t>Ort.</t>
  </si>
  <si>
    <t>Gün</t>
  </si>
  <si>
    <t>* Yağışlı Gün Sayısına göre,O Ay İçerisindeki Günlük Ortalama Yağış</t>
  </si>
  <si>
    <t xml:space="preserve">* Veriler istatistiksel amaç için düzenlenmiş ve görselleştirilmiştir. Verilerde hata payı olabilir. Veri seti için Kandilli Meteoroloji ile irtibata geçiniz. </t>
  </si>
  <si>
    <t>Yıllar</t>
  </si>
  <si>
    <t>Yıllık Toplam  Yağış (m2/kg )</t>
  </si>
  <si>
    <t>Yıllık Toplam Yağışlı Gün Sayısı</t>
  </si>
  <si>
    <t>Yıllık Toplam Karlı Gün Sayısı</t>
  </si>
  <si>
    <t>En Yüksek  Günlük Toplam Yağış (m2/kg )</t>
  </si>
  <si>
    <t>En Yüksek  Günlük Toplam Yağış Tarihi</t>
  </si>
  <si>
    <t>Günlük Maks.</t>
  </si>
  <si>
    <t>1911*</t>
  </si>
  <si>
    <t>ToplamYağış</t>
  </si>
  <si>
    <t>Günlük Maksimum</t>
  </si>
  <si>
    <t>Yağış</t>
  </si>
  <si>
    <t>Yılı</t>
  </si>
  <si>
    <t>Uzun Yıllar</t>
  </si>
  <si>
    <t>Yağışlı Günlere Göre</t>
  </si>
  <si>
    <t xml:space="preserve">Maksimum </t>
  </si>
  <si>
    <t>Max Yağış</t>
  </si>
  <si>
    <t>Yağış Olasılığı</t>
  </si>
  <si>
    <t>Uzun yıllar Toplam,En Yüksek Yıllık ve Günlük Değerler ( 1911*-2013 )</t>
  </si>
  <si>
    <t>Grafikler</t>
  </si>
  <si>
    <t xml:space="preserve"> Tarihi </t>
  </si>
  <si>
    <t xml:space="preserve">Tarihi </t>
  </si>
  <si>
    <t>En Yüksek  Aylık Toplam Yağış</t>
  </si>
  <si>
    <t>Miktarı (m2/kg )</t>
  </si>
  <si>
    <t>Tarihi</t>
  </si>
  <si>
    <t>En Yüksek  Günlük Toplam Yağış</t>
  </si>
  <si>
    <t xml:space="preserve">Sayısı </t>
  </si>
  <si>
    <t xml:space="preserve">Aylık En Yüksek Yağışlı Gün </t>
  </si>
  <si>
    <t>Aylık En Yüksek Kar Yağışlı Gün</t>
  </si>
  <si>
    <t>( % )</t>
  </si>
  <si>
    <t>( mm )</t>
  </si>
  <si>
    <t>Uzun Yıllar Ocak Ayı Yağış</t>
  </si>
  <si>
    <t>Uzun Yıllar Şubat Ayı Yağış</t>
  </si>
  <si>
    <t>Uzun Yıllar Mart Ayı Yağış</t>
  </si>
  <si>
    <t>Uzun Yıllar Nisan Ayı Yağış</t>
  </si>
  <si>
    <t>Uzun Yıllar Mayıs Ayı Yağış</t>
  </si>
  <si>
    <t>AĞUSTOS</t>
  </si>
  <si>
    <t>EYLÜL</t>
  </si>
  <si>
    <t>EKİM</t>
  </si>
  <si>
    <t>KASIM</t>
  </si>
  <si>
    <t>ARALIK</t>
  </si>
  <si>
    <t>Yağ.Olasılığı</t>
  </si>
</sst>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[$-41F]d\ mmmm;@"/>
  </numFmts>
  <fonts count="5">
    <font>
      <sz val="11"/>
      <color theme="1"/>
      <name val="Calibri"/>
      <family val="2"/>
      <charset val="162"/>
      <scheme val="minor"/>
    </font>
    <font>
      <sz val="11"/>
      <color rgb="FF0000FF"/>
      <name val="Calibri"/>
      <family val="2"/>
      <charset val="162"/>
      <scheme val="minor"/>
    </font>
    <font>
      <b/>
      <i/>
      <sz val="11"/>
      <color theme="0"/>
      <name val="Calibri"/>
      <family val="2"/>
      <charset val="162"/>
      <scheme val="minor"/>
    </font>
    <font>
      <sz val="20"/>
      <color theme="1"/>
      <name val="Calibri"/>
      <family val="2"/>
      <charset val="162"/>
      <scheme val="minor"/>
    </font>
    <font>
      <sz val="22"/>
      <color theme="1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31">
    <xf numFmtId="0" fontId="0" fillId="0" borderId="0" xfId="0"/>
    <xf numFmtId="16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1" xfId="0" applyBorder="1"/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0" borderId="0" xfId="0" applyNumberFormat="1" applyFont="1" applyFill="1" applyBorder="1" applyAlignment="1" applyProtection="1">
      <alignment horizontal="left"/>
    </xf>
    <xf numFmtId="49" fontId="1" fillId="0" borderId="1" xfId="0" applyNumberFormat="1" applyFont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0" xfId="0" applyFill="1"/>
    <xf numFmtId="0" fontId="0" fillId="0" borderId="0" xfId="0" applyFill="1" applyAlignment="1">
      <alignment horizontal="center" vertical="center"/>
    </xf>
    <xf numFmtId="166" fontId="0" fillId="0" borderId="0" xfId="0" applyNumberFormat="1" applyAlignment="1">
      <alignment horizontal="right" vertical="center"/>
    </xf>
    <xf numFmtId="49" fontId="0" fillId="0" borderId="0" xfId="0" applyNumberFormat="1" applyAlignment="1">
      <alignment horizontal="right" vertical="center"/>
    </xf>
    <xf numFmtId="164" fontId="0" fillId="0" borderId="0" xfId="0" applyNumberFormat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/>
    <xf numFmtId="1" fontId="0" fillId="0" borderId="0" xfId="0" applyNumberFormat="1"/>
    <xf numFmtId="0" fontId="0" fillId="0" borderId="0" xfId="0" applyBorder="1" applyAlignment="1">
      <alignment horizontal="center" vertical="center"/>
    </xf>
    <xf numFmtId="49" fontId="0" fillId="0" borderId="0" xfId="0" applyNumberFormat="1" applyAlignment="1" applyProtection="1">
      <alignment horizontal="left"/>
    </xf>
    <xf numFmtId="2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 applyProtection="1">
      <alignment horizontal="left"/>
    </xf>
    <xf numFmtId="164" fontId="0" fillId="0" borderId="1" xfId="0" applyNumberFormat="1" applyBorder="1" applyAlignment="1" applyProtection="1">
      <alignment horizontal="left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14" fontId="0" fillId="7" borderId="1" xfId="0" applyNumberForma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14" fontId="0" fillId="7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166" fontId="0" fillId="0" borderId="11" xfId="0" applyNumberForma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166" fontId="0" fillId="0" borderId="3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 applyProtection="1">
      <alignment horizontal="left"/>
    </xf>
    <xf numFmtId="1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4" fillId="0" borderId="0" xfId="0" applyFont="1"/>
    <xf numFmtId="164" fontId="4" fillId="0" borderId="0" xfId="0" applyNumberFormat="1" applyFont="1"/>
    <xf numFmtId="0" fontId="4" fillId="0" borderId="0" xfId="0" applyFont="1" applyAlignment="1">
      <alignment horizontal="center" vertical="center"/>
    </xf>
    <xf numFmtId="2" fontId="4" fillId="0" borderId="1" xfId="0" applyNumberFormat="1" applyFont="1" applyBorder="1" applyAlignment="1" applyProtection="1">
      <alignment horizontal="center"/>
    </xf>
    <xf numFmtId="0" fontId="4" fillId="0" borderId="1" xfId="0" applyFont="1" applyBorder="1"/>
    <xf numFmtId="0" fontId="0" fillId="2" borderId="8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textRotation="90"/>
    </xf>
    <xf numFmtId="0" fontId="0" fillId="0" borderId="9" xfId="0" applyBorder="1"/>
    <xf numFmtId="0" fontId="0" fillId="0" borderId="10" xfId="0" applyBorder="1"/>
    <xf numFmtId="49" fontId="1" fillId="0" borderId="8" xfId="0" applyNumberFormat="1" applyFont="1" applyBorder="1" applyAlignment="1" applyProtection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2" fontId="0" fillId="2" borderId="8" xfId="0" applyNumberFormat="1" applyFill="1" applyBorder="1" applyAlignment="1">
      <alignment horizontal="center" vertical="center"/>
    </xf>
    <xf numFmtId="49" fontId="1" fillId="2" borderId="8" xfId="0" applyNumberFormat="1" applyFont="1" applyFill="1" applyBorder="1" applyAlignment="1" applyProtection="1">
      <alignment horizontal="center" vertical="center"/>
    </xf>
    <xf numFmtId="49" fontId="1" fillId="2" borderId="9" xfId="0" applyNumberFormat="1" applyFont="1" applyFill="1" applyBorder="1" applyAlignment="1" applyProtection="1">
      <alignment horizontal="center" vertical="center"/>
    </xf>
    <xf numFmtId="49" fontId="1" fillId="2" borderId="10" xfId="0" applyNumberFormat="1" applyFont="1" applyFill="1" applyBorder="1" applyAlignment="1" applyProtection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 wrapText="1"/>
    </xf>
    <xf numFmtId="0" fontId="0" fillId="6" borderId="10" xfId="0" applyFill="1" applyBorder="1" applyAlignment="1">
      <alignment wrapText="1"/>
    </xf>
    <xf numFmtId="0" fontId="0" fillId="6" borderId="10" xfId="0" applyFill="1" applyBorder="1"/>
    <xf numFmtId="0" fontId="0" fillId="7" borderId="8" xfId="0" applyFill="1" applyBorder="1" applyAlignment="1">
      <alignment horizontal="center" vertical="center" wrapText="1"/>
    </xf>
    <xf numFmtId="0" fontId="0" fillId="7" borderId="10" xfId="0" applyFill="1" applyBorder="1" applyAlignment="1">
      <alignment horizontal="center" vertical="center" wrapText="1"/>
    </xf>
    <xf numFmtId="0" fontId="0" fillId="8" borderId="8" xfId="0" applyFill="1" applyBorder="1" applyAlignment="1">
      <alignment horizontal="center" vertical="center" wrapText="1"/>
    </xf>
    <xf numFmtId="0" fontId="0" fillId="8" borderId="10" xfId="0" applyFill="1" applyBorder="1" applyAlignment="1">
      <alignment horizontal="center" vertical="center" wrapText="1"/>
    </xf>
    <xf numFmtId="0" fontId="0" fillId="9" borderId="8" xfId="0" applyFill="1" applyBorder="1" applyAlignment="1">
      <alignment horizontal="center" vertical="center" wrapText="1"/>
    </xf>
    <xf numFmtId="0" fontId="0" fillId="9" borderId="10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2" fontId="4" fillId="0" borderId="8" xfId="0" applyNumberFormat="1" applyFont="1" applyBorder="1" applyAlignment="1">
      <alignment horizontal="center" vertical="center"/>
    </xf>
    <xf numFmtId="2" fontId="4" fillId="0" borderId="10" xfId="0" applyNumberFormat="1" applyFont="1" applyBorder="1" applyAlignment="1">
      <alignment horizontal="center" vertical="center"/>
    </xf>
  </cellXfs>
  <cellStyles count="1">
    <cellStyle name="Normal" xfId="0" builtinId="0"/>
  </cellStyles>
  <dxfs count="18">
    <dxf>
      <numFmt numFmtId="166" formatCode="[$-41F]d\ mmmm;@"/>
      <fill>
        <patternFill patternType="none">
          <fgColor indexed="64"/>
          <bgColor indexed="65"/>
        </patternFill>
      </fill>
      <alignment horizontal="center" vertical="center" textRotation="0" wrapText="0" indent="0" relativeIndent="0" justifyLastLine="0" shrinkToFit="0" mergeCell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1" indent="0" relativeIndent="0" justifyLastLine="0" shrinkToFit="0" mergeCell="0" readingOrder="0"/>
      <border diagonalUp="0" diagonalDown="0" outline="0">
        <left style="thin">
          <color auto="1"/>
        </left>
        <right/>
        <top/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relativeIndent="0" justifyLastLine="0" shrinkToFit="0" mergeCell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1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relativeIndent="0" justifyLastLine="0" shrinkToFit="0" mergeCell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1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relativeIndent="0" justifyLastLine="0" shrinkToFit="0" mergeCell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1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relativeIndent="0" justifyLastLine="0" shrinkToFit="0" mergeCell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1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relativeIndent="0" justifyLastLine="0" shrinkToFit="0" mergeCell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relativeIndent="0" justifyLastLine="0" shrinkToFit="0" mergeCell="0" readingOrder="0"/>
      <border diagonalUp="0" diagonalDown="0" outline="0">
        <left/>
        <right style="thin">
          <color auto="1"/>
        </right>
        <top/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relativeIndent="0" justifyLastLine="0" shrinkToFit="0" mergeCell="0" readingOrder="0"/>
    </dxf>
    <dxf>
      <border outline="0"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1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313AF7"/>
      <color rgb="FFAAC8A8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tr-TR"/>
  <c:chart>
    <c:title>
      <c:tx>
        <c:rich>
          <a:bodyPr/>
          <a:lstStyle/>
          <a:p>
            <a:pPr>
              <a:defRPr/>
            </a:pPr>
            <a:r>
              <a:rPr lang="tr-TR"/>
              <a:t>Toplam</a:t>
            </a:r>
            <a:r>
              <a:rPr lang="tr-TR" baseline="0"/>
              <a:t> Yağış Miktarı (mm)</a:t>
            </a:r>
            <a:endParaRPr lang="tr-TR"/>
          </a:p>
        </c:rich>
      </c:tx>
      <c:layout/>
    </c:title>
    <c:plotArea>
      <c:layout/>
      <c:lineChart>
        <c:grouping val="standard"/>
        <c:ser>
          <c:idx val="1"/>
          <c:order val="0"/>
          <c:marker>
            <c:symbol val="none"/>
          </c:marker>
          <c:trendline>
            <c:trendlineType val="linear"/>
          </c:trendline>
          <c:cat>
            <c:numRef>
              <c:f>Şenol!$A$34:$A$135</c:f>
              <c:numCache>
                <c:formatCode>General</c:formatCode>
                <c:ptCount val="102"/>
                <c:pt idx="0">
                  <c:v>1912</c:v>
                </c:pt>
                <c:pt idx="1">
                  <c:v>1913</c:v>
                </c:pt>
                <c:pt idx="2">
                  <c:v>1914</c:v>
                </c:pt>
                <c:pt idx="3">
                  <c:v>1915</c:v>
                </c:pt>
                <c:pt idx="4">
                  <c:v>1916</c:v>
                </c:pt>
                <c:pt idx="5">
                  <c:v>1917</c:v>
                </c:pt>
                <c:pt idx="6">
                  <c:v>1918</c:v>
                </c:pt>
                <c:pt idx="7">
                  <c:v>1919</c:v>
                </c:pt>
                <c:pt idx="8">
                  <c:v>1920</c:v>
                </c:pt>
                <c:pt idx="9">
                  <c:v>1921</c:v>
                </c:pt>
                <c:pt idx="10">
                  <c:v>1922</c:v>
                </c:pt>
                <c:pt idx="11">
                  <c:v>1923</c:v>
                </c:pt>
                <c:pt idx="12">
                  <c:v>1924</c:v>
                </c:pt>
                <c:pt idx="13">
                  <c:v>1925</c:v>
                </c:pt>
                <c:pt idx="14">
                  <c:v>1926</c:v>
                </c:pt>
                <c:pt idx="15">
                  <c:v>1927</c:v>
                </c:pt>
                <c:pt idx="16">
                  <c:v>1928</c:v>
                </c:pt>
                <c:pt idx="17">
                  <c:v>1929</c:v>
                </c:pt>
                <c:pt idx="18">
                  <c:v>1930</c:v>
                </c:pt>
                <c:pt idx="19">
                  <c:v>1931</c:v>
                </c:pt>
                <c:pt idx="20">
                  <c:v>1932</c:v>
                </c:pt>
                <c:pt idx="21">
                  <c:v>1933</c:v>
                </c:pt>
                <c:pt idx="22">
                  <c:v>1934</c:v>
                </c:pt>
                <c:pt idx="23">
                  <c:v>1935</c:v>
                </c:pt>
                <c:pt idx="24">
                  <c:v>1936</c:v>
                </c:pt>
                <c:pt idx="25">
                  <c:v>1937</c:v>
                </c:pt>
                <c:pt idx="26">
                  <c:v>1938</c:v>
                </c:pt>
                <c:pt idx="27">
                  <c:v>1939</c:v>
                </c:pt>
                <c:pt idx="28">
                  <c:v>1940</c:v>
                </c:pt>
                <c:pt idx="29">
                  <c:v>1941</c:v>
                </c:pt>
                <c:pt idx="30">
                  <c:v>1942</c:v>
                </c:pt>
                <c:pt idx="31">
                  <c:v>1943</c:v>
                </c:pt>
                <c:pt idx="32">
                  <c:v>1944</c:v>
                </c:pt>
                <c:pt idx="33">
                  <c:v>1945</c:v>
                </c:pt>
                <c:pt idx="34">
                  <c:v>1946</c:v>
                </c:pt>
                <c:pt idx="35">
                  <c:v>1947</c:v>
                </c:pt>
                <c:pt idx="36">
                  <c:v>1948</c:v>
                </c:pt>
                <c:pt idx="37">
                  <c:v>1949</c:v>
                </c:pt>
                <c:pt idx="38">
                  <c:v>1950</c:v>
                </c:pt>
                <c:pt idx="39">
                  <c:v>1951</c:v>
                </c:pt>
                <c:pt idx="40">
                  <c:v>1952</c:v>
                </c:pt>
                <c:pt idx="41">
                  <c:v>1953</c:v>
                </c:pt>
                <c:pt idx="42">
                  <c:v>1954</c:v>
                </c:pt>
                <c:pt idx="43">
                  <c:v>1955</c:v>
                </c:pt>
                <c:pt idx="44">
                  <c:v>1956</c:v>
                </c:pt>
                <c:pt idx="45">
                  <c:v>1957</c:v>
                </c:pt>
                <c:pt idx="46">
                  <c:v>1958</c:v>
                </c:pt>
                <c:pt idx="47">
                  <c:v>1959</c:v>
                </c:pt>
                <c:pt idx="48">
                  <c:v>1960</c:v>
                </c:pt>
                <c:pt idx="49">
                  <c:v>1961</c:v>
                </c:pt>
                <c:pt idx="50">
                  <c:v>1962</c:v>
                </c:pt>
                <c:pt idx="51">
                  <c:v>1963</c:v>
                </c:pt>
                <c:pt idx="52">
                  <c:v>1964</c:v>
                </c:pt>
                <c:pt idx="53">
                  <c:v>1965</c:v>
                </c:pt>
                <c:pt idx="54">
                  <c:v>1966</c:v>
                </c:pt>
                <c:pt idx="55">
                  <c:v>1967</c:v>
                </c:pt>
                <c:pt idx="56">
                  <c:v>1968</c:v>
                </c:pt>
                <c:pt idx="57">
                  <c:v>1969</c:v>
                </c:pt>
                <c:pt idx="58">
                  <c:v>1970</c:v>
                </c:pt>
                <c:pt idx="59">
                  <c:v>1971</c:v>
                </c:pt>
                <c:pt idx="60">
                  <c:v>1972</c:v>
                </c:pt>
                <c:pt idx="61">
                  <c:v>1973</c:v>
                </c:pt>
                <c:pt idx="62">
                  <c:v>1974</c:v>
                </c:pt>
                <c:pt idx="63">
                  <c:v>1975</c:v>
                </c:pt>
                <c:pt idx="64">
                  <c:v>1976</c:v>
                </c:pt>
                <c:pt idx="65">
                  <c:v>1977</c:v>
                </c:pt>
                <c:pt idx="66">
                  <c:v>1978</c:v>
                </c:pt>
                <c:pt idx="67">
                  <c:v>1979</c:v>
                </c:pt>
                <c:pt idx="68">
                  <c:v>1980</c:v>
                </c:pt>
                <c:pt idx="69">
                  <c:v>1981</c:v>
                </c:pt>
                <c:pt idx="70">
                  <c:v>1982</c:v>
                </c:pt>
                <c:pt idx="71">
                  <c:v>1983</c:v>
                </c:pt>
                <c:pt idx="72">
                  <c:v>1984</c:v>
                </c:pt>
                <c:pt idx="73">
                  <c:v>1985</c:v>
                </c:pt>
                <c:pt idx="74">
                  <c:v>1986</c:v>
                </c:pt>
                <c:pt idx="75">
                  <c:v>1987</c:v>
                </c:pt>
                <c:pt idx="76">
                  <c:v>1988</c:v>
                </c:pt>
                <c:pt idx="77">
                  <c:v>1989</c:v>
                </c:pt>
                <c:pt idx="78">
                  <c:v>1990</c:v>
                </c:pt>
                <c:pt idx="79">
                  <c:v>1991</c:v>
                </c:pt>
                <c:pt idx="80">
                  <c:v>1992</c:v>
                </c:pt>
                <c:pt idx="81">
                  <c:v>1993</c:v>
                </c:pt>
                <c:pt idx="82">
                  <c:v>1994</c:v>
                </c:pt>
                <c:pt idx="83">
                  <c:v>1995</c:v>
                </c:pt>
                <c:pt idx="84">
                  <c:v>1996</c:v>
                </c:pt>
                <c:pt idx="85">
                  <c:v>1997</c:v>
                </c:pt>
                <c:pt idx="86">
                  <c:v>1998</c:v>
                </c:pt>
                <c:pt idx="87">
                  <c:v>1999</c:v>
                </c:pt>
                <c:pt idx="88">
                  <c:v>2000</c:v>
                </c:pt>
                <c:pt idx="89">
                  <c:v>2001</c:v>
                </c:pt>
                <c:pt idx="90">
                  <c:v>2002</c:v>
                </c:pt>
                <c:pt idx="91">
                  <c:v>2003</c:v>
                </c:pt>
                <c:pt idx="92">
                  <c:v>2004</c:v>
                </c:pt>
                <c:pt idx="93">
                  <c:v>2005</c:v>
                </c:pt>
                <c:pt idx="94">
                  <c:v>2006</c:v>
                </c:pt>
                <c:pt idx="95">
                  <c:v>2007</c:v>
                </c:pt>
                <c:pt idx="96">
                  <c:v>2008</c:v>
                </c:pt>
                <c:pt idx="97">
                  <c:v>2009</c:v>
                </c:pt>
                <c:pt idx="98">
                  <c:v>2010</c:v>
                </c:pt>
                <c:pt idx="99">
                  <c:v>2011</c:v>
                </c:pt>
                <c:pt idx="100">
                  <c:v>2012</c:v>
                </c:pt>
                <c:pt idx="101">
                  <c:v>2013</c:v>
                </c:pt>
              </c:numCache>
            </c:numRef>
          </c:cat>
          <c:val>
            <c:numRef>
              <c:f>Şenol!$B$34:$B$135</c:f>
              <c:numCache>
                <c:formatCode>General</c:formatCode>
                <c:ptCount val="102"/>
                <c:pt idx="0">
                  <c:v>600.70000000000005</c:v>
                </c:pt>
                <c:pt idx="1">
                  <c:v>1004.3999999999999</c:v>
                </c:pt>
                <c:pt idx="2">
                  <c:v>708.7</c:v>
                </c:pt>
                <c:pt idx="3">
                  <c:v>658.8</c:v>
                </c:pt>
                <c:pt idx="4">
                  <c:v>452.2</c:v>
                </c:pt>
                <c:pt idx="5">
                  <c:v>531.5</c:v>
                </c:pt>
                <c:pt idx="6">
                  <c:v>671.3</c:v>
                </c:pt>
                <c:pt idx="7">
                  <c:v>912.3</c:v>
                </c:pt>
                <c:pt idx="8">
                  <c:v>660.9</c:v>
                </c:pt>
                <c:pt idx="9">
                  <c:v>510.4</c:v>
                </c:pt>
                <c:pt idx="10">
                  <c:v>976.90000000000009</c:v>
                </c:pt>
                <c:pt idx="11">
                  <c:v>666.3</c:v>
                </c:pt>
                <c:pt idx="12">
                  <c:v>1029.0999999999999</c:v>
                </c:pt>
                <c:pt idx="13">
                  <c:v>866.8</c:v>
                </c:pt>
                <c:pt idx="14">
                  <c:v>583.6</c:v>
                </c:pt>
                <c:pt idx="15">
                  <c:v>725.8</c:v>
                </c:pt>
                <c:pt idx="16">
                  <c:v>693.05</c:v>
                </c:pt>
                <c:pt idx="17">
                  <c:v>763.33999999999992</c:v>
                </c:pt>
                <c:pt idx="18">
                  <c:v>722.70000000000016</c:v>
                </c:pt>
                <c:pt idx="19">
                  <c:v>877.3</c:v>
                </c:pt>
                <c:pt idx="20">
                  <c:v>713.5</c:v>
                </c:pt>
                <c:pt idx="21">
                  <c:v>935.29999999999905</c:v>
                </c:pt>
                <c:pt idx="22">
                  <c:v>509.69999999984782</c:v>
                </c:pt>
                <c:pt idx="23">
                  <c:v>870.43999999955679</c:v>
                </c:pt>
                <c:pt idx="24">
                  <c:v>757.69999999968968</c:v>
                </c:pt>
                <c:pt idx="25">
                  <c:v>908.59999999960451</c:v>
                </c:pt>
                <c:pt idx="26">
                  <c:v>884.39999999952852</c:v>
                </c:pt>
                <c:pt idx="27">
                  <c:v>1017.5999999996034</c:v>
                </c:pt>
                <c:pt idx="28">
                  <c:v>1080.999999999465</c:v>
                </c:pt>
                <c:pt idx="29">
                  <c:v>735.19999999966092</c:v>
                </c:pt>
                <c:pt idx="30">
                  <c:v>899.99999999953639</c:v>
                </c:pt>
                <c:pt idx="31">
                  <c:v>919.89999999962788</c:v>
                </c:pt>
                <c:pt idx="32">
                  <c:v>907.19999999951142</c:v>
                </c:pt>
                <c:pt idx="33">
                  <c:v>687.33999999978778</c:v>
                </c:pt>
                <c:pt idx="34">
                  <c:v>672.49999999971237</c:v>
                </c:pt>
                <c:pt idx="35">
                  <c:v>704.39999999978977</c:v>
                </c:pt>
                <c:pt idx="36">
                  <c:v>1058.3299999997771</c:v>
                </c:pt>
                <c:pt idx="37">
                  <c:v>880.33999999966784</c:v>
                </c:pt>
                <c:pt idx="38">
                  <c:v>897.29999999952724</c:v>
                </c:pt>
                <c:pt idx="39">
                  <c:v>906.79999999958432</c:v>
                </c:pt>
                <c:pt idx="40">
                  <c:v>758.99999999972147</c:v>
                </c:pt>
                <c:pt idx="41">
                  <c:v>919.49999999962938</c:v>
                </c:pt>
                <c:pt idx="42">
                  <c:v>672.6999999997447</c:v>
                </c:pt>
                <c:pt idx="43">
                  <c:v>1001.3999999995606</c:v>
                </c:pt>
                <c:pt idx="44">
                  <c:v>719.89999999979409</c:v>
                </c:pt>
                <c:pt idx="45">
                  <c:v>656.31999999979791</c:v>
                </c:pt>
                <c:pt idx="46">
                  <c:v>946.19999999959862</c:v>
                </c:pt>
                <c:pt idx="47">
                  <c:v>820.49999999966735</c:v>
                </c:pt>
                <c:pt idx="48">
                  <c:v>743.0999999996684</c:v>
                </c:pt>
                <c:pt idx="49">
                  <c:v>1177.4999999994711</c:v>
                </c:pt>
                <c:pt idx="50">
                  <c:v>1113.9999999994757</c:v>
                </c:pt>
                <c:pt idx="51">
                  <c:v>1001.4999999994639</c:v>
                </c:pt>
                <c:pt idx="52">
                  <c:v>920.10000000001924</c:v>
                </c:pt>
                <c:pt idx="53">
                  <c:v>1056.0999999999192</c:v>
                </c:pt>
                <c:pt idx="54">
                  <c:v>904.3999999998947</c:v>
                </c:pt>
                <c:pt idx="55">
                  <c:v>692.90000000000668</c:v>
                </c:pt>
                <c:pt idx="56">
                  <c:v>1058.9000000000485</c:v>
                </c:pt>
                <c:pt idx="57">
                  <c:v>843.39999999995575</c:v>
                </c:pt>
                <c:pt idx="58">
                  <c:v>962.99999999998181</c:v>
                </c:pt>
                <c:pt idx="59">
                  <c:v>974.62999999998124</c:v>
                </c:pt>
                <c:pt idx="60">
                  <c:v>749.49999999984277</c:v>
                </c:pt>
                <c:pt idx="61">
                  <c:v>790.4000000000018</c:v>
                </c:pt>
                <c:pt idx="62">
                  <c:v>888.49999999999659</c:v>
                </c:pt>
                <c:pt idx="63">
                  <c:v>904.89999999999714</c:v>
                </c:pt>
                <c:pt idx="64">
                  <c:v>786.50000000000455</c:v>
                </c:pt>
                <c:pt idx="65">
                  <c:v>642.80000000000632</c:v>
                </c:pt>
                <c:pt idx="66">
                  <c:v>1010.3000000000434</c:v>
                </c:pt>
                <c:pt idx="67">
                  <c:v>828.40000000001373</c:v>
                </c:pt>
                <c:pt idx="68">
                  <c:v>964.62000000006947</c:v>
                </c:pt>
                <c:pt idx="69">
                  <c:v>1293.3999999998982</c:v>
                </c:pt>
                <c:pt idx="70">
                  <c:v>723.19999999993763</c:v>
                </c:pt>
                <c:pt idx="71">
                  <c:v>745.19999999993604</c:v>
                </c:pt>
                <c:pt idx="72">
                  <c:v>926.49999999975421</c:v>
                </c:pt>
                <c:pt idx="73">
                  <c:v>939.79999999999984</c:v>
                </c:pt>
                <c:pt idx="74">
                  <c:v>844.30000000000007</c:v>
                </c:pt>
                <c:pt idx="75">
                  <c:v>1049.5</c:v>
                </c:pt>
                <c:pt idx="76">
                  <c:v>817</c:v>
                </c:pt>
                <c:pt idx="77">
                  <c:v>557.9</c:v>
                </c:pt>
                <c:pt idx="78">
                  <c:v>926.3</c:v>
                </c:pt>
                <c:pt idx="79">
                  <c:v>878.30000000000007</c:v>
                </c:pt>
                <c:pt idx="80">
                  <c:v>694.3</c:v>
                </c:pt>
                <c:pt idx="81">
                  <c:v>680.30000000001746</c:v>
                </c:pt>
                <c:pt idx="82">
                  <c:v>816.2</c:v>
                </c:pt>
                <c:pt idx="83">
                  <c:v>781.60000000001162</c:v>
                </c:pt>
                <c:pt idx="84">
                  <c:v>953.2</c:v>
                </c:pt>
                <c:pt idx="85">
                  <c:v>1128.5999999999999</c:v>
                </c:pt>
                <c:pt idx="86">
                  <c:v>870.09999999999991</c:v>
                </c:pt>
                <c:pt idx="87">
                  <c:v>779.3</c:v>
                </c:pt>
                <c:pt idx="88">
                  <c:v>814.50000000000011</c:v>
                </c:pt>
                <c:pt idx="89">
                  <c:v>1058.3</c:v>
                </c:pt>
                <c:pt idx="90">
                  <c:v>830.2</c:v>
                </c:pt>
                <c:pt idx="91">
                  <c:v>849.90000000000009</c:v>
                </c:pt>
                <c:pt idx="92">
                  <c:v>954.10000000000014</c:v>
                </c:pt>
                <c:pt idx="93">
                  <c:v>861</c:v>
                </c:pt>
                <c:pt idx="94">
                  <c:v>850.69999999999982</c:v>
                </c:pt>
                <c:pt idx="95">
                  <c:v>624.39999999999986</c:v>
                </c:pt>
                <c:pt idx="96">
                  <c:v>875.6</c:v>
                </c:pt>
                <c:pt idx="97">
                  <c:v>979.10000000000014</c:v>
                </c:pt>
                <c:pt idx="98">
                  <c:v>1120.3</c:v>
                </c:pt>
                <c:pt idx="99">
                  <c:v>602.79999999999995</c:v>
                </c:pt>
                <c:pt idx="100">
                  <c:v>809</c:v>
                </c:pt>
                <c:pt idx="101">
                  <c:v>553</c:v>
                </c:pt>
              </c:numCache>
            </c:numRef>
          </c:val>
        </c:ser>
        <c:marker val="1"/>
        <c:axId val="171383808"/>
        <c:axId val="171401984"/>
      </c:lineChart>
      <c:catAx>
        <c:axId val="171383808"/>
        <c:scaling>
          <c:orientation val="minMax"/>
        </c:scaling>
        <c:axPos val="b"/>
        <c:numFmt formatCode="General" sourceLinked="1"/>
        <c:majorTickMark val="none"/>
        <c:tickLblPos val="nextTo"/>
        <c:crossAx val="171401984"/>
        <c:crosses val="autoZero"/>
        <c:auto val="1"/>
        <c:lblAlgn val="ctr"/>
        <c:lblOffset val="100"/>
      </c:catAx>
      <c:valAx>
        <c:axId val="171401984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spPr>
          <a:ln w="9525">
            <a:noFill/>
          </a:ln>
        </c:spPr>
        <c:crossAx val="171383808"/>
        <c:crosses val="autoZero"/>
        <c:crossBetween val="between"/>
      </c:valAx>
    </c:plotArea>
    <c:plotVisOnly val="1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tr-TR"/>
  <c:chart>
    <c:title>
      <c:tx>
        <c:rich>
          <a:bodyPr/>
          <a:lstStyle/>
          <a:p>
            <a:pPr>
              <a:defRPr/>
            </a:pPr>
            <a:r>
              <a:rPr lang="tr-TR"/>
              <a:t>Yağışlı Gün Sayısı</a:t>
            </a:r>
          </a:p>
        </c:rich>
      </c:tx>
      <c:layout/>
    </c:title>
    <c:plotArea>
      <c:layout/>
      <c:lineChart>
        <c:grouping val="standard"/>
        <c:ser>
          <c:idx val="1"/>
          <c:order val="0"/>
          <c:marker>
            <c:symbol val="none"/>
          </c:marker>
          <c:trendline>
            <c:trendlineType val="linear"/>
          </c:trendline>
          <c:cat>
            <c:numRef>
              <c:f>Şenol!$A$34:$A$135</c:f>
              <c:numCache>
                <c:formatCode>General</c:formatCode>
                <c:ptCount val="102"/>
                <c:pt idx="0">
                  <c:v>1912</c:v>
                </c:pt>
                <c:pt idx="1">
                  <c:v>1913</c:v>
                </c:pt>
                <c:pt idx="2">
                  <c:v>1914</c:v>
                </c:pt>
                <c:pt idx="3">
                  <c:v>1915</c:v>
                </c:pt>
                <c:pt idx="4">
                  <c:v>1916</c:v>
                </c:pt>
                <c:pt idx="5">
                  <c:v>1917</c:v>
                </c:pt>
                <c:pt idx="6">
                  <c:v>1918</c:v>
                </c:pt>
                <c:pt idx="7">
                  <c:v>1919</c:v>
                </c:pt>
                <c:pt idx="8">
                  <c:v>1920</c:v>
                </c:pt>
                <c:pt idx="9">
                  <c:v>1921</c:v>
                </c:pt>
                <c:pt idx="10">
                  <c:v>1922</c:v>
                </c:pt>
                <c:pt idx="11">
                  <c:v>1923</c:v>
                </c:pt>
                <c:pt idx="12">
                  <c:v>1924</c:v>
                </c:pt>
                <c:pt idx="13">
                  <c:v>1925</c:v>
                </c:pt>
                <c:pt idx="14">
                  <c:v>1926</c:v>
                </c:pt>
                <c:pt idx="15">
                  <c:v>1927</c:v>
                </c:pt>
                <c:pt idx="16">
                  <c:v>1928</c:v>
                </c:pt>
                <c:pt idx="17">
                  <c:v>1929</c:v>
                </c:pt>
                <c:pt idx="18">
                  <c:v>1930</c:v>
                </c:pt>
                <c:pt idx="19">
                  <c:v>1931</c:v>
                </c:pt>
                <c:pt idx="20">
                  <c:v>1932</c:v>
                </c:pt>
                <c:pt idx="21">
                  <c:v>1933</c:v>
                </c:pt>
                <c:pt idx="22">
                  <c:v>1934</c:v>
                </c:pt>
                <c:pt idx="23">
                  <c:v>1935</c:v>
                </c:pt>
                <c:pt idx="24">
                  <c:v>1936</c:v>
                </c:pt>
                <c:pt idx="25">
                  <c:v>1937</c:v>
                </c:pt>
                <c:pt idx="26">
                  <c:v>1938</c:v>
                </c:pt>
                <c:pt idx="27">
                  <c:v>1939</c:v>
                </c:pt>
                <c:pt idx="28">
                  <c:v>1940</c:v>
                </c:pt>
                <c:pt idx="29">
                  <c:v>1941</c:v>
                </c:pt>
                <c:pt idx="30">
                  <c:v>1942</c:v>
                </c:pt>
                <c:pt idx="31">
                  <c:v>1943</c:v>
                </c:pt>
                <c:pt idx="32">
                  <c:v>1944</c:v>
                </c:pt>
                <c:pt idx="33">
                  <c:v>1945</c:v>
                </c:pt>
                <c:pt idx="34">
                  <c:v>1946</c:v>
                </c:pt>
                <c:pt idx="35">
                  <c:v>1947</c:v>
                </c:pt>
                <c:pt idx="36">
                  <c:v>1948</c:v>
                </c:pt>
                <c:pt idx="37">
                  <c:v>1949</c:v>
                </c:pt>
                <c:pt idx="38">
                  <c:v>1950</c:v>
                </c:pt>
                <c:pt idx="39">
                  <c:v>1951</c:v>
                </c:pt>
                <c:pt idx="40">
                  <c:v>1952</c:v>
                </c:pt>
                <c:pt idx="41">
                  <c:v>1953</c:v>
                </c:pt>
                <c:pt idx="42">
                  <c:v>1954</c:v>
                </c:pt>
                <c:pt idx="43">
                  <c:v>1955</c:v>
                </c:pt>
                <c:pt idx="44">
                  <c:v>1956</c:v>
                </c:pt>
                <c:pt idx="45">
                  <c:v>1957</c:v>
                </c:pt>
                <c:pt idx="46">
                  <c:v>1958</c:v>
                </c:pt>
                <c:pt idx="47">
                  <c:v>1959</c:v>
                </c:pt>
                <c:pt idx="48">
                  <c:v>1960</c:v>
                </c:pt>
                <c:pt idx="49">
                  <c:v>1961</c:v>
                </c:pt>
                <c:pt idx="50">
                  <c:v>1962</c:v>
                </c:pt>
                <c:pt idx="51">
                  <c:v>1963</c:v>
                </c:pt>
                <c:pt idx="52">
                  <c:v>1964</c:v>
                </c:pt>
                <c:pt idx="53">
                  <c:v>1965</c:v>
                </c:pt>
                <c:pt idx="54">
                  <c:v>1966</c:v>
                </c:pt>
                <c:pt idx="55">
                  <c:v>1967</c:v>
                </c:pt>
                <c:pt idx="56">
                  <c:v>1968</c:v>
                </c:pt>
                <c:pt idx="57">
                  <c:v>1969</c:v>
                </c:pt>
                <c:pt idx="58">
                  <c:v>1970</c:v>
                </c:pt>
                <c:pt idx="59">
                  <c:v>1971</c:v>
                </c:pt>
                <c:pt idx="60">
                  <c:v>1972</c:v>
                </c:pt>
                <c:pt idx="61">
                  <c:v>1973</c:v>
                </c:pt>
                <c:pt idx="62">
                  <c:v>1974</c:v>
                </c:pt>
                <c:pt idx="63">
                  <c:v>1975</c:v>
                </c:pt>
                <c:pt idx="64">
                  <c:v>1976</c:v>
                </c:pt>
                <c:pt idx="65">
                  <c:v>1977</c:v>
                </c:pt>
                <c:pt idx="66">
                  <c:v>1978</c:v>
                </c:pt>
                <c:pt idx="67">
                  <c:v>1979</c:v>
                </c:pt>
                <c:pt idx="68">
                  <c:v>1980</c:v>
                </c:pt>
                <c:pt idx="69">
                  <c:v>1981</c:v>
                </c:pt>
                <c:pt idx="70">
                  <c:v>1982</c:v>
                </c:pt>
                <c:pt idx="71">
                  <c:v>1983</c:v>
                </c:pt>
                <c:pt idx="72">
                  <c:v>1984</c:v>
                </c:pt>
                <c:pt idx="73">
                  <c:v>1985</c:v>
                </c:pt>
                <c:pt idx="74">
                  <c:v>1986</c:v>
                </c:pt>
                <c:pt idx="75">
                  <c:v>1987</c:v>
                </c:pt>
                <c:pt idx="76">
                  <c:v>1988</c:v>
                </c:pt>
                <c:pt idx="77">
                  <c:v>1989</c:v>
                </c:pt>
                <c:pt idx="78">
                  <c:v>1990</c:v>
                </c:pt>
                <c:pt idx="79">
                  <c:v>1991</c:v>
                </c:pt>
                <c:pt idx="80">
                  <c:v>1992</c:v>
                </c:pt>
                <c:pt idx="81">
                  <c:v>1993</c:v>
                </c:pt>
                <c:pt idx="82">
                  <c:v>1994</c:v>
                </c:pt>
                <c:pt idx="83">
                  <c:v>1995</c:v>
                </c:pt>
                <c:pt idx="84">
                  <c:v>1996</c:v>
                </c:pt>
                <c:pt idx="85">
                  <c:v>1997</c:v>
                </c:pt>
                <c:pt idx="86">
                  <c:v>1998</c:v>
                </c:pt>
                <c:pt idx="87">
                  <c:v>1999</c:v>
                </c:pt>
                <c:pt idx="88">
                  <c:v>2000</c:v>
                </c:pt>
                <c:pt idx="89">
                  <c:v>2001</c:v>
                </c:pt>
                <c:pt idx="90">
                  <c:v>2002</c:v>
                </c:pt>
                <c:pt idx="91">
                  <c:v>2003</c:v>
                </c:pt>
                <c:pt idx="92">
                  <c:v>2004</c:v>
                </c:pt>
                <c:pt idx="93">
                  <c:v>2005</c:v>
                </c:pt>
                <c:pt idx="94">
                  <c:v>2006</c:v>
                </c:pt>
                <c:pt idx="95">
                  <c:v>2007</c:v>
                </c:pt>
                <c:pt idx="96">
                  <c:v>2008</c:v>
                </c:pt>
                <c:pt idx="97">
                  <c:v>2009</c:v>
                </c:pt>
                <c:pt idx="98">
                  <c:v>2010</c:v>
                </c:pt>
                <c:pt idx="99">
                  <c:v>2011</c:v>
                </c:pt>
                <c:pt idx="100">
                  <c:v>2012</c:v>
                </c:pt>
                <c:pt idx="101">
                  <c:v>2013</c:v>
                </c:pt>
              </c:numCache>
            </c:numRef>
          </c:cat>
          <c:val>
            <c:numRef>
              <c:f>Şenol!$C$34:$C$135</c:f>
              <c:numCache>
                <c:formatCode>General</c:formatCode>
                <c:ptCount val="102"/>
                <c:pt idx="0">
                  <c:v>118</c:v>
                </c:pt>
                <c:pt idx="1">
                  <c:v>136</c:v>
                </c:pt>
                <c:pt idx="2">
                  <c:v>160</c:v>
                </c:pt>
                <c:pt idx="3">
                  <c:v>141</c:v>
                </c:pt>
                <c:pt idx="4">
                  <c:v>130</c:v>
                </c:pt>
                <c:pt idx="5">
                  <c:v>104</c:v>
                </c:pt>
                <c:pt idx="6">
                  <c:v>104</c:v>
                </c:pt>
                <c:pt idx="7">
                  <c:v>125</c:v>
                </c:pt>
                <c:pt idx="8">
                  <c:v>121</c:v>
                </c:pt>
                <c:pt idx="9">
                  <c:v>130</c:v>
                </c:pt>
                <c:pt idx="10">
                  <c:v>144</c:v>
                </c:pt>
                <c:pt idx="11">
                  <c:v>105</c:v>
                </c:pt>
                <c:pt idx="12">
                  <c:v>127</c:v>
                </c:pt>
                <c:pt idx="13">
                  <c:v>128</c:v>
                </c:pt>
                <c:pt idx="14">
                  <c:v>91</c:v>
                </c:pt>
                <c:pt idx="15">
                  <c:v>96</c:v>
                </c:pt>
                <c:pt idx="16">
                  <c:v>120</c:v>
                </c:pt>
                <c:pt idx="17">
                  <c:v>150</c:v>
                </c:pt>
                <c:pt idx="18">
                  <c:v>132</c:v>
                </c:pt>
                <c:pt idx="19">
                  <c:v>133</c:v>
                </c:pt>
                <c:pt idx="20">
                  <c:v>125</c:v>
                </c:pt>
                <c:pt idx="21">
                  <c:v>158</c:v>
                </c:pt>
                <c:pt idx="22">
                  <c:v>101</c:v>
                </c:pt>
                <c:pt idx="23">
                  <c:v>137</c:v>
                </c:pt>
                <c:pt idx="24">
                  <c:v>136</c:v>
                </c:pt>
                <c:pt idx="25">
                  <c:v>131</c:v>
                </c:pt>
                <c:pt idx="26">
                  <c:v>132</c:v>
                </c:pt>
                <c:pt idx="27">
                  <c:v>166</c:v>
                </c:pt>
                <c:pt idx="28">
                  <c:v>152</c:v>
                </c:pt>
                <c:pt idx="29">
                  <c:v>146</c:v>
                </c:pt>
                <c:pt idx="30">
                  <c:v>149</c:v>
                </c:pt>
                <c:pt idx="31">
                  <c:v>143</c:v>
                </c:pt>
                <c:pt idx="32">
                  <c:v>148</c:v>
                </c:pt>
                <c:pt idx="33">
                  <c:v>133</c:v>
                </c:pt>
                <c:pt idx="34">
                  <c:v>134</c:v>
                </c:pt>
                <c:pt idx="35">
                  <c:v>126</c:v>
                </c:pt>
                <c:pt idx="36">
                  <c:v>132</c:v>
                </c:pt>
                <c:pt idx="37">
                  <c:v>137</c:v>
                </c:pt>
                <c:pt idx="38">
                  <c:v>119</c:v>
                </c:pt>
                <c:pt idx="39">
                  <c:v>128</c:v>
                </c:pt>
                <c:pt idx="40">
                  <c:v>109</c:v>
                </c:pt>
                <c:pt idx="41">
                  <c:v>152</c:v>
                </c:pt>
                <c:pt idx="42">
                  <c:v>148</c:v>
                </c:pt>
                <c:pt idx="43">
                  <c:v>140</c:v>
                </c:pt>
                <c:pt idx="44">
                  <c:v>126</c:v>
                </c:pt>
                <c:pt idx="45">
                  <c:v>128</c:v>
                </c:pt>
                <c:pt idx="46">
                  <c:v>136</c:v>
                </c:pt>
                <c:pt idx="47">
                  <c:v>141</c:v>
                </c:pt>
                <c:pt idx="48">
                  <c:v>127</c:v>
                </c:pt>
                <c:pt idx="49">
                  <c:v>140</c:v>
                </c:pt>
                <c:pt idx="50">
                  <c:v>147</c:v>
                </c:pt>
                <c:pt idx="51">
                  <c:v>141</c:v>
                </c:pt>
                <c:pt idx="52">
                  <c:v>136</c:v>
                </c:pt>
                <c:pt idx="53">
                  <c:v>144</c:v>
                </c:pt>
                <c:pt idx="54">
                  <c:v>123</c:v>
                </c:pt>
                <c:pt idx="55">
                  <c:v>137</c:v>
                </c:pt>
                <c:pt idx="56">
                  <c:v>168</c:v>
                </c:pt>
                <c:pt idx="57">
                  <c:v>195</c:v>
                </c:pt>
                <c:pt idx="58">
                  <c:v>216</c:v>
                </c:pt>
                <c:pt idx="59">
                  <c:v>240</c:v>
                </c:pt>
                <c:pt idx="60">
                  <c:v>180</c:v>
                </c:pt>
                <c:pt idx="61">
                  <c:v>205</c:v>
                </c:pt>
                <c:pt idx="62">
                  <c:v>211</c:v>
                </c:pt>
                <c:pt idx="63">
                  <c:v>182</c:v>
                </c:pt>
                <c:pt idx="64">
                  <c:v>159</c:v>
                </c:pt>
                <c:pt idx="65">
                  <c:v>167</c:v>
                </c:pt>
                <c:pt idx="66">
                  <c:v>187</c:v>
                </c:pt>
                <c:pt idx="67">
                  <c:v>175</c:v>
                </c:pt>
                <c:pt idx="68">
                  <c:v>176</c:v>
                </c:pt>
                <c:pt idx="69">
                  <c:v>185</c:v>
                </c:pt>
                <c:pt idx="70">
                  <c:v>168</c:v>
                </c:pt>
                <c:pt idx="71">
                  <c:v>180</c:v>
                </c:pt>
                <c:pt idx="72">
                  <c:v>172</c:v>
                </c:pt>
                <c:pt idx="73">
                  <c:v>155</c:v>
                </c:pt>
                <c:pt idx="74">
                  <c:v>149</c:v>
                </c:pt>
                <c:pt idx="75">
                  <c:v>160</c:v>
                </c:pt>
                <c:pt idx="76">
                  <c:v>139</c:v>
                </c:pt>
                <c:pt idx="77">
                  <c:v>124</c:v>
                </c:pt>
                <c:pt idx="78">
                  <c:v>124</c:v>
                </c:pt>
                <c:pt idx="79">
                  <c:v>166</c:v>
                </c:pt>
                <c:pt idx="80">
                  <c:v>123</c:v>
                </c:pt>
                <c:pt idx="81">
                  <c:v>127</c:v>
                </c:pt>
                <c:pt idx="82">
                  <c:v>138</c:v>
                </c:pt>
                <c:pt idx="83">
                  <c:v>153</c:v>
                </c:pt>
                <c:pt idx="84">
                  <c:v>150</c:v>
                </c:pt>
                <c:pt idx="85">
                  <c:v>135</c:v>
                </c:pt>
                <c:pt idx="86">
                  <c:v>137</c:v>
                </c:pt>
                <c:pt idx="87">
                  <c:v>115</c:v>
                </c:pt>
                <c:pt idx="88">
                  <c:v>121</c:v>
                </c:pt>
                <c:pt idx="89">
                  <c:v>131</c:v>
                </c:pt>
                <c:pt idx="90">
                  <c:v>124</c:v>
                </c:pt>
                <c:pt idx="91">
                  <c:v>138</c:v>
                </c:pt>
                <c:pt idx="92">
                  <c:v>130</c:v>
                </c:pt>
                <c:pt idx="93">
                  <c:v>161</c:v>
                </c:pt>
                <c:pt idx="94">
                  <c:v>121</c:v>
                </c:pt>
                <c:pt idx="95">
                  <c:v>139</c:v>
                </c:pt>
                <c:pt idx="96">
                  <c:v>127</c:v>
                </c:pt>
                <c:pt idx="97">
                  <c:v>150</c:v>
                </c:pt>
                <c:pt idx="98">
                  <c:v>154</c:v>
                </c:pt>
                <c:pt idx="99">
                  <c:v>132</c:v>
                </c:pt>
                <c:pt idx="100">
                  <c:v>143</c:v>
                </c:pt>
                <c:pt idx="101">
                  <c:v>150</c:v>
                </c:pt>
              </c:numCache>
            </c:numRef>
          </c:val>
        </c:ser>
        <c:marker val="1"/>
        <c:axId val="171418368"/>
        <c:axId val="171419904"/>
      </c:lineChart>
      <c:catAx>
        <c:axId val="171418368"/>
        <c:scaling>
          <c:orientation val="minMax"/>
        </c:scaling>
        <c:axPos val="b"/>
        <c:numFmt formatCode="General" sourceLinked="1"/>
        <c:majorTickMark val="none"/>
        <c:tickLblPos val="nextTo"/>
        <c:crossAx val="171419904"/>
        <c:crosses val="autoZero"/>
        <c:auto val="1"/>
        <c:lblAlgn val="ctr"/>
        <c:lblOffset val="100"/>
      </c:catAx>
      <c:valAx>
        <c:axId val="171419904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spPr>
          <a:ln w="9525">
            <a:noFill/>
          </a:ln>
        </c:spPr>
        <c:crossAx val="171418368"/>
        <c:crosses val="autoZero"/>
        <c:crossBetween val="between"/>
      </c:valAx>
    </c:plotArea>
    <c:plotVisOnly val="1"/>
  </c:chart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tr-TR"/>
  <c:chart>
    <c:title>
      <c:tx>
        <c:rich>
          <a:bodyPr/>
          <a:lstStyle/>
          <a:p>
            <a:pPr>
              <a:defRPr/>
            </a:pPr>
            <a:r>
              <a:rPr lang="tr-TR"/>
              <a:t>Kar Yağışlı</a:t>
            </a:r>
            <a:r>
              <a:rPr lang="tr-TR" baseline="0"/>
              <a:t> Gün Sayısı</a:t>
            </a:r>
            <a:endParaRPr lang="tr-TR"/>
          </a:p>
        </c:rich>
      </c:tx>
      <c:layout/>
    </c:title>
    <c:plotArea>
      <c:layout/>
      <c:lineChart>
        <c:grouping val="standard"/>
        <c:ser>
          <c:idx val="1"/>
          <c:order val="0"/>
          <c:marker>
            <c:symbol val="none"/>
          </c:marker>
          <c:trendline>
            <c:trendlineType val="linear"/>
          </c:trendline>
          <c:cat>
            <c:numRef>
              <c:f>Şenol!$A$34:$A$135</c:f>
              <c:numCache>
                <c:formatCode>General</c:formatCode>
                <c:ptCount val="102"/>
                <c:pt idx="0">
                  <c:v>1912</c:v>
                </c:pt>
                <c:pt idx="1">
                  <c:v>1913</c:v>
                </c:pt>
                <c:pt idx="2">
                  <c:v>1914</c:v>
                </c:pt>
                <c:pt idx="3">
                  <c:v>1915</c:v>
                </c:pt>
                <c:pt idx="4">
                  <c:v>1916</c:v>
                </c:pt>
                <c:pt idx="5">
                  <c:v>1917</c:v>
                </c:pt>
                <c:pt idx="6">
                  <c:v>1918</c:v>
                </c:pt>
                <c:pt idx="7">
                  <c:v>1919</c:v>
                </c:pt>
                <c:pt idx="8">
                  <c:v>1920</c:v>
                </c:pt>
                <c:pt idx="9">
                  <c:v>1921</c:v>
                </c:pt>
                <c:pt idx="10">
                  <c:v>1922</c:v>
                </c:pt>
                <c:pt idx="11">
                  <c:v>1923</c:v>
                </c:pt>
                <c:pt idx="12">
                  <c:v>1924</c:v>
                </c:pt>
                <c:pt idx="13">
                  <c:v>1925</c:v>
                </c:pt>
                <c:pt idx="14">
                  <c:v>1926</c:v>
                </c:pt>
                <c:pt idx="15">
                  <c:v>1927</c:v>
                </c:pt>
                <c:pt idx="16">
                  <c:v>1928</c:v>
                </c:pt>
                <c:pt idx="17">
                  <c:v>1929</c:v>
                </c:pt>
                <c:pt idx="18">
                  <c:v>1930</c:v>
                </c:pt>
                <c:pt idx="19">
                  <c:v>1931</c:v>
                </c:pt>
                <c:pt idx="20">
                  <c:v>1932</c:v>
                </c:pt>
                <c:pt idx="21">
                  <c:v>1933</c:v>
                </c:pt>
                <c:pt idx="22">
                  <c:v>1934</c:v>
                </c:pt>
                <c:pt idx="23">
                  <c:v>1935</c:v>
                </c:pt>
                <c:pt idx="24">
                  <c:v>1936</c:v>
                </c:pt>
                <c:pt idx="25">
                  <c:v>1937</c:v>
                </c:pt>
                <c:pt idx="26">
                  <c:v>1938</c:v>
                </c:pt>
                <c:pt idx="27">
                  <c:v>1939</c:v>
                </c:pt>
                <c:pt idx="28">
                  <c:v>1940</c:v>
                </c:pt>
                <c:pt idx="29">
                  <c:v>1941</c:v>
                </c:pt>
                <c:pt idx="30">
                  <c:v>1942</c:v>
                </c:pt>
                <c:pt idx="31">
                  <c:v>1943</c:v>
                </c:pt>
                <c:pt idx="32">
                  <c:v>1944</c:v>
                </c:pt>
                <c:pt idx="33">
                  <c:v>1945</c:v>
                </c:pt>
                <c:pt idx="34">
                  <c:v>1946</c:v>
                </c:pt>
                <c:pt idx="35">
                  <c:v>1947</c:v>
                </c:pt>
                <c:pt idx="36">
                  <c:v>1948</c:v>
                </c:pt>
                <c:pt idx="37">
                  <c:v>1949</c:v>
                </c:pt>
                <c:pt idx="38">
                  <c:v>1950</c:v>
                </c:pt>
                <c:pt idx="39">
                  <c:v>1951</c:v>
                </c:pt>
                <c:pt idx="40">
                  <c:v>1952</c:v>
                </c:pt>
                <c:pt idx="41">
                  <c:v>1953</c:v>
                </c:pt>
                <c:pt idx="42">
                  <c:v>1954</c:v>
                </c:pt>
                <c:pt idx="43">
                  <c:v>1955</c:v>
                </c:pt>
                <c:pt idx="44">
                  <c:v>1956</c:v>
                </c:pt>
                <c:pt idx="45">
                  <c:v>1957</c:v>
                </c:pt>
                <c:pt idx="46">
                  <c:v>1958</c:v>
                </c:pt>
                <c:pt idx="47">
                  <c:v>1959</c:v>
                </c:pt>
                <c:pt idx="48">
                  <c:v>1960</c:v>
                </c:pt>
                <c:pt idx="49">
                  <c:v>1961</c:v>
                </c:pt>
                <c:pt idx="50">
                  <c:v>1962</c:v>
                </c:pt>
                <c:pt idx="51">
                  <c:v>1963</c:v>
                </c:pt>
                <c:pt idx="52">
                  <c:v>1964</c:v>
                </c:pt>
                <c:pt idx="53">
                  <c:v>1965</c:v>
                </c:pt>
                <c:pt idx="54">
                  <c:v>1966</c:v>
                </c:pt>
                <c:pt idx="55">
                  <c:v>1967</c:v>
                </c:pt>
                <c:pt idx="56">
                  <c:v>1968</c:v>
                </c:pt>
                <c:pt idx="57">
                  <c:v>1969</c:v>
                </c:pt>
                <c:pt idx="58">
                  <c:v>1970</c:v>
                </c:pt>
                <c:pt idx="59">
                  <c:v>1971</c:v>
                </c:pt>
                <c:pt idx="60">
                  <c:v>1972</c:v>
                </c:pt>
                <c:pt idx="61">
                  <c:v>1973</c:v>
                </c:pt>
                <c:pt idx="62">
                  <c:v>1974</c:v>
                </c:pt>
                <c:pt idx="63">
                  <c:v>1975</c:v>
                </c:pt>
                <c:pt idx="64">
                  <c:v>1976</c:v>
                </c:pt>
                <c:pt idx="65">
                  <c:v>1977</c:v>
                </c:pt>
                <c:pt idx="66">
                  <c:v>1978</c:v>
                </c:pt>
                <c:pt idx="67">
                  <c:v>1979</c:v>
                </c:pt>
                <c:pt idx="68">
                  <c:v>1980</c:v>
                </c:pt>
                <c:pt idx="69">
                  <c:v>1981</c:v>
                </c:pt>
                <c:pt idx="70">
                  <c:v>1982</c:v>
                </c:pt>
                <c:pt idx="71">
                  <c:v>1983</c:v>
                </c:pt>
                <c:pt idx="72">
                  <c:v>1984</c:v>
                </c:pt>
                <c:pt idx="73">
                  <c:v>1985</c:v>
                </c:pt>
                <c:pt idx="74">
                  <c:v>1986</c:v>
                </c:pt>
                <c:pt idx="75">
                  <c:v>1987</c:v>
                </c:pt>
                <c:pt idx="76">
                  <c:v>1988</c:v>
                </c:pt>
                <c:pt idx="77">
                  <c:v>1989</c:v>
                </c:pt>
                <c:pt idx="78">
                  <c:v>1990</c:v>
                </c:pt>
                <c:pt idx="79">
                  <c:v>1991</c:v>
                </c:pt>
                <c:pt idx="80">
                  <c:v>1992</c:v>
                </c:pt>
                <c:pt idx="81">
                  <c:v>1993</c:v>
                </c:pt>
                <c:pt idx="82">
                  <c:v>1994</c:v>
                </c:pt>
                <c:pt idx="83">
                  <c:v>1995</c:v>
                </c:pt>
                <c:pt idx="84">
                  <c:v>1996</c:v>
                </c:pt>
                <c:pt idx="85">
                  <c:v>1997</c:v>
                </c:pt>
                <c:pt idx="86">
                  <c:v>1998</c:v>
                </c:pt>
                <c:pt idx="87">
                  <c:v>1999</c:v>
                </c:pt>
                <c:pt idx="88">
                  <c:v>2000</c:v>
                </c:pt>
                <c:pt idx="89">
                  <c:v>2001</c:v>
                </c:pt>
                <c:pt idx="90">
                  <c:v>2002</c:v>
                </c:pt>
                <c:pt idx="91">
                  <c:v>2003</c:v>
                </c:pt>
                <c:pt idx="92">
                  <c:v>2004</c:v>
                </c:pt>
                <c:pt idx="93">
                  <c:v>2005</c:v>
                </c:pt>
                <c:pt idx="94">
                  <c:v>2006</c:v>
                </c:pt>
                <c:pt idx="95">
                  <c:v>2007</c:v>
                </c:pt>
                <c:pt idx="96">
                  <c:v>2008</c:v>
                </c:pt>
                <c:pt idx="97">
                  <c:v>2009</c:v>
                </c:pt>
                <c:pt idx="98">
                  <c:v>2010</c:v>
                </c:pt>
                <c:pt idx="99">
                  <c:v>2011</c:v>
                </c:pt>
                <c:pt idx="100">
                  <c:v>2012</c:v>
                </c:pt>
                <c:pt idx="101">
                  <c:v>2013</c:v>
                </c:pt>
              </c:numCache>
            </c:numRef>
          </c:cat>
          <c:val>
            <c:numRef>
              <c:f>Şenol!$D$34:$D$135</c:f>
              <c:numCache>
                <c:formatCode>General</c:formatCode>
                <c:ptCount val="102"/>
                <c:pt idx="0">
                  <c:v>9</c:v>
                </c:pt>
                <c:pt idx="1">
                  <c:v>17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9</c:v>
                </c:pt>
                <c:pt idx="6">
                  <c:v>3</c:v>
                </c:pt>
                <c:pt idx="7">
                  <c:v>4</c:v>
                </c:pt>
                <c:pt idx="8">
                  <c:v>6</c:v>
                </c:pt>
                <c:pt idx="9">
                  <c:v>14</c:v>
                </c:pt>
                <c:pt idx="10">
                  <c:v>5</c:v>
                </c:pt>
                <c:pt idx="11">
                  <c:v>7</c:v>
                </c:pt>
                <c:pt idx="12">
                  <c:v>4</c:v>
                </c:pt>
                <c:pt idx="13">
                  <c:v>4</c:v>
                </c:pt>
                <c:pt idx="14">
                  <c:v>2</c:v>
                </c:pt>
                <c:pt idx="15">
                  <c:v>12</c:v>
                </c:pt>
                <c:pt idx="16">
                  <c:v>13</c:v>
                </c:pt>
                <c:pt idx="17">
                  <c:v>30</c:v>
                </c:pt>
                <c:pt idx="18">
                  <c:v>11</c:v>
                </c:pt>
                <c:pt idx="19">
                  <c:v>32</c:v>
                </c:pt>
                <c:pt idx="20">
                  <c:v>30</c:v>
                </c:pt>
                <c:pt idx="21">
                  <c:v>14</c:v>
                </c:pt>
                <c:pt idx="22">
                  <c:v>9</c:v>
                </c:pt>
                <c:pt idx="23">
                  <c:v>7</c:v>
                </c:pt>
                <c:pt idx="24">
                  <c:v>17</c:v>
                </c:pt>
                <c:pt idx="25">
                  <c:v>16</c:v>
                </c:pt>
                <c:pt idx="26">
                  <c:v>14</c:v>
                </c:pt>
                <c:pt idx="27">
                  <c:v>22</c:v>
                </c:pt>
                <c:pt idx="28">
                  <c:v>26</c:v>
                </c:pt>
                <c:pt idx="29">
                  <c:v>31</c:v>
                </c:pt>
                <c:pt idx="30">
                  <c:v>19</c:v>
                </c:pt>
                <c:pt idx="31">
                  <c:v>13</c:v>
                </c:pt>
                <c:pt idx="32">
                  <c:v>15</c:v>
                </c:pt>
                <c:pt idx="33">
                  <c:v>18</c:v>
                </c:pt>
                <c:pt idx="34">
                  <c:v>21</c:v>
                </c:pt>
                <c:pt idx="35">
                  <c:v>5</c:v>
                </c:pt>
                <c:pt idx="36">
                  <c:v>44</c:v>
                </c:pt>
                <c:pt idx="37">
                  <c:v>35</c:v>
                </c:pt>
                <c:pt idx="38">
                  <c:v>8</c:v>
                </c:pt>
                <c:pt idx="39">
                  <c:v>9</c:v>
                </c:pt>
                <c:pt idx="40">
                  <c:v>6</c:v>
                </c:pt>
                <c:pt idx="41">
                  <c:v>45</c:v>
                </c:pt>
                <c:pt idx="42">
                  <c:v>15</c:v>
                </c:pt>
                <c:pt idx="43">
                  <c:v>7</c:v>
                </c:pt>
                <c:pt idx="44">
                  <c:v>31</c:v>
                </c:pt>
                <c:pt idx="45">
                  <c:v>20</c:v>
                </c:pt>
                <c:pt idx="46">
                  <c:v>16</c:v>
                </c:pt>
                <c:pt idx="47">
                  <c:v>15</c:v>
                </c:pt>
                <c:pt idx="48">
                  <c:v>19</c:v>
                </c:pt>
                <c:pt idx="49">
                  <c:v>12</c:v>
                </c:pt>
                <c:pt idx="50">
                  <c:v>21</c:v>
                </c:pt>
                <c:pt idx="51">
                  <c:v>21</c:v>
                </c:pt>
                <c:pt idx="52">
                  <c:v>21</c:v>
                </c:pt>
                <c:pt idx="53">
                  <c:v>23</c:v>
                </c:pt>
                <c:pt idx="54">
                  <c:v>19</c:v>
                </c:pt>
                <c:pt idx="55">
                  <c:v>27</c:v>
                </c:pt>
                <c:pt idx="56">
                  <c:v>23</c:v>
                </c:pt>
                <c:pt idx="57">
                  <c:v>14</c:v>
                </c:pt>
                <c:pt idx="58">
                  <c:v>8</c:v>
                </c:pt>
                <c:pt idx="59">
                  <c:v>22</c:v>
                </c:pt>
                <c:pt idx="60">
                  <c:v>24</c:v>
                </c:pt>
                <c:pt idx="61">
                  <c:v>31</c:v>
                </c:pt>
                <c:pt idx="62">
                  <c:v>4</c:v>
                </c:pt>
                <c:pt idx="63">
                  <c:v>15</c:v>
                </c:pt>
                <c:pt idx="64">
                  <c:v>22</c:v>
                </c:pt>
                <c:pt idx="65">
                  <c:v>17</c:v>
                </c:pt>
                <c:pt idx="66">
                  <c:v>11</c:v>
                </c:pt>
                <c:pt idx="67">
                  <c:v>20</c:v>
                </c:pt>
                <c:pt idx="68">
                  <c:v>22</c:v>
                </c:pt>
                <c:pt idx="69">
                  <c:v>15</c:v>
                </c:pt>
                <c:pt idx="70">
                  <c:v>22</c:v>
                </c:pt>
                <c:pt idx="71">
                  <c:v>15</c:v>
                </c:pt>
                <c:pt idx="72">
                  <c:v>14</c:v>
                </c:pt>
                <c:pt idx="73">
                  <c:v>19</c:v>
                </c:pt>
                <c:pt idx="74">
                  <c:v>17</c:v>
                </c:pt>
                <c:pt idx="75">
                  <c:v>22</c:v>
                </c:pt>
                <c:pt idx="76">
                  <c:v>16</c:v>
                </c:pt>
                <c:pt idx="77">
                  <c:v>10</c:v>
                </c:pt>
                <c:pt idx="78">
                  <c:v>11</c:v>
                </c:pt>
                <c:pt idx="79">
                  <c:v>20</c:v>
                </c:pt>
                <c:pt idx="80">
                  <c:v>29</c:v>
                </c:pt>
                <c:pt idx="81">
                  <c:v>10</c:v>
                </c:pt>
                <c:pt idx="82">
                  <c:v>21</c:v>
                </c:pt>
                <c:pt idx="83">
                  <c:v>14</c:v>
                </c:pt>
                <c:pt idx="84">
                  <c:v>13</c:v>
                </c:pt>
                <c:pt idx="85">
                  <c:v>16</c:v>
                </c:pt>
                <c:pt idx="86">
                  <c:v>12</c:v>
                </c:pt>
                <c:pt idx="87">
                  <c:v>14</c:v>
                </c:pt>
                <c:pt idx="88">
                  <c:v>9</c:v>
                </c:pt>
                <c:pt idx="89">
                  <c:v>24</c:v>
                </c:pt>
                <c:pt idx="90">
                  <c:v>12</c:v>
                </c:pt>
                <c:pt idx="91">
                  <c:v>36</c:v>
                </c:pt>
                <c:pt idx="92">
                  <c:v>14</c:v>
                </c:pt>
                <c:pt idx="93">
                  <c:v>27</c:v>
                </c:pt>
                <c:pt idx="94">
                  <c:v>14</c:v>
                </c:pt>
                <c:pt idx="95">
                  <c:v>14</c:v>
                </c:pt>
                <c:pt idx="96">
                  <c:v>11</c:v>
                </c:pt>
                <c:pt idx="97">
                  <c:v>15</c:v>
                </c:pt>
                <c:pt idx="98">
                  <c:v>7</c:v>
                </c:pt>
                <c:pt idx="99">
                  <c:v>15</c:v>
                </c:pt>
                <c:pt idx="100">
                  <c:v>23</c:v>
                </c:pt>
                <c:pt idx="101">
                  <c:v>5</c:v>
                </c:pt>
              </c:numCache>
            </c:numRef>
          </c:val>
        </c:ser>
        <c:marker val="1"/>
        <c:axId val="171464960"/>
        <c:axId val="171503616"/>
      </c:lineChart>
      <c:catAx>
        <c:axId val="171464960"/>
        <c:scaling>
          <c:orientation val="minMax"/>
        </c:scaling>
        <c:axPos val="b"/>
        <c:numFmt formatCode="General" sourceLinked="1"/>
        <c:majorTickMark val="none"/>
        <c:tickLblPos val="nextTo"/>
        <c:crossAx val="171503616"/>
        <c:crosses val="autoZero"/>
        <c:auto val="1"/>
        <c:lblAlgn val="ctr"/>
        <c:lblOffset val="100"/>
      </c:catAx>
      <c:valAx>
        <c:axId val="171503616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spPr>
          <a:ln w="9525">
            <a:noFill/>
          </a:ln>
        </c:spPr>
        <c:crossAx val="171464960"/>
        <c:crosses val="autoZero"/>
        <c:crossBetween val="between"/>
      </c:valAx>
    </c:plotArea>
    <c:plotVisOnly val="1"/>
  </c:chart>
  <c:printSettings>
    <c:headerFooter/>
    <c:pageMargins b="0.75000000000000155" l="0.70000000000000062" r="0.70000000000000062" t="0.75000000000000155" header="0.30000000000000032" footer="0.30000000000000032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tr-TR"/>
  <c:chart>
    <c:title>
      <c:tx>
        <c:rich>
          <a:bodyPr/>
          <a:lstStyle/>
          <a:p>
            <a:pPr>
              <a:defRPr/>
            </a:pPr>
            <a:r>
              <a:rPr lang="tr-TR"/>
              <a:t>Yağış Ortalaması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marker>
            <c:symbol val="none"/>
          </c:marker>
          <c:cat>
            <c:strRef>
              <c:f>Şenol!$A$3:$A$14</c:f>
              <c:strCache>
                <c:ptCount val="12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  <c:pt idx="6">
                  <c:v>Temmuz</c:v>
                </c:pt>
                <c:pt idx="7">
                  <c:v>Ağustos</c:v>
                </c:pt>
                <c:pt idx="8">
                  <c:v>Eylül</c:v>
                </c:pt>
                <c:pt idx="9">
                  <c:v>Ekim</c:v>
                </c:pt>
                <c:pt idx="10">
                  <c:v>Kasım</c:v>
                </c:pt>
                <c:pt idx="11">
                  <c:v>Aralık</c:v>
                </c:pt>
              </c:strCache>
            </c:strRef>
          </c:cat>
          <c:val>
            <c:numRef>
              <c:f>Şenol!$C$3:$C$14</c:f>
              <c:numCache>
                <c:formatCode>0.0</c:formatCode>
                <c:ptCount val="12"/>
                <c:pt idx="0">
                  <c:v>106.54174757281535</c:v>
                </c:pt>
                <c:pt idx="1">
                  <c:v>86.272135922320942</c:v>
                </c:pt>
                <c:pt idx="2">
                  <c:v>69.19067961164167</c:v>
                </c:pt>
                <c:pt idx="3">
                  <c:v>49.621359223295862</c:v>
                </c:pt>
                <c:pt idx="4">
                  <c:v>37.866213592227787</c:v>
                </c:pt>
                <c:pt idx="5">
                  <c:v>35.785294117641968</c:v>
                </c:pt>
                <c:pt idx="6">
                  <c:v>33.972277227715729</c:v>
                </c:pt>
                <c:pt idx="7">
                  <c:v>39.3561224489765</c:v>
                </c:pt>
                <c:pt idx="8">
                  <c:v>72.686990291240207</c:v>
                </c:pt>
                <c:pt idx="9">
                  <c:v>95.251923076909875</c:v>
                </c:pt>
                <c:pt idx="10">
                  <c:v>102.8646153846029</c:v>
                </c:pt>
                <c:pt idx="11">
                  <c:v>131.000384615369</c:v>
                </c:pt>
              </c:numCache>
            </c:numRef>
          </c:val>
        </c:ser>
        <c:marker val="1"/>
        <c:axId val="171518976"/>
        <c:axId val="171524864"/>
      </c:lineChart>
      <c:catAx>
        <c:axId val="171518976"/>
        <c:scaling>
          <c:orientation val="minMax"/>
        </c:scaling>
        <c:axPos val="b"/>
        <c:majorTickMark val="none"/>
        <c:tickLblPos val="nextTo"/>
        <c:crossAx val="171524864"/>
        <c:crosses val="autoZero"/>
        <c:auto val="1"/>
        <c:lblAlgn val="ctr"/>
        <c:lblOffset val="100"/>
      </c:catAx>
      <c:valAx>
        <c:axId val="171524864"/>
        <c:scaling>
          <c:orientation val="minMax"/>
        </c:scaling>
        <c:axPos val="l"/>
        <c:majorGridlines/>
        <c:numFmt formatCode="0.0" sourceLinked="1"/>
        <c:majorTickMark val="none"/>
        <c:tickLblPos val="nextTo"/>
        <c:spPr>
          <a:ln w="9525">
            <a:noFill/>
          </a:ln>
        </c:spPr>
        <c:crossAx val="171518976"/>
        <c:crosses val="autoZero"/>
        <c:crossBetween val="between"/>
      </c:valAx>
    </c:plotArea>
    <c:plotVisOnly val="1"/>
  </c:chart>
  <c:printSettings>
    <c:headerFooter/>
    <c:pageMargins b="0.19685039370078738" l="0.19685039370078738" r="0.19685039370078738" t="0.19685039370078738" header="0" footer="0"/>
    <c:pageSetup paperSize="9"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tr-TR"/>
  <c:style val="47"/>
  <c:chart>
    <c:title>
      <c:tx>
        <c:rich>
          <a:bodyPr/>
          <a:lstStyle/>
          <a:p>
            <a:pPr>
              <a:defRPr/>
            </a:pPr>
            <a:r>
              <a:rPr lang="tr-TR"/>
              <a:t>Yıllık</a:t>
            </a:r>
            <a:r>
              <a:rPr lang="tr-TR" baseline="0"/>
              <a:t> Toplam Yağış ( </a:t>
            </a:r>
            <a:r>
              <a:rPr lang="tr-TR" sz="1800" b="1" i="0" u="none" strike="noStrike" baseline="0"/>
              <a:t>m²/kg )</a:t>
            </a:r>
            <a:endParaRPr lang="tr-TR"/>
          </a:p>
        </c:rich>
      </c:tx>
      <c:layout/>
    </c:title>
    <c:plotArea>
      <c:layout/>
      <c:lineChart>
        <c:grouping val="standard"/>
        <c:ser>
          <c:idx val="0"/>
          <c:order val="0"/>
          <c:marker>
            <c:symbol val="none"/>
          </c:marker>
          <c:cat>
            <c:numRef>
              <c:f>'Bahar 1'!$A$7:$A$108</c:f>
              <c:numCache>
                <c:formatCode>General</c:formatCode>
                <c:ptCount val="102"/>
                <c:pt idx="0">
                  <c:v>1912</c:v>
                </c:pt>
                <c:pt idx="1">
                  <c:v>1913</c:v>
                </c:pt>
                <c:pt idx="2">
                  <c:v>1914</c:v>
                </c:pt>
                <c:pt idx="3">
                  <c:v>1915</c:v>
                </c:pt>
                <c:pt idx="4">
                  <c:v>1916</c:v>
                </c:pt>
                <c:pt idx="5">
                  <c:v>1917</c:v>
                </c:pt>
                <c:pt idx="6">
                  <c:v>1918</c:v>
                </c:pt>
                <c:pt idx="7">
                  <c:v>1919</c:v>
                </c:pt>
                <c:pt idx="8">
                  <c:v>1920</c:v>
                </c:pt>
                <c:pt idx="9">
                  <c:v>1921</c:v>
                </c:pt>
                <c:pt idx="10">
                  <c:v>1922</c:v>
                </c:pt>
                <c:pt idx="11">
                  <c:v>1923</c:v>
                </c:pt>
                <c:pt idx="12">
                  <c:v>1924</c:v>
                </c:pt>
                <c:pt idx="13">
                  <c:v>1925</c:v>
                </c:pt>
                <c:pt idx="14">
                  <c:v>1926</c:v>
                </c:pt>
                <c:pt idx="15">
                  <c:v>1927</c:v>
                </c:pt>
                <c:pt idx="16">
                  <c:v>1928</c:v>
                </c:pt>
                <c:pt idx="17">
                  <c:v>1929</c:v>
                </c:pt>
                <c:pt idx="18">
                  <c:v>1930</c:v>
                </c:pt>
                <c:pt idx="19">
                  <c:v>1931</c:v>
                </c:pt>
                <c:pt idx="20">
                  <c:v>1932</c:v>
                </c:pt>
                <c:pt idx="21">
                  <c:v>1933</c:v>
                </c:pt>
                <c:pt idx="22">
                  <c:v>1934</c:v>
                </c:pt>
                <c:pt idx="23">
                  <c:v>1935</c:v>
                </c:pt>
                <c:pt idx="24">
                  <c:v>1936</c:v>
                </c:pt>
                <c:pt idx="25">
                  <c:v>1937</c:v>
                </c:pt>
                <c:pt idx="26">
                  <c:v>1938</c:v>
                </c:pt>
                <c:pt idx="27">
                  <c:v>1939</c:v>
                </c:pt>
                <c:pt idx="28">
                  <c:v>1940</c:v>
                </c:pt>
                <c:pt idx="29">
                  <c:v>1941</c:v>
                </c:pt>
                <c:pt idx="30">
                  <c:v>1942</c:v>
                </c:pt>
                <c:pt idx="31">
                  <c:v>1943</c:v>
                </c:pt>
                <c:pt idx="32">
                  <c:v>1944</c:v>
                </c:pt>
                <c:pt idx="33">
                  <c:v>1945</c:v>
                </c:pt>
                <c:pt idx="34">
                  <c:v>1946</c:v>
                </c:pt>
                <c:pt idx="35">
                  <c:v>1947</c:v>
                </c:pt>
                <c:pt idx="36">
                  <c:v>1948</c:v>
                </c:pt>
                <c:pt idx="37">
                  <c:v>1949</c:v>
                </c:pt>
                <c:pt idx="38">
                  <c:v>1950</c:v>
                </c:pt>
                <c:pt idx="39">
                  <c:v>1951</c:v>
                </c:pt>
                <c:pt idx="40">
                  <c:v>1952</c:v>
                </c:pt>
                <c:pt idx="41">
                  <c:v>1953</c:v>
                </c:pt>
                <c:pt idx="42">
                  <c:v>1954</c:v>
                </c:pt>
                <c:pt idx="43">
                  <c:v>1955</c:v>
                </c:pt>
                <c:pt idx="44">
                  <c:v>1956</c:v>
                </c:pt>
                <c:pt idx="45">
                  <c:v>1957</c:v>
                </c:pt>
                <c:pt idx="46">
                  <c:v>1958</c:v>
                </c:pt>
                <c:pt idx="47">
                  <c:v>1959</c:v>
                </c:pt>
                <c:pt idx="48">
                  <c:v>1960</c:v>
                </c:pt>
                <c:pt idx="49">
                  <c:v>1961</c:v>
                </c:pt>
                <c:pt idx="50">
                  <c:v>1962</c:v>
                </c:pt>
                <c:pt idx="51">
                  <c:v>1963</c:v>
                </c:pt>
                <c:pt idx="52">
                  <c:v>1964</c:v>
                </c:pt>
                <c:pt idx="53">
                  <c:v>1965</c:v>
                </c:pt>
                <c:pt idx="54">
                  <c:v>1966</c:v>
                </c:pt>
                <c:pt idx="55">
                  <c:v>1967</c:v>
                </c:pt>
                <c:pt idx="56">
                  <c:v>1968</c:v>
                </c:pt>
                <c:pt idx="57">
                  <c:v>1969</c:v>
                </c:pt>
                <c:pt idx="58">
                  <c:v>1970</c:v>
                </c:pt>
                <c:pt idx="59">
                  <c:v>1971</c:v>
                </c:pt>
                <c:pt idx="60">
                  <c:v>1972</c:v>
                </c:pt>
                <c:pt idx="61">
                  <c:v>1973</c:v>
                </c:pt>
                <c:pt idx="62">
                  <c:v>1974</c:v>
                </c:pt>
                <c:pt idx="63">
                  <c:v>1975</c:v>
                </c:pt>
                <c:pt idx="64">
                  <c:v>1976</c:v>
                </c:pt>
                <c:pt idx="65">
                  <c:v>1977</c:v>
                </c:pt>
                <c:pt idx="66">
                  <c:v>1978</c:v>
                </c:pt>
                <c:pt idx="67">
                  <c:v>1979</c:v>
                </c:pt>
                <c:pt idx="68">
                  <c:v>1980</c:v>
                </c:pt>
                <c:pt idx="69">
                  <c:v>1981</c:v>
                </c:pt>
                <c:pt idx="70">
                  <c:v>1982</c:v>
                </c:pt>
                <c:pt idx="71">
                  <c:v>1983</c:v>
                </c:pt>
                <c:pt idx="72">
                  <c:v>1984</c:v>
                </c:pt>
                <c:pt idx="73">
                  <c:v>1985</c:v>
                </c:pt>
                <c:pt idx="74">
                  <c:v>1986</c:v>
                </c:pt>
                <c:pt idx="75">
                  <c:v>1987</c:v>
                </c:pt>
                <c:pt idx="76">
                  <c:v>1988</c:v>
                </c:pt>
                <c:pt idx="77">
                  <c:v>1989</c:v>
                </c:pt>
                <c:pt idx="78">
                  <c:v>1990</c:v>
                </c:pt>
                <c:pt idx="79">
                  <c:v>1991</c:v>
                </c:pt>
                <c:pt idx="80">
                  <c:v>1992</c:v>
                </c:pt>
                <c:pt idx="81">
                  <c:v>1993</c:v>
                </c:pt>
                <c:pt idx="82">
                  <c:v>1994</c:v>
                </c:pt>
                <c:pt idx="83">
                  <c:v>1995</c:v>
                </c:pt>
                <c:pt idx="84">
                  <c:v>1996</c:v>
                </c:pt>
                <c:pt idx="85">
                  <c:v>1997</c:v>
                </c:pt>
                <c:pt idx="86">
                  <c:v>1998</c:v>
                </c:pt>
                <c:pt idx="87">
                  <c:v>1999</c:v>
                </c:pt>
                <c:pt idx="88">
                  <c:v>2000</c:v>
                </c:pt>
                <c:pt idx="89">
                  <c:v>2001</c:v>
                </c:pt>
                <c:pt idx="90">
                  <c:v>2002</c:v>
                </c:pt>
                <c:pt idx="91">
                  <c:v>2003</c:v>
                </c:pt>
                <c:pt idx="92">
                  <c:v>2004</c:v>
                </c:pt>
                <c:pt idx="93">
                  <c:v>2005</c:v>
                </c:pt>
                <c:pt idx="94">
                  <c:v>2006</c:v>
                </c:pt>
                <c:pt idx="95">
                  <c:v>2007</c:v>
                </c:pt>
                <c:pt idx="96">
                  <c:v>2008</c:v>
                </c:pt>
                <c:pt idx="97">
                  <c:v>2009</c:v>
                </c:pt>
                <c:pt idx="98">
                  <c:v>2010</c:v>
                </c:pt>
                <c:pt idx="99">
                  <c:v>2011</c:v>
                </c:pt>
                <c:pt idx="100">
                  <c:v>2012</c:v>
                </c:pt>
                <c:pt idx="101">
                  <c:v>2013</c:v>
                </c:pt>
              </c:numCache>
            </c:numRef>
          </c:cat>
          <c:val>
            <c:numRef>
              <c:f>'Bahar 1'!$B$7:$B$108</c:f>
              <c:numCache>
                <c:formatCode>General</c:formatCode>
                <c:ptCount val="102"/>
                <c:pt idx="0">
                  <c:v>600.70000000000005</c:v>
                </c:pt>
                <c:pt idx="1">
                  <c:v>1004.3999999999999</c:v>
                </c:pt>
                <c:pt idx="2">
                  <c:v>708.7</c:v>
                </c:pt>
                <c:pt idx="3">
                  <c:v>658.8</c:v>
                </c:pt>
                <c:pt idx="4">
                  <c:v>452.2</c:v>
                </c:pt>
                <c:pt idx="5">
                  <c:v>531.5</c:v>
                </c:pt>
                <c:pt idx="6">
                  <c:v>671.3</c:v>
                </c:pt>
                <c:pt idx="7">
                  <c:v>912.3</c:v>
                </c:pt>
                <c:pt idx="8">
                  <c:v>660.9</c:v>
                </c:pt>
                <c:pt idx="9">
                  <c:v>510.4</c:v>
                </c:pt>
                <c:pt idx="10">
                  <c:v>976.90000000000009</c:v>
                </c:pt>
                <c:pt idx="11">
                  <c:v>666.3</c:v>
                </c:pt>
                <c:pt idx="12">
                  <c:v>1029.0999999999999</c:v>
                </c:pt>
                <c:pt idx="13">
                  <c:v>866.8</c:v>
                </c:pt>
                <c:pt idx="14">
                  <c:v>583.6</c:v>
                </c:pt>
                <c:pt idx="15">
                  <c:v>725.8</c:v>
                </c:pt>
                <c:pt idx="16">
                  <c:v>693.05</c:v>
                </c:pt>
                <c:pt idx="17">
                  <c:v>763.33999999999992</c:v>
                </c:pt>
                <c:pt idx="18">
                  <c:v>722.70000000000016</c:v>
                </c:pt>
                <c:pt idx="19">
                  <c:v>877.3</c:v>
                </c:pt>
                <c:pt idx="20">
                  <c:v>713.5</c:v>
                </c:pt>
                <c:pt idx="21">
                  <c:v>935.29999999999905</c:v>
                </c:pt>
                <c:pt idx="22">
                  <c:v>509.69999999984782</c:v>
                </c:pt>
                <c:pt idx="23">
                  <c:v>870.43999999955679</c:v>
                </c:pt>
                <c:pt idx="24">
                  <c:v>757.69999999968968</c:v>
                </c:pt>
                <c:pt idx="25">
                  <c:v>908.59999999960451</c:v>
                </c:pt>
                <c:pt idx="26">
                  <c:v>884.39999999952852</c:v>
                </c:pt>
                <c:pt idx="27">
                  <c:v>1017.5999999996034</c:v>
                </c:pt>
                <c:pt idx="28">
                  <c:v>1080.999999999465</c:v>
                </c:pt>
                <c:pt idx="29">
                  <c:v>735.19999999966092</c:v>
                </c:pt>
                <c:pt idx="30">
                  <c:v>899.99999999953639</c:v>
                </c:pt>
                <c:pt idx="31">
                  <c:v>919.89999999962788</c:v>
                </c:pt>
                <c:pt idx="32">
                  <c:v>907.19999999951142</c:v>
                </c:pt>
                <c:pt idx="33">
                  <c:v>687.33999999978778</c:v>
                </c:pt>
                <c:pt idx="34">
                  <c:v>672.49999999971237</c:v>
                </c:pt>
                <c:pt idx="35">
                  <c:v>704.39999999978977</c:v>
                </c:pt>
                <c:pt idx="36">
                  <c:v>1058.3299999997771</c:v>
                </c:pt>
                <c:pt idx="37">
                  <c:v>880.33999999966784</c:v>
                </c:pt>
                <c:pt idx="38">
                  <c:v>897.29999999952724</c:v>
                </c:pt>
                <c:pt idx="39">
                  <c:v>906.79999999958432</c:v>
                </c:pt>
                <c:pt idx="40">
                  <c:v>758.99999999972147</c:v>
                </c:pt>
                <c:pt idx="41">
                  <c:v>919.49999999962938</c:v>
                </c:pt>
                <c:pt idx="42">
                  <c:v>672.6999999997447</c:v>
                </c:pt>
                <c:pt idx="43">
                  <c:v>1001.3999999995606</c:v>
                </c:pt>
                <c:pt idx="44">
                  <c:v>719.89999999979409</c:v>
                </c:pt>
                <c:pt idx="45">
                  <c:v>656.31999999979791</c:v>
                </c:pt>
                <c:pt idx="46">
                  <c:v>946.19999999959862</c:v>
                </c:pt>
                <c:pt idx="47">
                  <c:v>820.49999999966735</c:v>
                </c:pt>
                <c:pt idx="48">
                  <c:v>743.0999999996684</c:v>
                </c:pt>
                <c:pt idx="49">
                  <c:v>1177.4999999994711</c:v>
                </c:pt>
                <c:pt idx="50">
                  <c:v>1113.9999999994757</c:v>
                </c:pt>
                <c:pt idx="51">
                  <c:v>1001.4999999994639</c:v>
                </c:pt>
                <c:pt idx="52">
                  <c:v>920.10000000001924</c:v>
                </c:pt>
                <c:pt idx="53">
                  <c:v>1056.0999999999192</c:v>
                </c:pt>
                <c:pt idx="54">
                  <c:v>904.3999999998947</c:v>
                </c:pt>
                <c:pt idx="55">
                  <c:v>692.90000000000668</c:v>
                </c:pt>
                <c:pt idx="56">
                  <c:v>1058.9000000000485</c:v>
                </c:pt>
                <c:pt idx="57">
                  <c:v>843.39999999995575</c:v>
                </c:pt>
                <c:pt idx="58">
                  <c:v>962.99999999998181</c:v>
                </c:pt>
                <c:pt idx="59">
                  <c:v>974.62999999998124</c:v>
                </c:pt>
                <c:pt idx="60">
                  <c:v>749.49999999984277</c:v>
                </c:pt>
                <c:pt idx="61">
                  <c:v>790.4000000000018</c:v>
                </c:pt>
                <c:pt idx="62">
                  <c:v>888.49999999999659</c:v>
                </c:pt>
                <c:pt idx="63">
                  <c:v>904.89999999999714</c:v>
                </c:pt>
                <c:pt idx="64">
                  <c:v>786.50000000000455</c:v>
                </c:pt>
                <c:pt idx="65">
                  <c:v>642.80000000000632</c:v>
                </c:pt>
                <c:pt idx="66">
                  <c:v>1010.3000000000434</c:v>
                </c:pt>
                <c:pt idx="67">
                  <c:v>828.40000000001373</c:v>
                </c:pt>
                <c:pt idx="68">
                  <c:v>964.62000000006947</c:v>
                </c:pt>
                <c:pt idx="69">
                  <c:v>1293.3999999998982</c:v>
                </c:pt>
                <c:pt idx="70">
                  <c:v>723.19999999993763</c:v>
                </c:pt>
                <c:pt idx="71">
                  <c:v>745.19999999993604</c:v>
                </c:pt>
                <c:pt idx="72">
                  <c:v>926.49999999975421</c:v>
                </c:pt>
                <c:pt idx="73">
                  <c:v>939.79999999999984</c:v>
                </c:pt>
                <c:pt idx="74">
                  <c:v>844.30000000000007</c:v>
                </c:pt>
                <c:pt idx="75">
                  <c:v>1049.5</c:v>
                </c:pt>
                <c:pt idx="76">
                  <c:v>817</c:v>
                </c:pt>
                <c:pt idx="77">
                  <c:v>557.9</c:v>
                </c:pt>
                <c:pt idx="78">
                  <c:v>926.3</c:v>
                </c:pt>
                <c:pt idx="79">
                  <c:v>878.30000000000007</c:v>
                </c:pt>
                <c:pt idx="80">
                  <c:v>694.3</c:v>
                </c:pt>
                <c:pt idx="81">
                  <c:v>680.30000000001746</c:v>
                </c:pt>
                <c:pt idx="82">
                  <c:v>816.2</c:v>
                </c:pt>
                <c:pt idx="83">
                  <c:v>781.60000000001162</c:v>
                </c:pt>
                <c:pt idx="84">
                  <c:v>953.2</c:v>
                </c:pt>
                <c:pt idx="85">
                  <c:v>1128.5999999999999</c:v>
                </c:pt>
                <c:pt idx="86">
                  <c:v>870.09999999999991</c:v>
                </c:pt>
                <c:pt idx="87">
                  <c:v>779.3</c:v>
                </c:pt>
                <c:pt idx="88">
                  <c:v>814.50000000000011</c:v>
                </c:pt>
                <c:pt idx="89">
                  <c:v>1058.3</c:v>
                </c:pt>
                <c:pt idx="90">
                  <c:v>830.2</c:v>
                </c:pt>
                <c:pt idx="91">
                  <c:v>849.90000000000009</c:v>
                </c:pt>
                <c:pt idx="92">
                  <c:v>954.10000000000014</c:v>
                </c:pt>
                <c:pt idx="93">
                  <c:v>861</c:v>
                </c:pt>
                <c:pt idx="94">
                  <c:v>850.69999999999982</c:v>
                </c:pt>
                <c:pt idx="95">
                  <c:v>624.39999999999986</c:v>
                </c:pt>
                <c:pt idx="96">
                  <c:v>875.6</c:v>
                </c:pt>
                <c:pt idx="97">
                  <c:v>979.10000000000014</c:v>
                </c:pt>
                <c:pt idx="98">
                  <c:v>1120.3</c:v>
                </c:pt>
                <c:pt idx="99">
                  <c:v>602.79999999999995</c:v>
                </c:pt>
                <c:pt idx="100">
                  <c:v>809</c:v>
                </c:pt>
                <c:pt idx="101">
                  <c:v>553</c:v>
                </c:pt>
              </c:numCache>
            </c:numRef>
          </c:val>
        </c:ser>
        <c:hiLowLines/>
        <c:marker val="1"/>
        <c:axId val="172222336"/>
        <c:axId val="62283776"/>
      </c:lineChart>
      <c:catAx>
        <c:axId val="17222233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Yıllar</a:t>
                </a:r>
              </a:p>
            </c:rich>
          </c:tx>
          <c:layout/>
        </c:title>
        <c:numFmt formatCode="General" sourceLinked="1"/>
        <c:majorTickMark val="none"/>
        <c:tickLblPos val="nextTo"/>
        <c:crossAx val="62283776"/>
        <c:crosses val="autoZero"/>
        <c:auto val="1"/>
        <c:lblAlgn val="ctr"/>
        <c:lblOffset val="100"/>
      </c:catAx>
      <c:valAx>
        <c:axId val="62283776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Toplam Yağış ( </a:t>
                </a:r>
                <a:r>
                  <a:rPr lang="tr-TR" sz="1000" b="1" i="0" u="none" strike="noStrike" baseline="0"/>
                  <a:t>m²/kg )</a:t>
                </a:r>
                <a:endParaRPr lang="tr-TR"/>
              </a:p>
            </c:rich>
          </c:tx>
          <c:layout/>
        </c:title>
        <c:numFmt formatCode="General" sourceLinked="1"/>
        <c:tickLblPos val="nextTo"/>
        <c:crossAx val="172222336"/>
        <c:crosses val="autoZero"/>
        <c:crossBetween val="between"/>
      </c:valAx>
    </c:plotArea>
    <c:plotVisOnly val="1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tr-TR"/>
  <c:style val="46"/>
  <c:chart>
    <c:title>
      <c:tx>
        <c:rich>
          <a:bodyPr/>
          <a:lstStyle/>
          <a:p>
            <a:pPr>
              <a:defRPr/>
            </a:pPr>
            <a:r>
              <a:rPr lang="tr-TR"/>
              <a:t>Yıllık Toplam Yağışlı Gün Sayısı</a:t>
            </a:r>
          </a:p>
        </c:rich>
      </c:tx>
      <c:layout/>
    </c:title>
    <c:plotArea>
      <c:layout/>
      <c:lineChart>
        <c:grouping val="standard"/>
        <c:ser>
          <c:idx val="1"/>
          <c:order val="1"/>
          <c:marker>
            <c:symbol val="none"/>
          </c:marker>
          <c:cat>
            <c:numRef>
              <c:f>'Bahar 1'!$A$7:$A$108</c:f>
              <c:numCache>
                <c:formatCode>General</c:formatCode>
                <c:ptCount val="102"/>
                <c:pt idx="0">
                  <c:v>1912</c:v>
                </c:pt>
                <c:pt idx="1">
                  <c:v>1913</c:v>
                </c:pt>
                <c:pt idx="2">
                  <c:v>1914</c:v>
                </c:pt>
                <c:pt idx="3">
                  <c:v>1915</c:v>
                </c:pt>
                <c:pt idx="4">
                  <c:v>1916</c:v>
                </c:pt>
                <c:pt idx="5">
                  <c:v>1917</c:v>
                </c:pt>
                <c:pt idx="6">
                  <c:v>1918</c:v>
                </c:pt>
                <c:pt idx="7">
                  <c:v>1919</c:v>
                </c:pt>
                <c:pt idx="8">
                  <c:v>1920</c:v>
                </c:pt>
                <c:pt idx="9">
                  <c:v>1921</c:v>
                </c:pt>
                <c:pt idx="10">
                  <c:v>1922</c:v>
                </c:pt>
                <c:pt idx="11">
                  <c:v>1923</c:v>
                </c:pt>
                <c:pt idx="12">
                  <c:v>1924</c:v>
                </c:pt>
                <c:pt idx="13">
                  <c:v>1925</c:v>
                </c:pt>
                <c:pt idx="14">
                  <c:v>1926</c:v>
                </c:pt>
                <c:pt idx="15">
                  <c:v>1927</c:v>
                </c:pt>
                <c:pt idx="16">
                  <c:v>1928</c:v>
                </c:pt>
                <c:pt idx="17">
                  <c:v>1929</c:v>
                </c:pt>
                <c:pt idx="18">
                  <c:v>1930</c:v>
                </c:pt>
                <c:pt idx="19">
                  <c:v>1931</c:v>
                </c:pt>
                <c:pt idx="20">
                  <c:v>1932</c:v>
                </c:pt>
                <c:pt idx="21">
                  <c:v>1933</c:v>
                </c:pt>
                <c:pt idx="22">
                  <c:v>1934</c:v>
                </c:pt>
                <c:pt idx="23">
                  <c:v>1935</c:v>
                </c:pt>
                <c:pt idx="24">
                  <c:v>1936</c:v>
                </c:pt>
                <c:pt idx="25">
                  <c:v>1937</c:v>
                </c:pt>
                <c:pt idx="26">
                  <c:v>1938</c:v>
                </c:pt>
                <c:pt idx="27">
                  <c:v>1939</c:v>
                </c:pt>
                <c:pt idx="28">
                  <c:v>1940</c:v>
                </c:pt>
                <c:pt idx="29">
                  <c:v>1941</c:v>
                </c:pt>
                <c:pt idx="30">
                  <c:v>1942</c:v>
                </c:pt>
                <c:pt idx="31">
                  <c:v>1943</c:v>
                </c:pt>
                <c:pt idx="32">
                  <c:v>1944</c:v>
                </c:pt>
                <c:pt idx="33">
                  <c:v>1945</c:v>
                </c:pt>
                <c:pt idx="34">
                  <c:v>1946</c:v>
                </c:pt>
                <c:pt idx="35">
                  <c:v>1947</c:v>
                </c:pt>
                <c:pt idx="36">
                  <c:v>1948</c:v>
                </c:pt>
                <c:pt idx="37">
                  <c:v>1949</c:v>
                </c:pt>
                <c:pt idx="38">
                  <c:v>1950</c:v>
                </c:pt>
                <c:pt idx="39">
                  <c:v>1951</c:v>
                </c:pt>
                <c:pt idx="40">
                  <c:v>1952</c:v>
                </c:pt>
                <c:pt idx="41">
                  <c:v>1953</c:v>
                </c:pt>
                <c:pt idx="42">
                  <c:v>1954</c:v>
                </c:pt>
                <c:pt idx="43">
                  <c:v>1955</c:v>
                </c:pt>
                <c:pt idx="44">
                  <c:v>1956</c:v>
                </c:pt>
                <c:pt idx="45">
                  <c:v>1957</c:v>
                </c:pt>
                <c:pt idx="46">
                  <c:v>1958</c:v>
                </c:pt>
                <c:pt idx="47">
                  <c:v>1959</c:v>
                </c:pt>
                <c:pt idx="48">
                  <c:v>1960</c:v>
                </c:pt>
                <c:pt idx="49">
                  <c:v>1961</c:v>
                </c:pt>
                <c:pt idx="50">
                  <c:v>1962</c:v>
                </c:pt>
                <c:pt idx="51">
                  <c:v>1963</c:v>
                </c:pt>
                <c:pt idx="52">
                  <c:v>1964</c:v>
                </c:pt>
                <c:pt idx="53">
                  <c:v>1965</c:v>
                </c:pt>
                <c:pt idx="54">
                  <c:v>1966</c:v>
                </c:pt>
                <c:pt idx="55">
                  <c:v>1967</c:v>
                </c:pt>
                <c:pt idx="56">
                  <c:v>1968</c:v>
                </c:pt>
                <c:pt idx="57">
                  <c:v>1969</c:v>
                </c:pt>
                <c:pt idx="58">
                  <c:v>1970</c:v>
                </c:pt>
                <c:pt idx="59">
                  <c:v>1971</c:v>
                </c:pt>
                <c:pt idx="60">
                  <c:v>1972</c:v>
                </c:pt>
                <c:pt idx="61">
                  <c:v>1973</c:v>
                </c:pt>
                <c:pt idx="62">
                  <c:v>1974</c:v>
                </c:pt>
                <c:pt idx="63">
                  <c:v>1975</c:v>
                </c:pt>
                <c:pt idx="64">
                  <c:v>1976</c:v>
                </c:pt>
                <c:pt idx="65">
                  <c:v>1977</c:v>
                </c:pt>
                <c:pt idx="66">
                  <c:v>1978</c:v>
                </c:pt>
                <c:pt idx="67">
                  <c:v>1979</c:v>
                </c:pt>
                <c:pt idx="68">
                  <c:v>1980</c:v>
                </c:pt>
                <c:pt idx="69">
                  <c:v>1981</c:v>
                </c:pt>
                <c:pt idx="70">
                  <c:v>1982</c:v>
                </c:pt>
                <c:pt idx="71">
                  <c:v>1983</c:v>
                </c:pt>
                <c:pt idx="72">
                  <c:v>1984</c:v>
                </c:pt>
                <c:pt idx="73">
                  <c:v>1985</c:v>
                </c:pt>
                <c:pt idx="74">
                  <c:v>1986</c:v>
                </c:pt>
                <c:pt idx="75">
                  <c:v>1987</c:v>
                </c:pt>
                <c:pt idx="76">
                  <c:v>1988</c:v>
                </c:pt>
                <c:pt idx="77">
                  <c:v>1989</c:v>
                </c:pt>
                <c:pt idx="78">
                  <c:v>1990</c:v>
                </c:pt>
                <c:pt idx="79">
                  <c:v>1991</c:v>
                </c:pt>
                <c:pt idx="80">
                  <c:v>1992</c:v>
                </c:pt>
                <c:pt idx="81">
                  <c:v>1993</c:v>
                </c:pt>
                <c:pt idx="82">
                  <c:v>1994</c:v>
                </c:pt>
                <c:pt idx="83">
                  <c:v>1995</c:v>
                </c:pt>
                <c:pt idx="84">
                  <c:v>1996</c:v>
                </c:pt>
                <c:pt idx="85">
                  <c:v>1997</c:v>
                </c:pt>
                <c:pt idx="86">
                  <c:v>1998</c:v>
                </c:pt>
                <c:pt idx="87">
                  <c:v>1999</c:v>
                </c:pt>
                <c:pt idx="88">
                  <c:v>2000</c:v>
                </c:pt>
                <c:pt idx="89">
                  <c:v>2001</c:v>
                </c:pt>
                <c:pt idx="90">
                  <c:v>2002</c:v>
                </c:pt>
                <c:pt idx="91">
                  <c:v>2003</c:v>
                </c:pt>
                <c:pt idx="92">
                  <c:v>2004</c:v>
                </c:pt>
                <c:pt idx="93">
                  <c:v>2005</c:v>
                </c:pt>
                <c:pt idx="94">
                  <c:v>2006</c:v>
                </c:pt>
                <c:pt idx="95">
                  <c:v>2007</c:v>
                </c:pt>
                <c:pt idx="96">
                  <c:v>2008</c:v>
                </c:pt>
                <c:pt idx="97">
                  <c:v>2009</c:v>
                </c:pt>
                <c:pt idx="98">
                  <c:v>2010</c:v>
                </c:pt>
                <c:pt idx="99">
                  <c:v>2011</c:v>
                </c:pt>
                <c:pt idx="100">
                  <c:v>2012</c:v>
                </c:pt>
                <c:pt idx="101">
                  <c:v>2013</c:v>
                </c:pt>
              </c:numCache>
            </c:numRef>
          </c:cat>
          <c:val>
            <c:numRef>
              <c:f>'Bahar 1'!$C$7:$C$108</c:f>
              <c:numCache>
                <c:formatCode>General</c:formatCode>
                <c:ptCount val="102"/>
                <c:pt idx="0">
                  <c:v>118</c:v>
                </c:pt>
                <c:pt idx="1">
                  <c:v>136</c:v>
                </c:pt>
                <c:pt idx="2">
                  <c:v>160</c:v>
                </c:pt>
                <c:pt idx="3">
                  <c:v>141</c:v>
                </c:pt>
                <c:pt idx="4">
                  <c:v>130</c:v>
                </c:pt>
                <c:pt idx="5">
                  <c:v>104</c:v>
                </c:pt>
                <c:pt idx="6">
                  <c:v>104</c:v>
                </c:pt>
                <c:pt idx="7">
                  <c:v>125</c:v>
                </c:pt>
                <c:pt idx="8">
                  <c:v>121</c:v>
                </c:pt>
                <c:pt idx="9">
                  <c:v>130</c:v>
                </c:pt>
                <c:pt idx="10">
                  <c:v>144</c:v>
                </c:pt>
                <c:pt idx="11">
                  <c:v>105</c:v>
                </c:pt>
                <c:pt idx="12">
                  <c:v>127</c:v>
                </c:pt>
                <c:pt idx="13">
                  <c:v>128</c:v>
                </c:pt>
                <c:pt idx="14">
                  <c:v>91</c:v>
                </c:pt>
                <c:pt idx="15">
                  <c:v>96</c:v>
                </c:pt>
                <c:pt idx="16">
                  <c:v>120</c:v>
                </c:pt>
                <c:pt idx="17">
                  <c:v>150</c:v>
                </c:pt>
                <c:pt idx="18">
                  <c:v>132</c:v>
                </c:pt>
                <c:pt idx="19">
                  <c:v>133</c:v>
                </c:pt>
                <c:pt idx="20">
                  <c:v>125</c:v>
                </c:pt>
                <c:pt idx="21">
                  <c:v>158</c:v>
                </c:pt>
                <c:pt idx="22">
                  <c:v>101</c:v>
                </c:pt>
                <c:pt idx="23">
                  <c:v>137</c:v>
                </c:pt>
                <c:pt idx="24">
                  <c:v>136</c:v>
                </c:pt>
                <c:pt idx="25">
                  <c:v>131</c:v>
                </c:pt>
                <c:pt idx="26">
                  <c:v>132</c:v>
                </c:pt>
                <c:pt idx="27">
                  <c:v>166</c:v>
                </c:pt>
                <c:pt idx="28">
                  <c:v>152</c:v>
                </c:pt>
                <c:pt idx="29">
                  <c:v>146</c:v>
                </c:pt>
                <c:pt idx="30">
                  <c:v>149</c:v>
                </c:pt>
                <c:pt idx="31">
                  <c:v>143</c:v>
                </c:pt>
                <c:pt idx="32">
                  <c:v>148</c:v>
                </c:pt>
                <c:pt idx="33">
                  <c:v>133</c:v>
                </c:pt>
                <c:pt idx="34">
                  <c:v>134</c:v>
                </c:pt>
                <c:pt idx="35">
                  <c:v>126</c:v>
                </c:pt>
                <c:pt idx="36">
                  <c:v>132</c:v>
                </c:pt>
                <c:pt idx="37">
                  <c:v>137</c:v>
                </c:pt>
                <c:pt idx="38">
                  <c:v>119</c:v>
                </c:pt>
                <c:pt idx="39">
                  <c:v>128</c:v>
                </c:pt>
                <c:pt idx="40">
                  <c:v>109</c:v>
                </c:pt>
                <c:pt idx="41">
                  <c:v>152</c:v>
                </c:pt>
                <c:pt idx="42">
                  <c:v>148</c:v>
                </c:pt>
                <c:pt idx="43">
                  <c:v>140</c:v>
                </c:pt>
                <c:pt idx="44">
                  <c:v>126</c:v>
                </c:pt>
                <c:pt idx="45">
                  <c:v>128</c:v>
                </c:pt>
                <c:pt idx="46">
                  <c:v>136</c:v>
                </c:pt>
                <c:pt idx="47">
                  <c:v>141</c:v>
                </c:pt>
                <c:pt idx="48">
                  <c:v>127</c:v>
                </c:pt>
                <c:pt idx="49">
                  <c:v>140</c:v>
                </c:pt>
                <c:pt idx="50">
                  <c:v>147</c:v>
                </c:pt>
                <c:pt idx="51">
                  <c:v>141</c:v>
                </c:pt>
                <c:pt idx="52">
                  <c:v>136</c:v>
                </c:pt>
                <c:pt idx="53">
                  <c:v>144</c:v>
                </c:pt>
                <c:pt idx="54">
                  <c:v>123</c:v>
                </c:pt>
                <c:pt idx="55">
                  <c:v>137</c:v>
                </c:pt>
                <c:pt idx="56">
                  <c:v>168</c:v>
                </c:pt>
                <c:pt idx="57">
                  <c:v>195</c:v>
                </c:pt>
                <c:pt idx="58">
                  <c:v>216</c:v>
                </c:pt>
                <c:pt idx="59">
                  <c:v>240</c:v>
                </c:pt>
                <c:pt idx="60">
                  <c:v>180</c:v>
                </c:pt>
                <c:pt idx="61">
                  <c:v>205</c:v>
                </c:pt>
                <c:pt idx="62">
                  <c:v>211</c:v>
                </c:pt>
                <c:pt idx="63">
                  <c:v>182</c:v>
                </c:pt>
                <c:pt idx="64">
                  <c:v>159</c:v>
                </c:pt>
                <c:pt idx="65">
                  <c:v>167</c:v>
                </c:pt>
                <c:pt idx="66">
                  <c:v>187</c:v>
                </c:pt>
                <c:pt idx="67">
                  <c:v>175</c:v>
                </c:pt>
                <c:pt idx="68">
                  <c:v>176</c:v>
                </c:pt>
                <c:pt idx="69">
                  <c:v>185</c:v>
                </c:pt>
                <c:pt idx="70">
                  <c:v>168</c:v>
                </c:pt>
                <c:pt idx="71">
                  <c:v>180</c:v>
                </c:pt>
                <c:pt idx="72">
                  <c:v>172</c:v>
                </c:pt>
                <c:pt idx="73">
                  <c:v>155</c:v>
                </c:pt>
                <c:pt idx="74">
                  <c:v>149</c:v>
                </c:pt>
                <c:pt idx="75">
                  <c:v>160</c:v>
                </c:pt>
                <c:pt idx="76">
                  <c:v>139</c:v>
                </c:pt>
                <c:pt idx="77">
                  <c:v>124</c:v>
                </c:pt>
                <c:pt idx="78">
                  <c:v>124</c:v>
                </c:pt>
                <c:pt idx="79">
                  <c:v>166</c:v>
                </c:pt>
                <c:pt idx="80">
                  <c:v>123</c:v>
                </c:pt>
                <c:pt idx="81">
                  <c:v>127</c:v>
                </c:pt>
                <c:pt idx="82">
                  <c:v>138</c:v>
                </c:pt>
                <c:pt idx="83">
                  <c:v>153</c:v>
                </c:pt>
                <c:pt idx="84">
                  <c:v>150</c:v>
                </c:pt>
                <c:pt idx="85">
                  <c:v>135</c:v>
                </c:pt>
                <c:pt idx="86">
                  <c:v>137</c:v>
                </c:pt>
                <c:pt idx="87">
                  <c:v>115</c:v>
                </c:pt>
                <c:pt idx="88">
                  <c:v>121</c:v>
                </c:pt>
                <c:pt idx="89">
                  <c:v>131</c:v>
                </c:pt>
                <c:pt idx="90">
                  <c:v>124</c:v>
                </c:pt>
                <c:pt idx="91">
                  <c:v>138</c:v>
                </c:pt>
                <c:pt idx="92">
                  <c:v>130</c:v>
                </c:pt>
                <c:pt idx="93">
                  <c:v>161</c:v>
                </c:pt>
                <c:pt idx="94">
                  <c:v>121</c:v>
                </c:pt>
                <c:pt idx="95">
                  <c:v>139</c:v>
                </c:pt>
                <c:pt idx="96">
                  <c:v>127</c:v>
                </c:pt>
                <c:pt idx="97">
                  <c:v>150</c:v>
                </c:pt>
                <c:pt idx="98">
                  <c:v>154</c:v>
                </c:pt>
                <c:pt idx="99">
                  <c:v>132</c:v>
                </c:pt>
                <c:pt idx="100">
                  <c:v>143</c:v>
                </c:pt>
                <c:pt idx="101">
                  <c:v>150</c:v>
                </c:pt>
              </c:numCache>
            </c:numRef>
          </c:val>
        </c:ser>
        <c:ser>
          <c:idx val="0"/>
          <c:order val="0"/>
          <c:marker>
            <c:symbol val="none"/>
          </c:marker>
          <c:cat>
            <c:numRef>
              <c:f>'Bahar 1'!$A$7:$A$108</c:f>
              <c:numCache>
                <c:formatCode>General</c:formatCode>
                <c:ptCount val="102"/>
                <c:pt idx="0">
                  <c:v>1912</c:v>
                </c:pt>
                <c:pt idx="1">
                  <c:v>1913</c:v>
                </c:pt>
                <c:pt idx="2">
                  <c:v>1914</c:v>
                </c:pt>
                <c:pt idx="3">
                  <c:v>1915</c:v>
                </c:pt>
                <c:pt idx="4">
                  <c:v>1916</c:v>
                </c:pt>
                <c:pt idx="5">
                  <c:v>1917</c:v>
                </c:pt>
                <c:pt idx="6">
                  <c:v>1918</c:v>
                </c:pt>
                <c:pt idx="7">
                  <c:v>1919</c:v>
                </c:pt>
                <c:pt idx="8">
                  <c:v>1920</c:v>
                </c:pt>
                <c:pt idx="9">
                  <c:v>1921</c:v>
                </c:pt>
                <c:pt idx="10">
                  <c:v>1922</c:v>
                </c:pt>
                <c:pt idx="11">
                  <c:v>1923</c:v>
                </c:pt>
                <c:pt idx="12">
                  <c:v>1924</c:v>
                </c:pt>
                <c:pt idx="13">
                  <c:v>1925</c:v>
                </c:pt>
                <c:pt idx="14">
                  <c:v>1926</c:v>
                </c:pt>
                <c:pt idx="15">
                  <c:v>1927</c:v>
                </c:pt>
                <c:pt idx="16">
                  <c:v>1928</c:v>
                </c:pt>
                <c:pt idx="17">
                  <c:v>1929</c:v>
                </c:pt>
                <c:pt idx="18">
                  <c:v>1930</c:v>
                </c:pt>
                <c:pt idx="19">
                  <c:v>1931</c:v>
                </c:pt>
                <c:pt idx="20">
                  <c:v>1932</c:v>
                </c:pt>
                <c:pt idx="21">
                  <c:v>1933</c:v>
                </c:pt>
                <c:pt idx="22">
                  <c:v>1934</c:v>
                </c:pt>
                <c:pt idx="23">
                  <c:v>1935</c:v>
                </c:pt>
                <c:pt idx="24">
                  <c:v>1936</c:v>
                </c:pt>
                <c:pt idx="25">
                  <c:v>1937</c:v>
                </c:pt>
                <c:pt idx="26">
                  <c:v>1938</c:v>
                </c:pt>
                <c:pt idx="27">
                  <c:v>1939</c:v>
                </c:pt>
                <c:pt idx="28">
                  <c:v>1940</c:v>
                </c:pt>
                <c:pt idx="29">
                  <c:v>1941</c:v>
                </c:pt>
                <c:pt idx="30">
                  <c:v>1942</c:v>
                </c:pt>
                <c:pt idx="31">
                  <c:v>1943</c:v>
                </c:pt>
                <c:pt idx="32">
                  <c:v>1944</c:v>
                </c:pt>
                <c:pt idx="33">
                  <c:v>1945</c:v>
                </c:pt>
                <c:pt idx="34">
                  <c:v>1946</c:v>
                </c:pt>
                <c:pt idx="35">
                  <c:v>1947</c:v>
                </c:pt>
                <c:pt idx="36">
                  <c:v>1948</c:v>
                </c:pt>
                <c:pt idx="37">
                  <c:v>1949</c:v>
                </c:pt>
                <c:pt idx="38">
                  <c:v>1950</c:v>
                </c:pt>
                <c:pt idx="39">
                  <c:v>1951</c:v>
                </c:pt>
                <c:pt idx="40">
                  <c:v>1952</c:v>
                </c:pt>
                <c:pt idx="41">
                  <c:v>1953</c:v>
                </c:pt>
                <c:pt idx="42">
                  <c:v>1954</c:v>
                </c:pt>
                <c:pt idx="43">
                  <c:v>1955</c:v>
                </c:pt>
                <c:pt idx="44">
                  <c:v>1956</c:v>
                </c:pt>
                <c:pt idx="45">
                  <c:v>1957</c:v>
                </c:pt>
                <c:pt idx="46">
                  <c:v>1958</c:v>
                </c:pt>
                <c:pt idx="47">
                  <c:v>1959</c:v>
                </c:pt>
                <c:pt idx="48">
                  <c:v>1960</c:v>
                </c:pt>
                <c:pt idx="49">
                  <c:v>1961</c:v>
                </c:pt>
                <c:pt idx="50">
                  <c:v>1962</c:v>
                </c:pt>
                <c:pt idx="51">
                  <c:v>1963</c:v>
                </c:pt>
                <c:pt idx="52">
                  <c:v>1964</c:v>
                </c:pt>
                <c:pt idx="53">
                  <c:v>1965</c:v>
                </c:pt>
                <c:pt idx="54">
                  <c:v>1966</c:v>
                </c:pt>
                <c:pt idx="55">
                  <c:v>1967</c:v>
                </c:pt>
                <c:pt idx="56">
                  <c:v>1968</c:v>
                </c:pt>
                <c:pt idx="57">
                  <c:v>1969</c:v>
                </c:pt>
                <c:pt idx="58">
                  <c:v>1970</c:v>
                </c:pt>
                <c:pt idx="59">
                  <c:v>1971</c:v>
                </c:pt>
                <c:pt idx="60">
                  <c:v>1972</c:v>
                </c:pt>
                <c:pt idx="61">
                  <c:v>1973</c:v>
                </c:pt>
                <c:pt idx="62">
                  <c:v>1974</c:v>
                </c:pt>
                <c:pt idx="63">
                  <c:v>1975</c:v>
                </c:pt>
                <c:pt idx="64">
                  <c:v>1976</c:v>
                </c:pt>
                <c:pt idx="65">
                  <c:v>1977</c:v>
                </c:pt>
                <c:pt idx="66">
                  <c:v>1978</c:v>
                </c:pt>
                <c:pt idx="67">
                  <c:v>1979</c:v>
                </c:pt>
                <c:pt idx="68">
                  <c:v>1980</c:v>
                </c:pt>
                <c:pt idx="69">
                  <c:v>1981</c:v>
                </c:pt>
                <c:pt idx="70">
                  <c:v>1982</c:v>
                </c:pt>
                <c:pt idx="71">
                  <c:v>1983</c:v>
                </c:pt>
                <c:pt idx="72">
                  <c:v>1984</c:v>
                </c:pt>
                <c:pt idx="73">
                  <c:v>1985</c:v>
                </c:pt>
                <c:pt idx="74">
                  <c:v>1986</c:v>
                </c:pt>
                <c:pt idx="75">
                  <c:v>1987</c:v>
                </c:pt>
                <c:pt idx="76">
                  <c:v>1988</c:v>
                </c:pt>
                <c:pt idx="77">
                  <c:v>1989</c:v>
                </c:pt>
                <c:pt idx="78">
                  <c:v>1990</c:v>
                </c:pt>
                <c:pt idx="79">
                  <c:v>1991</c:v>
                </c:pt>
                <c:pt idx="80">
                  <c:v>1992</c:v>
                </c:pt>
                <c:pt idx="81">
                  <c:v>1993</c:v>
                </c:pt>
                <c:pt idx="82">
                  <c:v>1994</c:v>
                </c:pt>
                <c:pt idx="83">
                  <c:v>1995</c:v>
                </c:pt>
                <c:pt idx="84">
                  <c:v>1996</c:v>
                </c:pt>
                <c:pt idx="85">
                  <c:v>1997</c:v>
                </c:pt>
                <c:pt idx="86">
                  <c:v>1998</c:v>
                </c:pt>
                <c:pt idx="87">
                  <c:v>1999</c:v>
                </c:pt>
                <c:pt idx="88">
                  <c:v>2000</c:v>
                </c:pt>
                <c:pt idx="89">
                  <c:v>2001</c:v>
                </c:pt>
                <c:pt idx="90">
                  <c:v>2002</c:v>
                </c:pt>
                <c:pt idx="91">
                  <c:v>2003</c:v>
                </c:pt>
                <c:pt idx="92">
                  <c:v>2004</c:v>
                </c:pt>
                <c:pt idx="93">
                  <c:v>2005</c:v>
                </c:pt>
                <c:pt idx="94">
                  <c:v>2006</c:v>
                </c:pt>
                <c:pt idx="95">
                  <c:v>2007</c:v>
                </c:pt>
                <c:pt idx="96">
                  <c:v>2008</c:v>
                </c:pt>
                <c:pt idx="97">
                  <c:v>2009</c:v>
                </c:pt>
                <c:pt idx="98">
                  <c:v>2010</c:v>
                </c:pt>
                <c:pt idx="99">
                  <c:v>2011</c:v>
                </c:pt>
                <c:pt idx="100">
                  <c:v>2012</c:v>
                </c:pt>
                <c:pt idx="101">
                  <c:v>2013</c:v>
                </c:pt>
              </c:numCache>
            </c:numRef>
          </c:cat>
          <c:val>
            <c:numRef>
              <c:f>'Bahar 1'!$C$7:$C$108</c:f>
              <c:numCache>
                <c:formatCode>General</c:formatCode>
                <c:ptCount val="102"/>
                <c:pt idx="0">
                  <c:v>118</c:v>
                </c:pt>
                <c:pt idx="1">
                  <c:v>136</c:v>
                </c:pt>
                <c:pt idx="2">
                  <c:v>160</c:v>
                </c:pt>
                <c:pt idx="3">
                  <c:v>141</c:v>
                </c:pt>
                <c:pt idx="4">
                  <c:v>130</c:v>
                </c:pt>
                <c:pt idx="5">
                  <c:v>104</c:v>
                </c:pt>
                <c:pt idx="6">
                  <c:v>104</c:v>
                </c:pt>
                <c:pt idx="7">
                  <c:v>125</c:v>
                </c:pt>
                <c:pt idx="8">
                  <c:v>121</c:v>
                </c:pt>
                <c:pt idx="9">
                  <c:v>130</c:v>
                </c:pt>
                <c:pt idx="10">
                  <c:v>144</c:v>
                </c:pt>
                <c:pt idx="11">
                  <c:v>105</c:v>
                </c:pt>
                <c:pt idx="12">
                  <c:v>127</c:v>
                </c:pt>
                <c:pt idx="13">
                  <c:v>128</c:v>
                </c:pt>
                <c:pt idx="14">
                  <c:v>91</c:v>
                </c:pt>
                <c:pt idx="15">
                  <c:v>96</c:v>
                </c:pt>
                <c:pt idx="16">
                  <c:v>120</c:v>
                </c:pt>
                <c:pt idx="17">
                  <c:v>150</c:v>
                </c:pt>
                <c:pt idx="18">
                  <c:v>132</c:v>
                </c:pt>
                <c:pt idx="19">
                  <c:v>133</c:v>
                </c:pt>
                <c:pt idx="20">
                  <c:v>125</c:v>
                </c:pt>
                <c:pt idx="21">
                  <c:v>158</c:v>
                </c:pt>
                <c:pt idx="22">
                  <c:v>101</c:v>
                </c:pt>
                <c:pt idx="23">
                  <c:v>137</c:v>
                </c:pt>
                <c:pt idx="24">
                  <c:v>136</c:v>
                </c:pt>
                <c:pt idx="25">
                  <c:v>131</c:v>
                </c:pt>
                <c:pt idx="26">
                  <c:v>132</c:v>
                </c:pt>
                <c:pt idx="27">
                  <c:v>166</c:v>
                </c:pt>
                <c:pt idx="28">
                  <c:v>152</c:v>
                </c:pt>
                <c:pt idx="29">
                  <c:v>146</c:v>
                </c:pt>
                <c:pt idx="30">
                  <c:v>149</c:v>
                </c:pt>
                <c:pt idx="31">
                  <c:v>143</c:v>
                </c:pt>
                <c:pt idx="32">
                  <c:v>148</c:v>
                </c:pt>
                <c:pt idx="33">
                  <c:v>133</c:v>
                </c:pt>
                <c:pt idx="34">
                  <c:v>134</c:v>
                </c:pt>
                <c:pt idx="35">
                  <c:v>126</c:v>
                </c:pt>
                <c:pt idx="36">
                  <c:v>132</c:v>
                </c:pt>
                <c:pt idx="37">
                  <c:v>137</c:v>
                </c:pt>
                <c:pt idx="38">
                  <c:v>119</c:v>
                </c:pt>
                <c:pt idx="39">
                  <c:v>128</c:v>
                </c:pt>
                <c:pt idx="40">
                  <c:v>109</c:v>
                </c:pt>
                <c:pt idx="41">
                  <c:v>152</c:v>
                </c:pt>
                <c:pt idx="42">
                  <c:v>148</c:v>
                </c:pt>
                <c:pt idx="43">
                  <c:v>140</c:v>
                </c:pt>
                <c:pt idx="44">
                  <c:v>126</c:v>
                </c:pt>
                <c:pt idx="45">
                  <c:v>128</c:v>
                </c:pt>
                <c:pt idx="46">
                  <c:v>136</c:v>
                </c:pt>
                <c:pt idx="47">
                  <c:v>141</c:v>
                </c:pt>
                <c:pt idx="48">
                  <c:v>127</c:v>
                </c:pt>
                <c:pt idx="49">
                  <c:v>140</c:v>
                </c:pt>
                <c:pt idx="50">
                  <c:v>147</c:v>
                </c:pt>
                <c:pt idx="51">
                  <c:v>141</c:v>
                </c:pt>
                <c:pt idx="52">
                  <c:v>136</c:v>
                </c:pt>
                <c:pt idx="53">
                  <c:v>144</c:v>
                </c:pt>
                <c:pt idx="54">
                  <c:v>123</c:v>
                </c:pt>
                <c:pt idx="55">
                  <c:v>137</c:v>
                </c:pt>
                <c:pt idx="56">
                  <c:v>168</c:v>
                </c:pt>
                <c:pt idx="57">
                  <c:v>195</c:v>
                </c:pt>
                <c:pt idx="58">
                  <c:v>216</c:v>
                </c:pt>
                <c:pt idx="59">
                  <c:v>240</c:v>
                </c:pt>
                <c:pt idx="60">
                  <c:v>180</c:v>
                </c:pt>
                <c:pt idx="61">
                  <c:v>205</c:v>
                </c:pt>
                <c:pt idx="62">
                  <c:v>211</c:v>
                </c:pt>
                <c:pt idx="63">
                  <c:v>182</c:v>
                </c:pt>
                <c:pt idx="64">
                  <c:v>159</c:v>
                </c:pt>
                <c:pt idx="65">
                  <c:v>167</c:v>
                </c:pt>
                <c:pt idx="66">
                  <c:v>187</c:v>
                </c:pt>
                <c:pt idx="67">
                  <c:v>175</c:v>
                </c:pt>
                <c:pt idx="68">
                  <c:v>176</c:v>
                </c:pt>
                <c:pt idx="69">
                  <c:v>185</c:v>
                </c:pt>
                <c:pt idx="70">
                  <c:v>168</c:v>
                </c:pt>
                <c:pt idx="71">
                  <c:v>180</c:v>
                </c:pt>
                <c:pt idx="72">
                  <c:v>172</c:v>
                </c:pt>
                <c:pt idx="73">
                  <c:v>155</c:v>
                </c:pt>
                <c:pt idx="74">
                  <c:v>149</c:v>
                </c:pt>
                <c:pt idx="75">
                  <c:v>160</c:v>
                </c:pt>
                <c:pt idx="76">
                  <c:v>139</c:v>
                </c:pt>
                <c:pt idx="77">
                  <c:v>124</c:v>
                </c:pt>
                <c:pt idx="78">
                  <c:v>124</c:v>
                </c:pt>
                <c:pt idx="79">
                  <c:v>166</c:v>
                </c:pt>
                <c:pt idx="80">
                  <c:v>123</c:v>
                </c:pt>
                <c:pt idx="81">
                  <c:v>127</c:v>
                </c:pt>
                <c:pt idx="82">
                  <c:v>138</c:v>
                </c:pt>
                <c:pt idx="83">
                  <c:v>153</c:v>
                </c:pt>
                <c:pt idx="84">
                  <c:v>150</c:v>
                </c:pt>
                <c:pt idx="85">
                  <c:v>135</c:v>
                </c:pt>
                <c:pt idx="86">
                  <c:v>137</c:v>
                </c:pt>
                <c:pt idx="87">
                  <c:v>115</c:v>
                </c:pt>
                <c:pt idx="88">
                  <c:v>121</c:v>
                </c:pt>
                <c:pt idx="89">
                  <c:v>131</c:v>
                </c:pt>
                <c:pt idx="90">
                  <c:v>124</c:v>
                </c:pt>
                <c:pt idx="91">
                  <c:v>138</c:v>
                </c:pt>
                <c:pt idx="92">
                  <c:v>130</c:v>
                </c:pt>
                <c:pt idx="93">
                  <c:v>161</c:v>
                </c:pt>
                <c:pt idx="94">
                  <c:v>121</c:v>
                </c:pt>
                <c:pt idx="95">
                  <c:v>139</c:v>
                </c:pt>
                <c:pt idx="96">
                  <c:v>127</c:v>
                </c:pt>
                <c:pt idx="97">
                  <c:v>150</c:v>
                </c:pt>
                <c:pt idx="98">
                  <c:v>154</c:v>
                </c:pt>
                <c:pt idx="99">
                  <c:v>132</c:v>
                </c:pt>
                <c:pt idx="100">
                  <c:v>143</c:v>
                </c:pt>
                <c:pt idx="101">
                  <c:v>150</c:v>
                </c:pt>
              </c:numCache>
            </c:numRef>
          </c:val>
        </c:ser>
        <c:hiLowLines/>
        <c:marker val="1"/>
        <c:axId val="62317312"/>
        <c:axId val="62319232"/>
      </c:lineChart>
      <c:catAx>
        <c:axId val="6231731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Yıllar</a:t>
                </a:r>
              </a:p>
            </c:rich>
          </c:tx>
          <c:layout/>
        </c:title>
        <c:numFmt formatCode="General" sourceLinked="1"/>
        <c:majorTickMark val="none"/>
        <c:tickLblPos val="nextTo"/>
        <c:crossAx val="62319232"/>
        <c:crosses val="autoZero"/>
        <c:auto val="1"/>
        <c:lblAlgn val="ctr"/>
        <c:lblOffset val="100"/>
      </c:catAx>
      <c:valAx>
        <c:axId val="6231923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Gün Sayısı</a:t>
                </a:r>
              </a:p>
            </c:rich>
          </c:tx>
          <c:layout/>
        </c:title>
        <c:numFmt formatCode="General" sourceLinked="1"/>
        <c:tickLblPos val="nextTo"/>
        <c:crossAx val="62317312"/>
        <c:crosses val="autoZero"/>
        <c:crossBetween val="between"/>
      </c:valAx>
    </c:plotArea>
    <c:plotVisOnly val="1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tr-TR"/>
  <c:style val="41"/>
  <c:chart>
    <c:title>
      <c:tx>
        <c:rich>
          <a:bodyPr/>
          <a:lstStyle/>
          <a:p>
            <a:pPr>
              <a:defRPr/>
            </a:pPr>
            <a:r>
              <a:rPr lang="tr-TR"/>
              <a:t>Yıllık Toplam Kar Yağışlı Gün Sayısı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marker>
            <c:symbol val="none"/>
          </c:marker>
          <c:cat>
            <c:numRef>
              <c:f>'Bahar 1'!$A$7:$A$108</c:f>
              <c:numCache>
                <c:formatCode>General</c:formatCode>
                <c:ptCount val="102"/>
                <c:pt idx="0">
                  <c:v>1912</c:v>
                </c:pt>
                <c:pt idx="1">
                  <c:v>1913</c:v>
                </c:pt>
                <c:pt idx="2">
                  <c:v>1914</c:v>
                </c:pt>
                <c:pt idx="3">
                  <c:v>1915</c:v>
                </c:pt>
                <c:pt idx="4">
                  <c:v>1916</c:v>
                </c:pt>
                <c:pt idx="5">
                  <c:v>1917</c:v>
                </c:pt>
                <c:pt idx="6">
                  <c:v>1918</c:v>
                </c:pt>
                <c:pt idx="7">
                  <c:v>1919</c:v>
                </c:pt>
                <c:pt idx="8">
                  <c:v>1920</c:v>
                </c:pt>
                <c:pt idx="9">
                  <c:v>1921</c:v>
                </c:pt>
                <c:pt idx="10">
                  <c:v>1922</c:v>
                </c:pt>
                <c:pt idx="11">
                  <c:v>1923</c:v>
                </c:pt>
                <c:pt idx="12">
                  <c:v>1924</c:v>
                </c:pt>
                <c:pt idx="13">
                  <c:v>1925</c:v>
                </c:pt>
                <c:pt idx="14">
                  <c:v>1926</c:v>
                </c:pt>
                <c:pt idx="15">
                  <c:v>1927</c:v>
                </c:pt>
                <c:pt idx="16">
                  <c:v>1928</c:v>
                </c:pt>
                <c:pt idx="17">
                  <c:v>1929</c:v>
                </c:pt>
                <c:pt idx="18">
                  <c:v>1930</c:v>
                </c:pt>
                <c:pt idx="19">
                  <c:v>1931</c:v>
                </c:pt>
                <c:pt idx="20">
                  <c:v>1932</c:v>
                </c:pt>
                <c:pt idx="21">
                  <c:v>1933</c:v>
                </c:pt>
                <c:pt idx="22">
                  <c:v>1934</c:v>
                </c:pt>
                <c:pt idx="23">
                  <c:v>1935</c:v>
                </c:pt>
                <c:pt idx="24">
                  <c:v>1936</c:v>
                </c:pt>
                <c:pt idx="25">
                  <c:v>1937</c:v>
                </c:pt>
                <c:pt idx="26">
                  <c:v>1938</c:v>
                </c:pt>
                <c:pt idx="27">
                  <c:v>1939</c:v>
                </c:pt>
                <c:pt idx="28">
                  <c:v>1940</c:v>
                </c:pt>
                <c:pt idx="29">
                  <c:v>1941</c:v>
                </c:pt>
                <c:pt idx="30">
                  <c:v>1942</c:v>
                </c:pt>
                <c:pt idx="31">
                  <c:v>1943</c:v>
                </c:pt>
                <c:pt idx="32">
                  <c:v>1944</c:v>
                </c:pt>
                <c:pt idx="33">
                  <c:v>1945</c:v>
                </c:pt>
                <c:pt idx="34">
                  <c:v>1946</c:v>
                </c:pt>
                <c:pt idx="35">
                  <c:v>1947</c:v>
                </c:pt>
                <c:pt idx="36">
                  <c:v>1948</c:v>
                </c:pt>
                <c:pt idx="37">
                  <c:v>1949</c:v>
                </c:pt>
                <c:pt idx="38">
                  <c:v>1950</c:v>
                </c:pt>
                <c:pt idx="39">
                  <c:v>1951</c:v>
                </c:pt>
                <c:pt idx="40">
                  <c:v>1952</c:v>
                </c:pt>
                <c:pt idx="41">
                  <c:v>1953</c:v>
                </c:pt>
                <c:pt idx="42">
                  <c:v>1954</c:v>
                </c:pt>
                <c:pt idx="43">
                  <c:v>1955</c:v>
                </c:pt>
                <c:pt idx="44">
                  <c:v>1956</c:v>
                </c:pt>
                <c:pt idx="45">
                  <c:v>1957</c:v>
                </c:pt>
                <c:pt idx="46">
                  <c:v>1958</c:v>
                </c:pt>
                <c:pt idx="47">
                  <c:v>1959</c:v>
                </c:pt>
                <c:pt idx="48">
                  <c:v>1960</c:v>
                </c:pt>
                <c:pt idx="49">
                  <c:v>1961</c:v>
                </c:pt>
                <c:pt idx="50">
                  <c:v>1962</c:v>
                </c:pt>
                <c:pt idx="51">
                  <c:v>1963</c:v>
                </c:pt>
                <c:pt idx="52">
                  <c:v>1964</c:v>
                </c:pt>
                <c:pt idx="53">
                  <c:v>1965</c:v>
                </c:pt>
                <c:pt idx="54">
                  <c:v>1966</c:v>
                </c:pt>
                <c:pt idx="55">
                  <c:v>1967</c:v>
                </c:pt>
                <c:pt idx="56">
                  <c:v>1968</c:v>
                </c:pt>
                <c:pt idx="57">
                  <c:v>1969</c:v>
                </c:pt>
                <c:pt idx="58">
                  <c:v>1970</c:v>
                </c:pt>
                <c:pt idx="59">
                  <c:v>1971</c:v>
                </c:pt>
                <c:pt idx="60">
                  <c:v>1972</c:v>
                </c:pt>
                <c:pt idx="61">
                  <c:v>1973</c:v>
                </c:pt>
                <c:pt idx="62">
                  <c:v>1974</c:v>
                </c:pt>
                <c:pt idx="63">
                  <c:v>1975</c:v>
                </c:pt>
                <c:pt idx="64">
                  <c:v>1976</c:v>
                </c:pt>
                <c:pt idx="65">
                  <c:v>1977</c:v>
                </c:pt>
                <c:pt idx="66">
                  <c:v>1978</c:v>
                </c:pt>
                <c:pt idx="67">
                  <c:v>1979</c:v>
                </c:pt>
                <c:pt idx="68">
                  <c:v>1980</c:v>
                </c:pt>
                <c:pt idx="69">
                  <c:v>1981</c:v>
                </c:pt>
                <c:pt idx="70">
                  <c:v>1982</c:v>
                </c:pt>
                <c:pt idx="71">
                  <c:v>1983</c:v>
                </c:pt>
                <c:pt idx="72">
                  <c:v>1984</c:v>
                </c:pt>
                <c:pt idx="73">
                  <c:v>1985</c:v>
                </c:pt>
                <c:pt idx="74">
                  <c:v>1986</c:v>
                </c:pt>
                <c:pt idx="75">
                  <c:v>1987</c:v>
                </c:pt>
                <c:pt idx="76">
                  <c:v>1988</c:v>
                </c:pt>
                <c:pt idx="77">
                  <c:v>1989</c:v>
                </c:pt>
                <c:pt idx="78">
                  <c:v>1990</c:v>
                </c:pt>
                <c:pt idx="79">
                  <c:v>1991</c:v>
                </c:pt>
                <c:pt idx="80">
                  <c:v>1992</c:v>
                </c:pt>
                <c:pt idx="81">
                  <c:v>1993</c:v>
                </c:pt>
                <c:pt idx="82">
                  <c:v>1994</c:v>
                </c:pt>
                <c:pt idx="83">
                  <c:v>1995</c:v>
                </c:pt>
                <c:pt idx="84">
                  <c:v>1996</c:v>
                </c:pt>
                <c:pt idx="85">
                  <c:v>1997</c:v>
                </c:pt>
                <c:pt idx="86">
                  <c:v>1998</c:v>
                </c:pt>
                <c:pt idx="87">
                  <c:v>1999</c:v>
                </c:pt>
                <c:pt idx="88">
                  <c:v>2000</c:v>
                </c:pt>
                <c:pt idx="89">
                  <c:v>2001</c:v>
                </c:pt>
                <c:pt idx="90">
                  <c:v>2002</c:v>
                </c:pt>
                <c:pt idx="91">
                  <c:v>2003</c:v>
                </c:pt>
                <c:pt idx="92">
                  <c:v>2004</c:v>
                </c:pt>
                <c:pt idx="93">
                  <c:v>2005</c:v>
                </c:pt>
                <c:pt idx="94">
                  <c:v>2006</c:v>
                </c:pt>
                <c:pt idx="95">
                  <c:v>2007</c:v>
                </c:pt>
                <c:pt idx="96">
                  <c:v>2008</c:v>
                </c:pt>
                <c:pt idx="97">
                  <c:v>2009</c:v>
                </c:pt>
                <c:pt idx="98">
                  <c:v>2010</c:v>
                </c:pt>
                <c:pt idx="99">
                  <c:v>2011</c:v>
                </c:pt>
                <c:pt idx="100">
                  <c:v>2012</c:v>
                </c:pt>
                <c:pt idx="101">
                  <c:v>2013</c:v>
                </c:pt>
              </c:numCache>
            </c:numRef>
          </c:cat>
          <c:val>
            <c:numRef>
              <c:f>'Bahar 1'!$D$7:$D$108</c:f>
              <c:numCache>
                <c:formatCode>General</c:formatCode>
                <c:ptCount val="102"/>
                <c:pt idx="0">
                  <c:v>9</c:v>
                </c:pt>
                <c:pt idx="1">
                  <c:v>17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9</c:v>
                </c:pt>
                <c:pt idx="6">
                  <c:v>3</c:v>
                </c:pt>
                <c:pt idx="7">
                  <c:v>4</c:v>
                </c:pt>
                <c:pt idx="8">
                  <c:v>6</c:v>
                </c:pt>
                <c:pt idx="9">
                  <c:v>14</c:v>
                </c:pt>
                <c:pt idx="10">
                  <c:v>5</c:v>
                </c:pt>
                <c:pt idx="11">
                  <c:v>7</c:v>
                </c:pt>
                <c:pt idx="12">
                  <c:v>4</c:v>
                </c:pt>
                <c:pt idx="13">
                  <c:v>4</c:v>
                </c:pt>
                <c:pt idx="14">
                  <c:v>2</c:v>
                </c:pt>
                <c:pt idx="15">
                  <c:v>12</c:v>
                </c:pt>
                <c:pt idx="16">
                  <c:v>13</c:v>
                </c:pt>
                <c:pt idx="17">
                  <c:v>30</c:v>
                </c:pt>
                <c:pt idx="18">
                  <c:v>11</c:v>
                </c:pt>
                <c:pt idx="19">
                  <c:v>32</c:v>
                </c:pt>
                <c:pt idx="20">
                  <c:v>30</c:v>
                </c:pt>
                <c:pt idx="21">
                  <c:v>14</c:v>
                </c:pt>
                <c:pt idx="22">
                  <c:v>9</c:v>
                </c:pt>
                <c:pt idx="23">
                  <c:v>7</c:v>
                </c:pt>
                <c:pt idx="24">
                  <c:v>17</c:v>
                </c:pt>
                <c:pt idx="25">
                  <c:v>16</c:v>
                </c:pt>
                <c:pt idx="26">
                  <c:v>14</c:v>
                </c:pt>
                <c:pt idx="27">
                  <c:v>22</c:v>
                </c:pt>
                <c:pt idx="28">
                  <c:v>26</c:v>
                </c:pt>
                <c:pt idx="29">
                  <c:v>31</c:v>
                </c:pt>
                <c:pt idx="30">
                  <c:v>19</c:v>
                </c:pt>
                <c:pt idx="31">
                  <c:v>13</c:v>
                </c:pt>
                <c:pt idx="32">
                  <c:v>15</c:v>
                </c:pt>
                <c:pt idx="33">
                  <c:v>18</c:v>
                </c:pt>
                <c:pt idx="34">
                  <c:v>21</c:v>
                </c:pt>
                <c:pt idx="35">
                  <c:v>5</c:v>
                </c:pt>
                <c:pt idx="36">
                  <c:v>44</c:v>
                </c:pt>
                <c:pt idx="37">
                  <c:v>35</c:v>
                </c:pt>
                <c:pt idx="38">
                  <c:v>8</c:v>
                </c:pt>
                <c:pt idx="39">
                  <c:v>9</c:v>
                </c:pt>
                <c:pt idx="40">
                  <c:v>6</c:v>
                </c:pt>
                <c:pt idx="41">
                  <c:v>45</c:v>
                </c:pt>
                <c:pt idx="42">
                  <c:v>15</c:v>
                </c:pt>
                <c:pt idx="43">
                  <c:v>7</c:v>
                </c:pt>
                <c:pt idx="44">
                  <c:v>31</c:v>
                </c:pt>
                <c:pt idx="45">
                  <c:v>20</c:v>
                </c:pt>
                <c:pt idx="46">
                  <c:v>16</c:v>
                </c:pt>
                <c:pt idx="47">
                  <c:v>15</c:v>
                </c:pt>
                <c:pt idx="48">
                  <c:v>19</c:v>
                </c:pt>
                <c:pt idx="49">
                  <c:v>12</c:v>
                </c:pt>
                <c:pt idx="50">
                  <c:v>21</c:v>
                </c:pt>
                <c:pt idx="51">
                  <c:v>21</c:v>
                </c:pt>
                <c:pt idx="52">
                  <c:v>21</c:v>
                </c:pt>
                <c:pt idx="53">
                  <c:v>23</c:v>
                </c:pt>
                <c:pt idx="54">
                  <c:v>19</c:v>
                </c:pt>
                <c:pt idx="55">
                  <c:v>27</c:v>
                </c:pt>
                <c:pt idx="56">
                  <c:v>23</c:v>
                </c:pt>
                <c:pt idx="57">
                  <c:v>14</c:v>
                </c:pt>
                <c:pt idx="58">
                  <c:v>8</c:v>
                </c:pt>
                <c:pt idx="59">
                  <c:v>22</c:v>
                </c:pt>
                <c:pt idx="60">
                  <c:v>24</c:v>
                </c:pt>
                <c:pt idx="61">
                  <c:v>31</c:v>
                </c:pt>
                <c:pt idx="62">
                  <c:v>4</c:v>
                </c:pt>
                <c:pt idx="63">
                  <c:v>15</c:v>
                </c:pt>
                <c:pt idx="64">
                  <c:v>22</c:v>
                </c:pt>
                <c:pt idx="65">
                  <c:v>17</c:v>
                </c:pt>
                <c:pt idx="66">
                  <c:v>11</c:v>
                </c:pt>
                <c:pt idx="67">
                  <c:v>20</c:v>
                </c:pt>
                <c:pt idx="68">
                  <c:v>22</c:v>
                </c:pt>
                <c:pt idx="69">
                  <c:v>15</c:v>
                </c:pt>
                <c:pt idx="70">
                  <c:v>22</c:v>
                </c:pt>
                <c:pt idx="71">
                  <c:v>15</c:v>
                </c:pt>
                <c:pt idx="72">
                  <c:v>14</c:v>
                </c:pt>
                <c:pt idx="73">
                  <c:v>19</c:v>
                </c:pt>
                <c:pt idx="74">
                  <c:v>17</c:v>
                </c:pt>
                <c:pt idx="75">
                  <c:v>22</c:v>
                </c:pt>
                <c:pt idx="76">
                  <c:v>16</c:v>
                </c:pt>
                <c:pt idx="77">
                  <c:v>10</c:v>
                </c:pt>
                <c:pt idx="78">
                  <c:v>11</c:v>
                </c:pt>
                <c:pt idx="79">
                  <c:v>20</c:v>
                </c:pt>
                <c:pt idx="80">
                  <c:v>29</c:v>
                </c:pt>
                <c:pt idx="81">
                  <c:v>10</c:v>
                </c:pt>
                <c:pt idx="82">
                  <c:v>21</c:v>
                </c:pt>
                <c:pt idx="83">
                  <c:v>14</c:v>
                </c:pt>
                <c:pt idx="84">
                  <c:v>13</c:v>
                </c:pt>
                <c:pt idx="85">
                  <c:v>16</c:v>
                </c:pt>
                <c:pt idx="86">
                  <c:v>12</c:v>
                </c:pt>
                <c:pt idx="87">
                  <c:v>14</c:v>
                </c:pt>
                <c:pt idx="88">
                  <c:v>9</c:v>
                </c:pt>
                <c:pt idx="89">
                  <c:v>24</c:v>
                </c:pt>
                <c:pt idx="90">
                  <c:v>12</c:v>
                </c:pt>
                <c:pt idx="91">
                  <c:v>36</c:v>
                </c:pt>
                <c:pt idx="92">
                  <c:v>14</c:v>
                </c:pt>
                <c:pt idx="93">
                  <c:v>27</c:v>
                </c:pt>
                <c:pt idx="94">
                  <c:v>14</c:v>
                </c:pt>
                <c:pt idx="95">
                  <c:v>14</c:v>
                </c:pt>
                <c:pt idx="96">
                  <c:v>11</c:v>
                </c:pt>
                <c:pt idx="97">
                  <c:v>15</c:v>
                </c:pt>
                <c:pt idx="98">
                  <c:v>7</c:v>
                </c:pt>
                <c:pt idx="99">
                  <c:v>15</c:v>
                </c:pt>
                <c:pt idx="100">
                  <c:v>23</c:v>
                </c:pt>
                <c:pt idx="101">
                  <c:v>5</c:v>
                </c:pt>
              </c:numCache>
            </c:numRef>
          </c:val>
        </c:ser>
        <c:hiLowLines/>
        <c:marker val="1"/>
        <c:axId val="171268736"/>
        <c:axId val="171270912"/>
      </c:lineChart>
      <c:catAx>
        <c:axId val="17126873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Yıllar</a:t>
                </a:r>
              </a:p>
            </c:rich>
          </c:tx>
          <c:layout/>
        </c:title>
        <c:numFmt formatCode="General" sourceLinked="1"/>
        <c:majorTickMark val="none"/>
        <c:tickLblPos val="nextTo"/>
        <c:crossAx val="171270912"/>
        <c:crosses val="autoZero"/>
        <c:auto val="1"/>
        <c:lblAlgn val="ctr"/>
        <c:lblOffset val="100"/>
      </c:catAx>
      <c:valAx>
        <c:axId val="17127091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Gün Sayısı</a:t>
                </a:r>
              </a:p>
            </c:rich>
          </c:tx>
          <c:layout/>
        </c:title>
        <c:numFmt formatCode="General" sourceLinked="1"/>
        <c:tickLblPos val="nextTo"/>
        <c:crossAx val="171268736"/>
        <c:crosses val="autoZero"/>
        <c:crossBetween val="between"/>
      </c:valAx>
    </c:plotArea>
    <c:plotVisOnly val="1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tr-TR"/>
  <c:style val="48"/>
  <c:chart>
    <c:title>
      <c:tx>
        <c:rich>
          <a:bodyPr/>
          <a:lstStyle/>
          <a:p>
            <a:pPr>
              <a:defRPr/>
            </a:pPr>
            <a:r>
              <a:rPr lang="tr-TR"/>
              <a:t>OCAK / Olasılık</a:t>
            </a:r>
            <a:endParaRPr lang="en-US"/>
          </a:p>
        </c:rich>
      </c:tx>
      <c:layout/>
    </c:title>
    <c:plotArea>
      <c:layout>
        <c:manualLayout>
          <c:layoutTarget val="inner"/>
          <c:xMode val="edge"/>
          <c:yMode val="edge"/>
          <c:x val="8.0596944038722931E-2"/>
          <c:y val="0.13017029792881118"/>
          <c:w val="0.87575226913006654"/>
          <c:h val="0.76934754204102263"/>
        </c:manualLayout>
      </c:layout>
      <c:lineChart>
        <c:grouping val="standard"/>
        <c:ser>
          <c:idx val="0"/>
          <c:order val="0"/>
          <c:tx>
            <c:strRef>
              <c:f>Aylık!$J$2</c:f>
              <c:strCache>
                <c:ptCount val="1"/>
                <c:pt idx="0">
                  <c:v>Olasılık</c:v>
                </c:pt>
              </c:strCache>
            </c:strRef>
          </c:tx>
          <c:spPr>
            <a:effectLst>
              <a:glow rad="228600">
                <a:schemeClr val="accent3">
                  <a:satMod val="175000"/>
                  <a:alpha val="40000"/>
                </a:schemeClr>
              </a:glow>
            </a:effectLst>
          </c:spPr>
          <c:marker>
            <c:symbol val="none"/>
          </c:marker>
          <c:dLbls>
            <c:showVal val="1"/>
          </c:dLbls>
          <c:trendline>
            <c:spPr>
              <a:ln w="31750">
                <a:solidFill>
                  <a:schemeClr val="bg1"/>
                </a:solidFill>
              </a:ln>
            </c:spPr>
            <c:trendlineType val="linear"/>
          </c:trendline>
          <c:val>
            <c:numRef>
              <c:f>Aylık!$J$3:$J$33</c:f>
              <c:numCache>
                <c:formatCode>0.0</c:formatCode>
                <c:ptCount val="31"/>
                <c:pt idx="0">
                  <c:v>54.901960784313729</c:v>
                </c:pt>
                <c:pt idx="1">
                  <c:v>60.784313725490193</c:v>
                </c:pt>
                <c:pt idx="2">
                  <c:v>60.784313725490193</c:v>
                </c:pt>
                <c:pt idx="3">
                  <c:v>58.82352941176471</c:v>
                </c:pt>
                <c:pt idx="4">
                  <c:v>50.980392156862742</c:v>
                </c:pt>
                <c:pt idx="5">
                  <c:v>49.019607843137251</c:v>
                </c:pt>
                <c:pt idx="6">
                  <c:v>65.686274509803923</c:v>
                </c:pt>
                <c:pt idx="7">
                  <c:v>60.784313725490193</c:v>
                </c:pt>
                <c:pt idx="8">
                  <c:v>55.882352941176471</c:v>
                </c:pt>
                <c:pt idx="9">
                  <c:v>54.901960784313729</c:v>
                </c:pt>
                <c:pt idx="10">
                  <c:v>55.882352941176471</c:v>
                </c:pt>
                <c:pt idx="11">
                  <c:v>51.960784313725497</c:v>
                </c:pt>
                <c:pt idx="12">
                  <c:v>61.764705882352942</c:v>
                </c:pt>
                <c:pt idx="13">
                  <c:v>56.862745098039213</c:v>
                </c:pt>
                <c:pt idx="14">
                  <c:v>63.725490196078425</c:v>
                </c:pt>
                <c:pt idx="15">
                  <c:v>58.82352941176471</c:v>
                </c:pt>
                <c:pt idx="16">
                  <c:v>56.862745098039213</c:v>
                </c:pt>
                <c:pt idx="17">
                  <c:v>57.843137254901968</c:v>
                </c:pt>
                <c:pt idx="18">
                  <c:v>58.82352941176471</c:v>
                </c:pt>
                <c:pt idx="19">
                  <c:v>59.803921568627452</c:v>
                </c:pt>
                <c:pt idx="20">
                  <c:v>58.82352941176471</c:v>
                </c:pt>
                <c:pt idx="21">
                  <c:v>54.901960784313729</c:v>
                </c:pt>
                <c:pt idx="22">
                  <c:v>57.843137254901968</c:v>
                </c:pt>
                <c:pt idx="23">
                  <c:v>53.921568627450981</c:v>
                </c:pt>
                <c:pt idx="24">
                  <c:v>61.764705882352942</c:v>
                </c:pt>
                <c:pt idx="25">
                  <c:v>61.764705882352942</c:v>
                </c:pt>
                <c:pt idx="26">
                  <c:v>57.843137254901968</c:v>
                </c:pt>
                <c:pt idx="27">
                  <c:v>62.745098039215684</c:v>
                </c:pt>
                <c:pt idx="28">
                  <c:v>62.745098039215684</c:v>
                </c:pt>
                <c:pt idx="29">
                  <c:v>66.666666666666657</c:v>
                </c:pt>
                <c:pt idx="30">
                  <c:v>62.745098039215684</c:v>
                </c:pt>
              </c:numCache>
            </c:numRef>
          </c:val>
        </c:ser>
        <c:marker val="1"/>
        <c:axId val="144146432"/>
        <c:axId val="144147968"/>
      </c:lineChart>
      <c:catAx>
        <c:axId val="144146432"/>
        <c:scaling>
          <c:orientation val="minMax"/>
        </c:scaling>
        <c:axPos val="b"/>
        <c:majorTickMark val="none"/>
        <c:tickLblPos val="nextTo"/>
        <c:txPr>
          <a:bodyPr/>
          <a:lstStyle/>
          <a:p>
            <a:pPr>
              <a:defRPr b="1"/>
            </a:pPr>
            <a:endParaRPr lang="tr-TR"/>
          </a:p>
        </c:txPr>
        <c:crossAx val="144147968"/>
        <c:crosses val="autoZero"/>
        <c:auto val="1"/>
        <c:lblAlgn val="ctr"/>
        <c:lblOffset val="100"/>
      </c:catAx>
      <c:valAx>
        <c:axId val="144147968"/>
        <c:scaling>
          <c:orientation val="minMax"/>
          <c:min val="45"/>
        </c:scaling>
        <c:axPos val="l"/>
        <c:majorGridlines/>
        <c:title>
          <c:tx>
            <c:rich>
              <a:bodyPr/>
              <a:lstStyle/>
              <a:p>
                <a:pPr>
                  <a:defRPr sz="1800"/>
                </a:pPr>
                <a:r>
                  <a:rPr lang="tr-TR" sz="1800"/>
                  <a:t>Yüzdelik ( % )</a:t>
                </a:r>
              </a:p>
            </c:rich>
          </c:tx>
          <c:layout>
            <c:manualLayout>
              <c:xMode val="edge"/>
              <c:yMode val="edge"/>
              <c:x val="5.9523800224378174E-3"/>
              <c:y val="0.39117112623365602"/>
            </c:manualLayout>
          </c:layout>
        </c:title>
        <c:numFmt formatCode="0" sourceLinked="0"/>
        <c:majorTickMark val="none"/>
        <c:tickLblPos val="nextTo"/>
        <c:crossAx val="144146432"/>
        <c:crosses val="autoZero"/>
        <c:crossBetween val="between"/>
      </c:valAx>
      <c:spPr>
        <a:effectLst>
          <a:glow rad="228600">
            <a:schemeClr val="accent3">
              <a:satMod val="175000"/>
              <a:alpha val="40000"/>
            </a:schemeClr>
          </a:glow>
        </a:effectLst>
      </c:spPr>
    </c:plotArea>
    <c:plotVisOnly val="1"/>
  </c:chart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tr-TR"/>
  <c:style val="48"/>
  <c:chart>
    <c:title>
      <c:tx>
        <c:rich>
          <a:bodyPr/>
          <a:lstStyle/>
          <a:p>
            <a:pPr>
              <a:defRPr/>
            </a:pPr>
            <a:r>
              <a:rPr lang="tr-TR"/>
              <a:t>OCAK / Ortalama</a:t>
            </a:r>
            <a:endParaRPr lang="en-US"/>
          </a:p>
        </c:rich>
      </c:tx>
      <c:layout>
        <c:manualLayout>
          <c:xMode val="edge"/>
          <c:yMode val="edge"/>
          <c:x val="0.39543147134309192"/>
          <c:y val="2.7026581044587973E-2"/>
        </c:manualLayout>
      </c:layout>
    </c:title>
    <c:plotArea>
      <c:layout>
        <c:manualLayout>
          <c:layoutTarget val="inner"/>
          <c:xMode val="edge"/>
          <c:yMode val="edge"/>
          <c:x val="8.6695894315150152E-2"/>
          <c:y val="0.12779817461585335"/>
          <c:w val="0.89299016293323441"/>
          <c:h val="0.77355077489384161"/>
        </c:manualLayout>
      </c:layout>
      <c:barChart>
        <c:barDir val="col"/>
        <c:grouping val="clustered"/>
        <c:ser>
          <c:idx val="1"/>
          <c:order val="1"/>
          <c:tx>
            <c:strRef>
              <c:f>Aylık!$K$2</c:f>
              <c:strCache>
                <c:ptCount val="1"/>
                <c:pt idx="0">
                  <c:v>Ortalama</c:v>
                </c:pt>
              </c:strCache>
            </c:strRef>
          </c:tx>
          <c:spPr>
            <a:effectLst>
              <a:glow rad="228600">
                <a:schemeClr val="accent2">
                  <a:satMod val="175000"/>
                  <a:alpha val="40000"/>
                </a:schemeClr>
              </a:glow>
            </a:effectLst>
          </c:spPr>
          <c:val>
            <c:numRef>
              <c:f>Aylık!$K$3:$K$33</c:f>
              <c:numCache>
                <c:formatCode>0.0</c:formatCode>
                <c:ptCount val="31"/>
                <c:pt idx="0">
                  <c:v>3.5607843137254895</c:v>
                </c:pt>
                <c:pt idx="1">
                  <c:v>3.5058823529411769</c:v>
                </c:pt>
                <c:pt idx="2">
                  <c:v>3.2519607843137242</c:v>
                </c:pt>
                <c:pt idx="3">
                  <c:v>4.1176470588235281</c:v>
                </c:pt>
                <c:pt idx="4">
                  <c:v>3.3892156862745102</c:v>
                </c:pt>
                <c:pt idx="5">
                  <c:v>2.4745098039215683</c:v>
                </c:pt>
                <c:pt idx="6">
                  <c:v>3.8470588235294123</c:v>
                </c:pt>
                <c:pt idx="7">
                  <c:v>3.9333333333333358</c:v>
                </c:pt>
                <c:pt idx="8">
                  <c:v>3.839215686274509</c:v>
                </c:pt>
                <c:pt idx="9">
                  <c:v>4.7098039215686285</c:v>
                </c:pt>
                <c:pt idx="10">
                  <c:v>3.2990196078431371</c:v>
                </c:pt>
                <c:pt idx="11">
                  <c:v>2.6921568627450982</c:v>
                </c:pt>
                <c:pt idx="12">
                  <c:v>3.6862745098039209</c:v>
                </c:pt>
                <c:pt idx="13">
                  <c:v>3.0901960784313718</c:v>
                </c:pt>
                <c:pt idx="14">
                  <c:v>3.5990196078431369</c:v>
                </c:pt>
                <c:pt idx="15">
                  <c:v>4.2294117647058824</c:v>
                </c:pt>
                <c:pt idx="16">
                  <c:v>2.8539215686274519</c:v>
                </c:pt>
                <c:pt idx="17">
                  <c:v>2.7803921568627445</c:v>
                </c:pt>
                <c:pt idx="18">
                  <c:v>3.6166666666666654</c:v>
                </c:pt>
                <c:pt idx="19">
                  <c:v>3.0078431372549019</c:v>
                </c:pt>
                <c:pt idx="20">
                  <c:v>3.4852941176470589</c:v>
                </c:pt>
                <c:pt idx="21">
                  <c:v>3.3999999999999995</c:v>
                </c:pt>
                <c:pt idx="22">
                  <c:v>2.8019607843137249</c:v>
                </c:pt>
                <c:pt idx="23">
                  <c:v>1.3735294117647061</c:v>
                </c:pt>
                <c:pt idx="24">
                  <c:v>3.8843137254901969</c:v>
                </c:pt>
                <c:pt idx="25">
                  <c:v>3.4833333333333325</c:v>
                </c:pt>
                <c:pt idx="26">
                  <c:v>4.0333333333333341</c:v>
                </c:pt>
                <c:pt idx="27">
                  <c:v>2.7372549019607844</c:v>
                </c:pt>
                <c:pt idx="28">
                  <c:v>3.9931372549019613</c:v>
                </c:pt>
                <c:pt idx="29">
                  <c:v>3.0205882352941189</c:v>
                </c:pt>
                <c:pt idx="30">
                  <c:v>3.1666666666666665</c:v>
                </c:pt>
              </c:numCache>
            </c:numRef>
          </c:val>
        </c:ser>
        <c:ser>
          <c:idx val="0"/>
          <c:order val="0"/>
          <c:val>
            <c:numRef>
              <c:f>Aylık!$K$3:$K$33</c:f>
              <c:numCache>
                <c:formatCode>0.0</c:formatCode>
                <c:ptCount val="31"/>
                <c:pt idx="0">
                  <c:v>3.5607843137254895</c:v>
                </c:pt>
                <c:pt idx="1">
                  <c:v>3.5058823529411769</c:v>
                </c:pt>
                <c:pt idx="2">
                  <c:v>3.2519607843137242</c:v>
                </c:pt>
                <c:pt idx="3">
                  <c:v>4.1176470588235281</c:v>
                </c:pt>
                <c:pt idx="4">
                  <c:v>3.3892156862745102</c:v>
                </c:pt>
                <c:pt idx="5">
                  <c:v>2.4745098039215683</c:v>
                </c:pt>
                <c:pt idx="6">
                  <c:v>3.8470588235294123</c:v>
                </c:pt>
                <c:pt idx="7">
                  <c:v>3.9333333333333358</c:v>
                </c:pt>
                <c:pt idx="8">
                  <c:v>3.839215686274509</c:v>
                </c:pt>
                <c:pt idx="9">
                  <c:v>4.7098039215686285</c:v>
                </c:pt>
                <c:pt idx="10">
                  <c:v>3.2990196078431371</c:v>
                </c:pt>
                <c:pt idx="11">
                  <c:v>2.6921568627450982</c:v>
                </c:pt>
                <c:pt idx="12">
                  <c:v>3.6862745098039209</c:v>
                </c:pt>
                <c:pt idx="13">
                  <c:v>3.0901960784313718</c:v>
                </c:pt>
                <c:pt idx="14">
                  <c:v>3.5990196078431369</c:v>
                </c:pt>
                <c:pt idx="15">
                  <c:v>4.2294117647058824</c:v>
                </c:pt>
                <c:pt idx="16">
                  <c:v>2.8539215686274519</c:v>
                </c:pt>
                <c:pt idx="17">
                  <c:v>2.7803921568627445</c:v>
                </c:pt>
                <c:pt idx="18">
                  <c:v>3.6166666666666654</c:v>
                </c:pt>
                <c:pt idx="19">
                  <c:v>3.0078431372549019</c:v>
                </c:pt>
                <c:pt idx="20">
                  <c:v>3.4852941176470589</c:v>
                </c:pt>
                <c:pt idx="21">
                  <c:v>3.3999999999999995</c:v>
                </c:pt>
                <c:pt idx="22">
                  <c:v>2.8019607843137249</c:v>
                </c:pt>
                <c:pt idx="23">
                  <c:v>1.3735294117647061</c:v>
                </c:pt>
                <c:pt idx="24">
                  <c:v>3.8843137254901969</c:v>
                </c:pt>
                <c:pt idx="25">
                  <c:v>3.4833333333333325</c:v>
                </c:pt>
                <c:pt idx="26">
                  <c:v>4.0333333333333341</c:v>
                </c:pt>
                <c:pt idx="27">
                  <c:v>2.7372549019607844</c:v>
                </c:pt>
                <c:pt idx="28">
                  <c:v>3.9931372549019613</c:v>
                </c:pt>
                <c:pt idx="29">
                  <c:v>3.0205882352941189</c:v>
                </c:pt>
                <c:pt idx="30">
                  <c:v>3.1666666666666665</c:v>
                </c:pt>
              </c:numCache>
            </c:numRef>
          </c:val>
        </c:ser>
        <c:axId val="144163584"/>
        <c:axId val="144165120"/>
      </c:barChart>
      <c:catAx>
        <c:axId val="144163584"/>
        <c:scaling>
          <c:orientation val="minMax"/>
        </c:scaling>
        <c:axPos val="b"/>
        <c:majorTickMark val="none"/>
        <c:tickLblPos val="nextTo"/>
        <c:crossAx val="144165120"/>
        <c:crosses val="autoZero"/>
        <c:auto val="1"/>
        <c:lblAlgn val="ctr"/>
        <c:lblOffset val="100"/>
      </c:catAx>
      <c:valAx>
        <c:axId val="144165120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800"/>
                </a:pPr>
                <a:r>
                  <a:rPr lang="tr-TR" sz="1800"/>
                  <a:t>Yağış (mm)</a:t>
                </a:r>
              </a:p>
            </c:rich>
          </c:tx>
          <c:layout>
            <c:manualLayout>
              <c:xMode val="edge"/>
              <c:yMode val="edge"/>
              <c:x val="1.1080332409972301E-2"/>
              <c:y val="0.39515807336931008"/>
            </c:manualLayout>
          </c:layout>
        </c:title>
        <c:numFmt formatCode="General" sourceLinked="0"/>
        <c:majorTickMark val="none"/>
        <c:tickLblPos val="nextTo"/>
        <c:crossAx val="144163584"/>
        <c:crosses val="autoZero"/>
        <c:crossBetween val="between"/>
      </c:valAx>
    </c:plotArea>
    <c:plotVisOnly val="1"/>
  </c:chart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tr-TR"/>
  <c:style val="43"/>
  <c:chart>
    <c:title>
      <c:tx>
        <c:rich>
          <a:bodyPr/>
          <a:lstStyle/>
          <a:p>
            <a:pPr>
              <a:defRPr/>
            </a:pPr>
            <a:r>
              <a:rPr lang="tr-TR"/>
              <a:t>OCAK / </a:t>
            </a:r>
            <a:r>
              <a:rPr lang="en-US"/>
              <a:t>Maksimum</a:t>
            </a:r>
            <a:r>
              <a:rPr lang="tr-TR"/>
              <a:t> </a:t>
            </a:r>
            <a:r>
              <a:rPr lang="en-US"/>
              <a:t> </a:t>
            </a:r>
          </a:p>
        </c:rich>
      </c:tx>
      <c:layout>
        <c:manualLayout>
          <c:xMode val="edge"/>
          <c:yMode val="edge"/>
          <c:x val="0.39543147134309176"/>
          <c:y val="2.7026581044587984E-2"/>
        </c:manualLayout>
      </c:layout>
    </c:title>
    <c:plotArea>
      <c:layout>
        <c:manualLayout>
          <c:layoutTarget val="inner"/>
          <c:xMode val="edge"/>
          <c:yMode val="edge"/>
          <c:x val="8.6695894315150082E-2"/>
          <c:y val="0.12779817461585335"/>
          <c:w val="0.89299016293323441"/>
          <c:h val="0.77355077489384161"/>
        </c:manualLayout>
      </c:layout>
      <c:barChart>
        <c:barDir val="col"/>
        <c:grouping val="clustered"/>
        <c:ser>
          <c:idx val="0"/>
          <c:order val="0"/>
          <c:tx>
            <c:strRef>
              <c:f>Aylık!$N$2</c:f>
              <c:strCache>
                <c:ptCount val="1"/>
                <c:pt idx="0">
                  <c:v>Maksimum </c:v>
                </c:pt>
              </c:strCache>
            </c:strRef>
          </c:tx>
          <c:spPr>
            <a:effectLst>
              <a:glow rad="228600">
                <a:schemeClr val="accent1">
                  <a:satMod val="175000"/>
                  <a:alpha val="40000"/>
                </a:schemeClr>
              </a:glow>
            </a:effectLst>
          </c:spPr>
          <c:val>
            <c:numRef>
              <c:f>Aylık!$N$3:$N$31</c:f>
              <c:numCache>
                <c:formatCode>0.0</c:formatCode>
                <c:ptCount val="29"/>
                <c:pt idx="0">
                  <c:v>35.5</c:v>
                </c:pt>
                <c:pt idx="1">
                  <c:v>39.299999999999997</c:v>
                </c:pt>
                <c:pt idx="2">
                  <c:v>28.9</c:v>
                </c:pt>
                <c:pt idx="3">
                  <c:v>30</c:v>
                </c:pt>
                <c:pt idx="4">
                  <c:v>51</c:v>
                </c:pt>
                <c:pt idx="5">
                  <c:v>29</c:v>
                </c:pt>
                <c:pt idx="6">
                  <c:v>33.700000000000003</c:v>
                </c:pt>
                <c:pt idx="7">
                  <c:v>57.5</c:v>
                </c:pt>
                <c:pt idx="8">
                  <c:v>42.2</c:v>
                </c:pt>
                <c:pt idx="9">
                  <c:v>45.6</c:v>
                </c:pt>
                <c:pt idx="10">
                  <c:v>31</c:v>
                </c:pt>
                <c:pt idx="11">
                  <c:v>30.3</c:v>
                </c:pt>
                <c:pt idx="12">
                  <c:v>19.100000000000001</c:v>
                </c:pt>
                <c:pt idx="13">
                  <c:v>51.1</c:v>
                </c:pt>
                <c:pt idx="14">
                  <c:v>55.1</c:v>
                </c:pt>
                <c:pt idx="15">
                  <c:v>86.9</c:v>
                </c:pt>
                <c:pt idx="16">
                  <c:v>29.6</c:v>
                </c:pt>
                <c:pt idx="17">
                  <c:v>26.4</c:v>
                </c:pt>
                <c:pt idx="18">
                  <c:v>19.100000000000001</c:v>
                </c:pt>
                <c:pt idx="19">
                  <c:v>52.5</c:v>
                </c:pt>
                <c:pt idx="20">
                  <c:v>13.4</c:v>
                </c:pt>
                <c:pt idx="21">
                  <c:v>22.8</c:v>
                </c:pt>
                <c:pt idx="22">
                  <c:v>22.8</c:v>
                </c:pt>
                <c:pt idx="23">
                  <c:v>49.2</c:v>
                </c:pt>
                <c:pt idx="24">
                  <c:v>26.3</c:v>
                </c:pt>
                <c:pt idx="25">
                  <c:v>19</c:v>
                </c:pt>
                <c:pt idx="26">
                  <c:v>31</c:v>
                </c:pt>
                <c:pt idx="27">
                  <c:v>22</c:v>
                </c:pt>
                <c:pt idx="28">
                  <c:v>25.9</c:v>
                </c:pt>
              </c:numCache>
            </c:numRef>
          </c:val>
        </c:ser>
        <c:axId val="110106496"/>
        <c:axId val="110108032"/>
      </c:barChart>
      <c:catAx>
        <c:axId val="110106496"/>
        <c:scaling>
          <c:orientation val="minMax"/>
        </c:scaling>
        <c:axPos val="b"/>
        <c:majorTickMark val="none"/>
        <c:tickLblPos val="nextTo"/>
        <c:crossAx val="110108032"/>
        <c:crosses val="autoZero"/>
        <c:auto val="1"/>
        <c:lblAlgn val="ctr"/>
        <c:lblOffset val="100"/>
      </c:catAx>
      <c:valAx>
        <c:axId val="110108032"/>
        <c:scaling>
          <c:orientation val="minMax"/>
          <c:max val="170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 sz="1800"/>
                </a:pPr>
                <a:r>
                  <a:rPr lang="tr-TR" sz="1800"/>
                  <a:t>Yağış (mm)</a:t>
                </a:r>
              </a:p>
            </c:rich>
          </c:tx>
          <c:layout>
            <c:manualLayout>
              <c:xMode val="edge"/>
              <c:yMode val="edge"/>
              <c:x val="1.1080332409972301E-2"/>
              <c:y val="0.39515807336930986"/>
            </c:manualLayout>
          </c:layout>
        </c:title>
        <c:numFmt formatCode="General" sourceLinked="0"/>
        <c:majorTickMark val="none"/>
        <c:tickLblPos val="nextTo"/>
        <c:crossAx val="110106496"/>
        <c:crosses val="autoZero"/>
        <c:crossBetween val="between"/>
        <c:majorUnit val="20"/>
      </c:valAx>
      <c:spPr>
        <a:effectLst>
          <a:glow rad="228600">
            <a:schemeClr val="accent5">
              <a:satMod val="175000"/>
              <a:alpha val="40000"/>
            </a:schemeClr>
          </a:glow>
        </a:effectLst>
      </c:spPr>
    </c:plotArea>
    <c:plotVisOnly val="1"/>
  </c:chart>
  <c:spPr>
    <a:effectLst>
      <a:glow rad="228600">
        <a:schemeClr val="accent1">
          <a:satMod val="175000"/>
          <a:alpha val="40000"/>
        </a:schemeClr>
      </a:glow>
    </a:effectLst>
  </c:sp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tr-TR"/>
  <c:style val="48"/>
  <c:chart>
    <c:title>
      <c:tx>
        <c:rich>
          <a:bodyPr/>
          <a:lstStyle/>
          <a:p>
            <a:pPr>
              <a:defRPr/>
            </a:pPr>
            <a:r>
              <a:rPr lang="tr-TR"/>
              <a:t>OCAK / Olasılık</a:t>
            </a:r>
            <a:endParaRPr lang="en-US"/>
          </a:p>
        </c:rich>
      </c:tx>
    </c:title>
    <c:plotArea>
      <c:layout>
        <c:manualLayout>
          <c:layoutTarget val="inner"/>
          <c:xMode val="edge"/>
          <c:yMode val="edge"/>
          <c:x val="8.059694403872307E-2"/>
          <c:y val="0.13017029792881102"/>
          <c:w val="0.87575226913006654"/>
          <c:h val="0.76934754204102263"/>
        </c:manualLayout>
      </c:layout>
      <c:lineChart>
        <c:grouping val="standard"/>
        <c:ser>
          <c:idx val="0"/>
          <c:order val="0"/>
          <c:tx>
            <c:strRef>
              <c:f>Aylık!$J$2</c:f>
              <c:strCache>
                <c:ptCount val="1"/>
                <c:pt idx="0">
                  <c:v>Olasılık</c:v>
                </c:pt>
              </c:strCache>
            </c:strRef>
          </c:tx>
          <c:spPr>
            <a:effectLst>
              <a:glow rad="228600">
                <a:schemeClr val="accent3">
                  <a:satMod val="175000"/>
                  <a:alpha val="40000"/>
                </a:schemeClr>
              </a:glow>
            </a:effectLst>
          </c:spPr>
          <c:marker>
            <c:symbol val="none"/>
          </c:marker>
          <c:dLbls>
            <c:showVal val="1"/>
          </c:dLbls>
          <c:trendline>
            <c:spPr>
              <a:ln w="31750">
                <a:solidFill>
                  <a:schemeClr val="bg1"/>
                </a:solidFill>
              </a:ln>
            </c:spPr>
            <c:trendlineType val="linear"/>
          </c:trendline>
          <c:val>
            <c:numRef>
              <c:f>Aylık!$J$3:$J$33</c:f>
              <c:numCache>
                <c:formatCode>0.0</c:formatCode>
                <c:ptCount val="31"/>
                <c:pt idx="0">
                  <c:v>54.901960784313729</c:v>
                </c:pt>
                <c:pt idx="1">
                  <c:v>60.784313725490193</c:v>
                </c:pt>
                <c:pt idx="2">
                  <c:v>60.784313725490193</c:v>
                </c:pt>
                <c:pt idx="3">
                  <c:v>58.82352941176471</c:v>
                </c:pt>
                <c:pt idx="4">
                  <c:v>50.980392156862742</c:v>
                </c:pt>
                <c:pt idx="5">
                  <c:v>49.019607843137251</c:v>
                </c:pt>
                <c:pt idx="6">
                  <c:v>65.686274509803923</c:v>
                </c:pt>
                <c:pt idx="7">
                  <c:v>60.784313725490193</c:v>
                </c:pt>
                <c:pt idx="8">
                  <c:v>55.882352941176471</c:v>
                </c:pt>
                <c:pt idx="9">
                  <c:v>54.901960784313729</c:v>
                </c:pt>
                <c:pt idx="10">
                  <c:v>55.882352941176471</c:v>
                </c:pt>
                <c:pt idx="11">
                  <c:v>51.960784313725497</c:v>
                </c:pt>
                <c:pt idx="12">
                  <c:v>61.764705882352942</c:v>
                </c:pt>
                <c:pt idx="13">
                  <c:v>56.862745098039213</c:v>
                </c:pt>
                <c:pt idx="14">
                  <c:v>63.725490196078425</c:v>
                </c:pt>
                <c:pt idx="15">
                  <c:v>58.82352941176471</c:v>
                </c:pt>
                <c:pt idx="16">
                  <c:v>56.862745098039213</c:v>
                </c:pt>
                <c:pt idx="17">
                  <c:v>57.843137254901968</c:v>
                </c:pt>
                <c:pt idx="18">
                  <c:v>58.82352941176471</c:v>
                </c:pt>
                <c:pt idx="19">
                  <c:v>59.803921568627452</c:v>
                </c:pt>
                <c:pt idx="20">
                  <c:v>58.82352941176471</c:v>
                </c:pt>
                <c:pt idx="21">
                  <c:v>54.901960784313729</c:v>
                </c:pt>
                <c:pt idx="22">
                  <c:v>57.843137254901968</c:v>
                </c:pt>
                <c:pt idx="23">
                  <c:v>53.921568627450981</c:v>
                </c:pt>
                <c:pt idx="24">
                  <c:v>61.764705882352942</c:v>
                </c:pt>
                <c:pt idx="25">
                  <c:v>61.764705882352942</c:v>
                </c:pt>
                <c:pt idx="26">
                  <c:v>57.843137254901968</c:v>
                </c:pt>
                <c:pt idx="27">
                  <c:v>62.745098039215684</c:v>
                </c:pt>
                <c:pt idx="28">
                  <c:v>62.745098039215684</c:v>
                </c:pt>
                <c:pt idx="29">
                  <c:v>66.666666666666657</c:v>
                </c:pt>
                <c:pt idx="30">
                  <c:v>62.745098039215684</c:v>
                </c:pt>
              </c:numCache>
            </c:numRef>
          </c:val>
        </c:ser>
        <c:marker val="1"/>
        <c:axId val="144370304"/>
        <c:axId val="144384384"/>
      </c:lineChart>
      <c:catAx>
        <c:axId val="144370304"/>
        <c:scaling>
          <c:orientation val="minMax"/>
        </c:scaling>
        <c:axPos val="b"/>
        <c:majorTickMark val="none"/>
        <c:tickLblPos val="nextTo"/>
        <c:txPr>
          <a:bodyPr/>
          <a:lstStyle/>
          <a:p>
            <a:pPr>
              <a:defRPr b="1"/>
            </a:pPr>
            <a:endParaRPr lang="tr-TR"/>
          </a:p>
        </c:txPr>
        <c:crossAx val="144384384"/>
        <c:crosses val="autoZero"/>
        <c:auto val="1"/>
        <c:lblAlgn val="ctr"/>
        <c:lblOffset val="100"/>
      </c:catAx>
      <c:valAx>
        <c:axId val="144384384"/>
        <c:scaling>
          <c:orientation val="minMax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 sz="1800"/>
                </a:pPr>
                <a:r>
                  <a:rPr lang="tr-TR" sz="1800"/>
                  <a:t>Yüzdelik ( % )</a:t>
                </a:r>
              </a:p>
            </c:rich>
          </c:tx>
          <c:layout>
            <c:manualLayout>
              <c:xMode val="edge"/>
              <c:yMode val="edge"/>
              <c:x val="5.9523800224378174E-3"/>
              <c:y val="0.39117112623365646"/>
            </c:manualLayout>
          </c:layout>
        </c:title>
        <c:numFmt formatCode="0" sourceLinked="0"/>
        <c:majorTickMark val="none"/>
        <c:tickLblPos val="nextTo"/>
        <c:crossAx val="144370304"/>
        <c:crosses val="autoZero"/>
        <c:crossBetween val="between"/>
      </c:valAx>
      <c:spPr>
        <a:effectLst>
          <a:glow rad="228600">
            <a:schemeClr val="accent3">
              <a:satMod val="175000"/>
              <a:alpha val="40000"/>
            </a:schemeClr>
          </a:glow>
        </a:effectLst>
      </c:spPr>
    </c:plotArea>
    <c:plotVisOnly val="1"/>
  </c:chart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tr-TR"/>
  <c:style val="48"/>
  <c:chart>
    <c:title>
      <c:tx>
        <c:rich>
          <a:bodyPr/>
          <a:lstStyle/>
          <a:p>
            <a:pPr>
              <a:defRPr/>
            </a:pPr>
            <a:r>
              <a:rPr lang="tr-TR"/>
              <a:t>OCAK / Ortalama</a:t>
            </a:r>
            <a:endParaRPr lang="en-US"/>
          </a:p>
        </c:rich>
      </c:tx>
      <c:layout>
        <c:manualLayout>
          <c:xMode val="edge"/>
          <c:yMode val="edge"/>
          <c:x val="0.39543147134309242"/>
          <c:y val="2.7026581044587963E-2"/>
        </c:manualLayout>
      </c:layout>
    </c:title>
    <c:plotArea>
      <c:layout>
        <c:manualLayout>
          <c:layoutTarget val="inner"/>
          <c:xMode val="edge"/>
          <c:yMode val="edge"/>
          <c:x val="8.669589431515029E-2"/>
          <c:y val="0.12779817461585335"/>
          <c:w val="0.89299016293323441"/>
          <c:h val="0.77355077489384161"/>
        </c:manualLayout>
      </c:layout>
      <c:barChart>
        <c:barDir val="col"/>
        <c:grouping val="clustered"/>
        <c:ser>
          <c:idx val="1"/>
          <c:order val="1"/>
          <c:tx>
            <c:strRef>
              <c:f>Aylık!$K$2</c:f>
              <c:strCache>
                <c:ptCount val="1"/>
                <c:pt idx="0">
                  <c:v>Ortalama</c:v>
                </c:pt>
              </c:strCache>
            </c:strRef>
          </c:tx>
          <c:spPr>
            <a:effectLst>
              <a:glow rad="228600">
                <a:schemeClr val="accent2">
                  <a:satMod val="175000"/>
                  <a:alpha val="40000"/>
                </a:schemeClr>
              </a:glow>
            </a:effectLst>
          </c:spPr>
          <c:val>
            <c:numRef>
              <c:f>Aylık!$K$3:$K$33</c:f>
              <c:numCache>
                <c:formatCode>0.0</c:formatCode>
                <c:ptCount val="31"/>
                <c:pt idx="0">
                  <c:v>3.5607843137254895</c:v>
                </c:pt>
                <c:pt idx="1">
                  <c:v>3.5058823529411769</c:v>
                </c:pt>
                <c:pt idx="2">
                  <c:v>3.2519607843137242</c:v>
                </c:pt>
                <c:pt idx="3">
                  <c:v>4.1176470588235281</c:v>
                </c:pt>
                <c:pt idx="4">
                  <c:v>3.3892156862745102</c:v>
                </c:pt>
                <c:pt idx="5">
                  <c:v>2.4745098039215683</c:v>
                </c:pt>
                <c:pt idx="6">
                  <c:v>3.8470588235294123</c:v>
                </c:pt>
                <c:pt idx="7">
                  <c:v>3.9333333333333358</c:v>
                </c:pt>
                <c:pt idx="8">
                  <c:v>3.839215686274509</c:v>
                </c:pt>
                <c:pt idx="9">
                  <c:v>4.7098039215686285</c:v>
                </c:pt>
                <c:pt idx="10">
                  <c:v>3.2990196078431371</c:v>
                </c:pt>
                <c:pt idx="11">
                  <c:v>2.6921568627450982</c:v>
                </c:pt>
                <c:pt idx="12">
                  <c:v>3.6862745098039209</c:v>
                </c:pt>
                <c:pt idx="13">
                  <c:v>3.0901960784313718</c:v>
                </c:pt>
                <c:pt idx="14">
                  <c:v>3.5990196078431369</c:v>
                </c:pt>
                <c:pt idx="15">
                  <c:v>4.2294117647058824</c:v>
                </c:pt>
                <c:pt idx="16">
                  <c:v>2.8539215686274519</c:v>
                </c:pt>
                <c:pt idx="17">
                  <c:v>2.7803921568627445</c:v>
                </c:pt>
                <c:pt idx="18">
                  <c:v>3.6166666666666654</c:v>
                </c:pt>
                <c:pt idx="19">
                  <c:v>3.0078431372549019</c:v>
                </c:pt>
                <c:pt idx="20">
                  <c:v>3.4852941176470589</c:v>
                </c:pt>
                <c:pt idx="21">
                  <c:v>3.3999999999999995</c:v>
                </c:pt>
                <c:pt idx="22">
                  <c:v>2.8019607843137249</c:v>
                </c:pt>
                <c:pt idx="23">
                  <c:v>1.3735294117647061</c:v>
                </c:pt>
                <c:pt idx="24">
                  <c:v>3.8843137254901969</c:v>
                </c:pt>
                <c:pt idx="25">
                  <c:v>3.4833333333333325</c:v>
                </c:pt>
                <c:pt idx="26">
                  <c:v>4.0333333333333341</c:v>
                </c:pt>
                <c:pt idx="27">
                  <c:v>2.7372549019607844</c:v>
                </c:pt>
                <c:pt idx="28">
                  <c:v>3.9931372549019613</c:v>
                </c:pt>
                <c:pt idx="29">
                  <c:v>3.0205882352941189</c:v>
                </c:pt>
                <c:pt idx="30">
                  <c:v>3.1666666666666665</c:v>
                </c:pt>
              </c:numCache>
            </c:numRef>
          </c:val>
        </c:ser>
        <c:ser>
          <c:idx val="0"/>
          <c:order val="0"/>
          <c:val>
            <c:numRef>
              <c:f>Aylık!$K$3:$K$33</c:f>
              <c:numCache>
                <c:formatCode>0.0</c:formatCode>
                <c:ptCount val="31"/>
                <c:pt idx="0">
                  <c:v>3.5607843137254895</c:v>
                </c:pt>
                <c:pt idx="1">
                  <c:v>3.5058823529411769</c:v>
                </c:pt>
                <c:pt idx="2">
                  <c:v>3.2519607843137242</c:v>
                </c:pt>
                <c:pt idx="3">
                  <c:v>4.1176470588235281</c:v>
                </c:pt>
                <c:pt idx="4">
                  <c:v>3.3892156862745102</c:v>
                </c:pt>
                <c:pt idx="5">
                  <c:v>2.4745098039215683</c:v>
                </c:pt>
                <c:pt idx="6">
                  <c:v>3.8470588235294123</c:v>
                </c:pt>
                <c:pt idx="7">
                  <c:v>3.9333333333333358</c:v>
                </c:pt>
                <c:pt idx="8">
                  <c:v>3.839215686274509</c:v>
                </c:pt>
                <c:pt idx="9">
                  <c:v>4.7098039215686285</c:v>
                </c:pt>
                <c:pt idx="10">
                  <c:v>3.2990196078431371</c:v>
                </c:pt>
                <c:pt idx="11">
                  <c:v>2.6921568627450982</c:v>
                </c:pt>
                <c:pt idx="12">
                  <c:v>3.6862745098039209</c:v>
                </c:pt>
                <c:pt idx="13">
                  <c:v>3.0901960784313718</c:v>
                </c:pt>
                <c:pt idx="14">
                  <c:v>3.5990196078431369</c:v>
                </c:pt>
                <c:pt idx="15">
                  <c:v>4.2294117647058824</c:v>
                </c:pt>
                <c:pt idx="16">
                  <c:v>2.8539215686274519</c:v>
                </c:pt>
                <c:pt idx="17">
                  <c:v>2.7803921568627445</c:v>
                </c:pt>
                <c:pt idx="18">
                  <c:v>3.6166666666666654</c:v>
                </c:pt>
                <c:pt idx="19">
                  <c:v>3.0078431372549019</c:v>
                </c:pt>
                <c:pt idx="20">
                  <c:v>3.4852941176470589</c:v>
                </c:pt>
                <c:pt idx="21">
                  <c:v>3.3999999999999995</c:v>
                </c:pt>
                <c:pt idx="22">
                  <c:v>2.8019607843137249</c:v>
                </c:pt>
                <c:pt idx="23">
                  <c:v>1.3735294117647061</c:v>
                </c:pt>
                <c:pt idx="24">
                  <c:v>3.8843137254901969</c:v>
                </c:pt>
                <c:pt idx="25">
                  <c:v>3.4833333333333325</c:v>
                </c:pt>
                <c:pt idx="26">
                  <c:v>4.0333333333333341</c:v>
                </c:pt>
                <c:pt idx="27">
                  <c:v>2.7372549019607844</c:v>
                </c:pt>
                <c:pt idx="28">
                  <c:v>3.9931372549019613</c:v>
                </c:pt>
                <c:pt idx="29">
                  <c:v>3.0205882352941189</c:v>
                </c:pt>
                <c:pt idx="30">
                  <c:v>3.1666666666666665</c:v>
                </c:pt>
              </c:numCache>
            </c:numRef>
          </c:val>
        </c:ser>
        <c:axId val="144412032"/>
        <c:axId val="144417920"/>
      </c:barChart>
      <c:catAx>
        <c:axId val="144412032"/>
        <c:scaling>
          <c:orientation val="minMax"/>
        </c:scaling>
        <c:axPos val="b"/>
        <c:majorTickMark val="none"/>
        <c:tickLblPos val="nextTo"/>
        <c:crossAx val="144417920"/>
        <c:crosses val="autoZero"/>
        <c:auto val="1"/>
        <c:lblAlgn val="ctr"/>
        <c:lblOffset val="100"/>
      </c:catAx>
      <c:valAx>
        <c:axId val="144417920"/>
        <c:scaling>
          <c:orientation val="minMax"/>
          <c:max val="10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 sz="1800"/>
                </a:pPr>
                <a:r>
                  <a:rPr lang="tr-TR" sz="1800"/>
                  <a:t>Yağış (mm)</a:t>
                </a:r>
              </a:p>
            </c:rich>
          </c:tx>
          <c:layout>
            <c:manualLayout>
              <c:xMode val="edge"/>
              <c:yMode val="edge"/>
              <c:x val="1.1080332409972301E-2"/>
              <c:y val="0.39515807336931086"/>
            </c:manualLayout>
          </c:layout>
        </c:title>
        <c:numFmt formatCode="General" sourceLinked="0"/>
        <c:majorTickMark val="none"/>
        <c:tickLblPos val="nextTo"/>
        <c:crossAx val="144412032"/>
        <c:crosses val="autoZero"/>
        <c:crossBetween val="between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tr-TR"/>
  <c:style val="43"/>
  <c:chart>
    <c:title>
      <c:tx>
        <c:rich>
          <a:bodyPr/>
          <a:lstStyle/>
          <a:p>
            <a:pPr>
              <a:defRPr/>
            </a:pPr>
            <a:r>
              <a:rPr lang="tr-TR"/>
              <a:t>OCAK / </a:t>
            </a:r>
            <a:r>
              <a:rPr lang="en-US"/>
              <a:t>Maksimum</a:t>
            </a:r>
            <a:r>
              <a:rPr lang="tr-TR"/>
              <a:t> </a:t>
            </a:r>
            <a:r>
              <a:rPr lang="en-US"/>
              <a:t> </a:t>
            </a:r>
          </a:p>
        </c:rich>
      </c:tx>
      <c:layout>
        <c:manualLayout>
          <c:xMode val="edge"/>
          <c:yMode val="edge"/>
          <c:x val="0.39543147134309226"/>
          <c:y val="2.7026581044587963E-2"/>
        </c:manualLayout>
      </c:layout>
    </c:title>
    <c:plotArea>
      <c:layout>
        <c:manualLayout>
          <c:layoutTarget val="inner"/>
          <c:xMode val="edge"/>
          <c:yMode val="edge"/>
          <c:x val="8.6695894315150263E-2"/>
          <c:y val="0.12779817461585335"/>
          <c:w val="0.89299016293323441"/>
          <c:h val="0.77355077489384161"/>
        </c:manualLayout>
      </c:layout>
      <c:barChart>
        <c:barDir val="col"/>
        <c:grouping val="clustered"/>
        <c:ser>
          <c:idx val="0"/>
          <c:order val="0"/>
          <c:tx>
            <c:strRef>
              <c:f>Aylık!$N$2</c:f>
              <c:strCache>
                <c:ptCount val="1"/>
                <c:pt idx="0">
                  <c:v>Maksimum </c:v>
                </c:pt>
              </c:strCache>
            </c:strRef>
          </c:tx>
          <c:spPr>
            <a:effectLst>
              <a:glow rad="228600">
                <a:schemeClr val="accent1">
                  <a:satMod val="175000"/>
                  <a:alpha val="40000"/>
                </a:schemeClr>
              </a:glow>
            </a:effectLst>
          </c:spPr>
          <c:val>
            <c:numRef>
              <c:f>Aylık!$N$3:$N$31</c:f>
              <c:numCache>
                <c:formatCode>0.0</c:formatCode>
                <c:ptCount val="29"/>
                <c:pt idx="0">
                  <c:v>35.5</c:v>
                </c:pt>
                <c:pt idx="1">
                  <c:v>39.299999999999997</c:v>
                </c:pt>
                <c:pt idx="2">
                  <c:v>28.9</c:v>
                </c:pt>
                <c:pt idx="3">
                  <c:v>30</c:v>
                </c:pt>
                <c:pt idx="4">
                  <c:v>51</c:v>
                </c:pt>
                <c:pt idx="5">
                  <c:v>29</c:v>
                </c:pt>
                <c:pt idx="6">
                  <c:v>33.700000000000003</c:v>
                </c:pt>
                <c:pt idx="7">
                  <c:v>57.5</c:v>
                </c:pt>
                <c:pt idx="8">
                  <c:v>42.2</c:v>
                </c:pt>
                <c:pt idx="9">
                  <c:v>45.6</c:v>
                </c:pt>
                <c:pt idx="10">
                  <c:v>31</c:v>
                </c:pt>
                <c:pt idx="11">
                  <c:v>30.3</c:v>
                </c:pt>
                <c:pt idx="12">
                  <c:v>19.100000000000001</c:v>
                </c:pt>
                <c:pt idx="13">
                  <c:v>51.1</c:v>
                </c:pt>
                <c:pt idx="14">
                  <c:v>55.1</c:v>
                </c:pt>
                <c:pt idx="15">
                  <c:v>86.9</c:v>
                </c:pt>
                <c:pt idx="16">
                  <c:v>29.6</c:v>
                </c:pt>
                <c:pt idx="17">
                  <c:v>26.4</c:v>
                </c:pt>
                <c:pt idx="18">
                  <c:v>19.100000000000001</c:v>
                </c:pt>
                <c:pt idx="19">
                  <c:v>52.5</c:v>
                </c:pt>
                <c:pt idx="20">
                  <c:v>13.4</c:v>
                </c:pt>
                <c:pt idx="21">
                  <c:v>22.8</c:v>
                </c:pt>
                <c:pt idx="22">
                  <c:v>22.8</c:v>
                </c:pt>
                <c:pt idx="23">
                  <c:v>49.2</c:v>
                </c:pt>
                <c:pt idx="24">
                  <c:v>26.3</c:v>
                </c:pt>
                <c:pt idx="25">
                  <c:v>19</c:v>
                </c:pt>
                <c:pt idx="26">
                  <c:v>31</c:v>
                </c:pt>
                <c:pt idx="27">
                  <c:v>22</c:v>
                </c:pt>
                <c:pt idx="28">
                  <c:v>25.9</c:v>
                </c:pt>
              </c:numCache>
            </c:numRef>
          </c:val>
        </c:ser>
        <c:axId val="144380672"/>
        <c:axId val="144382208"/>
      </c:barChart>
      <c:catAx>
        <c:axId val="144380672"/>
        <c:scaling>
          <c:orientation val="minMax"/>
        </c:scaling>
        <c:axPos val="b"/>
        <c:majorTickMark val="none"/>
        <c:tickLblPos val="nextTo"/>
        <c:crossAx val="144382208"/>
        <c:crosses val="autoZero"/>
        <c:auto val="1"/>
        <c:lblAlgn val="ctr"/>
        <c:lblOffset val="100"/>
      </c:catAx>
      <c:valAx>
        <c:axId val="144382208"/>
        <c:scaling>
          <c:orientation val="minMax"/>
          <c:max val="170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tr-TR" sz="1200"/>
                  <a:t>Yağış (mm)</a:t>
                </a:r>
              </a:p>
            </c:rich>
          </c:tx>
          <c:layout>
            <c:manualLayout>
              <c:xMode val="edge"/>
              <c:yMode val="edge"/>
              <c:x val="1.1080332409972301E-2"/>
              <c:y val="0.39515807336931058"/>
            </c:manualLayout>
          </c:layout>
        </c:title>
        <c:numFmt formatCode="General" sourceLinked="0"/>
        <c:majorTickMark val="none"/>
        <c:tickLblPos val="nextTo"/>
        <c:crossAx val="144380672"/>
        <c:crosses val="autoZero"/>
        <c:crossBetween val="between"/>
        <c:majorUnit val="20"/>
      </c:valAx>
      <c:spPr>
        <a:effectLst>
          <a:glow rad="228600">
            <a:schemeClr val="accent5">
              <a:satMod val="175000"/>
              <a:alpha val="40000"/>
            </a:schemeClr>
          </a:glow>
        </a:effectLst>
      </c:spPr>
    </c:plotArea>
    <c:plotVisOnly val="1"/>
  </c:chart>
  <c:spPr>
    <a:effectLst>
      <a:glow rad="228600">
        <a:schemeClr val="accent1">
          <a:satMod val="175000"/>
          <a:alpha val="40000"/>
        </a:schemeClr>
      </a:glow>
    </a:effectLst>
  </c:spPr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tr-TR"/>
  <c:style val="48"/>
  <c:chart>
    <c:title>
      <c:tx>
        <c:rich>
          <a:bodyPr/>
          <a:lstStyle/>
          <a:p>
            <a:pPr>
              <a:defRPr/>
            </a:pPr>
            <a:r>
              <a:rPr lang="tr-TR"/>
              <a:t>OCAK / Olasılık</a:t>
            </a:r>
            <a:endParaRPr lang="en-US"/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effectLst>
              <a:glow rad="228600">
                <a:schemeClr val="accent3">
                  <a:satMod val="175000"/>
                  <a:alpha val="40000"/>
                </a:schemeClr>
              </a:glow>
            </a:effectLst>
          </c:spPr>
          <c:marker>
            <c:symbol val="none"/>
          </c:marker>
          <c:dLbls>
            <c:dLblPos val="t"/>
            <c:showVal val="1"/>
          </c:dLbls>
          <c:trendline>
            <c:trendlineType val="linear"/>
          </c:trendline>
          <c:val>
            <c:numRef>
              <c:f>Ocak!$C$7:$C$37</c:f>
              <c:numCache>
                <c:formatCode>0.0</c:formatCode>
                <c:ptCount val="31"/>
                <c:pt idx="0">
                  <c:v>54.901960784313729</c:v>
                </c:pt>
                <c:pt idx="1">
                  <c:v>60.784313725490193</c:v>
                </c:pt>
                <c:pt idx="2">
                  <c:v>60.784313725490193</c:v>
                </c:pt>
                <c:pt idx="3">
                  <c:v>58.82352941176471</c:v>
                </c:pt>
                <c:pt idx="4">
                  <c:v>50.980392156862742</c:v>
                </c:pt>
                <c:pt idx="5">
                  <c:v>49.019607843137251</c:v>
                </c:pt>
                <c:pt idx="6">
                  <c:v>65.686274509803923</c:v>
                </c:pt>
                <c:pt idx="7">
                  <c:v>60.784313725490193</c:v>
                </c:pt>
                <c:pt idx="8">
                  <c:v>55.882352941176471</c:v>
                </c:pt>
                <c:pt idx="9">
                  <c:v>54.901960784313729</c:v>
                </c:pt>
                <c:pt idx="10">
                  <c:v>55.882352941176471</c:v>
                </c:pt>
                <c:pt idx="11">
                  <c:v>51.960784313725497</c:v>
                </c:pt>
                <c:pt idx="12">
                  <c:v>61.764705882352942</c:v>
                </c:pt>
                <c:pt idx="13">
                  <c:v>56.862745098039213</c:v>
                </c:pt>
                <c:pt idx="14">
                  <c:v>63.725490196078425</c:v>
                </c:pt>
                <c:pt idx="15">
                  <c:v>58.82352941176471</c:v>
                </c:pt>
                <c:pt idx="16">
                  <c:v>56.862745098039213</c:v>
                </c:pt>
                <c:pt idx="17">
                  <c:v>57.843137254901968</c:v>
                </c:pt>
                <c:pt idx="18">
                  <c:v>58.82352941176471</c:v>
                </c:pt>
                <c:pt idx="19">
                  <c:v>59.803921568627452</c:v>
                </c:pt>
                <c:pt idx="20">
                  <c:v>58.82352941176471</c:v>
                </c:pt>
                <c:pt idx="21">
                  <c:v>54.901960784313729</c:v>
                </c:pt>
                <c:pt idx="22">
                  <c:v>57.843137254901968</c:v>
                </c:pt>
                <c:pt idx="23">
                  <c:v>53.921568627450981</c:v>
                </c:pt>
                <c:pt idx="24">
                  <c:v>61.764705882352942</c:v>
                </c:pt>
                <c:pt idx="25">
                  <c:v>61.764705882352942</c:v>
                </c:pt>
                <c:pt idx="26">
                  <c:v>57.843137254901968</c:v>
                </c:pt>
                <c:pt idx="27">
                  <c:v>62.745098039215684</c:v>
                </c:pt>
                <c:pt idx="28">
                  <c:v>62.745098039215684</c:v>
                </c:pt>
                <c:pt idx="29">
                  <c:v>66.666666666666657</c:v>
                </c:pt>
                <c:pt idx="30">
                  <c:v>62.745098039215684</c:v>
                </c:pt>
              </c:numCache>
            </c:numRef>
          </c:val>
        </c:ser>
        <c:hiLowLines/>
        <c:marker val="1"/>
        <c:axId val="144606336"/>
        <c:axId val="144608256"/>
      </c:lineChart>
      <c:catAx>
        <c:axId val="14460633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Günler</a:t>
                </a:r>
                <a:endParaRPr lang="en-US"/>
              </a:p>
            </c:rich>
          </c:tx>
          <c:layout/>
        </c:title>
        <c:majorTickMark val="none"/>
        <c:tickLblPos val="nextTo"/>
        <c:txPr>
          <a:bodyPr/>
          <a:lstStyle/>
          <a:p>
            <a:pPr>
              <a:defRPr b="1"/>
            </a:pPr>
            <a:endParaRPr lang="tr-TR"/>
          </a:p>
        </c:txPr>
        <c:crossAx val="144608256"/>
        <c:crosses val="autoZero"/>
        <c:auto val="1"/>
        <c:lblAlgn val="ctr"/>
        <c:lblOffset val="100"/>
      </c:catAx>
      <c:valAx>
        <c:axId val="144608256"/>
        <c:scaling>
          <c:orientation val="minMax"/>
          <c:max val="80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 sz="1800"/>
                </a:pPr>
                <a:r>
                  <a:rPr lang="tr-TR" sz="1800"/>
                  <a:t>Yüzdelik ( % )</a:t>
                </a:r>
              </a:p>
            </c:rich>
          </c:tx>
          <c:layout/>
        </c:title>
        <c:numFmt formatCode="0" sourceLinked="0"/>
        <c:tickLblPos val="nextTo"/>
        <c:crossAx val="144606336"/>
        <c:crosses val="autoZero"/>
        <c:crossBetween val="between"/>
        <c:minorUnit val="5"/>
      </c:valAx>
      <c:spPr>
        <a:effectLst>
          <a:glow rad="228600">
            <a:schemeClr val="accent3">
              <a:satMod val="175000"/>
              <a:alpha val="40000"/>
            </a:schemeClr>
          </a:glow>
        </a:effectLst>
      </c:spPr>
    </c:plotArea>
    <c:plotVisOnly val="1"/>
  </c:chart>
  <c:printSettings>
    <c:headerFooter/>
    <c:pageMargins b="0.75000000000000167" l="0.70000000000000062" r="0.70000000000000062" t="0.75000000000000167" header="0.30000000000000032" footer="0.30000000000000032"/>
    <c:pageSetup orientation="portrait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tr-TR"/>
  <c:style val="48"/>
  <c:chart>
    <c:title>
      <c:tx>
        <c:rich>
          <a:bodyPr/>
          <a:lstStyle/>
          <a:p>
            <a:pPr>
              <a:defRPr/>
            </a:pPr>
            <a:r>
              <a:rPr lang="tr-TR"/>
              <a:t>OCAK / Ortalama</a:t>
            </a:r>
            <a:endParaRPr lang="en-US"/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val>
            <c:numRef>
              <c:f>Ocak!$D$7:$D$37</c:f>
              <c:numCache>
                <c:formatCode>0.0</c:formatCode>
                <c:ptCount val="31"/>
                <c:pt idx="0">
                  <c:v>3.5607843137254895</c:v>
                </c:pt>
                <c:pt idx="1">
                  <c:v>3.5058823529411769</c:v>
                </c:pt>
                <c:pt idx="2">
                  <c:v>3.2519607843137242</c:v>
                </c:pt>
                <c:pt idx="3">
                  <c:v>4.1176470588235281</c:v>
                </c:pt>
                <c:pt idx="4">
                  <c:v>3.3892156862745102</c:v>
                </c:pt>
                <c:pt idx="5">
                  <c:v>2.4745098039215683</c:v>
                </c:pt>
                <c:pt idx="6">
                  <c:v>3.8470588235294123</c:v>
                </c:pt>
                <c:pt idx="7">
                  <c:v>3.9333333333333358</c:v>
                </c:pt>
                <c:pt idx="8">
                  <c:v>3.839215686274509</c:v>
                </c:pt>
                <c:pt idx="9">
                  <c:v>4.7098039215686285</c:v>
                </c:pt>
                <c:pt idx="10">
                  <c:v>3.2990196078431371</c:v>
                </c:pt>
                <c:pt idx="11">
                  <c:v>2.6921568627450982</c:v>
                </c:pt>
                <c:pt idx="12">
                  <c:v>3.6862745098039209</c:v>
                </c:pt>
                <c:pt idx="13">
                  <c:v>3.0901960784313718</c:v>
                </c:pt>
                <c:pt idx="14">
                  <c:v>3.5990196078431369</c:v>
                </c:pt>
                <c:pt idx="15">
                  <c:v>4.2294117647058824</c:v>
                </c:pt>
                <c:pt idx="16">
                  <c:v>2.8539215686274519</c:v>
                </c:pt>
                <c:pt idx="17">
                  <c:v>2.7803921568627445</c:v>
                </c:pt>
                <c:pt idx="18">
                  <c:v>3.6166666666666654</c:v>
                </c:pt>
                <c:pt idx="19">
                  <c:v>3.0078431372549019</c:v>
                </c:pt>
                <c:pt idx="20">
                  <c:v>3.4852941176470589</c:v>
                </c:pt>
                <c:pt idx="21">
                  <c:v>3.3999999999999995</c:v>
                </c:pt>
                <c:pt idx="22">
                  <c:v>2.8019607843137249</c:v>
                </c:pt>
                <c:pt idx="23">
                  <c:v>1.3735294117647061</c:v>
                </c:pt>
                <c:pt idx="24">
                  <c:v>3.8843137254901969</c:v>
                </c:pt>
                <c:pt idx="25">
                  <c:v>3.4833333333333325</c:v>
                </c:pt>
                <c:pt idx="26">
                  <c:v>4.0333333333333341</c:v>
                </c:pt>
                <c:pt idx="27">
                  <c:v>2.7372549019607844</c:v>
                </c:pt>
                <c:pt idx="28">
                  <c:v>3.9931372549019613</c:v>
                </c:pt>
                <c:pt idx="29">
                  <c:v>3.0205882352941189</c:v>
                </c:pt>
                <c:pt idx="30">
                  <c:v>3.1666666666666665</c:v>
                </c:pt>
              </c:numCache>
            </c:numRef>
          </c:val>
        </c:ser>
        <c:axId val="144631680"/>
        <c:axId val="144641408"/>
      </c:barChart>
      <c:catAx>
        <c:axId val="1446316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Günler</a:t>
                </a:r>
              </a:p>
            </c:rich>
          </c:tx>
          <c:layout/>
        </c:title>
        <c:majorTickMark val="none"/>
        <c:tickLblPos val="nextTo"/>
        <c:crossAx val="144641408"/>
        <c:crosses val="autoZero"/>
        <c:auto val="1"/>
        <c:lblAlgn val="ctr"/>
        <c:lblOffset val="100"/>
      </c:catAx>
      <c:valAx>
        <c:axId val="144641408"/>
        <c:scaling>
          <c:orientation val="minMax"/>
          <c:max val="10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 sz="1800"/>
                </a:pPr>
                <a:r>
                  <a:rPr lang="tr-TR" sz="1800"/>
                  <a:t>Yağış (mm)</a:t>
                </a:r>
              </a:p>
            </c:rich>
          </c:tx>
          <c:layout/>
        </c:title>
        <c:numFmt formatCode="General" sourceLinked="0"/>
        <c:tickLblPos val="nextTo"/>
        <c:crossAx val="144631680"/>
        <c:crosses val="autoZero"/>
        <c:crossBetween val="between"/>
        <c:majorUnit val="1"/>
      </c:valAx>
    </c:plotArea>
    <c:plotVisOnly val="1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tr-TR"/>
  <c:style val="43"/>
  <c:chart>
    <c:title>
      <c:tx>
        <c:rich>
          <a:bodyPr/>
          <a:lstStyle/>
          <a:p>
            <a:pPr>
              <a:defRPr/>
            </a:pPr>
            <a:r>
              <a:rPr lang="tr-TR"/>
              <a:t>OCAK / </a:t>
            </a:r>
            <a:r>
              <a:rPr lang="en-US"/>
              <a:t>Maksimum 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spPr>
            <a:effectLst>
              <a:glow rad="228600">
                <a:schemeClr val="accent1">
                  <a:satMod val="175000"/>
                  <a:alpha val="40000"/>
                </a:schemeClr>
              </a:glow>
            </a:effectLst>
          </c:spPr>
          <c:val>
            <c:numRef>
              <c:f>Ocak!$B$7:$B$37</c:f>
              <c:numCache>
                <c:formatCode>0.0</c:formatCode>
                <c:ptCount val="31"/>
                <c:pt idx="0">
                  <c:v>35.5</c:v>
                </c:pt>
                <c:pt idx="1">
                  <c:v>31.2</c:v>
                </c:pt>
                <c:pt idx="2">
                  <c:v>30.2</c:v>
                </c:pt>
                <c:pt idx="3">
                  <c:v>26.6</c:v>
                </c:pt>
                <c:pt idx="4">
                  <c:v>39.4</c:v>
                </c:pt>
                <c:pt idx="5">
                  <c:v>23.7</c:v>
                </c:pt>
                <c:pt idx="6">
                  <c:v>23.5</c:v>
                </c:pt>
                <c:pt idx="7">
                  <c:v>39</c:v>
                </c:pt>
                <c:pt idx="8">
                  <c:v>37.4</c:v>
                </c:pt>
                <c:pt idx="9">
                  <c:v>46.8</c:v>
                </c:pt>
                <c:pt idx="10">
                  <c:v>35.5</c:v>
                </c:pt>
                <c:pt idx="11">
                  <c:v>27.1</c:v>
                </c:pt>
                <c:pt idx="12">
                  <c:v>31.3</c:v>
                </c:pt>
                <c:pt idx="13">
                  <c:v>24.1</c:v>
                </c:pt>
                <c:pt idx="14">
                  <c:v>25.1</c:v>
                </c:pt>
                <c:pt idx="15">
                  <c:v>32.700000000000003</c:v>
                </c:pt>
                <c:pt idx="16">
                  <c:v>38.6</c:v>
                </c:pt>
                <c:pt idx="17">
                  <c:v>25.5</c:v>
                </c:pt>
                <c:pt idx="18">
                  <c:v>33</c:v>
                </c:pt>
                <c:pt idx="19">
                  <c:v>32.4</c:v>
                </c:pt>
                <c:pt idx="20">
                  <c:v>50.5</c:v>
                </c:pt>
                <c:pt idx="21">
                  <c:v>48.5</c:v>
                </c:pt>
                <c:pt idx="22">
                  <c:v>26</c:v>
                </c:pt>
                <c:pt idx="23">
                  <c:v>30.2</c:v>
                </c:pt>
                <c:pt idx="24">
                  <c:v>37.6</c:v>
                </c:pt>
                <c:pt idx="25">
                  <c:v>39.1</c:v>
                </c:pt>
                <c:pt idx="26">
                  <c:v>40</c:v>
                </c:pt>
                <c:pt idx="27">
                  <c:v>19.8</c:v>
                </c:pt>
                <c:pt idx="28">
                  <c:v>42.5</c:v>
                </c:pt>
                <c:pt idx="29">
                  <c:v>33.5</c:v>
                </c:pt>
                <c:pt idx="30">
                  <c:v>66</c:v>
                </c:pt>
              </c:numCache>
            </c:numRef>
          </c:val>
        </c:ser>
        <c:axId val="144649600"/>
        <c:axId val="144692352"/>
      </c:barChart>
      <c:catAx>
        <c:axId val="1446496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Günler</a:t>
                </a:r>
              </a:p>
            </c:rich>
          </c:tx>
          <c:layout/>
        </c:title>
        <c:majorTickMark val="none"/>
        <c:tickLblPos val="nextTo"/>
        <c:crossAx val="144692352"/>
        <c:crosses val="autoZero"/>
        <c:auto val="1"/>
        <c:lblAlgn val="ctr"/>
        <c:lblOffset val="100"/>
      </c:catAx>
      <c:valAx>
        <c:axId val="144692352"/>
        <c:scaling>
          <c:orientation val="minMax"/>
          <c:max val="170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Yağış</a:t>
                </a:r>
                <a:r>
                  <a:rPr lang="tr-TR" baseline="0"/>
                  <a:t> ( mm )</a:t>
                </a:r>
                <a:endParaRPr lang="tr-TR"/>
              </a:p>
            </c:rich>
          </c:tx>
          <c:layout/>
        </c:title>
        <c:numFmt formatCode="General" sourceLinked="0"/>
        <c:tickLblPos val="nextTo"/>
        <c:crossAx val="144649600"/>
        <c:crosses val="autoZero"/>
        <c:crossBetween val="between"/>
        <c:majorUnit val="20"/>
      </c:valAx>
      <c:spPr>
        <a:effectLst>
          <a:glow rad="228600">
            <a:schemeClr val="accent5">
              <a:satMod val="175000"/>
              <a:alpha val="40000"/>
            </a:schemeClr>
          </a:glow>
        </a:effectLst>
      </c:spPr>
    </c:plotArea>
    <c:plotVisOnly val="1"/>
  </c:chart>
  <c:spPr>
    <a:effectLst>
      <a:glow rad="228600">
        <a:schemeClr val="accent1">
          <a:satMod val="175000"/>
          <a:alpha val="40000"/>
        </a:schemeClr>
      </a:glow>
    </a:effectLst>
  </c:sp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tr-TR"/>
  <c:style val="48"/>
  <c:chart>
    <c:title>
      <c:tx>
        <c:rich>
          <a:bodyPr/>
          <a:lstStyle/>
          <a:p>
            <a:pPr>
              <a:defRPr/>
            </a:pPr>
            <a:r>
              <a:rPr lang="tr-TR"/>
              <a:t>ŞUBAT / Olasılık</a:t>
            </a:r>
            <a:endParaRPr lang="en-US"/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effectLst>
              <a:glow rad="228600">
                <a:schemeClr val="accent3">
                  <a:satMod val="175000"/>
                  <a:alpha val="40000"/>
                </a:schemeClr>
              </a:glow>
            </a:effectLst>
          </c:spPr>
          <c:marker>
            <c:symbol val="none"/>
          </c:marker>
          <c:dLbls>
            <c:dLblPos val="t"/>
            <c:showVal val="1"/>
          </c:dLbls>
          <c:trendline>
            <c:trendlineType val="linear"/>
          </c:trendline>
          <c:val>
            <c:numRef>
              <c:f>Şubat!$C$7:$C$35</c:f>
              <c:numCache>
                <c:formatCode>0.0</c:formatCode>
                <c:ptCount val="29"/>
                <c:pt idx="0">
                  <c:v>58.82352941176471</c:v>
                </c:pt>
                <c:pt idx="1">
                  <c:v>58.82352941176471</c:v>
                </c:pt>
                <c:pt idx="2">
                  <c:v>59.803921568627452</c:v>
                </c:pt>
                <c:pt idx="3">
                  <c:v>48.03921568627451</c:v>
                </c:pt>
                <c:pt idx="4">
                  <c:v>45.098039215686278</c:v>
                </c:pt>
                <c:pt idx="5">
                  <c:v>60.784313725490193</c:v>
                </c:pt>
                <c:pt idx="6">
                  <c:v>59.803921568627452</c:v>
                </c:pt>
                <c:pt idx="7">
                  <c:v>51.960784313725497</c:v>
                </c:pt>
                <c:pt idx="8">
                  <c:v>53.921568627450981</c:v>
                </c:pt>
                <c:pt idx="9">
                  <c:v>47.058823529411761</c:v>
                </c:pt>
                <c:pt idx="10">
                  <c:v>48.03921568627451</c:v>
                </c:pt>
                <c:pt idx="11">
                  <c:v>49.019607843137251</c:v>
                </c:pt>
                <c:pt idx="12">
                  <c:v>54.901960784313729</c:v>
                </c:pt>
                <c:pt idx="13">
                  <c:v>55.882352941176471</c:v>
                </c:pt>
                <c:pt idx="14">
                  <c:v>59.803921568627452</c:v>
                </c:pt>
                <c:pt idx="15">
                  <c:v>58.82352941176471</c:v>
                </c:pt>
                <c:pt idx="16">
                  <c:v>50.980392156862742</c:v>
                </c:pt>
                <c:pt idx="17">
                  <c:v>50.980392156862742</c:v>
                </c:pt>
                <c:pt idx="18">
                  <c:v>47.058823529411761</c:v>
                </c:pt>
                <c:pt idx="19">
                  <c:v>51.960784313725497</c:v>
                </c:pt>
                <c:pt idx="20">
                  <c:v>54.901960784313729</c:v>
                </c:pt>
                <c:pt idx="21">
                  <c:v>57.843137254901968</c:v>
                </c:pt>
                <c:pt idx="22">
                  <c:v>56.862745098039213</c:v>
                </c:pt>
                <c:pt idx="23">
                  <c:v>56.862745098039213</c:v>
                </c:pt>
                <c:pt idx="24">
                  <c:v>55.882352941176471</c:v>
                </c:pt>
                <c:pt idx="25">
                  <c:v>52.941176470588239</c:v>
                </c:pt>
                <c:pt idx="26">
                  <c:v>52.941176470588239</c:v>
                </c:pt>
                <c:pt idx="27">
                  <c:v>47.058823529411761</c:v>
                </c:pt>
                <c:pt idx="28">
                  <c:v>50.980392156862798</c:v>
                </c:pt>
              </c:numCache>
            </c:numRef>
          </c:val>
        </c:ser>
        <c:hiLowLines/>
        <c:marker val="1"/>
        <c:axId val="144846848"/>
        <c:axId val="144848768"/>
      </c:lineChart>
      <c:catAx>
        <c:axId val="14484684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Günler</a:t>
                </a:r>
                <a:endParaRPr lang="en-US"/>
              </a:p>
            </c:rich>
          </c:tx>
          <c:layout/>
        </c:title>
        <c:majorTickMark val="none"/>
        <c:tickLblPos val="nextTo"/>
        <c:txPr>
          <a:bodyPr/>
          <a:lstStyle/>
          <a:p>
            <a:pPr>
              <a:defRPr b="1"/>
            </a:pPr>
            <a:endParaRPr lang="tr-TR"/>
          </a:p>
        </c:txPr>
        <c:crossAx val="144848768"/>
        <c:crosses val="autoZero"/>
        <c:auto val="1"/>
        <c:lblAlgn val="ctr"/>
        <c:lblOffset val="100"/>
      </c:catAx>
      <c:valAx>
        <c:axId val="144848768"/>
        <c:scaling>
          <c:orientation val="minMax"/>
          <c:max val="80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 sz="1800"/>
                </a:pPr>
                <a:r>
                  <a:rPr lang="tr-TR" sz="1800"/>
                  <a:t>Yüzdelik ( % )</a:t>
                </a:r>
              </a:p>
            </c:rich>
          </c:tx>
          <c:layout/>
        </c:title>
        <c:numFmt formatCode="0" sourceLinked="0"/>
        <c:tickLblPos val="nextTo"/>
        <c:crossAx val="144846848"/>
        <c:crosses val="autoZero"/>
        <c:crossBetween val="between"/>
        <c:minorUnit val="5"/>
      </c:valAx>
      <c:spPr>
        <a:effectLst>
          <a:glow rad="228600">
            <a:schemeClr val="accent3">
              <a:satMod val="175000"/>
              <a:alpha val="40000"/>
            </a:schemeClr>
          </a:glow>
        </a:effectLst>
      </c:spPr>
    </c:plotArea>
    <c:plotVisOnly val="1"/>
  </c:chart>
  <c:printSettings>
    <c:headerFooter/>
    <c:pageMargins b="0.75000000000000189" l="0.70000000000000062" r="0.70000000000000062" t="0.75000000000000189" header="0.30000000000000032" footer="0.30000000000000032"/>
    <c:pageSetup orientation="portrait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tr-TR"/>
  <c:style val="48"/>
  <c:chart>
    <c:title>
      <c:tx>
        <c:rich>
          <a:bodyPr/>
          <a:lstStyle/>
          <a:p>
            <a:pPr>
              <a:defRPr/>
            </a:pPr>
            <a:r>
              <a:rPr lang="tr-TR"/>
              <a:t>ŞUBAT/ Ortalama</a:t>
            </a:r>
            <a:endParaRPr lang="en-US"/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val>
            <c:numRef>
              <c:f>Şubat!$D$7:$D$35</c:f>
              <c:numCache>
                <c:formatCode>0.0</c:formatCode>
                <c:ptCount val="29"/>
                <c:pt idx="0">
                  <c:v>3.4098039215686269</c:v>
                </c:pt>
                <c:pt idx="1">
                  <c:v>4.0382352941176487</c:v>
                </c:pt>
                <c:pt idx="2">
                  <c:v>3.077450980392157</c:v>
                </c:pt>
                <c:pt idx="3">
                  <c:v>2.2696078431372544</c:v>
                </c:pt>
                <c:pt idx="4">
                  <c:v>2.7960784313725484</c:v>
                </c:pt>
                <c:pt idx="5">
                  <c:v>3.2274509803921556</c:v>
                </c:pt>
                <c:pt idx="6">
                  <c:v>3.4098039215686264</c:v>
                </c:pt>
                <c:pt idx="7">
                  <c:v>3.6215686274509817</c:v>
                </c:pt>
                <c:pt idx="8">
                  <c:v>3.0725490196078433</c:v>
                </c:pt>
                <c:pt idx="9">
                  <c:v>3.2382352941176475</c:v>
                </c:pt>
                <c:pt idx="10">
                  <c:v>2.9264705882352939</c:v>
                </c:pt>
                <c:pt idx="11">
                  <c:v>2.649999999999999</c:v>
                </c:pt>
                <c:pt idx="12">
                  <c:v>2.6333333333333337</c:v>
                </c:pt>
                <c:pt idx="13">
                  <c:v>3.8225490196078442</c:v>
                </c:pt>
                <c:pt idx="14">
                  <c:v>3.0303921568627463</c:v>
                </c:pt>
                <c:pt idx="15">
                  <c:v>3.6588235294117646</c:v>
                </c:pt>
                <c:pt idx="16">
                  <c:v>3.6990196078431379</c:v>
                </c:pt>
                <c:pt idx="17">
                  <c:v>2.5784313725490189</c:v>
                </c:pt>
                <c:pt idx="18">
                  <c:v>1.7735294117647054</c:v>
                </c:pt>
                <c:pt idx="19">
                  <c:v>3.6715686274509802</c:v>
                </c:pt>
                <c:pt idx="20">
                  <c:v>1.9264705882352942</c:v>
                </c:pt>
                <c:pt idx="21">
                  <c:v>2.306862745098039</c:v>
                </c:pt>
                <c:pt idx="22">
                  <c:v>2.904901960784315</c:v>
                </c:pt>
                <c:pt idx="23">
                  <c:v>3.8205882352941187</c:v>
                </c:pt>
                <c:pt idx="24">
                  <c:v>3.1784313725490199</c:v>
                </c:pt>
                <c:pt idx="25">
                  <c:v>2.2176470588235291</c:v>
                </c:pt>
                <c:pt idx="26">
                  <c:v>2.8892156862745098</c:v>
                </c:pt>
                <c:pt idx="27">
                  <c:v>1.6725490196078425</c:v>
                </c:pt>
                <c:pt idx="28">
                  <c:v>2.0745098039215679</c:v>
                </c:pt>
              </c:numCache>
            </c:numRef>
          </c:val>
        </c:ser>
        <c:axId val="144888192"/>
        <c:axId val="144890112"/>
      </c:barChart>
      <c:catAx>
        <c:axId val="14488819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Günler</a:t>
                </a:r>
              </a:p>
            </c:rich>
          </c:tx>
          <c:layout/>
        </c:title>
        <c:majorTickMark val="none"/>
        <c:tickLblPos val="nextTo"/>
        <c:crossAx val="144890112"/>
        <c:crosses val="autoZero"/>
        <c:auto val="1"/>
        <c:lblAlgn val="ctr"/>
        <c:lblOffset val="100"/>
      </c:catAx>
      <c:valAx>
        <c:axId val="144890112"/>
        <c:scaling>
          <c:orientation val="minMax"/>
          <c:max val="10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 sz="1800"/>
                </a:pPr>
                <a:r>
                  <a:rPr lang="tr-TR" sz="1800"/>
                  <a:t>Yağış (mm)</a:t>
                </a:r>
              </a:p>
            </c:rich>
          </c:tx>
          <c:layout/>
        </c:title>
        <c:numFmt formatCode="General" sourceLinked="0"/>
        <c:tickLblPos val="nextTo"/>
        <c:crossAx val="144888192"/>
        <c:crosses val="autoZero"/>
        <c:crossBetween val="between"/>
        <c:majorUnit val="1"/>
      </c:valAx>
    </c:plotArea>
    <c:plotVisOnly val="1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tr-TR"/>
  <c:style val="43"/>
  <c:chart>
    <c:title>
      <c:tx>
        <c:rich>
          <a:bodyPr/>
          <a:lstStyle/>
          <a:p>
            <a:pPr>
              <a:defRPr/>
            </a:pPr>
            <a:r>
              <a:rPr lang="tr-TR"/>
              <a:t>ŞUBAT / </a:t>
            </a:r>
            <a:r>
              <a:rPr lang="en-US"/>
              <a:t>Maksimum 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spPr>
            <a:effectLst>
              <a:glow rad="228600">
                <a:schemeClr val="accent1">
                  <a:satMod val="175000"/>
                  <a:alpha val="40000"/>
                </a:schemeClr>
              </a:glow>
            </a:effectLst>
          </c:spPr>
          <c:val>
            <c:numRef>
              <c:f>Şubat!$B$7:$B$35</c:f>
              <c:numCache>
                <c:formatCode>0.0</c:formatCode>
                <c:ptCount val="29"/>
                <c:pt idx="0">
                  <c:v>35.5</c:v>
                </c:pt>
                <c:pt idx="1">
                  <c:v>39.299999999999997</c:v>
                </c:pt>
                <c:pt idx="2">
                  <c:v>28.9</c:v>
                </c:pt>
                <c:pt idx="3">
                  <c:v>30</c:v>
                </c:pt>
                <c:pt idx="4">
                  <c:v>51</c:v>
                </c:pt>
                <c:pt idx="5">
                  <c:v>29</c:v>
                </c:pt>
                <c:pt idx="6">
                  <c:v>33.700000000000003</c:v>
                </c:pt>
                <c:pt idx="7">
                  <c:v>57.5</c:v>
                </c:pt>
                <c:pt idx="8">
                  <c:v>42.2</c:v>
                </c:pt>
                <c:pt idx="9">
                  <c:v>45.6</c:v>
                </c:pt>
                <c:pt idx="10">
                  <c:v>31</c:v>
                </c:pt>
                <c:pt idx="11">
                  <c:v>30.3</c:v>
                </c:pt>
                <c:pt idx="12">
                  <c:v>19.100000000000001</c:v>
                </c:pt>
                <c:pt idx="13">
                  <c:v>51.1</c:v>
                </c:pt>
                <c:pt idx="14">
                  <c:v>55.1</c:v>
                </c:pt>
                <c:pt idx="15">
                  <c:v>86.9</c:v>
                </c:pt>
                <c:pt idx="16">
                  <c:v>29.6</c:v>
                </c:pt>
                <c:pt idx="17">
                  <c:v>26.4</c:v>
                </c:pt>
                <c:pt idx="18">
                  <c:v>19.100000000000001</c:v>
                </c:pt>
                <c:pt idx="19">
                  <c:v>52.5</c:v>
                </c:pt>
                <c:pt idx="20">
                  <c:v>13.4</c:v>
                </c:pt>
                <c:pt idx="21">
                  <c:v>22.8</c:v>
                </c:pt>
                <c:pt idx="22">
                  <c:v>22.8</c:v>
                </c:pt>
                <c:pt idx="23">
                  <c:v>49.2</c:v>
                </c:pt>
                <c:pt idx="24">
                  <c:v>26.3</c:v>
                </c:pt>
                <c:pt idx="25">
                  <c:v>19</c:v>
                </c:pt>
                <c:pt idx="26">
                  <c:v>31</c:v>
                </c:pt>
                <c:pt idx="27">
                  <c:v>22</c:v>
                </c:pt>
                <c:pt idx="28">
                  <c:v>25.9</c:v>
                </c:pt>
              </c:numCache>
            </c:numRef>
          </c:val>
        </c:ser>
        <c:axId val="144713600"/>
        <c:axId val="144715776"/>
      </c:barChart>
      <c:catAx>
        <c:axId val="1447136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Günler</a:t>
                </a:r>
              </a:p>
            </c:rich>
          </c:tx>
          <c:layout/>
        </c:title>
        <c:majorTickMark val="none"/>
        <c:tickLblPos val="nextTo"/>
        <c:crossAx val="144715776"/>
        <c:crosses val="autoZero"/>
        <c:auto val="1"/>
        <c:lblAlgn val="ctr"/>
        <c:lblOffset val="100"/>
      </c:catAx>
      <c:valAx>
        <c:axId val="144715776"/>
        <c:scaling>
          <c:orientation val="minMax"/>
          <c:max val="170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Yağış</a:t>
                </a:r>
                <a:r>
                  <a:rPr lang="tr-TR" baseline="0"/>
                  <a:t> ( mm )</a:t>
                </a:r>
                <a:endParaRPr lang="tr-TR"/>
              </a:p>
            </c:rich>
          </c:tx>
          <c:layout/>
        </c:title>
        <c:numFmt formatCode="General" sourceLinked="0"/>
        <c:tickLblPos val="nextTo"/>
        <c:crossAx val="144713600"/>
        <c:crosses val="autoZero"/>
        <c:crossBetween val="between"/>
        <c:majorUnit val="20"/>
      </c:valAx>
      <c:spPr>
        <a:effectLst>
          <a:glow rad="228600">
            <a:schemeClr val="accent5">
              <a:satMod val="175000"/>
              <a:alpha val="40000"/>
            </a:schemeClr>
          </a:glow>
        </a:effectLst>
      </c:spPr>
    </c:plotArea>
    <c:plotVisOnly val="1"/>
  </c:chart>
  <c:spPr>
    <a:effectLst>
      <a:glow rad="228600">
        <a:schemeClr val="accent1">
          <a:satMod val="175000"/>
          <a:alpha val="40000"/>
        </a:schemeClr>
      </a:glow>
    </a:effectLst>
  </c:spPr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tr-TR"/>
  <c:style val="48"/>
  <c:chart>
    <c:title>
      <c:tx>
        <c:rich>
          <a:bodyPr/>
          <a:lstStyle/>
          <a:p>
            <a:pPr>
              <a:defRPr/>
            </a:pPr>
            <a:r>
              <a:rPr lang="tr-TR"/>
              <a:t>MART / Olasılık</a:t>
            </a:r>
            <a:endParaRPr lang="en-US"/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effectLst>
              <a:glow rad="228600">
                <a:schemeClr val="accent3">
                  <a:satMod val="175000"/>
                  <a:alpha val="40000"/>
                </a:schemeClr>
              </a:glow>
            </a:effectLst>
          </c:spPr>
          <c:marker>
            <c:symbol val="none"/>
          </c:marker>
          <c:dLbls>
            <c:dLblPos val="t"/>
            <c:showVal val="1"/>
          </c:dLbls>
          <c:trendline>
            <c:trendlineType val="linear"/>
          </c:trendline>
          <c:val>
            <c:numRef>
              <c:f>Mart!$C$7:$C$37</c:f>
              <c:numCache>
                <c:formatCode>0.0</c:formatCode>
                <c:ptCount val="31"/>
                <c:pt idx="0">
                  <c:v>46.078431372549019</c:v>
                </c:pt>
                <c:pt idx="1">
                  <c:v>56.862745098039213</c:v>
                </c:pt>
                <c:pt idx="2">
                  <c:v>52.941176470588239</c:v>
                </c:pt>
                <c:pt idx="3">
                  <c:v>43.137254901960787</c:v>
                </c:pt>
                <c:pt idx="4">
                  <c:v>44.117647058823529</c:v>
                </c:pt>
                <c:pt idx="5">
                  <c:v>46.078431372549019</c:v>
                </c:pt>
                <c:pt idx="6">
                  <c:v>45.098039215686278</c:v>
                </c:pt>
                <c:pt idx="7">
                  <c:v>46.078431372549019</c:v>
                </c:pt>
                <c:pt idx="8">
                  <c:v>49.019607843137251</c:v>
                </c:pt>
                <c:pt idx="9">
                  <c:v>51.960784313725497</c:v>
                </c:pt>
                <c:pt idx="10">
                  <c:v>50</c:v>
                </c:pt>
                <c:pt idx="11">
                  <c:v>46.078431372549019</c:v>
                </c:pt>
                <c:pt idx="12">
                  <c:v>44.117647058823529</c:v>
                </c:pt>
                <c:pt idx="13">
                  <c:v>48.03921568627451</c:v>
                </c:pt>
                <c:pt idx="14">
                  <c:v>45.098039215686278</c:v>
                </c:pt>
                <c:pt idx="15">
                  <c:v>50.980392156862742</c:v>
                </c:pt>
                <c:pt idx="16">
                  <c:v>52.941176470588239</c:v>
                </c:pt>
                <c:pt idx="17">
                  <c:v>46.078431372549019</c:v>
                </c:pt>
                <c:pt idx="18">
                  <c:v>47.058823529411761</c:v>
                </c:pt>
                <c:pt idx="19">
                  <c:v>42.156862745098039</c:v>
                </c:pt>
                <c:pt idx="20">
                  <c:v>36.274509803921568</c:v>
                </c:pt>
                <c:pt idx="21">
                  <c:v>43.137254901960787</c:v>
                </c:pt>
                <c:pt idx="22">
                  <c:v>38.235294117647058</c:v>
                </c:pt>
                <c:pt idx="23">
                  <c:v>43.137254901960787</c:v>
                </c:pt>
                <c:pt idx="24">
                  <c:v>31.372549019607842</c:v>
                </c:pt>
                <c:pt idx="25">
                  <c:v>37.254901960784316</c:v>
                </c:pt>
                <c:pt idx="26">
                  <c:v>34.313725490196077</c:v>
                </c:pt>
                <c:pt idx="27">
                  <c:v>47.058823529411761</c:v>
                </c:pt>
                <c:pt idx="28">
                  <c:v>42.156862745098039</c:v>
                </c:pt>
                <c:pt idx="29">
                  <c:v>34.313725490196077</c:v>
                </c:pt>
                <c:pt idx="30">
                  <c:v>31.372549019607842</c:v>
                </c:pt>
              </c:numCache>
            </c:numRef>
          </c:val>
        </c:ser>
        <c:hiLowLines/>
        <c:marker val="1"/>
        <c:axId val="144759424"/>
        <c:axId val="144913152"/>
      </c:lineChart>
      <c:catAx>
        <c:axId val="14475942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Günler</a:t>
                </a:r>
                <a:endParaRPr lang="en-US"/>
              </a:p>
            </c:rich>
          </c:tx>
          <c:layout/>
        </c:title>
        <c:majorTickMark val="none"/>
        <c:tickLblPos val="nextTo"/>
        <c:txPr>
          <a:bodyPr/>
          <a:lstStyle/>
          <a:p>
            <a:pPr>
              <a:defRPr b="1"/>
            </a:pPr>
            <a:endParaRPr lang="tr-TR"/>
          </a:p>
        </c:txPr>
        <c:crossAx val="144913152"/>
        <c:crosses val="autoZero"/>
        <c:auto val="1"/>
        <c:lblAlgn val="ctr"/>
        <c:lblOffset val="100"/>
      </c:catAx>
      <c:valAx>
        <c:axId val="144913152"/>
        <c:scaling>
          <c:orientation val="minMax"/>
          <c:max val="80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 sz="1800"/>
                </a:pPr>
                <a:r>
                  <a:rPr lang="tr-TR" sz="1800"/>
                  <a:t>Yüzdelik ( % )</a:t>
                </a:r>
              </a:p>
            </c:rich>
          </c:tx>
          <c:layout/>
        </c:title>
        <c:numFmt formatCode="0" sourceLinked="0"/>
        <c:tickLblPos val="nextTo"/>
        <c:crossAx val="144759424"/>
        <c:crosses val="autoZero"/>
        <c:crossBetween val="between"/>
        <c:minorUnit val="5"/>
      </c:valAx>
      <c:spPr>
        <a:effectLst>
          <a:glow rad="228600">
            <a:schemeClr val="accent3">
              <a:satMod val="175000"/>
              <a:alpha val="40000"/>
            </a:schemeClr>
          </a:glow>
        </a:effectLst>
      </c:spPr>
    </c:plotArea>
    <c:plotVisOnly val="1"/>
  </c:chart>
  <c:printSettings>
    <c:headerFooter/>
    <c:pageMargins b="0.75000000000000211" l="0.70000000000000062" r="0.70000000000000062" t="0.75000000000000211" header="0.30000000000000032" footer="0.30000000000000032"/>
    <c:pageSetup orientation="portrait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tr-TR"/>
  <c:style val="48"/>
  <c:chart>
    <c:title>
      <c:tx>
        <c:rich>
          <a:bodyPr/>
          <a:lstStyle/>
          <a:p>
            <a:pPr>
              <a:defRPr/>
            </a:pPr>
            <a:r>
              <a:rPr lang="tr-TR"/>
              <a:t>MART/ Ortalama</a:t>
            </a:r>
            <a:endParaRPr lang="en-US"/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val>
            <c:numRef>
              <c:f>Mart!$D$7:$D$37</c:f>
              <c:numCache>
                <c:formatCode>0.0</c:formatCode>
                <c:ptCount val="31"/>
                <c:pt idx="0">
                  <c:v>2.3745098039215673</c:v>
                </c:pt>
                <c:pt idx="1">
                  <c:v>2.7990196078431362</c:v>
                </c:pt>
                <c:pt idx="2">
                  <c:v>2.0666666666666664</c:v>
                </c:pt>
                <c:pt idx="3">
                  <c:v>2.1549019607843132</c:v>
                </c:pt>
                <c:pt idx="4">
                  <c:v>2.6196078431372554</c:v>
                </c:pt>
                <c:pt idx="5">
                  <c:v>2.0598039215686272</c:v>
                </c:pt>
                <c:pt idx="6">
                  <c:v>2.9156862745098042</c:v>
                </c:pt>
                <c:pt idx="7">
                  <c:v>2.1137254901960785</c:v>
                </c:pt>
                <c:pt idx="8">
                  <c:v>2.3343137254901958</c:v>
                </c:pt>
                <c:pt idx="9">
                  <c:v>3.0627450980392155</c:v>
                </c:pt>
                <c:pt idx="10">
                  <c:v>2.8117647058823523</c:v>
                </c:pt>
                <c:pt idx="11">
                  <c:v>2.4578431372549021</c:v>
                </c:pt>
                <c:pt idx="12">
                  <c:v>1.8421568627450982</c:v>
                </c:pt>
                <c:pt idx="13">
                  <c:v>1.8294117647058821</c:v>
                </c:pt>
                <c:pt idx="14">
                  <c:v>2.4323529411764704</c:v>
                </c:pt>
                <c:pt idx="15">
                  <c:v>3.0441176470588234</c:v>
                </c:pt>
                <c:pt idx="16">
                  <c:v>3.2039215686274511</c:v>
                </c:pt>
                <c:pt idx="17">
                  <c:v>2.2362745098039216</c:v>
                </c:pt>
                <c:pt idx="18">
                  <c:v>1.6372549019607838</c:v>
                </c:pt>
                <c:pt idx="19">
                  <c:v>1.7950980392156859</c:v>
                </c:pt>
                <c:pt idx="20">
                  <c:v>1.8490196078431369</c:v>
                </c:pt>
                <c:pt idx="21">
                  <c:v>2.2392156862745094</c:v>
                </c:pt>
                <c:pt idx="22">
                  <c:v>2.329411764705883</c:v>
                </c:pt>
                <c:pt idx="23">
                  <c:v>1.4813725490196077</c:v>
                </c:pt>
                <c:pt idx="24">
                  <c:v>1.4127450980392156</c:v>
                </c:pt>
                <c:pt idx="25">
                  <c:v>1.0764705882352938</c:v>
                </c:pt>
                <c:pt idx="26">
                  <c:v>2.4176470588235293</c:v>
                </c:pt>
                <c:pt idx="27">
                  <c:v>2.7245098039215683</c:v>
                </c:pt>
                <c:pt idx="28">
                  <c:v>2.2098039215686271</c:v>
                </c:pt>
                <c:pt idx="29">
                  <c:v>1.5156862745098041</c:v>
                </c:pt>
                <c:pt idx="30">
                  <c:v>0.97843137254901957</c:v>
                </c:pt>
              </c:numCache>
            </c:numRef>
          </c:val>
        </c:ser>
        <c:axId val="144931840"/>
        <c:axId val="144950400"/>
      </c:barChart>
      <c:catAx>
        <c:axId val="14493184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Günler</a:t>
                </a:r>
              </a:p>
            </c:rich>
          </c:tx>
          <c:layout/>
        </c:title>
        <c:majorTickMark val="none"/>
        <c:tickLblPos val="nextTo"/>
        <c:crossAx val="144950400"/>
        <c:crosses val="autoZero"/>
        <c:auto val="1"/>
        <c:lblAlgn val="ctr"/>
        <c:lblOffset val="100"/>
      </c:catAx>
      <c:valAx>
        <c:axId val="144950400"/>
        <c:scaling>
          <c:orientation val="minMax"/>
          <c:max val="10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 sz="1800"/>
                </a:pPr>
                <a:r>
                  <a:rPr lang="tr-TR" sz="1800"/>
                  <a:t>Yağış (mm)</a:t>
                </a:r>
              </a:p>
            </c:rich>
          </c:tx>
          <c:layout/>
        </c:title>
        <c:numFmt formatCode="General" sourceLinked="0"/>
        <c:tickLblPos val="nextTo"/>
        <c:crossAx val="144931840"/>
        <c:crosses val="autoZero"/>
        <c:crossBetween val="between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tr-TR"/>
  <c:style val="43"/>
  <c:chart>
    <c:title>
      <c:tx>
        <c:rich>
          <a:bodyPr/>
          <a:lstStyle/>
          <a:p>
            <a:pPr>
              <a:defRPr/>
            </a:pPr>
            <a:r>
              <a:rPr lang="tr-TR"/>
              <a:t>MART / </a:t>
            </a:r>
            <a:r>
              <a:rPr lang="en-US"/>
              <a:t>Maksimum 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spPr>
            <a:effectLst>
              <a:glow rad="228600">
                <a:schemeClr val="accent1">
                  <a:satMod val="175000"/>
                  <a:alpha val="40000"/>
                </a:schemeClr>
              </a:glow>
            </a:effectLst>
          </c:spPr>
          <c:val>
            <c:numRef>
              <c:f>Mart!$B$7:$B$37</c:f>
              <c:numCache>
                <c:formatCode>0.0</c:formatCode>
                <c:ptCount val="31"/>
                <c:pt idx="0">
                  <c:v>19.7</c:v>
                </c:pt>
                <c:pt idx="1">
                  <c:v>30</c:v>
                </c:pt>
                <c:pt idx="2">
                  <c:v>25</c:v>
                </c:pt>
                <c:pt idx="3">
                  <c:v>28.7</c:v>
                </c:pt>
                <c:pt idx="4">
                  <c:v>43.6</c:v>
                </c:pt>
                <c:pt idx="5">
                  <c:v>22.7</c:v>
                </c:pt>
                <c:pt idx="6">
                  <c:v>43.8</c:v>
                </c:pt>
                <c:pt idx="7">
                  <c:v>20</c:v>
                </c:pt>
                <c:pt idx="8">
                  <c:v>26.4</c:v>
                </c:pt>
                <c:pt idx="9">
                  <c:v>33.5</c:v>
                </c:pt>
                <c:pt idx="10">
                  <c:v>27.6</c:v>
                </c:pt>
                <c:pt idx="11">
                  <c:v>31</c:v>
                </c:pt>
                <c:pt idx="12">
                  <c:v>16.899999999999999</c:v>
                </c:pt>
                <c:pt idx="13">
                  <c:v>21.4</c:v>
                </c:pt>
                <c:pt idx="14">
                  <c:v>39.299999999999997</c:v>
                </c:pt>
                <c:pt idx="15">
                  <c:v>39.5</c:v>
                </c:pt>
                <c:pt idx="16">
                  <c:v>41.3</c:v>
                </c:pt>
                <c:pt idx="17">
                  <c:v>53</c:v>
                </c:pt>
                <c:pt idx="18">
                  <c:v>25.2</c:v>
                </c:pt>
                <c:pt idx="19">
                  <c:v>25.2</c:v>
                </c:pt>
                <c:pt idx="20">
                  <c:v>25</c:v>
                </c:pt>
                <c:pt idx="21">
                  <c:v>31</c:v>
                </c:pt>
                <c:pt idx="22">
                  <c:v>27.7</c:v>
                </c:pt>
                <c:pt idx="23">
                  <c:v>21.7</c:v>
                </c:pt>
                <c:pt idx="24">
                  <c:v>26</c:v>
                </c:pt>
                <c:pt idx="25">
                  <c:v>15.1</c:v>
                </c:pt>
                <c:pt idx="26">
                  <c:v>47.5</c:v>
                </c:pt>
                <c:pt idx="27">
                  <c:v>25</c:v>
                </c:pt>
                <c:pt idx="28">
                  <c:v>27.3</c:v>
                </c:pt>
                <c:pt idx="29">
                  <c:v>16.8</c:v>
                </c:pt>
                <c:pt idx="30">
                  <c:v>14.2</c:v>
                </c:pt>
              </c:numCache>
            </c:numRef>
          </c:val>
        </c:ser>
        <c:axId val="144962304"/>
        <c:axId val="144964224"/>
      </c:barChart>
      <c:catAx>
        <c:axId val="14496230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Günler</a:t>
                </a:r>
              </a:p>
            </c:rich>
          </c:tx>
          <c:layout/>
        </c:title>
        <c:majorTickMark val="none"/>
        <c:tickLblPos val="nextTo"/>
        <c:crossAx val="144964224"/>
        <c:crosses val="autoZero"/>
        <c:auto val="1"/>
        <c:lblAlgn val="ctr"/>
        <c:lblOffset val="100"/>
      </c:catAx>
      <c:valAx>
        <c:axId val="144964224"/>
        <c:scaling>
          <c:orientation val="minMax"/>
          <c:max val="170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Yağış</a:t>
                </a:r>
                <a:r>
                  <a:rPr lang="tr-TR" baseline="0"/>
                  <a:t> ( mm )</a:t>
                </a:r>
                <a:endParaRPr lang="tr-TR"/>
              </a:p>
            </c:rich>
          </c:tx>
          <c:layout/>
        </c:title>
        <c:numFmt formatCode="General" sourceLinked="0"/>
        <c:tickLblPos val="nextTo"/>
        <c:crossAx val="144962304"/>
        <c:crosses val="autoZero"/>
        <c:crossBetween val="between"/>
        <c:majorUnit val="20"/>
      </c:valAx>
      <c:spPr>
        <a:effectLst>
          <a:glow rad="228600">
            <a:schemeClr val="accent5">
              <a:satMod val="175000"/>
              <a:alpha val="40000"/>
            </a:schemeClr>
          </a:glow>
        </a:effectLst>
      </c:spPr>
    </c:plotArea>
    <c:plotVisOnly val="1"/>
  </c:chart>
  <c:spPr>
    <a:effectLst>
      <a:glow rad="228600">
        <a:schemeClr val="accent1">
          <a:satMod val="175000"/>
          <a:alpha val="40000"/>
        </a:schemeClr>
      </a:glow>
    </a:effectLst>
  </c:spPr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tr-TR"/>
  <c:style val="48"/>
  <c:chart>
    <c:title>
      <c:tx>
        <c:rich>
          <a:bodyPr/>
          <a:lstStyle/>
          <a:p>
            <a:pPr>
              <a:defRPr/>
            </a:pPr>
            <a:r>
              <a:rPr lang="tr-TR"/>
              <a:t>NİSAN/ Olasılık</a:t>
            </a:r>
            <a:endParaRPr lang="en-US"/>
          </a:p>
        </c:rich>
      </c:tx>
    </c:title>
    <c:plotArea>
      <c:layout/>
      <c:lineChart>
        <c:grouping val="standard"/>
        <c:ser>
          <c:idx val="0"/>
          <c:order val="0"/>
          <c:spPr>
            <a:effectLst>
              <a:glow rad="228600">
                <a:schemeClr val="accent3">
                  <a:satMod val="175000"/>
                  <a:alpha val="40000"/>
                </a:schemeClr>
              </a:glow>
            </a:effectLst>
          </c:spPr>
          <c:marker>
            <c:symbol val="none"/>
          </c:marker>
          <c:dLbls>
            <c:dLblPos val="t"/>
            <c:showVal val="1"/>
          </c:dLbls>
          <c:trendline>
            <c:trendlineType val="linear"/>
          </c:trendline>
          <c:val>
            <c:numRef>
              <c:f>Nisan!$C$7:$C$36</c:f>
              <c:numCache>
                <c:formatCode>0.0</c:formatCode>
                <c:ptCount val="30"/>
                <c:pt idx="0">
                  <c:v>36.274509803921568</c:v>
                </c:pt>
                <c:pt idx="1">
                  <c:v>36.274509803921568</c:v>
                </c:pt>
                <c:pt idx="2">
                  <c:v>30.392156862745097</c:v>
                </c:pt>
                <c:pt idx="3">
                  <c:v>33.333333333333329</c:v>
                </c:pt>
                <c:pt idx="4">
                  <c:v>37.254901960784316</c:v>
                </c:pt>
                <c:pt idx="5">
                  <c:v>35.294117647058826</c:v>
                </c:pt>
                <c:pt idx="6">
                  <c:v>40.196078431372548</c:v>
                </c:pt>
                <c:pt idx="7">
                  <c:v>40.196078431372548</c:v>
                </c:pt>
                <c:pt idx="8">
                  <c:v>42.156862745098039</c:v>
                </c:pt>
                <c:pt idx="9">
                  <c:v>36.274509803921568</c:v>
                </c:pt>
                <c:pt idx="10">
                  <c:v>39.215686274509807</c:v>
                </c:pt>
                <c:pt idx="11">
                  <c:v>38.235294117647058</c:v>
                </c:pt>
                <c:pt idx="12">
                  <c:v>40.196078431372548</c:v>
                </c:pt>
                <c:pt idx="13">
                  <c:v>37.254901960784316</c:v>
                </c:pt>
                <c:pt idx="14">
                  <c:v>48.03921568627451</c:v>
                </c:pt>
                <c:pt idx="15">
                  <c:v>45.098039215686278</c:v>
                </c:pt>
                <c:pt idx="16">
                  <c:v>41.17647058823529</c:v>
                </c:pt>
                <c:pt idx="17">
                  <c:v>37.254901960784316</c:v>
                </c:pt>
                <c:pt idx="18">
                  <c:v>41.17647058823529</c:v>
                </c:pt>
                <c:pt idx="19">
                  <c:v>41.17647058823529</c:v>
                </c:pt>
                <c:pt idx="20">
                  <c:v>36.274509803921568</c:v>
                </c:pt>
                <c:pt idx="21">
                  <c:v>31.372549019607842</c:v>
                </c:pt>
                <c:pt idx="22">
                  <c:v>30.392156862745097</c:v>
                </c:pt>
                <c:pt idx="23">
                  <c:v>28.431372549019606</c:v>
                </c:pt>
                <c:pt idx="24">
                  <c:v>31.372549019607842</c:v>
                </c:pt>
                <c:pt idx="25">
                  <c:v>39.215686274509807</c:v>
                </c:pt>
                <c:pt idx="26">
                  <c:v>30.392156862745097</c:v>
                </c:pt>
                <c:pt idx="27">
                  <c:v>30.392156862745097</c:v>
                </c:pt>
                <c:pt idx="28">
                  <c:v>29.411764705882355</c:v>
                </c:pt>
                <c:pt idx="29">
                  <c:v>27.450980392156865</c:v>
                </c:pt>
              </c:numCache>
            </c:numRef>
          </c:val>
        </c:ser>
        <c:hiLowLines/>
        <c:marker val="1"/>
        <c:axId val="145196544"/>
        <c:axId val="145198464"/>
      </c:lineChart>
      <c:catAx>
        <c:axId val="14519654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Günler</a:t>
                </a:r>
                <a:endParaRPr lang="en-US"/>
              </a:p>
            </c:rich>
          </c:tx>
        </c:title>
        <c:majorTickMark val="none"/>
        <c:tickLblPos val="nextTo"/>
        <c:txPr>
          <a:bodyPr/>
          <a:lstStyle/>
          <a:p>
            <a:pPr>
              <a:defRPr b="1"/>
            </a:pPr>
            <a:endParaRPr lang="tr-TR"/>
          </a:p>
        </c:txPr>
        <c:crossAx val="145198464"/>
        <c:crosses val="autoZero"/>
        <c:auto val="1"/>
        <c:lblAlgn val="ctr"/>
        <c:lblOffset val="100"/>
      </c:catAx>
      <c:valAx>
        <c:axId val="145198464"/>
        <c:scaling>
          <c:orientation val="minMax"/>
          <c:max val="80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 sz="1800"/>
                </a:pPr>
                <a:r>
                  <a:rPr lang="tr-TR" sz="1800"/>
                  <a:t>Yüzdelik ( % )</a:t>
                </a:r>
              </a:p>
            </c:rich>
          </c:tx>
        </c:title>
        <c:numFmt formatCode="0" sourceLinked="0"/>
        <c:tickLblPos val="nextTo"/>
        <c:crossAx val="145196544"/>
        <c:crosses val="autoZero"/>
        <c:crossBetween val="between"/>
        <c:minorUnit val="5"/>
      </c:valAx>
      <c:spPr>
        <a:effectLst>
          <a:glow rad="228600">
            <a:schemeClr val="accent3">
              <a:satMod val="175000"/>
              <a:alpha val="40000"/>
            </a:schemeClr>
          </a:glow>
        </a:effectLst>
      </c:spPr>
    </c:plotArea>
    <c:plotVisOnly val="1"/>
  </c:chart>
  <c:printSettings>
    <c:headerFooter/>
    <c:pageMargins b="0.75000000000000233" l="0.70000000000000062" r="0.70000000000000062" t="0.75000000000000233" header="0.30000000000000032" footer="0.30000000000000032"/>
    <c:pageSetup orientation="portrait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tr-TR"/>
  <c:style val="48"/>
  <c:chart>
    <c:title>
      <c:tx>
        <c:rich>
          <a:bodyPr/>
          <a:lstStyle/>
          <a:p>
            <a:pPr>
              <a:defRPr/>
            </a:pPr>
            <a:r>
              <a:rPr lang="tr-TR"/>
              <a:t>NİSAN / Ortalama</a:t>
            </a:r>
            <a:endParaRPr lang="en-US"/>
          </a:p>
        </c:rich>
      </c:tx>
    </c:title>
    <c:plotArea>
      <c:layout/>
      <c:barChart>
        <c:barDir val="col"/>
        <c:grouping val="clustered"/>
        <c:ser>
          <c:idx val="0"/>
          <c:order val="0"/>
          <c:val>
            <c:numRef>
              <c:f>Nisan!$D$7:$D$36</c:f>
              <c:numCache>
                <c:formatCode>0.0</c:formatCode>
                <c:ptCount val="30"/>
                <c:pt idx="0">
                  <c:v>1.7666666666666668</c:v>
                </c:pt>
                <c:pt idx="1">
                  <c:v>1.5803921568627448</c:v>
                </c:pt>
                <c:pt idx="2">
                  <c:v>1.006862745098039</c:v>
                </c:pt>
                <c:pt idx="3">
                  <c:v>0.9539215686274507</c:v>
                </c:pt>
                <c:pt idx="4">
                  <c:v>1.9843137254901959</c:v>
                </c:pt>
                <c:pt idx="5">
                  <c:v>1.6147058823529414</c:v>
                </c:pt>
                <c:pt idx="6">
                  <c:v>2.2764705882352945</c:v>
                </c:pt>
                <c:pt idx="7">
                  <c:v>1.7313725490196075</c:v>
                </c:pt>
                <c:pt idx="8">
                  <c:v>2.6480392156862749</c:v>
                </c:pt>
                <c:pt idx="9">
                  <c:v>1.4294117647058822</c:v>
                </c:pt>
                <c:pt idx="10">
                  <c:v>1.723529411764706</c:v>
                </c:pt>
                <c:pt idx="11">
                  <c:v>1.6519607843137254</c:v>
                </c:pt>
                <c:pt idx="12">
                  <c:v>1.8117647058823523</c:v>
                </c:pt>
                <c:pt idx="13">
                  <c:v>1.5617647058823529</c:v>
                </c:pt>
                <c:pt idx="14">
                  <c:v>2.0333333333333328</c:v>
                </c:pt>
                <c:pt idx="15">
                  <c:v>2.5852941176470581</c:v>
                </c:pt>
                <c:pt idx="16">
                  <c:v>1.8019607843137253</c:v>
                </c:pt>
                <c:pt idx="17">
                  <c:v>2.2568627450980392</c:v>
                </c:pt>
                <c:pt idx="18">
                  <c:v>2.1607843137254901</c:v>
                </c:pt>
                <c:pt idx="19">
                  <c:v>1.7372549019607841</c:v>
                </c:pt>
                <c:pt idx="20">
                  <c:v>1.800980392156863</c:v>
                </c:pt>
                <c:pt idx="21">
                  <c:v>1.5852941176470585</c:v>
                </c:pt>
                <c:pt idx="22">
                  <c:v>0.96372549019607823</c:v>
                </c:pt>
                <c:pt idx="23">
                  <c:v>1.0019607843137255</c:v>
                </c:pt>
                <c:pt idx="24">
                  <c:v>1.1323529411764706</c:v>
                </c:pt>
                <c:pt idx="25">
                  <c:v>1.8107843137254904</c:v>
                </c:pt>
                <c:pt idx="26">
                  <c:v>1.2264705882352942</c:v>
                </c:pt>
                <c:pt idx="27">
                  <c:v>0.61960784313725481</c:v>
                </c:pt>
                <c:pt idx="28">
                  <c:v>1.2313725490196077</c:v>
                </c:pt>
                <c:pt idx="29">
                  <c:v>0.83921568627450993</c:v>
                </c:pt>
              </c:numCache>
            </c:numRef>
          </c:val>
        </c:ser>
        <c:axId val="144975744"/>
        <c:axId val="144982016"/>
      </c:barChart>
      <c:catAx>
        <c:axId val="14497574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Günler</a:t>
                </a:r>
              </a:p>
            </c:rich>
          </c:tx>
        </c:title>
        <c:majorTickMark val="none"/>
        <c:tickLblPos val="nextTo"/>
        <c:crossAx val="144982016"/>
        <c:crosses val="autoZero"/>
        <c:auto val="1"/>
        <c:lblAlgn val="ctr"/>
        <c:lblOffset val="100"/>
      </c:catAx>
      <c:valAx>
        <c:axId val="144982016"/>
        <c:scaling>
          <c:orientation val="minMax"/>
          <c:max val="10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 sz="1800"/>
                </a:pPr>
                <a:r>
                  <a:rPr lang="tr-TR" sz="1800"/>
                  <a:t>Yağış (mm)</a:t>
                </a:r>
              </a:p>
            </c:rich>
          </c:tx>
        </c:title>
        <c:numFmt formatCode="General" sourceLinked="0"/>
        <c:tickLblPos val="nextTo"/>
        <c:crossAx val="144975744"/>
        <c:crosses val="autoZero"/>
        <c:crossBetween val="between"/>
        <c:majorUnit val="1"/>
      </c:valAx>
    </c:plotArea>
    <c:plotVisOnly val="1"/>
  </c:chart>
  <c:printSettings>
    <c:headerFooter/>
    <c:pageMargins b="0.750000000000003" l="0.70000000000000062" r="0.70000000000000062" t="0.750000000000003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tr-TR"/>
  <c:style val="43"/>
  <c:chart>
    <c:title>
      <c:tx>
        <c:rich>
          <a:bodyPr/>
          <a:lstStyle/>
          <a:p>
            <a:pPr>
              <a:defRPr/>
            </a:pPr>
            <a:r>
              <a:rPr lang="tr-TR"/>
              <a:t>NİSAN/ </a:t>
            </a:r>
            <a:r>
              <a:rPr lang="en-US"/>
              <a:t>Maksimum </a:t>
            </a:r>
          </a:p>
        </c:rich>
      </c:tx>
    </c:title>
    <c:plotArea>
      <c:layout/>
      <c:barChart>
        <c:barDir val="col"/>
        <c:grouping val="clustered"/>
        <c:ser>
          <c:idx val="0"/>
          <c:order val="0"/>
          <c:spPr>
            <a:effectLst>
              <a:glow rad="228600">
                <a:schemeClr val="accent1">
                  <a:satMod val="175000"/>
                  <a:alpha val="40000"/>
                </a:schemeClr>
              </a:glow>
            </a:effectLst>
          </c:spPr>
          <c:val>
            <c:numRef>
              <c:f>Nisan!$B$7:$B$36</c:f>
              <c:numCache>
                <c:formatCode>0.0</c:formatCode>
                <c:ptCount val="30"/>
                <c:pt idx="0">
                  <c:v>21.8</c:v>
                </c:pt>
                <c:pt idx="1">
                  <c:v>23.2</c:v>
                </c:pt>
                <c:pt idx="2">
                  <c:v>12.2</c:v>
                </c:pt>
                <c:pt idx="3">
                  <c:v>18.399999999999999</c:v>
                </c:pt>
                <c:pt idx="4">
                  <c:v>30.9</c:v>
                </c:pt>
                <c:pt idx="5">
                  <c:v>17.100000000000001</c:v>
                </c:pt>
                <c:pt idx="6">
                  <c:v>23.2</c:v>
                </c:pt>
                <c:pt idx="7">
                  <c:v>23</c:v>
                </c:pt>
                <c:pt idx="8">
                  <c:v>45</c:v>
                </c:pt>
                <c:pt idx="9">
                  <c:v>17.5</c:v>
                </c:pt>
                <c:pt idx="10">
                  <c:v>30.6</c:v>
                </c:pt>
                <c:pt idx="11">
                  <c:v>24.8</c:v>
                </c:pt>
                <c:pt idx="12">
                  <c:v>19</c:v>
                </c:pt>
                <c:pt idx="13">
                  <c:v>36.5</c:v>
                </c:pt>
                <c:pt idx="14">
                  <c:v>23</c:v>
                </c:pt>
                <c:pt idx="15">
                  <c:v>40.799999999999997</c:v>
                </c:pt>
                <c:pt idx="16">
                  <c:v>37</c:v>
                </c:pt>
                <c:pt idx="17">
                  <c:v>40.5</c:v>
                </c:pt>
                <c:pt idx="18">
                  <c:v>41.2</c:v>
                </c:pt>
                <c:pt idx="19">
                  <c:v>22.1</c:v>
                </c:pt>
                <c:pt idx="20">
                  <c:v>42.5</c:v>
                </c:pt>
                <c:pt idx="21">
                  <c:v>35.4</c:v>
                </c:pt>
                <c:pt idx="22">
                  <c:v>15.7</c:v>
                </c:pt>
                <c:pt idx="23">
                  <c:v>12.6</c:v>
                </c:pt>
                <c:pt idx="24">
                  <c:v>16.7</c:v>
                </c:pt>
                <c:pt idx="25">
                  <c:v>16.7</c:v>
                </c:pt>
                <c:pt idx="26">
                  <c:v>21</c:v>
                </c:pt>
                <c:pt idx="27">
                  <c:v>7.6</c:v>
                </c:pt>
                <c:pt idx="28">
                  <c:v>17.2</c:v>
                </c:pt>
                <c:pt idx="29">
                  <c:v>10.5</c:v>
                </c:pt>
              </c:numCache>
            </c:numRef>
          </c:val>
        </c:ser>
        <c:axId val="144989568"/>
        <c:axId val="145016320"/>
      </c:barChart>
      <c:catAx>
        <c:axId val="14498956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Günler</a:t>
                </a:r>
              </a:p>
            </c:rich>
          </c:tx>
        </c:title>
        <c:majorTickMark val="none"/>
        <c:tickLblPos val="nextTo"/>
        <c:crossAx val="145016320"/>
        <c:crosses val="autoZero"/>
        <c:auto val="1"/>
        <c:lblAlgn val="ctr"/>
        <c:lblOffset val="100"/>
      </c:catAx>
      <c:valAx>
        <c:axId val="145016320"/>
        <c:scaling>
          <c:orientation val="minMax"/>
          <c:max val="170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Yağış</a:t>
                </a:r>
                <a:r>
                  <a:rPr lang="tr-TR" baseline="0"/>
                  <a:t> ( mm )</a:t>
                </a:r>
                <a:endParaRPr lang="tr-TR"/>
              </a:p>
            </c:rich>
          </c:tx>
        </c:title>
        <c:numFmt formatCode="General" sourceLinked="0"/>
        <c:tickLblPos val="nextTo"/>
        <c:crossAx val="144989568"/>
        <c:crosses val="autoZero"/>
        <c:crossBetween val="between"/>
        <c:majorUnit val="20"/>
      </c:valAx>
      <c:spPr>
        <a:effectLst>
          <a:glow rad="228600">
            <a:schemeClr val="accent5">
              <a:satMod val="175000"/>
              <a:alpha val="40000"/>
            </a:schemeClr>
          </a:glow>
        </a:effectLst>
      </c:spPr>
    </c:plotArea>
    <c:plotVisOnly val="1"/>
  </c:chart>
  <c:spPr>
    <a:effectLst>
      <a:glow rad="228600">
        <a:schemeClr val="accent1">
          <a:satMod val="175000"/>
          <a:alpha val="40000"/>
        </a:schemeClr>
      </a:glow>
    </a:effectLst>
  </c:spPr>
  <c:printSettings>
    <c:headerFooter/>
    <c:pageMargins b="0.75000000000000278" l="0.70000000000000062" r="0.70000000000000062" t="0.75000000000000278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tr-TR"/>
  <c:style val="48"/>
  <c:chart>
    <c:title>
      <c:tx>
        <c:rich>
          <a:bodyPr/>
          <a:lstStyle/>
          <a:p>
            <a:pPr>
              <a:defRPr/>
            </a:pPr>
            <a:r>
              <a:rPr lang="tr-TR"/>
              <a:t>MAYIS/ Olasılık</a:t>
            </a:r>
            <a:endParaRPr lang="en-US"/>
          </a:p>
        </c:rich>
      </c:tx>
    </c:title>
    <c:plotArea>
      <c:layout/>
      <c:lineChart>
        <c:grouping val="standard"/>
        <c:ser>
          <c:idx val="0"/>
          <c:order val="0"/>
          <c:spPr>
            <a:effectLst>
              <a:glow rad="228600">
                <a:schemeClr val="accent3">
                  <a:satMod val="175000"/>
                  <a:alpha val="40000"/>
                </a:schemeClr>
              </a:glow>
            </a:effectLst>
          </c:spPr>
          <c:marker>
            <c:symbol val="none"/>
          </c:marker>
          <c:dLbls>
            <c:dLblPos val="t"/>
            <c:showVal val="1"/>
          </c:dLbls>
          <c:trendline>
            <c:trendlineType val="linear"/>
          </c:trendline>
          <c:val>
            <c:numRef>
              <c:f>Mayıs!$C$7:$C$37</c:f>
              <c:numCache>
                <c:formatCode>0.0</c:formatCode>
                <c:ptCount val="31"/>
                <c:pt idx="0">
                  <c:v>35.294117647058826</c:v>
                </c:pt>
                <c:pt idx="1">
                  <c:v>35.294117647058826</c:v>
                </c:pt>
                <c:pt idx="2">
                  <c:v>33.333333333333329</c:v>
                </c:pt>
                <c:pt idx="3">
                  <c:v>26.47058823529412</c:v>
                </c:pt>
                <c:pt idx="4">
                  <c:v>24.509803921568626</c:v>
                </c:pt>
                <c:pt idx="5">
                  <c:v>24.509803921568626</c:v>
                </c:pt>
                <c:pt idx="6">
                  <c:v>28.431372549019606</c:v>
                </c:pt>
                <c:pt idx="7">
                  <c:v>26.47058823529412</c:v>
                </c:pt>
                <c:pt idx="8">
                  <c:v>31.372549019607842</c:v>
                </c:pt>
                <c:pt idx="9">
                  <c:v>26.47058823529412</c:v>
                </c:pt>
                <c:pt idx="10">
                  <c:v>31.372549019607842</c:v>
                </c:pt>
                <c:pt idx="11">
                  <c:v>31.372549019607842</c:v>
                </c:pt>
                <c:pt idx="12">
                  <c:v>37.254901960784316</c:v>
                </c:pt>
                <c:pt idx="13">
                  <c:v>30.392156862745097</c:v>
                </c:pt>
                <c:pt idx="14">
                  <c:v>28.431372549019606</c:v>
                </c:pt>
                <c:pt idx="15">
                  <c:v>26.47058823529412</c:v>
                </c:pt>
                <c:pt idx="16">
                  <c:v>27.450980392156865</c:v>
                </c:pt>
                <c:pt idx="17">
                  <c:v>27.450980392156865</c:v>
                </c:pt>
                <c:pt idx="18">
                  <c:v>29.411764705882355</c:v>
                </c:pt>
                <c:pt idx="19">
                  <c:v>25.490196078431371</c:v>
                </c:pt>
                <c:pt idx="20">
                  <c:v>25.490196078431371</c:v>
                </c:pt>
                <c:pt idx="21">
                  <c:v>23.52941176470588</c:v>
                </c:pt>
                <c:pt idx="22">
                  <c:v>26.47058823529412</c:v>
                </c:pt>
                <c:pt idx="23">
                  <c:v>24.509803921568626</c:v>
                </c:pt>
                <c:pt idx="24">
                  <c:v>27.450980392156865</c:v>
                </c:pt>
                <c:pt idx="25">
                  <c:v>29.411764705882355</c:v>
                </c:pt>
                <c:pt idx="26">
                  <c:v>18.627450980392158</c:v>
                </c:pt>
                <c:pt idx="27">
                  <c:v>24.509803921568626</c:v>
                </c:pt>
                <c:pt idx="28">
                  <c:v>26.47058823529412</c:v>
                </c:pt>
                <c:pt idx="29">
                  <c:v>29.411764705882355</c:v>
                </c:pt>
                <c:pt idx="30">
                  <c:v>21.568627450980394</c:v>
                </c:pt>
              </c:numCache>
            </c:numRef>
          </c:val>
        </c:ser>
        <c:hiLowLines/>
        <c:marker val="1"/>
        <c:axId val="145314176"/>
        <c:axId val="145316096"/>
      </c:lineChart>
      <c:catAx>
        <c:axId val="1453141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Günler</a:t>
                </a:r>
                <a:endParaRPr lang="en-US"/>
              </a:p>
            </c:rich>
          </c:tx>
        </c:title>
        <c:majorTickMark val="none"/>
        <c:tickLblPos val="nextTo"/>
        <c:txPr>
          <a:bodyPr/>
          <a:lstStyle/>
          <a:p>
            <a:pPr>
              <a:defRPr b="1"/>
            </a:pPr>
            <a:endParaRPr lang="tr-TR"/>
          </a:p>
        </c:txPr>
        <c:crossAx val="145316096"/>
        <c:crosses val="autoZero"/>
        <c:auto val="1"/>
        <c:lblAlgn val="ctr"/>
        <c:lblOffset val="100"/>
      </c:catAx>
      <c:valAx>
        <c:axId val="145316096"/>
        <c:scaling>
          <c:orientation val="minMax"/>
          <c:max val="80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 sz="1800"/>
                </a:pPr>
                <a:r>
                  <a:rPr lang="tr-TR" sz="1800"/>
                  <a:t>Yüzdelik ( % )</a:t>
                </a:r>
              </a:p>
            </c:rich>
          </c:tx>
        </c:title>
        <c:numFmt formatCode="0" sourceLinked="0"/>
        <c:tickLblPos val="nextTo"/>
        <c:crossAx val="145314176"/>
        <c:crosses val="autoZero"/>
        <c:crossBetween val="between"/>
        <c:minorUnit val="5"/>
      </c:valAx>
      <c:spPr>
        <a:effectLst>
          <a:glow rad="228600">
            <a:schemeClr val="accent3">
              <a:satMod val="175000"/>
              <a:alpha val="40000"/>
            </a:schemeClr>
          </a:glow>
        </a:effectLst>
      </c:spPr>
    </c:plotArea>
    <c:plotVisOnly val="1"/>
  </c:chart>
  <c:printSettings>
    <c:headerFooter/>
    <c:pageMargins b="0.75000000000000233" l="0.70000000000000062" r="0.70000000000000062" t="0.75000000000000233" header="0.30000000000000032" footer="0.30000000000000032"/>
    <c:pageSetup orientation="portrait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tr-TR"/>
  <c:style val="48"/>
  <c:chart>
    <c:title>
      <c:tx>
        <c:rich>
          <a:bodyPr/>
          <a:lstStyle/>
          <a:p>
            <a:pPr>
              <a:defRPr/>
            </a:pPr>
            <a:r>
              <a:rPr lang="tr-TR"/>
              <a:t>MAYIS/ Ortalama</a:t>
            </a:r>
            <a:endParaRPr lang="en-US"/>
          </a:p>
        </c:rich>
      </c:tx>
    </c:title>
    <c:plotArea>
      <c:layout/>
      <c:barChart>
        <c:barDir val="col"/>
        <c:grouping val="clustered"/>
        <c:ser>
          <c:idx val="0"/>
          <c:order val="0"/>
          <c:val>
            <c:numRef>
              <c:f>Mayıs!$D$7:$D$37</c:f>
              <c:numCache>
                <c:formatCode>0.0</c:formatCode>
                <c:ptCount val="31"/>
                <c:pt idx="0">
                  <c:v>1.9519607843137254</c:v>
                </c:pt>
                <c:pt idx="1">
                  <c:v>1.7151515151508634</c:v>
                </c:pt>
                <c:pt idx="2">
                  <c:v>1.0202020202019113</c:v>
                </c:pt>
                <c:pt idx="3">
                  <c:v>1.1050505050503823</c:v>
                </c:pt>
                <c:pt idx="4">
                  <c:v>1.160606060605937</c:v>
                </c:pt>
                <c:pt idx="5">
                  <c:v>1.4323232323228143</c:v>
                </c:pt>
                <c:pt idx="6">
                  <c:v>1.2080808080804144</c:v>
                </c:pt>
                <c:pt idx="7">
                  <c:v>1.1121212121210287</c:v>
                </c:pt>
                <c:pt idx="8">
                  <c:v>0.77171717171696519</c:v>
                </c:pt>
                <c:pt idx="9">
                  <c:v>1.0171717171718899</c:v>
                </c:pt>
                <c:pt idx="10">
                  <c:v>1.8848484848484934</c:v>
                </c:pt>
                <c:pt idx="11">
                  <c:v>1.2747474747474006</c:v>
                </c:pt>
                <c:pt idx="12">
                  <c:v>1.3575757575753775</c:v>
                </c:pt>
                <c:pt idx="13">
                  <c:v>1.36161616161605</c:v>
                </c:pt>
                <c:pt idx="14">
                  <c:v>1.1393939393935888</c:v>
                </c:pt>
                <c:pt idx="15">
                  <c:v>0.88484848484838319</c:v>
                </c:pt>
                <c:pt idx="16">
                  <c:v>1.42828282828246</c:v>
                </c:pt>
                <c:pt idx="17">
                  <c:v>0.86262626262606357</c:v>
                </c:pt>
                <c:pt idx="18">
                  <c:v>0.95272727272719304</c:v>
                </c:pt>
                <c:pt idx="19">
                  <c:v>0.95555555555550409</c:v>
                </c:pt>
                <c:pt idx="20">
                  <c:v>1.6141414141413657</c:v>
                </c:pt>
                <c:pt idx="21">
                  <c:v>1.1171717171716971</c:v>
                </c:pt>
                <c:pt idx="22">
                  <c:v>1.4747474747472111</c:v>
                </c:pt>
                <c:pt idx="23">
                  <c:v>0.89393939393935773</c:v>
                </c:pt>
                <c:pt idx="24">
                  <c:v>0.86969696969689447</c:v>
                </c:pt>
                <c:pt idx="25">
                  <c:v>1.0868686868686024</c:v>
                </c:pt>
                <c:pt idx="26">
                  <c:v>0.8404040404039117</c:v>
                </c:pt>
                <c:pt idx="27">
                  <c:v>1.2242424242422769</c:v>
                </c:pt>
                <c:pt idx="28">
                  <c:v>1.1909090909087579</c:v>
                </c:pt>
                <c:pt idx="29">
                  <c:v>0.57070707070699689</c:v>
                </c:pt>
                <c:pt idx="30">
                  <c:v>1.1373737373736659</c:v>
                </c:pt>
              </c:numCache>
            </c:numRef>
          </c:val>
        </c:ser>
        <c:axId val="145232640"/>
        <c:axId val="145234560"/>
      </c:barChart>
      <c:catAx>
        <c:axId val="14523264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Günler</a:t>
                </a:r>
              </a:p>
            </c:rich>
          </c:tx>
        </c:title>
        <c:majorTickMark val="none"/>
        <c:tickLblPos val="nextTo"/>
        <c:crossAx val="145234560"/>
        <c:crosses val="autoZero"/>
        <c:auto val="1"/>
        <c:lblAlgn val="ctr"/>
        <c:lblOffset val="100"/>
      </c:catAx>
      <c:valAx>
        <c:axId val="145234560"/>
        <c:scaling>
          <c:orientation val="minMax"/>
          <c:max val="10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 sz="1800"/>
                </a:pPr>
                <a:r>
                  <a:rPr lang="tr-TR" sz="1800"/>
                  <a:t>Yağış (mm)</a:t>
                </a:r>
              </a:p>
            </c:rich>
          </c:tx>
        </c:title>
        <c:numFmt formatCode="General" sourceLinked="0"/>
        <c:tickLblPos val="nextTo"/>
        <c:crossAx val="145232640"/>
        <c:crosses val="autoZero"/>
        <c:crossBetween val="between"/>
        <c:majorUnit val="1"/>
      </c:valAx>
    </c:plotArea>
    <c:plotVisOnly val="1"/>
  </c:chart>
  <c:printSettings>
    <c:headerFooter/>
    <c:pageMargins b="0.750000000000003" l="0.70000000000000062" r="0.70000000000000062" t="0.750000000000003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tr-TR"/>
  <c:style val="43"/>
  <c:chart>
    <c:title>
      <c:tx>
        <c:rich>
          <a:bodyPr/>
          <a:lstStyle/>
          <a:p>
            <a:pPr>
              <a:defRPr/>
            </a:pPr>
            <a:r>
              <a:rPr lang="tr-TR"/>
              <a:t>MAYIS/ </a:t>
            </a:r>
            <a:r>
              <a:rPr lang="en-US"/>
              <a:t>Maksimum </a:t>
            </a:r>
          </a:p>
        </c:rich>
      </c:tx>
    </c:title>
    <c:plotArea>
      <c:layout/>
      <c:barChart>
        <c:barDir val="col"/>
        <c:grouping val="clustered"/>
        <c:ser>
          <c:idx val="0"/>
          <c:order val="0"/>
          <c:spPr>
            <a:effectLst>
              <a:glow rad="228600">
                <a:schemeClr val="accent1">
                  <a:satMod val="175000"/>
                  <a:alpha val="40000"/>
                </a:schemeClr>
              </a:glow>
            </a:effectLst>
          </c:spPr>
          <c:val>
            <c:numRef>
              <c:f>Mayıs!$B$7:$B$37</c:f>
              <c:numCache>
                <c:formatCode>0.0</c:formatCode>
                <c:ptCount val="31"/>
                <c:pt idx="0">
                  <c:v>44.7</c:v>
                </c:pt>
                <c:pt idx="1">
                  <c:v>43.2</c:v>
                </c:pt>
                <c:pt idx="2">
                  <c:v>23.3</c:v>
                </c:pt>
                <c:pt idx="3">
                  <c:v>14</c:v>
                </c:pt>
                <c:pt idx="4">
                  <c:v>22</c:v>
                </c:pt>
                <c:pt idx="5">
                  <c:v>41.4</c:v>
                </c:pt>
                <c:pt idx="6">
                  <c:v>27.8</c:v>
                </c:pt>
                <c:pt idx="7">
                  <c:v>18.899999999999999</c:v>
                </c:pt>
                <c:pt idx="8">
                  <c:v>11.4</c:v>
                </c:pt>
                <c:pt idx="9">
                  <c:v>36.4</c:v>
                </c:pt>
                <c:pt idx="10">
                  <c:v>84</c:v>
                </c:pt>
                <c:pt idx="11">
                  <c:v>15.8</c:v>
                </c:pt>
                <c:pt idx="12">
                  <c:v>15.5</c:v>
                </c:pt>
                <c:pt idx="13">
                  <c:v>25.2</c:v>
                </c:pt>
                <c:pt idx="14">
                  <c:v>19.399999999999999</c:v>
                </c:pt>
                <c:pt idx="15">
                  <c:v>27</c:v>
                </c:pt>
                <c:pt idx="16">
                  <c:v>24</c:v>
                </c:pt>
                <c:pt idx="17">
                  <c:v>24.6</c:v>
                </c:pt>
                <c:pt idx="18">
                  <c:v>21.1</c:v>
                </c:pt>
                <c:pt idx="19">
                  <c:v>37</c:v>
                </c:pt>
                <c:pt idx="20">
                  <c:v>41.5</c:v>
                </c:pt>
                <c:pt idx="21">
                  <c:v>33.4</c:v>
                </c:pt>
                <c:pt idx="22">
                  <c:v>27.6</c:v>
                </c:pt>
                <c:pt idx="23">
                  <c:v>22.2</c:v>
                </c:pt>
                <c:pt idx="24">
                  <c:v>16.100000000000001</c:v>
                </c:pt>
                <c:pt idx="25">
                  <c:v>26.5</c:v>
                </c:pt>
                <c:pt idx="26">
                  <c:v>27</c:v>
                </c:pt>
                <c:pt idx="27">
                  <c:v>24.5</c:v>
                </c:pt>
                <c:pt idx="28">
                  <c:v>18.7</c:v>
                </c:pt>
                <c:pt idx="29">
                  <c:v>6.4</c:v>
                </c:pt>
                <c:pt idx="30">
                  <c:v>15.8</c:v>
                </c:pt>
              </c:numCache>
            </c:numRef>
          </c:val>
        </c:ser>
        <c:axId val="145258752"/>
        <c:axId val="145281408"/>
      </c:barChart>
      <c:catAx>
        <c:axId val="1452587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Günler</a:t>
                </a:r>
              </a:p>
            </c:rich>
          </c:tx>
        </c:title>
        <c:majorTickMark val="none"/>
        <c:tickLblPos val="nextTo"/>
        <c:crossAx val="145281408"/>
        <c:crosses val="autoZero"/>
        <c:auto val="1"/>
        <c:lblAlgn val="ctr"/>
        <c:lblOffset val="100"/>
      </c:catAx>
      <c:valAx>
        <c:axId val="145281408"/>
        <c:scaling>
          <c:orientation val="minMax"/>
          <c:max val="170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Yağış</a:t>
                </a:r>
                <a:r>
                  <a:rPr lang="tr-TR" baseline="0"/>
                  <a:t> ( mm )</a:t>
                </a:r>
                <a:endParaRPr lang="tr-TR"/>
              </a:p>
            </c:rich>
          </c:tx>
        </c:title>
        <c:numFmt formatCode="General" sourceLinked="0"/>
        <c:tickLblPos val="nextTo"/>
        <c:crossAx val="145258752"/>
        <c:crosses val="autoZero"/>
        <c:crossBetween val="between"/>
        <c:majorUnit val="20"/>
      </c:valAx>
      <c:spPr>
        <a:effectLst>
          <a:glow rad="228600">
            <a:schemeClr val="accent5">
              <a:satMod val="175000"/>
              <a:alpha val="40000"/>
            </a:schemeClr>
          </a:glow>
        </a:effectLst>
      </c:spPr>
    </c:plotArea>
    <c:plotVisOnly val="1"/>
  </c:chart>
  <c:spPr>
    <a:effectLst>
      <a:glow rad="228600">
        <a:schemeClr val="accent1">
          <a:satMod val="175000"/>
          <a:alpha val="40000"/>
        </a:schemeClr>
      </a:glow>
    </a:effectLst>
  </c:spPr>
  <c:printSettings>
    <c:headerFooter/>
    <c:pageMargins b="0.75000000000000278" l="0.70000000000000062" r="0.70000000000000062" t="0.75000000000000278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tr-TR"/>
  <c:style val="48"/>
  <c:chart>
    <c:title>
      <c:tx>
        <c:rich>
          <a:bodyPr/>
          <a:lstStyle/>
          <a:p>
            <a:pPr>
              <a:defRPr/>
            </a:pPr>
            <a:r>
              <a:rPr lang="tr-TR"/>
              <a:t>HAZİRAN/ Olasılık</a:t>
            </a:r>
            <a:endParaRPr lang="en-US"/>
          </a:p>
        </c:rich>
      </c:tx>
    </c:title>
    <c:plotArea>
      <c:layout/>
      <c:lineChart>
        <c:grouping val="standard"/>
        <c:ser>
          <c:idx val="0"/>
          <c:order val="0"/>
          <c:spPr>
            <a:effectLst>
              <a:glow rad="228600">
                <a:schemeClr val="accent3">
                  <a:satMod val="175000"/>
                  <a:alpha val="40000"/>
                </a:schemeClr>
              </a:glow>
            </a:effectLst>
          </c:spPr>
          <c:marker>
            <c:symbol val="none"/>
          </c:marker>
          <c:dLbls>
            <c:dLblPos val="t"/>
            <c:showVal val="1"/>
          </c:dLbls>
          <c:trendline>
            <c:trendlineType val="linear"/>
          </c:trendline>
          <c:val>
            <c:numRef>
              <c:f>Haziran!$C$7:$C$36</c:f>
              <c:numCache>
                <c:formatCode>0.0</c:formatCode>
                <c:ptCount val="30"/>
                <c:pt idx="0">
                  <c:v>28.431372549019606</c:v>
                </c:pt>
                <c:pt idx="1">
                  <c:v>24.509803921568626</c:v>
                </c:pt>
                <c:pt idx="2">
                  <c:v>20.588235294117645</c:v>
                </c:pt>
                <c:pt idx="3">
                  <c:v>24.509803921568626</c:v>
                </c:pt>
                <c:pt idx="4">
                  <c:v>24.509803921568626</c:v>
                </c:pt>
                <c:pt idx="5">
                  <c:v>21.568627450980394</c:v>
                </c:pt>
                <c:pt idx="6">
                  <c:v>23.52941176470588</c:v>
                </c:pt>
                <c:pt idx="7">
                  <c:v>33.333333333333329</c:v>
                </c:pt>
                <c:pt idx="8">
                  <c:v>22.549019607843139</c:v>
                </c:pt>
                <c:pt idx="9">
                  <c:v>28.431372549019606</c:v>
                </c:pt>
                <c:pt idx="10">
                  <c:v>21.568627450980394</c:v>
                </c:pt>
                <c:pt idx="11">
                  <c:v>25.490196078431371</c:v>
                </c:pt>
                <c:pt idx="12">
                  <c:v>17.647058823529413</c:v>
                </c:pt>
                <c:pt idx="13">
                  <c:v>19.607843137254903</c:v>
                </c:pt>
                <c:pt idx="14">
                  <c:v>17.647058823529413</c:v>
                </c:pt>
                <c:pt idx="15">
                  <c:v>20.588235294117645</c:v>
                </c:pt>
                <c:pt idx="16">
                  <c:v>21.568627450980394</c:v>
                </c:pt>
                <c:pt idx="17">
                  <c:v>19.607843137254903</c:v>
                </c:pt>
                <c:pt idx="18">
                  <c:v>18.627450980392158</c:v>
                </c:pt>
                <c:pt idx="19">
                  <c:v>22.549019607843139</c:v>
                </c:pt>
                <c:pt idx="20">
                  <c:v>20.588235294117645</c:v>
                </c:pt>
                <c:pt idx="21">
                  <c:v>22.549019607843139</c:v>
                </c:pt>
                <c:pt idx="22">
                  <c:v>19.607843137254903</c:v>
                </c:pt>
                <c:pt idx="23">
                  <c:v>19.607843137254903</c:v>
                </c:pt>
                <c:pt idx="24">
                  <c:v>19.607843137254903</c:v>
                </c:pt>
                <c:pt idx="25">
                  <c:v>20.588235294117645</c:v>
                </c:pt>
                <c:pt idx="26">
                  <c:v>21.568627450980394</c:v>
                </c:pt>
                <c:pt idx="27">
                  <c:v>17.647058823529413</c:v>
                </c:pt>
                <c:pt idx="28">
                  <c:v>19.607843137254903</c:v>
                </c:pt>
                <c:pt idx="29">
                  <c:v>13.725490196078432</c:v>
                </c:pt>
              </c:numCache>
            </c:numRef>
          </c:val>
        </c:ser>
        <c:hiLowLines/>
        <c:marker val="1"/>
        <c:axId val="146717696"/>
        <c:axId val="146728064"/>
      </c:lineChart>
      <c:catAx>
        <c:axId val="14671769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Günler</a:t>
                </a:r>
                <a:endParaRPr lang="en-US"/>
              </a:p>
            </c:rich>
          </c:tx>
        </c:title>
        <c:majorTickMark val="none"/>
        <c:tickLblPos val="nextTo"/>
        <c:txPr>
          <a:bodyPr/>
          <a:lstStyle/>
          <a:p>
            <a:pPr>
              <a:defRPr b="1"/>
            </a:pPr>
            <a:endParaRPr lang="tr-TR"/>
          </a:p>
        </c:txPr>
        <c:crossAx val="146728064"/>
        <c:crosses val="autoZero"/>
        <c:auto val="1"/>
        <c:lblAlgn val="ctr"/>
        <c:lblOffset val="100"/>
      </c:catAx>
      <c:valAx>
        <c:axId val="146728064"/>
        <c:scaling>
          <c:orientation val="minMax"/>
          <c:max val="80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 sz="1800"/>
                </a:pPr>
                <a:r>
                  <a:rPr lang="tr-TR" sz="1800"/>
                  <a:t>Yüzdelik ( % )</a:t>
                </a:r>
              </a:p>
            </c:rich>
          </c:tx>
        </c:title>
        <c:numFmt formatCode="0" sourceLinked="0"/>
        <c:tickLblPos val="nextTo"/>
        <c:crossAx val="146717696"/>
        <c:crosses val="autoZero"/>
        <c:crossBetween val="between"/>
        <c:minorUnit val="5"/>
      </c:valAx>
      <c:spPr>
        <a:effectLst>
          <a:glow rad="228600">
            <a:schemeClr val="accent3">
              <a:satMod val="175000"/>
              <a:alpha val="40000"/>
            </a:schemeClr>
          </a:glow>
        </a:effectLst>
      </c:spPr>
    </c:plotArea>
    <c:plotVisOnly val="1"/>
  </c:chart>
  <c:printSettings>
    <c:headerFooter/>
    <c:pageMargins b="0.75000000000000233" l="0.70000000000000062" r="0.70000000000000062" t="0.75000000000000233" header="0.30000000000000032" footer="0.30000000000000032"/>
    <c:pageSetup orientation="portrait"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tr-TR"/>
  <c:style val="48"/>
  <c:chart>
    <c:title>
      <c:tx>
        <c:rich>
          <a:bodyPr/>
          <a:lstStyle/>
          <a:p>
            <a:pPr>
              <a:defRPr/>
            </a:pPr>
            <a:r>
              <a:rPr lang="tr-TR"/>
              <a:t>HAZİRAN/ Ortalama</a:t>
            </a:r>
            <a:endParaRPr lang="en-US"/>
          </a:p>
        </c:rich>
      </c:tx>
    </c:title>
    <c:plotArea>
      <c:layout/>
      <c:barChart>
        <c:barDir val="col"/>
        <c:grouping val="clustered"/>
        <c:ser>
          <c:idx val="0"/>
          <c:order val="0"/>
          <c:val>
            <c:numRef>
              <c:f>Haziran!$D$7:$D$36</c:f>
              <c:numCache>
                <c:formatCode>0.0</c:formatCode>
                <c:ptCount val="30"/>
                <c:pt idx="0">
                  <c:v>1.2598039215686274</c:v>
                </c:pt>
                <c:pt idx="1">
                  <c:v>1.1911764705882353</c:v>
                </c:pt>
                <c:pt idx="2">
                  <c:v>0.80490196078431386</c:v>
                </c:pt>
                <c:pt idx="3">
                  <c:v>0.91176470588235303</c:v>
                </c:pt>
                <c:pt idx="4">
                  <c:v>0.97549019607843124</c:v>
                </c:pt>
                <c:pt idx="5">
                  <c:v>1.9549019607843134</c:v>
                </c:pt>
                <c:pt idx="6">
                  <c:v>2.3264705882352943</c:v>
                </c:pt>
                <c:pt idx="7">
                  <c:v>1.8049019607843133</c:v>
                </c:pt>
                <c:pt idx="8">
                  <c:v>0.80980392156862735</c:v>
                </c:pt>
                <c:pt idx="9">
                  <c:v>1.2705882352941174</c:v>
                </c:pt>
                <c:pt idx="10">
                  <c:v>1.4970588235294116</c:v>
                </c:pt>
                <c:pt idx="11">
                  <c:v>1.5303921568627448</c:v>
                </c:pt>
                <c:pt idx="12">
                  <c:v>0.8715686274509804</c:v>
                </c:pt>
                <c:pt idx="13">
                  <c:v>1.1078431372549018</c:v>
                </c:pt>
                <c:pt idx="14">
                  <c:v>0.91176470588235292</c:v>
                </c:pt>
                <c:pt idx="15">
                  <c:v>0.98627450980392151</c:v>
                </c:pt>
                <c:pt idx="16">
                  <c:v>0.49411764705882366</c:v>
                </c:pt>
                <c:pt idx="17">
                  <c:v>1.3852941176470586</c:v>
                </c:pt>
                <c:pt idx="18">
                  <c:v>0.58235294117647063</c:v>
                </c:pt>
                <c:pt idx="19">
                  <c:v>2.3823529411764706</c:v>
                </c:pt>
                <c:pt idx="20">
                  <c:v>0.99607843137254914</c:v>
                </c:pt>
                <c:pt idx="21">
                  <c:v>0.92450980392156878</c:v>
                </c:pt>
                <c:pt idx="22">
                  <c:v>0.82254901960784321</c:v>
                </c:pt>
                <c:pt idx="23">
                  <c:v>1.0431372549019606</c:v>
                </c:pt>
                <c:pt idx="24">
                  <c:v>0.75686274509803919</c:v>
                </c:pt>
                <c:pt idx="25">
                  <c:v>0.9529411764705884</c:v>
                </c:pt>
                <c:pt idx="26">
                  <c:v>1.4196078431372541</c:v>
                </c:pt>
                <c:pt idx="27">
                  <c:v>0.51764705882352957</c:v>
                </c:pt>
                <c:pt idx="28">
                  <c:v>0.96470588235294108</c:v>
                </c:pt>
                <c:pt idx="29">
                  <c:v>0.54803921568627445</c:v>
                </c:pt>
              </c:numCache>
            </c:numRef>
          </c:val>
        </c:ser>
        <c:axId val="146623872"/>
        <c:axId val="146638336"/>
      </c:barChart>
      <c:catAx>
        <c:axId val="1466238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Günler</a:t>
                </a:r>
              </a:p>
            </c:rich>
          </c:tx>
        </c:title>
        <c:majorTickMark val="none"/>
        <c:tickLblPos val="nextTo"/>
        <c:crossAx val="146638336"/>
        <c:crosses val="autoZero"/>
        <c:auto val="1"/>
        <c:lblAlgn val="ctr"/>
        <c:lblOffset val="100"/>
      </c:catAx>
      <c:valAx>
        <c:axId val="146638336"/>
        <c:scaling>
          <c:orientation val="minMax"/>
          <c:max val="10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 sz="1800"/>
                </a:pPr>
                <a:r>
                  <a:rPr lang="tr-TR" sz="1800"/>
                  <a:t>Yağış (mm)</a:t>
                </a:r>
              </a:p>
            </c:rich>
          </c:tx>
        </c:title>
        <c:numFmt formatCode="General" sourceLinked="0"/>
        <c:tickLblPos val="nextTo"/>
        <c:crossAx val="146623872"/>
        <c:crosses val="autoZero"/>
        <c:crossBetween val="between"/>
        <c:majorUnit val="1"/>
      </c:valAx>
    </c:plotArea>
    <c:plotVisOnly val="1"/>
  </c:chart>
  <c:printSettings>
    <c:headerFooter/>
    <c:pageMargins b="0.750000000000003" l="0.70000000000000062" r="0.70000000000000062" t="0.750000000000003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tr-TR"/>
  <c:style val="43"/>
  <c:chart>
    <c:title>
      <c:tx>
        <c:rich>
          <a:bodyPr/>
          <a:lstStyle/>
          <a:p>
            <a:pPr>
              <a:defRPr/>
            </a:pPr>
            <a:r>
              <a:rPr lang="tr-TR"/>
              <a:t>HAZİRAN/ </a:t>
            </a:r>
            <a:r>
              <a:rPr lang="en-US"/>
              <a:t>Maksimum </a:t>
            </a:r>
          </a:p>
        </c:rich>
      </c:tx>
    </c:title>
    <c:plotArea>
      <c:layout/>
      <c:barChart>
        <c:barDir val="col"/>
        <c:grouping val="clustered"/>
        <c:ser>
          <c:idx val="0"/>
          <c:order val="0"/>
          <c:spPr>
            <a:effectLst>
              <a:glow rad="228600">
                <a:schemeClr val="accent1">
                  <a:satMod val="175000"/>
                  <a:alpha val="40000"/>
                </a:schemeClr>
              </a:glow>
            </a:effectLst>
          </c:spPr>
          <c:val>
            <c:numRef>
              <c:f>Haziran!$B$7:$B$36</c:f>
              <c:numCache>
                <c:formatCode>0.0</c:formatCode>
                <c:ptCount val="30"/>
                <c:pt idx="0">
                  <c:v>48</c:v>
                </c:pt>
                <c:pt idx="1">
                  <c:v>24</c:v>
                </c:pt>
                <c:pt idx="2">
                  <c:v>11.5</c:v>
                </c:pt>
                <c:pt idx="3">
                  <c:v>13.1</c:v>
                </c:pt>
                <c:pt idx="4">
                  <c:v>24.5</c:v>
                </c:pt>
                <c:pt idx="5">
                  <c:v>33.5</c:v>
                </c:pt>
                <c:pt idx="6">
                  <c:v>46</c:v>
                </c:pt>
                <c:pt idx="7">
                  <c:v>34.200000000000003</c:v>
                </c:pt>
                <c:pt idx="8">
                  <c:v>30.9</c:v>
                </c:pt>
                <c:pt idx="9">
                  <c:v>49</c:v>
                </c:pt>
                <c:pt idx="10">
                  <c:v>48.6</c:v>
                </c:pt>
                <c:pt idx="11">
                  <c:v>25.6</c:v>
                </c:pt>
                <c:pt idx="12">
                  <c:v>26.8</c:v>
                </c:pt>
                <c:pt idx="13">
                  <c:v>27.4</c:v>
                </c:pt>
                <c:pt idx="14">
                  <c:v>32.4</c:v>
                </c:pt>
                <c:pt idx="15">
                  <c:v>28</c:v>
                </c:pt>
                <c:pt idx="16">
                  <c:v>12.9</c:v>
                </c:pt>
                <c:pt idx="17">
                  <c:v>57</c:v>
                </c:pt>
                <c:pt idx="18">
                  <c:v>30.5</c:v>
                </c:pt>
                <c:pt idx="19">
                  <c:v>91</c:v>
                </c:pt>
                <c:pt idx="20">
                  <c:v>36</c:v>
                </c:pt>
                <c:pt idx="21">
                  <c:v>15.7</c:v>
                </c:pt>
                <c:pt idx="22">
                  <c:v>31.6</c:v>
                </c:pt>
                <c:pt idx="23">
                  <c:v>25.5</c:v>
                </c:pt>
                <c:pt idx="24">
                  <c:v>14.8</c:v>
                </c:pt>
                <c:pt idx="25">
                  <c:v>21.5</c:v>
                </c:pt>
                <c:pt idx="26">
                  <c:v>40.4</c:v>
                </c:pt>
                <c:pt idx="27">
                  <c:v>35</c:v>
                </c:pt>
                <c:pt idx="28">
                  <c:v>31</c:v>
                </c:pt>
                <c:pt idx="29">
                  <c:v>26.6</c:v>
                </c:pt>
              </c:numCache>
            </c:numRef>
          </c:val>
        </c:ser>
        <c:axId val="146662528"/>
        <c:axId val="146664448"/>
      </c:barChart>
      <c:catAx>
        <c:axId val="14666252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Günler</a:t>
                </a:r>
              </a:p>
            </c:rich>
          </c:tx>
        </c:title>
        <c:majorTickMark val="none"/>
        <c:tickLblPos val="nextTo"/>
        <c:crossAx val="146664448"/>
        <c:crosses val="autoZero"/>
        <c:auto val="1"/>
        <c:lblAlgn val="ctr"/>
        <c:lblOffset val="100"/>
      </c:catAx>
      <c:valAx>
        <c:axId val="146664448"/>
        <c:scaling>
          <c:orientation val="minMax"/>
          <c:max val="170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Yağış</a:t>
                </a:r>
                <a:r>
                  <a:rPr lang="tr-TR" baseline="0"/>
                  <a:t> ( mm )</a:t>
                </a:r>
                <a:endParaRPr lang="tr-TR"/>
              </a:p>
            </c:rich>
          </c:tx>
        </c:title>
        <c:numFmt formatCode="General" sourceLinked="0"/>
        <c:tickLblPos val="nextTo"/>
        <c:crossAx val="146662528"/>
        <c:crosses val="autoZero"/>
        <c:crossBetween val="between"/>
        <c:majorUnit val="20"/>
      </c:valAx>
      <c:spPr>
        <a:effectLst>
          <a:glow rad="228600">
            <a:schemeClr val="accent5">
              <a:satMod val="175000"/>
              <a:alpha val="40000"/>
            </a:schemeClr>
          </a:glow>
        </a:effectLst>
      </c:spPr>
    </c:plotArea>
    <c:plotVisOnly val="1"/>
  </c:chart>
  <c:spPr>
    <a:effectLst>
      <a:glow rad="228600">
        <a:schemeClr val="accent1">
          <a:satMod val="175000"/>
          <a:alpha val="40000"/>
        </a:schemeClr>
      </a:glow>
    </a:effectLst>
  </c:spPr>
  <c:printSettings>
    <c:headerFooter/>
    <c:pageMargins b="0.75000000000000278" l="0.70000000000000062" r="0.70000000000000062" t="0.75000000000000278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tr-TR"/>
  <c:style val="48"/>
  <c:chart>
    <c:title>
      <c:tx>
        <c:rich>
          <a:bodyPr/>
          <a:lstStyle/>
          <a:p>
            <a:pPr>
              <a:defRPr/>
            </a:pPr>
            <a:r>
              <a:rPr lang="tr-TR"/>
              <a:t>TEMMUZ/ Olasılık</a:t>
            </a:r>
            <a:endParaRPr lang="en-US"/>
          </a:p>
        </c:rich>
      </c:tx>
    </c:title>
    <c:plotArea>
      <c:layout>
        <c:manualLayout>
          <c:layoutTarget val="inner"/>
          <c:xMode val="edge"/>
          <c:yMode val="edge"/>
          <c:x val="0.13436132919016591"/>
          <c:y val="0.12828718122057253"/>
          <c:w val="0.8598297796692167"/>
          <c:h val="0.70803380212443212"/>
        </c:manualLayout>
      </c:layout>
      <c:lineChart>
        <c:grouping val="standard"/>
        <c:ser>
          <c:idx val="0"/>
          <c:order val="0"/>
          <c:spPr>
            <a:effectLst>
              <a:glow rad="228600">
                <a:schemeClr val="accent3">
                  <a:satMod val="175000"/>
                  <a:alpha val="40000"/>
                </a:schemeClr>
              </a:glow>
            </a:effectLst>
          </c:spPr>
          <c:marker>
            <c:symbol val="none"/>
          </c:marker>
          <c:dLbls>
            <c:dLblPos val="t"/>
            <c:showVal val="1"/>
          </c:dLbls>
          <c:trendline>
            <c:trendlineType val="linear"/>
          </c:trendline>
          <c:val>
            <c:numRef>
              <c:f>Temmuz!$C$7:$C$37</c:f>
              <c:numCache>
                <c:formatCode>0.0</c:formatCode>
                <c:ptCount val="31"/>
                <c:pt idx="0">
                  <c:v>19.607843137254903</c:v>
                </c:pt>
                <c:pt idx="1">
                  <c:v>19.607843137254903</c:v>
                </c:pt>
                <c:pt idx="2">
                  <c:v>18.627450980392158</c:v>
                </c:pt>
                <c:pt idx="3">
                  <c:v>16.666666666666664</c:v>
                </c:pt>
                <c:pt idx="4">
                  <c:v>18.627450980392158</c:v>
                </c:pt>
                <c:pt idx="5">
                  <c:v>17.647058823529413</c:v>
                </c:pt>
                <c:pt idx="6">
                  <c:v>19.607843137254903</c:v>
                </c:pt>
                <c:pt idx="7">
                  <c:v>16.666666666666664</c:v>
                </c:pt>
                <c:pt idx="8">
                  <c:v>18.627450980392158</c:v>
                </c:pt>
                <c:pt idx="9">
                  <c:v>15.686274509803921</c:v>
                </c:pt>
                <c:pt idx="10">
                  <c:v>8.8235294117647065</c:v>
                </c:pt>
                <c:pt idx="11">
                  <c:v>19.607843137254903</c:v>
                </c:pt>
                <c:pt idx="12">
                  <c:v>15.686274509803921</c:v>
                </c:pt>
                <c:pt idx="13">
                  <c:v>11.76470588235294</c:v>
                </c:pt>
                <c:pt idx="14">
                  <c:v>18.627450980392158</c:v>
                </c:pt>
                <c:pt idx="15">
                  <c:v>8.8235294117647065</c:v>
                </c:pt>
                <c:pt idx="16">
                  <c:v>9.8039215686274517</c:v>
                </c:pt>
                <c:pt idx="17">
                  <c:v>8.8235294117647065</c:v>
                </c:pt>
                <c:pt idx="18">
                  <c:v>7.8431372549019605</c:v>
                </c:pt>
                <c:pt idx="19">
                  <c:v>12.745098039215685</c:v>
                </c:pt>
                <c:pt idx="20">
                  <c:v>11.76470588235294</c:v>
                </c:pt>
                <c:pt idx="21">
                  <c:v>9.8039215686274517</c:v>
                </c:pt>
                <c:pt idx="22">
                  <c:v>3.9215686274509802</c:v>
                </c:pt>
                <c:pt idx="23">
                  <c:v>9.8039215686274517</c:v>
                </c:pt>
                <c:pt idx="24">
                  <c:v>8.8235294117647065</c:v>
                </c:pt>
                <c:pt idx="25">
                  <c:v>12.745098039215685</c:v>
                </c:pt>
                <c:pt idx="26">
                  <c:v>15.686274509803921</c:v>
                </c:pt>
                <c:pt idx="27">
                  <c:v>18.627450980392158</c:v>
                </c:pt>
                <c:pt idx="28">
                  <c:v>10.784313725490197</c:v>
                </c:pt>
                <c:pt idx="29">
                  <c:v>14.705882352941178</c:v>
                </c:pt>
                <c:pt idx="30">
                  <c:v>17.647058823529413</c:v>
                </c:pt>
              </c:numCache>
            </c:numRef>
          </c:val>
        </c:ser>
        <c:hiLowLines/>
        <c:marker val="1"/>
        <c:axId val="146790272"/>
        <c:axId val="148447232"/>
      </c:lineChart>
      <c:catAx>
        <c:axId val="1467902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Günler</a:t>
                </a:r>
                <a:endParaRPr lang="en-US"/>
              </a:p>
            </c:rich>
          </c:tx>
        </c:title>
        <c:majorTickMark val="none"/>
        <c:tickLblPos val="nextTo"/>
        <c:txPr>
          <a:bodyPr/>
          <a:lstStyle/>
          <a:p>
            <a:pPr>
              <a:defRPr b="1"/>
            </a:pPr>
            <a:endParaRPr lang="tr-TR"/>
          </a:p>
        </c:txPr>
        <c:crossAx val="148447232"/>
        <c:crosses val="autoZero"/>
        <c:auto val="1"/>
        <c:lblAlgn val="ctr"/>
        <c:lblOffset val="100"/>
      </c:catAx>
      <c:valAx>
        <c:axId val="148447232"/>
        <c:scaling>
          <c:orientation val="minMax"/>
          <c:max val="80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 sz="1800"/>
                </a:pPr>
                <a:r>
                  <a:rPr lang="tr-TR" sz="1800"/>
                  <a:t>Yüzdelik ( % )</a:t>
                </a:r>
              </a:p>
            </c:rich>
          </c:tx>
        </c:title>
        <c:numFmt formatCode="0" sourceLinked="0"/>
        <c:tickLblPos val="nextTo"/>
        <c:crossAx val="146790272"/>
        <c:crosses val="autoZero"/>
        <c:crossBetween val="between"/>
        <c:minorUnit val="5"/>
      </c:valAx>
      <c:spPr>
        <a:effectLst>
          <a:glow rad="228600">
            <a:schemeClr val="accent3">
              <a:satMod val="175000"/>
              <a:alpha val="40000"/>
            </a:schemeClr>
          </a:glow>
        </a:effectLst>
      </c:spPr>
    </c:plotArea>
    <c:plotVisOnly val="1"/>
  </c:chart>
  <c:printSettings>
    <c:headerFooter/>
    <c:pageMargins b="0.75000000000000233" l="0.70000000000000062" r="0.70000000000000062" t="0.75000000000000233" header="0.30000000000000032" footer="0.30000000000000032"/>
    <c:pageSetup orientation="portrait"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tr-TR"/>
  <c:style val="48"/>
  <c:chart>
    <c:title>
      <c:tx>
        <c:rich>
          <a:bodyPr/>
          <a:lstStyle/>
          <a:p>
            <a:pPr>
              <a:defRPr/>
            </a:pPr>
            <a:r>
              <a:rPr lang="tr-TR"/>
              <a:t>TEMMUZ/ Ortalama</a:t>
            </a:r>
            <a:endParaRPr lang="en-US"/>
          </a:p>
        </c:rich>
      </c:tx>
    </c:title>
    <c:plotArea>
      <c:layout/>
      <c:barChart>
        <c:barDir val="col"/>
        <c:grouping val="clustered"/>
        <c:ser>
          <c:idx val="0"/>
          <c:order val="0"/>
          <c:val>
            <c:numRef>
              <c:f>Temmuz!$D$7:$D$37</c:f>
              <c:numCache>
                <c:formatCode>0.0</c:formatCode>
                <c:ptCount val="31"/>
                <c:pt idx="0">
                  <c:v>1.0352941176470587</c:v>
                </c:pt>
                <c:pt idx="1">
                  <c:v>1.5941176470588234</c:v>
                </c:pt>
                <c:pt idx="2">
                  <c:v>2.197058823529412</c:v>
                </c:pt>
                <c:pt idx="3">
                  <c:v>1.5284313725490197</c:v>
                </c:pt>
                <c:pt idx="4">
                  <c:v>1.0490196078431371</c:v>
                </c:pt>
                <c:pt idx="5">
                  <c:v>2.8127450980392159</c:v>
                </c:pt>
                <c:pt idx="6">
                  <c:v>0.6</c:v>
                </c:pt>
                <c:pt idx="7">
                  <c:v>0.96666666666666679</c:v>
                </c:pt>
                <c:pt idx="8">
                  <c:v>2.1450980392156862</c:v>
                </c:pt>
                <c:pt idx="9">
                  <c:v>1.0774509803921566</c:v>
                </c:pt>
                <c:pt idx="10">
                  <c:v>0.74019607843137258</c:v>
                </c:pt>
                <c:pt idx="11">
                  <c:v>1.2117647058823531</c:v>
                </c:pt>
                <c:pt idx="12">
                  <c:v>1.3333333333333333</c:v>
                </c:pt>
                <c:pt idx="13">
                  <c:v>0.37941176470588234</c:v>
                </c:pt>
                <c:pt idx="14">
                  <c:v>0.75098039215686274</c:v>
                </c:pt>
                <c:pt idx="15">
                  <c:v>0.45980392156862743</c:v>
                </c:pt>
                <c:pt idx="16">
                  <c:v>0.30784313725490198</c:v>
                </c:pt>
                <c:pt idx="17">
                  <c:v>0.28823529411764709</c:v>
                </c:pt>
                <c:pt idx="18">
                  <c:v>0.18235294117647052</c:v>
                </c:pt>
                <c:pt idx="19">
                  <c:v>2.3196078431372547</c:v>
                </c:pt>
                <c:pt idx="20">
                  <c:v>0.91960784313725497</c:v>
                </c:pt>
                <c:pt idx="21">
                  <c:v>0.50196078431372548</c:v>
                </c:pt>
                <c:pt idx="22">
                  <c:v>6.7647058823529407E-2</c:v>
                </c:pt>
                <c:pt idx="23">
                  <c:v>0.59215686274509804</c:v>
                </c:pt>
                <c:pt idx="24">
                  <c:v>0.84019607843137267</c:v>
                </c:pt>
                <c:pt idx="25">
                  <c:v>0.95882352941176463</c:v>
                </c:pt>
                <c:pt idx="26">
                  <c:v>0.97941176470588232</c:v>
                </c:pt>
                <c:pt idx="27">
                  <c:v>1.3372549019607844</c:v>
                </c:pt>
                <c:pt idx="28">
                  <c:v>0.71960784313725501</c:v>
                </c:pt>
                <c:pt idx="29">
                  <c:v>1.2990196078431373</c:v>
                </c:pt>
                <c:pt idx="30">
                  <c:v>0.7686274509803922</c:v>
                </c:pt>
              </c:numCache>
            </c:numRef>
          </c:val>
        </c:ser>
        <c:axId val="148453632"/>
        <c:axId val="148468096"/>
      </c:barChart>
      <c:catAx>
        <c:axId val="14845363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Günler</a:t>
                </a:r>
              </a:p>
            </c:rich>
          </c:tx>
        </c:title>
        <c:majorTickMark val="none"/>
        <c:tickLblPos val="nextTo"/>
        <c:crossAx val="148468096"/>
        <c:crosses val="autoZero"/>
        <c:auto val="1"/>
        <c:lblAlgn val="ctr"/>
        <c:lblOffset val="100"/>
      </c:catAx>
      <c:valAx>
        <c:axId val="148468096"/>
        <c:scaling>
          <c:orientation val="minMax"/>
          <c:max val="10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 sz="1800"/>
                </a:pPr>
                <a:r>
                  <a:rPr lang="tr-TR" sz="1800"/>
                  <a:t>Yağış (mm)</a:t>
                </a:r>
              </a:p>
            </c:rich>
          </c:tx>
        </c:title>
        <c:numFmt formatCode="General" sourceLinked="0"/>
        <c:tickLblPos val="nextTo"/>
        <c:crossAx val="148453632"/>
        <c:crosses val="autoZero"/>
        <c:crossBetween val="between"/>
        <c:majorUnit val="1"/>
      </c:valAx>
    </c:plotArea>
    <c:plotVisOnly val="1"/>
  </c:chart>
  <c:printSettings>
    <c:headerFooter/>
    <c:pageMargins b="0.750000000000003" l="0.70000000000000062" r="0.70000000000000062" t="0.750000000000003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tr-TR"/>
  <c:style val="43"/>
  <c:chart>
    <c:title>
      <c:tx>
        <c:rich>
          <a:bodyPr/>
          <a:lstStyle/>
          <a:p>
            <a:pPr>
              <a:defRPr/>
            </a:pPr>
            <a:r>
              <a:rPr lang="tr-TR"/>
              <a:t>TEMMUZ/ </a:t>
            </a:r>
            <a:r>
              <a:rPr lang="en-US"/>
              <a:t>Maksimum </a:t>
            </a:r>
          </a:p>
        </c:rich>
      </c:tx>
    </c:title>
    <c:plotArea>
      <c:layout/>
      <c:barChart>
        <c:barDir val="col"/>
        <c:grouping val="clustered"/>
        <c:ser>
          <c:idx val="0"/>
          <c:order val="0"/>
          <c:spPr>
            <a:effectLst>
              <a:glow rad="228600">
                <a:schemeClr val="accent1">
                  <a:satMod val="175000"/>
                  <a:alpha val="40000"/>
                </a:schemeClr>
              </a:glow>
            </a:effectLst>
          </c:spPr>
          <c:val>
            <c:numRef>
              <c:f>Temmuz!$B$7:$B$37</c:f>
              <c:numCache>
                <c:formatCode>0.0</c:formatCode>
                <c:ptCount val="31"/>
                <c:pt idx="0">
                  <c:v>30.7</c:v>
                </c:pt>
                <c:pt idx="1">
                  <c:v>24.5</c:v>
                </c:pt>
                <c:pt idx="2">
                  <c:v>71.5</c:v>
                </c:pt>
                <c:pt idx="3">
                  <c:v>33.200000000000003</c:v>
                </c:pt>
                <c:pt idx="4">
                  <c:v>33.799999999999997</c:v>
                </c:pt>
                <c:pt idx="5">
                  <c:v>100.5</c:v>
                </c:pt>
                <c:pt idx="6">
                  <c:v>16.100000000000001</c:v>
                </c:pt>
                <c:pt idx="7">
                  <c:v>41.7</c:v>
                </c:pt>
                <c:pt idx="8">
                  <c:v>67.5</c:v>
                </c:pt>
                <c:pt idx="9">
                  <c:v>22.3</c:v>
                </c:pt>
                <c:pt idx="10">
                  <c:v>59</c:v>
                </c:pt>
                <c:pt idx="11">
                  <c:v>45.5</c:v>
                </c:pt>
                <c:pt idx="12">
                  <c:v>30.9</c:v>
                </c:pt>
                <c:pt idx="13">
                  <c:v>9.6999999999999993</c:v>
                </c:pt>
                <c:pt idx="14">
                  <c:v>27</c:v>
                </c:pt>
                <c:pt idx="15">
                  <c:v>20.7</c:v>
                </c:pt>
                <c:pt idx="16">
                  <c:v>13.6</c:v>
                </c:pt>
                <c:pt idx="17">
                  <c:v>6</c:v>
                </c:pt>
                <c:pt idx="18">
                  <c:v>9.1999999999999993</c:v>
                </c:pt>
                <c:pt idx="19">
                  <c:v>165.8</c:v>
                </c:pt>
                <c:pt idx="20">
                  <c:v>32.9</c:v>
                </c:pt>
                <c:pt idx="21">
                  <c:v>18.8</c:v>
                </c:pt>
                <c:pt idx="22">
                  <c:v>6</c:v>
                </c:pt>
                <c:pt idx="23">
                  <c:v>23.7</c:v>
                </c:pt>
                <c:pt idx="24">
                  <c:v>48.9</c:v>
                </c:pt>
                <c:pt idx="25">
                  <c:v>33.6</c:v>
                </c:pt>
                <c:pt idx="26">
                  <c:v>22.2</c:v>
                </c:pt>
                <c:pt idx="27">
                  <c:v>37.299999999999997</c:v>
                </c:pt>
                <c:pt idx="28">
                  <c:v>22.7</c:v>
                </c:pt>
                <c:pt idx="29">
                  <c:v>27.4</c:v>
                </c:pt>
                <c:pt idx="30">
                  <c:v>35.1</c:v>
                </c:pt>
              </c:numCache>
            </c:numRef>
          </c:val>
        </c:ser>
        <c:axId val="148492288"/>
        <c:axId val="148494208"/>
      </c:barChart>
      <c:catAx>
        <c:axId val="14849228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Günler</a:t>
                </a:r>
              </a:p>
            </c:rich>
          </c:tx>
        </c:title>
        <c:majorTickMark val="none"/>
        <c:tickLblPos val="nextTo"/>
        <c:crossAx val="148494208"/>
        <c:crosses val="autoZero"/>
        <c:auto val="1"/>
        <c:lblAlgn val="ctr"/>
        <c:lblOffset val="100"/>
      </c:catAx>
      <c:valAx>
        <c:axId val="148494208"/>
        <c:scaling>
          <c:orientation val="minMax"/>
          <c:max val="170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Yağış</a:t>
                </a:r>
                <a:r>
                  <a:rPr lang="tr-TR" baseline="0"/>
                  <a:t> ( mm )</a:t>
                </a:r>
                <a:endParaRPr lang="tr-TR"/>
              </a:p>
            </c:rich>
          </c:tx>
        </c:title>
        <c:numFmt formatCode="General" sourceLinked="0"/>
        <c:tickLblPos val="nextTo"/>
        <c:crossAx val="148492288"/>
        <c:crosses val="autoZero"/>
        <c:crossBetween val="between"/>
        <c:majorUnit val="20"/>
      </c:valAx>
      <c:spPr>
        <a:effectLst>
          <a:glow rad="228600">
            <a:schemeClr val="accent5">
              <a:satMod val="175000"/>
              <a:alpha val="40000"/>
            </a:schemeClr>
          </a:glow>
        </a:effectLst>
      </c:spPr>
    </c:plotArea>
    <c:plotVisOnly val="1"/>
  </c:chart>
  <c:spPr>
    <a:effectLst>
      <a:glow rad="228600">
        <a:schemeClr val="accent1">
          <a:satMod val="175000"/>
          <a:alpha val="40000"/>
        </a:schemeClr>
      </a:glow>
    </a:effectLst>
  </c:spPr>
  <c:printSettings>
    <c:headerFooter/>
    <c:pageMargins b="0.75000000000000278" l="0.70000000000000062" r="0.70000000000000062" t="0.75000000000000278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tr-TR"/>
  <c:style val="48"/>
  <c:chart>
    <c:title>
      <c:tx>
        <c:rich>
          <a:bodyPr/>
          <a:lstStyle/>
          <a:p>
            <a:pPr>
              <a:defRPr/>
            </a:pPr>
            <a:r>
              <a:rPr lang="tr-TR"/>
              <a:t>AĞUSTOS/ Olasılık</a:t>
            </a:r>
            <a:endParaRPr lang="en-US"/>
          </a:p>
        </c:rich>
      </c:tx>
    </c:title>
    <c:plotArea>
      <c:layout/>
      <c:lineChart>
        <c:grouping val="standard"/>
        <c:ser>
          <c:idx val="0"/>
          <c:order val="0"/>
          <c:spPr>
            <a:effectLst>
              <a:glow rad="228600">
                <a:schemeClr val="accent3">
                  <a:satMod val="175000"/>
                  <a:alpha val="40000"/>
                </a:schemeClr>
              </a:glow>
            </a:effectLst>
          </c:spPr>
          <c:marker>
            <c:symbol val="none"/>
          </c:marker>
          <c:dLbls>
            <c:dLblPos val="t"/>
            <c:showVal val="1"/>
          </c:dLbls>
          <c:trendline>
            <c:trendlineType val="linear"/>
          </c:trendline>
          <c:val>
            <c:numRef>
              <c:f>Ağustos!$C$7:$C$37</c:f>
              <c:numCache>
                <c:formatCode>0.0</c:formatCode>
                <c:ptCount val="31"/>
                <c:pt idx="0">
                  <c:v>11.650485436893204</c:v>
                </c:pt>
                <c:pt idx="1">
                  <c:v>12.621359223300971</c:v>
                </c:pt>
                <c:pt idx="2">
                  <c:v>13.592233009708737</c:v>
                </c:pt>
                <c:pt idx="3">
                  <c:v>14.563106796116504</c:v>
                </c:pt>
                <c:pt idx="4">
                  <c:v>15.53398058252427</c:v>
                </c:pt>
                <c:pt idx="5">
                  <c:v>12.621359223300971</c:v>
                </c:pt>
                <c:pt idx="6">
                  <c:v>18.446601941747574</c:v>
                </c:pt>
                <c:pt idx="7">
                  <c:v>13.592233009708737</c:v>
                </c:pt>
                <c:pt idx="8">
                  <c:v>17.475728155339805</c:v>
                </c:pt>
                <c:pt idx="9">
                  <c:v>21.359223300970871</c:v>
                </c:pt>
                <c:pt idx="10">
                  <c:v>16.50485436893204</c:v>
                </c:pt>
                <c:pt idx="11">
                  <c:v>14.563106796116504</c:v>
                </c:pt>
                <c:pt idx="12">
                  <c:v>17.475728155339805</c:v>
                </c:pt>
                <c:pt idx="13">
                  <c:v>12.621359223300971</c:v>
                </c:pt>
                <c:pt idx="14">
                  <c:v>12.621359223300971</c:v>
                </c:pt>
                <c:pt idx="15">
                  <c:v>13.592233009708737</c:v>
                </c:pt>
                <c:pt idx="16">
                  <c:v>13.592233009708737</c:v>
                </c:pt>
                <c:pt idx="17">
                  <c:v>10.679611650485436</c:v>
                </c:pt>
                <c:pt idx="18">
                  <c:v>13.592233009708737</c:v>
                </c:pt>
                <c:pt idx="19">
                  <c:v>17.475728155339805</c:v>
                </c:pt>
                <c:pt idx="20">
                  <c:v>19.417475728155338</c:v>
                </c:pt>
                <c:pt idx="21">
                  <c:v>18.446601941747574</c:v>
                </c:pt>
                <c:pt idx="22">
                  <c:v>15.53398058252427</c:v>
                </c:pt>
                <c:pt idx="23">
                  <c:v>17.475728155339805</c:v>
                </c:pt>
                <c:pt idx="24">
                  <c:v>17.475728155339805</c:v>
                </c:pt>
                <c:pt idx="25">
                  <c:v>15.53398058252427</c:v>
                </c:pt>
                <c:pt idx="26">
                  <c:v>18.446601941747574</c:v>
                </c:pt>
                <c:pt idx="27">
                  <c:v>17.475728155339805</c:v>
                </c:pt>
                <c:pt idx="28">
                  <c:v>22.330097087378643</c:v>
                </c:pt>
                <c:pt idx="29">
                  <c:v>21.359223300970871</c:v>
                </c:pt>
                <c:pt idx="30">
                  <c:v>19.417475728155338</c:v>
                </c:pt>
              </c:numCache>
            </c:numRef>
          </c:val>
        </c:ser>
        <c:hiLowLines/>
        <c:marker val="1"/>
        <c:axId val="148648704"/>
        <c:axId val="148650624"/>
      </c:lineChart>
      <c:catAx>
        <c:axId val="14864870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Günler</a:t>
                </a:r>
                <a:endParaRPr lang="en-US"/>
              </a:p>
            </c:rich>
          </c:tx>
        </c:title>
        <c:majorTickMark val="none"/>
        <c:tickLblPos val="nextTo"/>
        <c:txPr>
          <a:bodyPr/>
          <a:lstStyle/>
          <a:p>
            <a:pPr>
              <a:defRPr b="1"/>
            </a:pPr>
            <a:endParaRPr lang="tr-TR"/>
          </a:p>
        </c:txPr>
        <c:crossAx val="148650624"/>
        <c:crosses val="autoZero"/>
        <c:auto val="1"/>
        <c:lblAlgn val="ctr"/>
        <c:lblOffset val="100"/>
      </c:catAx>
      <c:valAx>
        <c:axId val="148650624"/>
        <c:scaling>
          <c:orientation val="minMax"/>
          <c:max val="80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 sz="1800"/>
                </a:pPr>
                <a:r>
                  <a:rPr lang="tr-TR" sz="1800"/>
                  <a:t>Yüzdelik ( % )</a:t>
                </a:r>
              </a:p>
            </c:rich>
          </c:tx>
        </c:title>
        <c:numFmt formatCode="0" sourceLinked="0"/>
        <c:tickLblPos val="nextTo"/>
        <c:crossAx val="148648704"/>
        <c:crosses val="autoZero"/>
        <c:crossBetween val="between"/>
        <c:minorUnit val="5"/>
      </c:valAx>
      <c:spPr>
        <a:effectLst>
          <a:glow rad="228600">
            <a:schemeClr val="accent3">
              <a:satMod val="175000"/>
              <a:alpha val="40000"/>
            </a:schemeClr>
          </a:glow>
        </a:effectLst>
      </c:spPr>
    </c:plotArea>
    <c:plotVisOnly val="1"/>
  </c:chart>
  <c:printSettings>
    <c:headerFooter/>
    <c:pageMargins b="0.75000000000000233" l="0.70000000000000062" r="0.70000000000000062" t="0.75000000000000233" header="0.30000000000000032" footer="0.30000000000000032"/>
    <c:pageSetup orientation="portrait"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tr-TR"/>
  <c:style val="48"/>
  <c:chart>
    <c:title>
      <c:tx>
        <c:rich>
          <a:bodyPr/>
          <a:lstStyle/>
          <a:p>
            <a:pPr>
              <a:defRPr/>
            </a:pPr>
            <a:r>
              <a:rPr lang="tr-TR"/>
              <a:t>AĞUSTOS / Ortalama</a:t>
            </a:r>
            <a:endParaRPr lang="en-US"/>
          </a:p>
        </c:rich>
      </c:tx>
    </c:title>
    <c:plotArea>
      <c:layout/>
      <c:barChart>
        <c:barDir val="col"/>
        <c:grouping val="clustered"/>
        <c:ser>
          <c:idx val="0"/>
          <c:order val="0"/>
          <c:val>
            <c:numRef>
              <c:f>Ağustos!$D$7:$D$37</c:f>
              <c:numCache>
                <c:formatCode>0.0</c:formatCode>
                <c:ptCount val="31"/>
                <c:pt idx="0">
                  <c:v>0.65436893203883506</c:v>
                </c:pt>
                <c:pt idx="1">
                  <c:v>1.0631067961165046</c:v>
                </c:pt>
                <c:pt idx="2">
                  <c:v>0.78737864077669895</c:v>
                </c:pt>
                <c:pt idx="3">
                  <c:v>0.56213592233009713</c:v>
                </c:pt>
                <c:pt idx="4">
                  <c:v>0.93106796116504831</c:v>
                </c:pt>
                <c:pt idx="5">
                  <c:v>0.77184466019417475</c:v>
                </c:pt>
                <c:pt idx="6">
                  <c:v>0.67864077669902922</c:v>
                </c:pt>
                <c:pt idx="7">
                  <c:v>1.6077669902912619</c:v>
                </c:pt>
                <c:pt idx="8">
                  <c:v>0.43398058252427196</c:v>
                </c:pt>
                <c:pt idx="9">
                  <c:v>1.4922330097087377</c:v>
                </c:pt>
                <c:pt idx="10">
                  <c:v>2.1951456310679616</c:v>
                </c:pt>
                <c:pt idx="11">
                  <c:v>1.1990291262135919</c:v>
                </c:pt>
                <c:pt idx="12">
                  <c:v>1.6300970873786411</c:v>
                </c:pt>
                <c:pt idx="13">
                  <c:v>1.2776699029126213</c:v>
                </c:pt>
                <c:pt idx="14">
                  <c:v>0.1174757281553398</c:v>
                </c:pt>
                <c:pt idx="15">
                  <c:v>0.64174757281553396</c:v>
                </c:pt>
                <c:pt idx="16">
                  <c:v>0.99126213592233015</c:v>
                </c:pt>
                <c:pt idx="17">
                  <c:v>0.81747572815533986</c:v>
                </c:pt>
                <c:pt idx="18">
                  <c:v>1.5689320388349515</c:v>
                </c:pt>
                <c:pt idx="19">
                  <c:v>1.4446601941747574</c:v>
                </c:pt>
                <c:pt idx="20">
                  <c:v>1.3563106796116504</c:v>
                </c:pt>
                <c:pt idx="21">
                  <c:v>0.83495145631067957</c:v>
                </c:pt>
                <c:pt idx="22">
                  <c:v>1.383495145631068</c:v>
                </c:pt>
                <c:pt idx="23">
                  <c:v>1.0077669902912623</c:v>
                </c:pt>
                <c:pt idx="24">
                  <c:v>1.9058252427184468</c:v>
                </c:pt>
                <c:pt idx="25">
                  <c:v>0.63495145631067962</c:v>
                </c:pt>
                <c:pt idx="26">
                  <c:v>2.1543689320388348</c:v>
                </c:pt>
                <c:pt idx="27">
                  <c:v>0.63980582524271845</c:v>
                </c:pt>
                <c:pt idx="28">
                  <c:v>2.4300970873786407</c:v>
                </c:pt>
                <c:pt idx="29">
                  <c:v>1.2922330097087378</c:v>
                </c:pt>
                <c:pt idx="30">
                  <c:v>1.1893203883495143</c:v>
                </c:pt>
              </c:numCache>
            </c:numRef>
          </c:val>
        </c:ser>
        <c:axId val="148677760"/>
        <c:axId val="148679680"/>
      </c:barChart>
      <c:catAx>
        <c:axId val="14867776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Günler</a:t>
                </a:r>
              </a:p>
            </c:rich>
          </c:tx>
        </c:title>
        <c:majorTickMark val="none"/>
        <c:tickLblPos val="nextTo"/>
        <c:crossAx val="148679680"/>
        <c:crosses val="autoZero"/>
        <c:auto val="1"/>
        <c:lblAlgn val="ctr"/>
        <c:lblOffset val="100"/>
      </c:catAx>
      <c:valAx>
        <c:axId val="148679680"/>
        <c:scaling>
          <c:orientation val="minMax"/>
          <c:max val="10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 sz="1800"/>
                </a:pPr>
                <a:r>
                  <a:rPr lang="tr-TR" sz="1800"/>
                  <a:t>Yağış (mm)</a:t>
                </a:r>
              </a:p>
            </c:rich>
          </c:tx>
        </c:title>
        <c:numFmt formatCode="General" sourceLinked="0"/>
        <c:tickLblPos val="nextTo"/>
        <c:crossAx val="148677760"/>
        <c:crosses val="autoZero"/>
        <c:crossBetween val="between"/>
        <c:majorUnit val="1"/>
      </c:valAx>
    </c:plotArea>
    <c:plotVisOnly val="1"/>
  </c:chart>
  <c:printSettings>
    <c:headerFooter/>
    <c:pageMargins b="0.750000000000003" l="0.70000000000000062" r="0.70000000000000062" t="0.750000000000003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tr-TR"/>
  <c:style val="43"/>
  <c:chart>
    <c:title>
      <c:tx>
        <c:rich>
          <a:bodyPr/>
          <a:lstStyle/>
          <a:p>
            <a:pPr>
              <a:defRPr/>
            </a:pPr>
            <a:r>
              <a:rPr lang="tr-TR"/>
              <a:t>AĞUSTOS/ </a:t>
            </a:r>
            <a:r>
              <a:rPr lang="en-US"/>
              <a:t>Maksimum </a:t>
            </a:r>
          </a:p>
        </c:rich>
      </c:tx>
    </c:title>
    <c:plotArea>
      <c:layout/>
      <c:barChart>
        <c:barDir val="col"/>
        <c:grouping val="clustered"/>
        <c:ser>
          <c:idx val="0"/>
          <c:order val="0"/>
          <c:spPr>
            <a:effectLst>
              <a:glow rad="228600">
                <a:schemeClr val="accent1">
                  <a:satMod val="175000"/>
                  <a:alpha val="40000"/>
                </a:schemeClr>
              </a:glow>
            </a:effectLst>
          </c:spPr>
          <c:val>
            <c:numRef>
              <c:f>Ağustos!$B$7:$B$37</c:f>
              <c:numCache>
                <c:formatCode>0.0</c:formatCode>
                <c:ptCount val="31"/>
                <c:pt idx="0">
                  <c:v>29.9</c:v>
                </c:pt>
                <c:pt idx="1">
                  <c:v>82.1</c:v>
                </c:pt>
                <c:pt idx="2">
                  <c:v>24.5</c:v>
                </c:pt>
                <c:pt idx="3">
                  <c:v>13.9</c:v>
                </c:pt>
                <c:pt idx="4">
                  <c:v>35</c:v>
                </c:pt>
                <c:pt idx="5">
                  <c:v>32.700000000000003</c:v>
                </c:pt>
                <c:pt idx="6">
                  <c:v>23.7</c:v>
                </c:pt>
                <c:pt idx="7">
                  <c:v>88.7</c:v>
                </c:pt>
                <c:pt idx="8">
                  <c:v>8.8000000000000007</c:v>
                </c:pt>
                <c:pt idx="9">
                  <c:v>30.9</c:v>
                </c:pt>
                <c:pt idx="10">
                  <c:v>77.5</c:v>
                </c:pt>
                <c:pt idx="11">
                  <c:v>38.9</c:v>
                </c:pt>
                <c:pt idx="12">
                  <c:v>49.5</c:v>
                </c:pt>
                <c:pt idx="13">
                  <c:v>84</c:v>
                </c:pt>
                <c:pt idx="14">
                  <c:v>2.8</c:v>
                </c:pt>
                <c:pt idx="15">
                  <c:v>41.6</c:v>
                </c:pt>
                <c:pt idx="16">
                  <c:v>56.3</c:v>
                </c:pt>
                <c:pt idx="17">
                  <c:v>43.8</c:v>
                </c:pt>
                <c:pt idx="18">
                  <c:v>47</c:v>
                </c:pt>
                <c:pt idx="19">
                  <c:v>49</c:v>
                </c:pt>
                <c:pt idx="20">
                  <c:v>56</c:v>
                </c:pt>
                <c:pt idx="21">
                  <c:v>21</c:v>
                </c:pt>
                <c:pt idx="22">
                  <c:v>43</c:v>
                </c:pt>
                <c:pt idx="23">
                  <c:v>33.700000000000003</c:v>
                </c:pt>
                <c:pt idx="24">
                  <c:v>85.4</c:v>
                </c:pt>
                <c:pt idx="25">
                  <c:v>15.4</c:v>
                </c:pt>
                <c:pt idx="26">
                  <c:v>44.2</c:v>
                </c:pt>
                <c:pt idx="27">
                  <c:v>13.3</c:v>
                </c:pt>
                <c:pt idx="28">
                  <c:v>42.1</c:v>
                </c:pt>
                <c:pt idx="29">
                  <c:v>32.299999999999997</c:v>
                </c:pt>
                <c:pt idx="30">
                  <c:v>42.9</c:v>
                </c:pt>
              </c:numCache>
            </c:numRef>
          </c:val>
        </c:ser>
        <c:axId val="148576896"/>
        <c:axId val="148603648"/>
      </c:barChart>
      <c:catAx>
        <c:axId val="14857689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Günler</a:t>
                </a:r>
              </a:p>
            </c:rich>
          </c:tx>
        </c:title>
        <c:majorTickMark val="none"/>
        <c:tickLblPos val="nextTo"/>
        <c:crossAx val="148603648"/>
        <c:crosses val="autoZero"/>
        <c:auto val="1"/>
        <c:lblAlgn val="ctr"/>
        <c:lblOffset val="100"/>
      </c:catAx>
      <c:valAx>
        <c:axId val="148603648"/>
        <c:scaling>
          <c:orientation val="minMax"/>
          <c:max val="170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Yağış</a:t>
                </a:r>
                <a:r>
                  <a:rPr lang="tr-TR" baseline="0"/>
                  <a:t> ( mm )</a:t>
                </a:r>
                <a:endParaRPr lang="tr-TR"/>
              </a:p>
            </c:rich>
          </c:tx>
        </c:title>
        <c:numFmt formatCode="General" sourceLinked="0"/>
        <c:tickLblPos val="nextTo"/>
        <c:crossAx val="148576896"/>
        <c:crosses val="autoZero"/>
        <c:crossBetween val="between"/>
        <c:majorUnit val="20"/>
      </c:valAx>
      <c:spPr>
        <a:effectLst>
          <a:glow rad="228600">
            <a:schemeClr val="accent5">
              <a:satMod val="175000"/>
              <a:alpha val="40000"/>
            </a:schemeClr>
          </a:glow>
        </a:effectLst>
      </c:spPr>
    </c:plotArea>
    <c:plotVisOnly val="1"/>
  </c:chart>
  <c:spPr>
    <a:effectLst>
      <a:glow rad="228600">
        <a:schemeClr val="accent1">
          <a:satMod val="175000"/>
          <a:alpha val="40000"/>
        </a:schemeClr>
      </a:glow>
    </a:effectLst>
  </c:spPr>
  <c:printSettings>
    <c:headerFooter/>
    <c:pageMargins b="0.75000000000000278" l="0.70000000000000062" r="0.70000000000000062" t="0.75000000000000278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tr-TR"/>
  <c:style val="48"/>
  <c:chart>
    <c:title>
      <c:tx>
        <c:rich>
          <a:bodyPr/>
          <a:lstStyle/>
          <a:p>
            <a:pPr>
              <a:defRPr/>
            </a:pPr>
            <a:r>
              <a:rPr lang="tr-TR"/>
              <a:t>EYLÜL/ Olasılık</a:t>
            </a:r>
            <a:endParaRPr lang="en-US"/>
          </a:p>
        </c:rich>
      </c:tx>
    </c:title>
    <c:plotArea>
      <c:layout/>
      <c:lineChart>
        <c:grouping val="standard"/>
        <c:ser>
          <c:idx val="0"/>
          <c:order val="0"/>
          <c:spPr>
            <a:effectLst>
              <a:glow rad="228600">
                <a:schemeClr val="accent3">
                  <a:satMod val="175000"/>
                  <a:alpha val="40000"/>
                </a:schemeClr>
              </a:glow>
            </a:effectLst>
          </c:spPr>
          <c:marker>
            <c:symbol val="none"/>
          </c:marker>
          <c:dLbls>
            <c:dLblPos val="t"/>
            <c:showVal val="1"/>
          </c:dLbls>
          <c:trendline>
            <c:trendlineType val="linear"/>
          </c:trendline>
          <c:val>
            <c:numRef>
              <c:f>Eylül!$C$7:$C$36</c:f>
              <c:numCache>
                <c:formatCode>0.0</c:formatCode>
                <c:ptCount val="30"/>
                <c:pt idx="0">
                  <c:v>38.834951456310677</c:v>
                </c:pt>
                <c:pt idx="1">
                  <c:v>33.009708737864081</c:v>
                </c:pt>
                <c:pt idx="2">
                  <c:v>32.038834951456316</c:v>
                </c:pt>
                <c:pt idx="3">
                  <c:v>27.184466019417474</c:v>
                </c:pt>
                <c:pt idx="4">
                  <c:v>28.155339805825243</c:v>
                </c:pt>
                <c:pt idx="5">
                  <c:v>31.067961165048541</c:v>
                </c:pt>
                <c:pt idx="6">
                  <c:v>33.980582524271846</c:v>
                </c:pt>
                <c:pt idx="7">
                  <c:v>29.126213592233007</c:v>
                </c:pt>
                <c:pt idx="8">
                  <c:v>21.359223300970871</c:v>
                </c:pt>
                <c:pt idx="9">
                  <c:v>27.184466019417474</c:v>
                </c:pt>
                <c:pt idx="10">
                  <c:v>28.155339805825243</c:v>
                </c:pt>
                <c:pt idx="11">
                  <c:v>25.242718446601941</c:v>
                </c:pt>
                <c:pt idx="12">
                  <c:v>26.21359223300971</c:v>
                </c:pt>
                <c:pt idx="13">
                  <c:v>28.155339805825243</c:v>
                </c:pt>
                <c:pt idx="14">
                  <c:v>26.21359223300971</c:v>
                </c:pt>
                <c:pt idx="15">
                  <c:v>27.184466019417474</c:v>
                </c:pt>
                <c:pt idx="16">
                  <c:v>19.417475728155338</c:v>
                </c:pt>
                <c:pt idx="17">
                  <c:v>21.359223300970871</c:v>
                </c:pt>
                <c:pt idx="18">
                  <c:v>26.21359223300971</c:v>
                </c:pt>
                <c:pt idx="19">
                  <c:v>27.184466019417474</c:v>
                </c:pt>
                <c:pt idx="20">
                  <c:v>24.271844660194176</c:v>
                </c:pt>
                <c:pt idx="21">
                  <c:v>28.155339805825243</c:v>
                </c:pt>
                <c:pt idx="22">
                  <c:v>36.893203883495147</c:v>
                </c:pt>
                <c:pt idx="23">
                  <c:v>39.805825242718448</c:v>
                </c:pt>
                <c:pt idx="24">
                  <c:v>24.271844660194176</c:v>
                </c:pt>
                <c:pt idx="25">
                  <c:v>35.922330097087382</c:v>
                </c:pt>
                <c:pt idx="26">
                  <c:v>39.805825242718448</c:v>
                </c:pt>
                <c:pt idx="27">
                  <c:v>34.95145631067961</c:v>
                </c:pt>
                <c:pt idx="28">
                  <c:v>40.776699029126213</c:v>
                </c:pt>
                <c:pt idx="29">
                  <c:v>33.009708737864081</c:v>
                </c:pt>
              </c:numCache>
            </c:numRef>
          </c:val>
        </c:ser>
        <c:hiLowLines/>
        <c:marker val="1"/>
        <c:axId val="148782464"/>
        <c:axId val="148796928"/>
      </c:lineChart>
      <c:catAx>
        <c:axId val="14878246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Günler</a:t>
                </a:r>
                <a:endParaRPr lang="en-US"/>
              </a:p>
            </c:rich>
          </c:tx>
        </c:title>
        <c:majorTickMark val="none"/>
        <c:tickLblPos val="nextTo"/>
        <c:txPr>
          <a:bodyPr/>
          <a:lstStyle/>
          <a:p>
            <a:pPr>
              <a:defRPr b="1"/>
            </a:pPr>
            <a:endParaRPr lang="tr-TR"/>
          </a:p>
        </c:txPr>
        <c:crossAx val="148796928"/>
        <c:crosses val="autoZero"/>
        <c:auto val="1"/>
        <c:lblAlgn val="ctr"/>
        <c:lblOffset val="100"/>
      </c:catAx>
      <c:valAx>
        <c:axId val="148796928"/>
        <c:scaling>
          <c:orientation val="minMax"/>
          <c:max val="80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 sz="1800"/>
                </a:pPr>
                <a:r>
                  <a:rPr lang="tr-TR" sz="1800"/>
                  <a:t>Yüzdelik ( % )</a:t>
                </a:r>
              </a:p>
            </c:rich>
          </c:tx>
        </c:title>
        <c:numFmt formatCode="0" sourceLinked="0"/>
        <c:tickLblPos val="nextTo"/>
        <c:crossAx val="148782464"/>
        <c:crosses val="autoZero"/>
        <c:crossBetween val="between"/>
        <c:minorUnit val="5"/>
      </c:valAx>
      <c:spPr>
        <a:effectLst>
          <a:glow rad="228600">
            <a:schemeClr val="accent3">
              <a:satMod val="175000"/>
              <a:alpha val="40000"/>
            </a:schemeClr>
          </a:glow>
        </a:effectLst>
      </c:spPr>
    </c:plotArea>
    <c:plotVisOnly val="1"/>
  </c:chart>
  <c:printSettings>
    <c:headerFooter/>
    <c:pageMargins b="0.75000000000000233" l="0.70000000000000062" r="0.70000000000000062" t="0.75000000000000233" header="0.30000000000000032" footer="0.30000000000000032"/>
    <c:pageSetup orientation="portrait"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tr-TR"/>
  <c:style val="48"/>
  <c:chart>
    <c:title>
      <c:tx>
        <c:rich>
          <a:bodyPr/>
          <a:lstStyle/>
          <a:p>
            <a:pPr>
              <a:defRPr/>
            </a:pPr>
            <a:r>
              <a:rPr lang="tr-TR"/>
              <a:t>EYLÜL/ Ortalama</a:t>
            </a:r>
            <a:endParaRPr lang="en-US"/>
          </a:p>
        </c:rich>
      </c:tx>
    </c:title>
    <c:plotArea>
      <c:layout/>
      <c:barChart>
        <c:barDir val="col"/>
        <c:grouping val="clustered"/>
        <c:ser>
          <c:idx val="0"/>
          <c:order val="0"/>
          <c:val>
            <c:numRef>
              <c:f>Eylül!$D$7:$D$37</c:f>
              <c:numCache>
                <c:formatCode>0.0</c:formatCode>
                <c:ptCount val="31"/>
                <c:pt idx="0">
                  <c:v>3.119417475728155</c:v>
                </c:pt>
                <c:pt idx="1">
                  <c:v>2.1271844660194175</c:v>
                </c:pt>
                <c:pt idx="2">
                  <c:v>2.1970873786407772</c:v>
                </c:pt>
                <c:pt idx="3">
                  <c:v>1.480582524271844</c:v>
                </c:pt>
                <c:pt idx="4">
                  <c:v>1.6611650485436891</c:v>
                </c:pt>
                <c:pt idx="5">
                  <c:v>3.5485436893203883</c:v>
                </c:pt>
                <c:pt idx="6">
                  <c:v>4.272815533980582</c:v>
                </c:pt>
                <c:pt idx="7">
                  <c:v>3.330097087378642</c:v>
                </c:pt>
                <c:pt idx="8">
                  <c:v>1.4533980582524273</c:v>
                </c:pt>
                <c:pt idx="9">
                  <c:v>4.4902912621359228</c:v>
                </c:pt>
                <c:pt idx="10">
                  <c:v>1.6019417475728153</c:v>
                </c:pt>
                <c:pt idx="11">
                  <c:v>1.2747572815533978</c:v>
                </c:pt>
                <c:pt idx="12">
                  <c:v>1.4213592233009706</c:v>
                </c:pt>
                <c:pt idx="13">
                  <c:v>3.055339805825243</c:v>
                </c:pt>
                <c:pt idx="14">
                  <c:v>3.0582524271844673</c:v>
                </c:pt>
                <c:pt idx="15">
                  <c:v>1.1291262135922331</c:v>
                </c:pt>
                <c:pt idx="16">
                  <c:v>0.8087378640776699</c:v>
                </c:pt>
                <c:pt idx="17">
                  <c:v>1.1145631067961166</c:v>
                </c:pt>
                <c:pt idx="18">
                  <c:v>1.5805825242718448</c:v>
                </c:pt>
                <c:pt idx="19">
                  <c:v>0.97961165048543686</c:v>
                </c:pt>
                <c:pt idx="20">
                  <c:v>2.1174757281553402</c:v>
                </c:pt>
                <c:pt idx="21">
                  <c:v>2.5970873786407767</c:v>
                </c:pt>
                <c:pt idx="22">
                  <c:v>3.7242718446601946</c:v>
                </c:pt>
                <c:pt idx="23">
                  <c:v>2.0097087378640781</c:v>
                </c:pt>
                <c:pt idx="24">
                  <c:v>1.3747572815533984</c:v>
                </c:pt>
                <c:pt idx="25">
                  <c:v>1.5320388349514562</c:v>
                </c:pt>
                <c:pt idx="26">
                  <c:v>3.5961165048543693</c:v>
                </c:pt>
                <c:pt idx="27">
                  <c:v>3.9553398058252429</c:v>
                </c:pt>
                <c:pt idx="28">
                  <c:v>1.7611650485436892</c:v>
                </c:pt>
                <c:pt idx="29">
                  <c:v>2.6320388349514565</c:v>
                </c:pt>
              </c:numCache>
            </c:numRef>
          </c:val>
        </c:ser>
        <c:axId val="148803968"/>
        <c:axId val="148813696"/>
      </c:barChart>
      <c:catAx>
        <c:axId val="14880396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Günler</a:t>
                </a:r>
              </a:p>
            </c:rich>
          </c:tx>
        </c:title>
        <c:majorTickMark val="none"/>
        <c:tickLblPos val="nextTo"/>
        <c:crossAx val="148813696"/>
        <c:crosses val="autoZero"/>
        <c:auto val="1"/>
        <c:lblAlgn val="ctr"/>
        <c:lblOffset val="100"/>
      </c:catAx>
      <c:valAx>
        <c:axId val="148813696"/>
        <c:scaling>
          <c:orientation val="minMax"/>
          <c:max val="10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 sz="1800"/>
                </a:pPr>
                <a:r>
                  <a:rPr lang="tr-TR" sz="1800"/>
                  <a:t>Yağış (mm)</a:t>
                </a:r>
              </a:p>
            </c:rich>
          </c:tx>
        </c:title>
        <c:numFmt formatCode="General" sourceLinked="0"/>
        <c:tickLblPos val="nextTo"/>
        <c:crossAx val="148803968"/>
        <c:crosses val="autoZero"/>
        <c:crossBetween val="between"/>
        <c:majorUnit val="1"/>
      </c:valAx>
    </c:plotArea>
    <c:plotVisOnly val="1"/>
  </c:chart>
  <c:printSettings>
    <c:headerFooter/>
    <c:pageMargins b="0.750000000000003" l="0.70000000000000062" r="0.70000000000000062" t="0.750000000000003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tr-TR"/>
  <c:style val="43"/>
  <c:chart>
    <c:title>
      <c:tx>
        <c:rich>
          <a:bodyPr/>
          <a:lstStyle/>
          <a:p>
            <a:pPr>
              <a:defRPr/>
            </a:pPr>
            <a:r>
              <a:rPr lang="tr-TR"/>
              <a:t>EYLÜL/ </a:t>
            </a:r>
            <a:r>
              <a:rPr lang="en-US"/>
              <a:t>Maksimum </a:t>
            </a:r>
          </a:p>
        </c:rich>
      </c:tx>
    </c:title>
    <c:plotArea>
      <c:layout/>
      <c:barChart>
        <c:barDir val="col"/>
        <c:grouping val="clustered"/>
        <c:ser>
          <c:idx val="0"/>
          <c:order val="0"/>
          <c:spPr>
            <a:effectLst>
              <a:glow rad="228600">
                <a:schemeClr val="accent1">
                  <a:satMod val="175000"/>
                  <a:alpha val="40000"/>
                </a:schemeClr>
              </a:glow>
            </a:effectLst>
          </c:spPr>
          <c:val>
            <c:numRef>
              <c:f>Eylül!$B$7:$B$36</c:f>
              <c:numCache>
                <c:formatCode>0.0</c:formatCode>
                <c:ptCount val="30"/>
                <c:pt idx="0">
                  <c:v>37.799999999999997</c:v>
                </c:pt>
                <c:pt idx="1">
                  <c:v>32.9</c:v>
                </c:pt>
                <c:pt idx="2">
                  <c:v>37</c:v>
                </c:pt>
                <c:pt idx="3">
                  <c:v>23.7</c:v>
                </c:pt>
                <c:pt idx="4">
                  <c:v>19.8</c:v>
                </c:pt>
                <c:pt idx="5">
                  <c:v>66.400000000000006</c:v>
                </c:pt>
                <c:pt idx="6">
                  <c:v>80.099999999999994</c:v>
                </c:pt>
                <c:pt idx="7">
                  <c:v>76.400000000000006</c:v>
                </c:pt>
                <c:pt idx="8">
                  <c:v>78.2</c:v>
                </c:pt>
                <c:pt idx="9">
                  <c:v>123</c:v>
                </c:pt>
                <c:pt idx="10">
                  <c:v>27</c:v>
                </c:pt>
                <c:pt idx="11">
                  <c:v>30.9</c:v>
                </c:pt>
                <c:pt idx="12">
                  <c:v>23.8</c:v>
                </c:pt>
                <c:pt idx="13">
                  <c:v>77.8</c:v>
                </c:pt>
                <c:pt idx="14">
                  <c:v>79.900000000000006</c:v>
                </c:pt>
                <c:pt idx="15">
                  <c:v>25.2</c:v>
                </c:pt>
                <c:pt idx="16">
                  <c:v>44</c:v>
                </c:pt>
                <c:pt idx="17">
                  <c:v>19.600000000000001</c:v>
                </c:pt>
                <c:pt idx="18">
                  <c:v>33</c:v>
                </c:pt>
                <c:pt idx="19">
                  <c:v>17.2</c:v>
                </c:pt>
                <c:pt idx="20">
                  <c:v>55</c:v>
                </c:pt>
                <c:pt idx="21">
                  <c:v>50.8</c:v>
                </c:pt>
                <c:pt idx="22">
                  <c:v>47.6</c:v>
                </c:pt>
                <c:pt idx="23">
                  <c:v>34.4</c:v>
                </c:pt>
                <c:pt idx="24">
                  <c:v>39</c:v>
                </c:pt>
                <c:pt idx="25">
                  <c:v>35.700000000000003</c:v>
                </c:pt>
                <c:pt idx="26">
                  <c:v>70.099999999999994</c:v>
                </c:pt>
                <c:pt idx="27">
                  <c:v>45.9</c:v>
                </c:pt>
                <c:pt idx="28">
                  <c:v>25.3</c:v>
                </c:pt>
                <c:pt idx="29">
                  <c:v>85.7</c:v>
                </c:pt>
              </c:numCache>
            </c:numRef>
          </c:val>
        </c:ser>
        <c:axId val="148825600"/>
        <c:axId val="148774272"/>
      </c:barChart>
      <c:catAx>
        <c:axId val="1488256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Günler</a:t>
                </a:r>
              </a:p>
            </c:rich>
          </c:tx>
        </c:title>
        <c:majorTickMark val="none"/>
        <c:tickLblPos val="nextTo"/>
        <c:crossAx val="148774272"/>
        <c:crosses val="autoZero"/>
        <c:auto val="1"/>
        <c:lblAlgn val="ctr"/>
        <c:lblOffset val="100"/>
      </c:catAx>
      <c:valAx>
        <c:axId val="148774272"/>
        <c:scaling>
          <c:orientation val="minMax"/>
          <c:max val="170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Yağış</a:t>
                </a:r>
                <a:r>
                  <a:rPr lang="tr-TR" baseline="0"/>
                  <a:t> ( mm )</a:t>
                </a:r>
                <a:endParaRPr lang="tr-TR"/>
              </a:p>
            </c:rich>
          </c:tx>
        </c:title>
        <c:numFmt formatCode="General" sourceLinked="0"/>
        <c:tickLblPos val="nextTo"/>
        <c:crossAx val="148825600"/>
        <c:crosses val="autoZero"/>
        <c:crossBetween val="between"/>
        <c:majorUnit val="20"/>
      </c:valAx>
      <c:spPr>
        <a:effectLst>
          <a:glow rad="228600">
            <a:schemeClr val="accent5">
              <a:satMod val="175000"/>
              <a:alpha val="40000"/>
            </a:schemeClr>
          </a:glow>
        </a:effectLst>
      </c:spPr>
    </c:plotArea>
    <c:plotVisOnly val="1"/>
  </c:chart>
  <c:spPr>
    <a:effectLst>
      <a:glow rad="228600">
        <a:schemeClr val="accent1">
          <a:satMod val="175000"/>
          <a:alpha val="40000"/>
        </a:schemeClr>
      </a:glow>
    </a:effectLst>
  </c:spPr>
  <c:printSettings>
    <c:headerFooter/>
    <c:pageMargins b="0.75000000000000278" l="0.70000000000000062" r="0.70000000000000062" t="0.75000000000000278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tr-TR"/>
  <c:style val="48"/>
  <c:chart>
    <c:title>
      <c:tx>
        <c:rich>
          <a:bodyPr/>
          <a:lstStyle/>
          <a:p>
            <a:pPr>
              <a:defRPr/>
            </a:pPr>
            <a:r>
              <a:rPr lang="tr-TR"/>
              <a:t>EKİM/ Olasılık</a:t>
            </a:r>
            <a:endParaRPr lang="en-US"/>
          </a:p>
        </c:rich>
      </c:tx>
    </c:title>
    <c:plotArea>
      <c:layout/>
      <c:lineChart>
        <c:grouping val="standard"/>
        <c:ser>
          <c:idx val="0"/>
          <c:order val="0"/>
          <c:spPr>
            <a:effectLst>
              <a:glow rad="228600">
                <a:schemeClr val="accent3">
                  <a:satMod val="175000"/>
                  <a:alpha val="40000"/>
                </a:schemeClr>
              </a:glow>
            </a:effectLst>
          </c:spPr>
          <c:marker>
            <c:symbol val="none"/>
          </c:marker>
          <c:dLbls>
            <c:dLblPos val="t"/>
            <c:showVal val="1"/>
          </c:dLbls>
          <c:trendline>
            <c:trendlineType val="linear"/>
          </c:trendline>
          <c:val>
            <c:numRef>
              <c:f>Ekim!$C$7:$C$37</c:f>
              <c:numCache>
                <c:formatCode>0.0</c:formatCode>
                <c:ptCount val="31"/>
                <c:pt idx="0">
                  <c:v>36.893203883495147</c:v>
                </c:pt>
                <c:pt idx="1">
                  <c:v>35.922330097087382</c:v>
                </c:pt>
                <c:pt idx="2">
                  <c:v>39.805825242718448</c:v>
                </c:pt>
                <c:pt idx="3">
                  <c:v>38.834951456310677</c:v>
                </c:pt>
                <c:pt idx="4">
                  <c:v>27.184466019417474</c:v>
                </c:pt>
                <c:pt idx="5">
                  <c:v>33.980582524271846</c:v>
                </c:pt>
                <c:pt idx="6">
                  <c:v>31.067961165048541</c:v>
                </c:pt>
                <c:pt idx="7">
                  <c:v>34.95145631067961</c:v>
                </c:pt>
                <c:pt idx="8">
                  <c:v>35.922330097087382</c:v>
                </c:pt>
                <c:pt idx="9">
                  <c:v>40.776699029126213</c:v>
                </c:pt>
                <c:pt idx="10">
                  <c:v>34.95145631067961</c:v>
                </c:pt>
                <c:pt idx="11">
                  <c:v>42.718446601941743</c:v>
                </c:pt>
                <c:pt idx="12">
                  <c:v>44.660194174757287</c:v>
                </c:pt>
                <c:pt idx="13">
                  <c:v>41.747572815533978</c:v>
                </c:pt>
                <c:pt idx="14">
                  <c:v>39.805825242718448</c:v>
                </c:pt>
                <c:pt idx="15">
                  <c:v>41.747572815533978</c:v>
                </c:pt>
                <c:pt idx="16">
                  <c:v>42.718446601941743</c:v>
                </c:pt>
                <c:pt idx="17">
                  <c:v>33.009708737864081</c:v>
                </c:pt>
                <c:pt idx="18">
                  <c:v>41.747572815533978</c:v>
                </c:pt>
                <c:pt idx="19">
                  <c:v>31.067961165048541</c:v>
                </c:pt>
                <c:pt idx="20">
                  <c:v>42.718446601941743</c:v>
                </c:pt>
                <c:pt idx="21">
                  <c:v>39.805825242718448</c:v>
                </c:pt>
                <c:pt idx="22">
                  <c:v>39.805825242718448</c:v>
                </c:pt>
                <c:pt idx="23">
                  <c:v>43.689320388349515</c:v>
                </c:pt>
                <c:pt idx="24">
                  <c:v>51.456310679611647</c:v>
                </c:pt>
                <c:pt idx="25">
                  <c:v>37.864077669902912</c:v>
                </c:pt>
                <c:pt idx="26">
                  <c:v>40.776699029126213</c:v>
                </c:pt>
                <c:pt idx="27">
                  <c:v>33.009708737864081</c:v>
                </c:pt>
                <c:pt idx="28">
                  <c:v>36.893203883495147</c:v>
                </c:pt>
                <c:pt idx="29">
                  <c:v>37.864077669902912</c:v>
                </c:pt>
                <c:pt idx="30">
                  <c:v>33.009708737864081</c:v>
                </c:pt>
              </c:numCache>
            </c:numRef>
          </c:val>
        </c:ser>
        <c:hiLowLines/>
        <c:marker val="1"/>
        <c:axId val="148941056"/>
        <c:axId val="148951424"/>
      </c:lineChart>
      <c:catAx>
        <c:axId val="14894105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Günler</a:t>
                </a:r>
                <a:endParaRPr lang="en-US"/>
              </a:p>
            </c:rich>
          </c:tx>
        </c:title>
        <c:majorTickMark val="none"/>
        <c:tickLblPos val="nextTo"/>
        <c:txPr>
          <a:bodyPr/>
          <a:lstStyle/>
          <a:p>
            <a:pPr>
              <a:defRPr b="1"/>
            </a:pPr>
            <a:endParaRPr lang="tr-TR"/>
          </a:p>
        </c:txPr>
        <c:crossAx val="148951424"/>
        <c:crosses val="autoZero"/>
        <c:auto val="1"/>
        <c:lblAlgn val="ctr"/>
        <c:lblOffset val="100"/>
      </c:catAx>
      <c:valAx>
        <c:axId val="148951424"/>
        <c:scaling>
          <c:orientation val="minMax"/>
          <c:max val="80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 sz="1800"/>
                </a:pPr>
                <a:r>
                  <a:rPr lang="tr-TR" sz="1800"/>
                  <a:t>Yüzdelik ( % )</a:t>
                </a:r>
              </a:p>
            </c:rich>
          </c:tx>
        </c:title>
        <c:numFmt formatCode="0" sourceLinked="0"/>
        <c:tickLblPos val="nextTo"/>
        <c:crossAx val="148941056"/>
        <c:crosses val="autoZero"/>
        <c:crossBetween val="between"/>
        <c:minorUnit val="5"/>
      </c:valAx>
      <c:spPr>
        <a:effectLst>
          <a:glow rad="228600">
            <a:schemeClr val="accent3">
              <a:satMod val="175000"/>
              <a:alpha val="40000"/>
            </a:schemeClr>
          </a:glow>
        </a:effectLst>
      </c:spPr>
    </c:plotArea>
    <c:plotVisOnly val="1"/>
  </c:chart>
  <c:printSettings>
    <c:headerFooter/>
    <c:pageMargins b="0.75000000000000233" l="0.70000000000000062" r="0.70000000000000062" t="0.75000000000000233" header="0.30000000000000032" footer="0.30000000000000032"/>
    <c:pageSetup orientation="portrait"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tr-TR"/>
  <c:style val="48"/>
  <c:chart>
    <c:title>
      <c:tx>
        <c:rich>
          <a:bodyPr/>
          <a:lstStyle/>
          <a:p>
            <a:pPr>
              <a:defRPr/>
            </a:pPr>
            <a:r>
              <a:rPr lang="tr-TR"/>
              <a:t>EKİM/ Ortalama</a:t>
            </a:r>
            <a:endParaRPr lang="en-US"/>
          </a:p>
        </c:rich>
      </c:tx>
    </c:title>
    <c:plotArea>
      <c:layout/>
      <c:barChart>
        <c:barDir val="col"/>
        <c:grouping val="clustered"/>
        <c:ser>
          <c:idx val="0"/>
          <c:order val="0"/>
          <c:val>
            <c:numRef>
              <c:f>Ekim!$D$7:$D$37</c:f>
              <c:numCache>
                <c:formatCode>0.0</c:formatCode>
                <c:ptCount val="31"/>
                <c:pt idx="0">
                  <c:v>2.4873786407766985</c:v>
                </c:pt>
                <c:pt idx="1">
                  <c:v>1.6407766990291259</c:v>
                </c:pt>
                <c:pt idx="2">
                  <c:v>3.3203883495145639</c:v>
                </c:pt>
                <c:pt idx="3">
                  <c:v>2.3106796116504853</c:v>
                </c:pt>
                <c:pt idx="4">
                  <c:v>1.4213592233009706</c:v>
                </c:pt>
                <c:pt idx="5">
                  <c:v>2.1368932038834947</c:v>
                </c:pt>
                <c:pt idx="6">
                  <c:v>3.8126213592233009</c:v>
                </c:pt>
                <c:pt idx="7">
                  <c:v>3.1378640776699029</c:v>
                </c:pt>
                <c:pt idx="8">
                  <c:v>1.8456310679611647</c:v>
                </c:pt>
                <c:pt idx="9">
                  <c:v>3.1067961165048539</c:v>
                </c:pt>
                <c:pt idx="10">
                  <c:v>2.5815533980582526</c:v>
                </c:pt>
                <c:pt idx="11">
                  <c:v>2.4990291262135909</c:v>
                </c:pt>
                <c:pt idx="12">
                  <c:v>5.7533980582524276</c:v>
                </c:pt>
                <c:pt idx="13">
                  <c:v>3.1611650485436891</c:v>
                </c:pt>
                <c:pt idx="14">
                  <c:v>5.1514563106796123</c:v>
                </c:pt>
                <c:pt idx="15">
                  <c:v>3.9466019417475726</c:v>
                </c:pt>
                <c:pt idx="16">
                  <c:v>3.1864077669902913</c:v>
                </c:pt>
                <c:pt idx="17">
                  <c:v>2.2902912621359226</c:v>
                </c:pt>
                <c:pt idx="18">
                  <c:v>3.6786407766990301</c:v>
                </c:pt>
                <c:pt idx="19">
                  <c:v>1.6902912621359223</c:v>
                </c:pt>
                <c:pt idx="20">
                  <c:v>2.8320388349514563</c:v>
                </c:pt>
                <c:pt idx="21">
                  <c:v>2.4582524271844655</c:v>
                </c:pt>
                <c:pt idx="22">
                  <c:v>2.3592233009708732</c:v>
                </c:pt>
                <c:pt idx="23">
                  <c:v>4.0271844660194178</c:v>
                </c:pt>
                <c:pt idx="24">
                  <c:v>3.9456310679611639</c:v>
                </c:pt>
                <c:pt idx="25">
                  <c:v>3.7281553398058258</c:v>
                </c:pt>
                <c:pt idx="26">
                  <c:v>3.8087378640776706</c:v>
                </c:pt>
                <c:pt idx="27">
                  <c:v>2.8436893203883491</c:v>
                </c:pt>
                <c:pt idx="28">
                  <c:v>3.0223300970873783</c:v>
                </c:pt>
                <c:pt idx="29">
                  <c:v>1.7456310679611644</c:v>
                </c:pt>
                <c:pt idx="30">
                  <c:v>3.1805825242718444</c:v>
                </c:pt>
              </c:numCache>
            </c:numRef>
          </c:val>
        </c:ser>
        <c:axId val="148703872"/>
        <c:axId val="148718336"/>
      </c:barChart>
      <c:catAx>
        <c:axId val="1487038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Günler</a:t>
                </a:r>
              </a:p>
            </c:rich>
          </c:tx>
        </c:title>
        <c:majorTickMark val="none"/>
        <c:tickLblPos val="nextTo"/>
        <c:crossAx val="148718336"/>
        <c:crosses val="autoZero"/>
        <c:auto val="1"/>
        <c:lblAlgn val="ctr"/>
        <c:lblOffset val="100"/>
      </c:catAx>
      <c:valAx>
        <c:axId val="148718336"/>
        <c:scaling>
          <c:orientation val="minMax"/>
          <c:max val="10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 sz="1800"/>
                </a:pPr>
                <a:r>
                  <a:rPr lang="tr-TR" sz="1800"/>
                  <a:t>Yağış (mm)</a:t>
                </a:r>
              </a:p>
            </c:rich>
          </c:tx>
        </c:title>
        <c:numFmt formatCode="General" sourceLinked="0"/>
        <c:tickLblPos val="nextTo"/>
        <c:crossAx val="148703872"/>
        <c:crosses val="autoZero"/>
        <c:crossBetween val="between"/>
        <c:majorUnit val="1"/>
      </c:valAx>
    </c:plotArea>
    <c:plotVisOnly val="1"/>
  </c:chart>
  <c:printSettings>
    <c:headerFooter/>
    <c:pageMargins b="0.750000000000003" l="0.70000000000000062" r="0.70000000000000062" t="0.750000000000003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tr-TR"/>
  <c:style val="43"/>
  <c:chart>
    <c:title>
      <c:tx>
        <c:rich>
          <a:bodyPr/>
          <a:lstStyle/>
          <a:p>
            <a:pPr>
              <a:defRPr/>
            </a:pPr>
            <a:r>
              <a:rPr lang="tr-TR"/>
              <a:t>EKİM/ </a:t>
            </a:r>
            <a:r>
              <a:rPr lang="en-US"/>
              <a:t>Maksimum </a:t>
            </a:r>
          </a:p>
        </c:rich>
      </c:tx>
    </c:title>
    <c:plotArea>
      <c:layout/>
      <c:barChart>
        <c:barDir val="col"/>
        <c:grouping val="clustered"/>
        <c:ser>
          <c:idx val="0"/>
          <c:order val="0"/>
          <c:spPr>
            <a:effectLst>
              <a:glow rad="228600">
                <a:schemeClr val="accent1">
                  <a:satMod val="175000"/>
                  <a:alpha val="40000"/>
                </a:schemeClr>
              </a:glow>
            </a:effectLst>
          </c:spPr>
          <c:val>
            <c:numRef>
              <c:f>Ekim!$B$7:$B$37</c:f>
              <c:numCache>
                <c:formatCode>0.0</c:formatCode>
                <c:ptCount val="31"/>
                <c:pt idx="0">
                  <c:v>31</c:v>
                </c:pt>
                <c:pt idx="1">
                  <c:v>26</c:v>
                </c:pt>
                <c:pt idx="2">
                  <c:v>131.30000000000001</c:v>
                </c:pt>
                <c:pt idx="3">
                  <c:v>38.5</c:v>
                </c:pt>
                <c:pt idx="4">
                  <c:v>34.5</c:v>
                </c:pt>
                <c:pt idx="5">
                  <c:v>37.700000000000003</c:v>
                </c:pt>
                <c:pt idx="6">
                  <c:v>120.5</c:v>
                </c:pt>
                <c:pt idx="7">
                  <c:v>91.2</c:v>
                </c:pt>
                <c:pt idx="8">
                  <c:v>42</c:v>
                </c:pt>
                <c:pt idx="9">
                  <c:v>53</c:v>
                </c:pt>
                <c:pt idx="10">
                  <c:v>47.9</c:v>
                </c:pt>
                <c:pt idx="11">
                  <c:v>27.4</c:v>
                </c:pt>
                <c:pt idx="12">
                  <c:v>117</c:v>
                </c:pt>
                <c:pt idx="13">
                  <c:v>44.5</c:v>
                </c:pt>
                <c:pt idx="14">
                  <c:v>111.8</c:v>
                </c:pt>
                <c:pt idx="15">
                  <c:v>103.7</c:v>
                </c:pt>
                <c:pt idx="16">
                  <c:v>51.5</c:v>
                </c:pt>
                <c:pt idx="17">
                  <c:v>36.799999999999997</c:v>
                </c:pt>
                <c:pt idx="18">
                  <c:v>45.2</c:v>
                </c:pt>
                <c:pt idx="19">
                  <c:v>21.4</c:v>
                </c:pt>
                <c:pt idx="20">
                  <c:v>30.9</c:v>
                </c:pt>
                <c:pt idx="21">
                  <c:v>34.5</c:v>
                </c:pt>
                <c:pt idx="22">
                  <c:v>22.3</c:v>
                </c:pt>
                <c:pt idx="23">
                  <c:v>47</c:v>
                </c:pt>
                <c:pt idx="24">
                  <c:v>55.8</c:v>
                </c:pt>
                <c:pt idx="25">
                  <c:v>110</c:v>
                </c:pt>
                <c:pt idx="26">
                  <c:v>104.9</c:v>
                </c:pt>
                <c:pt idx="27">
                  <c:v>50.4</c:v>
                </c:pt>
                <c:pt idx="28">
                  <c:v>91</c:v>
                </c:pt>
                <c:pt idx="29">
                  <c:v>33.6</c:v>
                </c:pt>
                <c:pt idx="30">
                  <c:v>57.5</c:v>
                </c:pt>
              </c:numCache>
            </c:numRef>
          </c:val>
        </c:ser>
        <c:axId val="148750720"/>
        <c:axId val="148752640"/>
      </c:barChart>
      <c:catAx>
        <c:axId val="14875072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Günler</a:t>
                </a:r>
              </a:p>
            </c:rich>
          </c:tx>
        </c:title>
        <c:majorTickMark val="none"/>
        <c:tickLblPos val="nextTo"/>
        <c:crossAx val="148752640"/>
        <c:crosses val="autoZero"/>
        <c:auto val="1"/>
        <c:lblAlgn val="ctr"/>
        <c:lblOffset val="100"/>
      </c:catAx>
      <c:valAx>
        <c:axId val="148752640"/>
        <c:scaling>
          <c:orientation val="minMax"/>
          <c:max val="170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Yağış</a:t>
                </a:r>
                <a:r>
                  <a:rPr lang="tr-TR" baseline="0"/>
                  <a:t> ( mm )</a:t>
                </a:r>
                <a:endParaRPr lang="tr-TR"/>
              </a:p>
            </c:rich>
          </c:tx>
        </c:title>
        <c:numFmt formatCode="General" sourceLinked="0"/>
        <c:tickLblPos val="nextTo"/>
        <c:crossAx val="148750720"/>
        <c:crosses val="autoZero"/>
        <c:crossBetween val="between"/>
        <c:majorUnit val="20"/>
      </c:valAx>
      <c:spPr>
        <a:effectLst>
          <a:glow rad="228600">
            <a:schemeClr val="accent5">
              <a:satMod val="175000"/>
              <a:alpha val="40000"/>
            </a:schemeClr>
          </a:glow>
        </a:effectLst>
      </c:spPr>
    </c:plotArea>
    <c:plotVisOnly val="1"/>
  </c:chart>
  <c:spPr>
    <a:effectLst>
      <a:glow rad="228600">
        <a:schemeClr val="accent1">
          <a:satMod val="175000"/>
          <a:alpha val="40000"/>
        </a:schemeClr>
      </a:glow>
    </a:effectLst>
  </c:spPr>
  <c:printSettings>
    <c:headerFooter/>
    <c:pageMargins b="0.75000000000000278" l="0.70000000000000062" r="0.70000000000000062" t="0.75000000000000278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tr-TR"/>
  <c:style val="48"/>
  <c:chart>
    <c:title>
      <c:tx>
        <c:rich>
          <a:bodyPr/>
          <a:lstStyle/>
          <a:p>
            <a:pPr>
              <a:defRPr/>
            </a:pPr>
            <a:r>
              <a:rPr lang="tr-TR"/>
              <a:t>KASIM/ Olasılık</a:t>
            </a:r>
            <a:endParaRPr lang="en-US"/>
          </a:p>
        </c:rich>
      </c:tx>
    </c:title>
    <c:plotArea>
      <c:layout/>
      <c:lineChart>
        <c:grouping val="standard"/>
        <c:ser>
          <c:idx val="0"/>
          <c:order val="0"/>
          <c:spPr>
            <a:effectLst>
              <a:glow rad="228600">
                <a:schemeClr val="accent3">
                  <a:satMod val="175000"/>
                  <a:alpha val="40000"/>
                </a:schemeClr>
              </a:glow>
            </a:effectLst>
          </c:spPr>
          <c:marker>
            <c:symbol val="none"/>
          </c:marker>
          <c:dLbls>
            <c:dLblPos val="t"/>
            <c:showVal val="1"/>
          </c:dLbls>
          <c:trendline>
            <c:trendlineType val="linear"/>
          </c:trendline>
          <c:val>
            <c:numRef>
              <c:f>Kasım!$C$7:$C$36</c:f>
              <c:numCache>
                <c:formatCode>0.0</c:formatCode>
                <c:ptCount val="30"/>
                <c:pt idx="0">
                  <c:v>43.689320388349515</c:v>
                </c:pt>
                <c:pt idx="1">
                  <c:v>40.776699029126213</c:v>
                </c:pt>
                <c:pt idx="2">
                  <c:v>36.893203883495147</c:v>
                </c:pt>
                <c:pt idx="3">
                  <c:v>39.805825242718448</c:v>
                </c:pt>
                <c:pt idx="4">
                  <c:v>47.572815533980581</c:v>
                </c:pt>
                <c:pt idx="5">
                  <c:v>44.660194174757287</c:v>
                </c:pt>
                <c:pt idx="6">
                  <c:v>41.747572815533978</c:v>
                </c:pt>
                <c:pt idx="7">
                  <c:v>44.660194174757287</c:v>
                </c:pt>
                <c:pt idx="8">
                  <c:v>45.631067961165051</c:v>
                </c:pt>
                <c:pt idx="9">
                  <c:v>39.805825242718448</c:v>
                </c:pt>
                <c:pt idx="10">
                  <c:v>42.718446601941743</c:v>
                </c:pt>
                <c:pt idx="11">
                  <c:v>49.514563106796118</c:v>
                </c:pt>
                <c:pt idx="12">
                  <c:v>42.718446601941743</c:v>
                </c:pt>
                <c:pt idx="13">
                  <c:v>43.689320388349515</c:v>
                </c:pt>
                <c:pt idx="14">
                  <c:v>51.456310679611647</c:v>
                </c:pt>
                <c:pt idx="15">
                  <c:v>53.398058252427184</c:v>
                </c:pt>
                <c:pt idx="16">
                  <c:v>49.514563106796118</c:v>
                </c:pt>
                <c:pt idx="17">
                  <c:v>50.485436893203882</c:v>
                </c:pt>
                <c:pt idx="18">
                  <c:v>51.456310679611647</c:v>
                </c:pt>
                <c:pt idx="19">
                  <c:v>58.252427184466015</c:v>
                </c:pt>
                <c:pt idx="20">
                  <c:v>50.485436893203882</c:v>
                </c:pt>
                <c:pt idx="21">
                  <c:v>48.543689320388353</c:v>
                </c:pt>
                <c:pt idx="22">
                  <c:v>51.456310679611647</c:v>
                </c:pt>
                <c:pt idx="23">
                  <c:v>47.572815533980581</c:v>
                </c:pt>
                <c:pt idx="24">
                  <c:v>56.310679611650485</c:v>
                </c:pt>
                <c:pt idx="25">
                  <c:v>54.368932038834949</c:v>
                </c:pt>
                <c:pt idx="26">
                  <c:v>55.339805825242713</c:v>
                </c:pt>
                <c:pt idx="27">
                  <c:v>51.456310679611647</c:v>
                </c:pt>
                <c:pt idx="28">
                  <c:v>51.456310679611647</c:v>
                </c:pt>
                <c:pt idx="29">
                  <c:v>50.485436893203882</c:v>
                </c:pt>
              </c:numCache>
            </c:numRef>
          </c:val>
        </c:ser>
        <c:hiLowLines/>
        <c:marker val="1"/>
        <c:axId val="150062208"/>
        <c:axId val="150064128"/>
      </c:lineChart>
      <c:catAx>
        <c:axId val="15006220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Günler</a:t>
                </a:r>
                <a:endParaRPr lang="en-US"/>
              </a:p>
            </c:rich>
          </c:tx>
        </c:title>
        <c:majorTickMark val="none"/>
        <c:tickLblPos val="nextTo"/>
        <c:txPr>
          <a:bodyPr/>
          <a:lstStyle/>
          <a:p>
            <a:pPr>
              <a:defRPr b="1"/>
            </a:pPr>
            <a:endParaRPr lang="tr-TR"/>
          </a:p>
        </c:txPr>
        <c:crossAx val="150064128"/>
        <c:crosses val="autoZero"/>
        <c:auto val="1"/>
        <c:lblAlgn val="ctr"/>
        <c:lblOffset val="100"/>
      </c:catAx>
      <c:valAx>
        <c:axId val="150064128"/>
        <c:scaling>
          <c:orientation val="minMax"/>
          <c:max val="80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 sz="1800"/>
                </a:pPr>
                <a:r>
                  <a:rPr lang="tr-TR" sz="1800"/>
                  <a:t>Yüzdelik ( % )</a:t>
                </a:r>
              </a:p>
            </c:rich>
          </c:tx>
        </c:title>
        <c:numFmt formatCode="0" sourceLinked="0"/>
        <c:tickLblPos val="nextTo"/>
        <c:crossAx val="150062208"/>
        <c:crosses val="autoZero"/>
        <c:crossBetween val="between"/>
        <c:minorUnit val="5"/>
      </c:valAx>
      <c:spPr>
        <a:effectLst>
          <a:glow rad="228600">
            <a:schemeClr val="accent3">
              <a:satMod val="175000"/>
              <a:alpha val="40000"/>
            </a:schemeClr>
          </a:glow>
        </a:effectLst>
      </c:spPr>
    </c:plotArea>
    <c:plotVisOnly val="1"/>
  </c:chart>
  <c:printSettings>
    <c:headerFooter/>
    <c:pageMargins b="0.75000000000000233" l="0.70000000000000062" r="0.70000000000000062" t="0.75000000000000233" header="0.30000000000000032" footer="0.30000000000000032"/>
    <c:pageSetup orientation="portrait"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tr-TR"/>
  <c:style val="48"/>
  <c:chart>
    <c:title>
      <c:tx>
        <c:rich>
          <a:bodyPr/>
          <a:lstStyle/>
          <a:p>
            <a:pPr>
              <a:defRPr/>
            </a:pPr>
            <a:r>
              <a:rPr lang="tr-TR"/>
              <a:t>KASIM/ Ortalama</a:t>
            </a:r>
            <a:endParaRPr lang="en-US"/>
          </a:p>
        </c:rich>
      </c:tx>
    </c:title>
    <c:plotArea>
      <c:layout/>
      <c:barChart>
        <c:barDir val="col"/>
        <c:grouping val="clustered"/>
        <c:ser>
          <c:idx val="0"/>
          <c:order val="0"/>
          <c:val>
            <c:numRef>
              <c:f>Kasım!$D$7:$D$36</c:f>
              <c:numCache>
                <c:formatCode>0.0</c:formatCode>
                <c:ptCount val="30"/>
                <c:pt idx="0">
                  <c:v>1.9776699029126212</c:v>
                </c:pt>
                <c:pt idx="1">
                  <c:v>2.4067961165048546</c:v>
                </c:pt>
                <c:pt idx="2">
                  <c:v>2.063106796116505</c:v>
                </c:pt>
                <c:pt idx="3">
                  <c:v>2.2640776699029121</c:v>
                </c:pt>
                <c:pt idx="4">
                  <c:v>2.9640776699029128</c:v>
                </c:pt>
                <c:pt idx="5">
                  <c:v>2.7349514563106792</c:v>
                </c:pt>
                <c:pt idx="6">
                  <c:v>2.1902912621359221</c:v>
                </c:pt>
                <c:pt idx="7">
                  <c:v>1.9611650485436893</c:v>
                </c:pt>
                <c:pt idx="8">
                  <c:v>3.116504854368932</c:v>
                </c:pt>
                <c:pt idx="9">
                  <c:v>3.0854368932038847</c:v>
                </c:pt>
                <c:pt idx="10">
                  <c:v>3.2572815533980592</c:v>
                </c:pt>
                <c:pt idx="11">
                  <c:v>2.2699029126213595</c:v>
                </c:pt>
                <c:pt idx="12">
                  <c:v>3.0271844660194183</c:v>
                </c:pt>
                <c:pt idx="13">
                  <c:v>3.3834951456310676</c:v>
                </c:pt>
                <c:pt idx="14">
                  <c:v>3.1475728155339815</c:v>
                </c:pt>
                <c:pt idx="15">
                  <c:v>3.9854368932038842</c:v>
                </c:pt>
                <c:pt idx="16">
                  <c:v>3.7378640776699044</c:v>
                </c:pt>
                <c:pt idx="17">
                  <c:v>3.2087378640776687</c:v>
                </c:pt>
                <c:pt idx="18">
                  <c:v>5.0902912621359233</c:v>
                </c:pt>
                <c:pt idx="19">
                  <c:v>4.5631067961165046</c:v>
                </c:pt>
                <c:pt idx="20">
                  <c:v>3.4000000000000004</c:v>
                </c:pt>
                <c:pt idx="21">
                  <c:v>3.8106796116504862</c:v>
                </c:pt>
                <c:pt idx="22">
                  <c:v>4.2213592233009694</c:v>
                </c:pt>
                <c:pt idx="23">
                  <c:v>4.6242718446601936</c:v>
                </c:pt>
                <c:pt idx="24">
                  <c:v>4.9009708737864086</c:v>
                </c:pt>
                <c:pt idx="25">
                  <c:v>4.2621359223300965</c:v>
                </c:pt>
                <c:pt idx="26">
                  <c:v>3.5592233009708751</c:v>
                </c:pt>
                <c:pt idx="27">
                  <c:v>4.6776699029126219</c:v>
                </c:pt>
                <c:pt idx="28">
                  <c:v>2.6660194174757272</c:v>
                </c:pt>
                <c:pt idx="29">
                  <c:v>3.9262135922330099</c:v>
                </c:pt>
              </c:numCache>
            </c:numRef>
          </c:val>
        </c:ser>
        <c:axId val="150480384"/>
        <c:axId val="150482304"/>
      </c:barChart>
      <c:catAx>
        <c:axId val="15048038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Günler</a:t>
                </a:r>
              </a:p>
            </c:rich>
          </c:tx>
        </c:title>
        <c:majorTickMark val="none"/>
        <c:tickLblPos val="nextTo"/>
        <c:crossAx val="150482304"/>
        <c:crosses val="autoZero"/>
        <c:auto val="1"/>
        <c:lblAlgn val="ctr"/>
        <c:lblOffset val="100"/>
      </c:catAx>
      <c:valAx>
        <c:axId val="150482304"/>
        <c:scaling>
          <c:orientation val="minMax"/>
          <c:max val="10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 sz="1800"/>
                </a:pPr>
                <a:r>
                  <a:rPr lang="tr-TR" sz="1800"/>
                  <a:t>Yağış (mm)</a:t>
                </a:r>
              </a:p>
            </c:rich>
          </c:tx>
        </c:title>
        <c:numFmt formatCode="General" sourceLinked="0"/>
        <c:tickLblPos val="nextTo"/>
        <c:crossAx val="150480384"/>
        <c:crosses val="autoZero"/>
        <c:crossBetween val="between"/>
        <c:majorUnit val="1"/>
      </c:valAx>
    </c:plotArea>
    <c:plotVisOnly val="1"/>
  </c:chart>
  <c:printSettings>
    <c:headerFooter/>
    <c:pageMargins b="0.750000000000003" l="0.70000000000000062" r="0.70000000000000062" t="0.750000000000003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tr-TR"/>
  <c:style val="43"/>
  <c:chart>
    <c:title>
      <c:tx>
        <c:rich>
          <a:bodyPr/>
          <a:lstStyle/>
          <a:p>
            <a:pPr>
              <a:defRPr/>
            </a:pPr>
            <a:r>
              <a:rPr lang="tr-TR"/>
              <a:t>KASIM / </a:t>
            </a:r>
            <a:r>
              <a:rPr lang="en-US"/>
              <a:t>Maksimum </a:t>
            </a:r>
          </a:p>
        </c:rich>
      </c:tx>
    </c:title>
    <c:plotArea>
      <c:layout/>
      <c:barChart>
        <c:barDir val="col"/>
        <c:grouping val="clustered"/>
        <c:ser>
          <c:idx val="0"/>
          <c:order val="0"/>
          <c:spPr>
            <a:effectLst>
              <a:glow rad="228600">
                <a:schemeClr val="accent1">
                  <a:satMod val="175000"/>
                  <a:alpha val="40000"/>
                </a:schemeClr>
              </a:glow>
            </a:effectLst>
          </c:spPr>
          <c:val>
            <c:numRef>
              <c:f>Kasım!$B$7:$B$36</c:f>
              <c:numCache>
                <c:formatCode>0.0</c:formatCode>
                <c:ptCount val="30"/>
                <c:pt idx="0">
                  <c:v>47</c:v>
                </c:pt>
                <c:pt idx="1">
                  <c:v>38.200000000000003</c:v>
                </c:pt>
                <c:pt idx="2">
                  <c:v>44.5</c:v>
                </c:pt>
                <c:pt idx="3">
                  <c:v>29.3</c:v>
                </c:pt>
                <c:pt idx="4">
                  <c:v>34</c:v>
                </c:pt>
                <c:pt idx="5">
                  <c:v>32.5</c:v>
                </c:pt>
                <c:pt idx="6">
                  <c:v>35.299999999999997</c:v>
                </c:pt>
                <c:pt idx="7">
                  <c:v>23.6</c:v>
                </c:pt>
                <c:pt idx="8">
                  <c:v>39.5</c:v>
                </c:pt>
                <c:pt idx="9">
                  <c:v>47.5</c:v>
                </c:pt>
                <c:pt idx="10">
                  <c:v>55.5</c:v>
                </c:pt>
                <c:pt idx="11">
                  <c:v>37.6</c:v>
                </c:pt>
                <c:pt idx="12">
                  <c:v>37.5</c:v>
                </c:pt>
                <c:pt idx="13">
                  <c:v>40.5</c:v>
                </c:pt>
                <c:pt idx="14">
                  <c:v>60.2</c:v>
                </c:pt>
                <c:pt idx="15">
                  <c:v>94.2</c:v>
                </c:pt>
                <c:pt idx="16">
                  <c:v>68.099999999999994</c:v>
                </c:pt>
                <c:pt idx="17">
                  <c:v>45</c:v>
                </c:pt>
                <c:pt idx="18">
                  <c:v>61</c:v>
                </c:pt>
                <c:pt idx="19">
                  <c:v>49.6</c:v>
                </c:pt>
                <c:pt idx="20">
                  <c:v>42.6</c:v>
                </c:pt>
                <c:pt idx="21">
                  <c:v>33.9</c:v>
                </c:pt>
                <c:pt idx="22">
                  <c:v>29.7</c:v>
                </c:pt>
                <c:pt idx="23">
                  <c:v>44.5</c:v>
                </c:pt>
                <c:pt idx="24">
                  <c:v>74.2</c:v>
                </c:pt>
                <c:pt idx="25">
                  <c:v>37.200000000000003</c:v>
                </c:pt>
                <c:pt idx="26">
                  <c:v>51.5</c:v>
                </c:pt>
                <c:pt idx="27">
                  <c:v>40.200000000000003</c:v>
                </c:pt>
                <c:pt idx="28">
                  <c:v>17.600000000000001</c:v>
                </c:pt>
                <c:pt idx="29">
                  <c:v>54.5</c:v>
                </c:pt>
              </c:numCache>
            </c:numRef>
          </c:val>
        </c:ser>
        <c:axId val="150494208"/>
        <c:axId val="150516864"/>
      </c:barChart>
      <c:catAx>
        <c:axId val="15049420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Günler</a:t>
                </a:r>
              </a:p>
            </c:rich>
          </c:tx>
        </c:title>
        <c:majorTickMark val="none"/>
        <c:tickLblPos val="nextTo"/>
        <c:crossAx val="150516864"/>
        <c:crosses val="autoZero"/>
        <c:auto val="1"/>
        <c:lblAlgn val="ctr"/>
        <c:lblOffset val="100"/>
      </c:catAx>
      <c:valAx>
        <c:axId val="150516864"/>
        <c:scaling>
          <c:orientation val="minMax"/>
          <c:max val="170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Yağış</a:t>
                </a:r>
                <a:r>
                  <a:rPr lang="tr-TR" baseline="0"/>
                  <a:t> ( mm )</a:t>
                </a:r>
                <a:endParaRPr lang="tr-TR"/>
              </a:p>
            </c:rich>
          </c:tx>
        </c:title>
        <c:numFmt formatCode="General" sourceLinked="0"/>
        <c:tickLblPos val="nextTo"/>
        <c:crossAx val="150494208"/>
        <c:crosses val="autoZero"/>
        <c:crossBetween val="between"/>
        <c:majorUnit val="20"/>
      </c:valAx>
      <c:spPr>
        <a:effectLst>
          <a:glow rad="228600">
            <a:schemeClr val="accent5">
              <a:satMod val="175000"/>
              <a:alpha val="40000"/>
            </a:schemeClr>
          </a:glow>
        </a:effectLst>
      </c:spPr>
    </c:plotArea>
    <c:plotVisOnly val="1"/>
  </c:chart>
  <c:spPr>
    <a:effectLst>
      <a:glow rad="228600">
        <a:schemeClr val="accent1">
          <a:satMod val="175000"/>
          <a:alpha val="40000"/>
        </a:schemeClr>
      </a:glow>
    </a:effectLst>
  </c:spPr>
  <c:printSettings>
    <c:headerFooter/>
    <c:pageMargins b="0.75000000000000278" l="0.70000000000000062" r="0.70000000000000062" t="0.75000000000000278" header="0.30000000000000032" footer="0.30000000000000032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tr-TR"/>
  <c:style val="48"/>
  <c:chart>
    <c:title>
      <c:tx>
        <c:rich>
          <a:bodyPr/>
          <a:lstStyle/>
          <a:p>
            <a:pPr>
              <a:defRPr/>
            </a:pPr>
            <a:r>
              <a:rPr lang="tr-TR"/>
              <a:t>ARALIK / Olasılık</a:t>
            </a:r>
            <a:endParaRPr lang="en-US"/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effectLst>
              <a:glow rad="228600">
                <a:schemeClr val="accent3">
                  <a:satMod val="175000"/>
                  <a:alpha val="40000"/>
                </a:schemeClr>
              </a:glow>
            </a:effectLst>
          </c:spPr>
          <c:marker>
            <c:symbol val="none"/>
          </c:marker>
          <c:dLbls>
            <c:dLblPos val="t"/>
            <c:showVal val="1"/>
          </c:dLbls>
          <c:trendline>
            <c:trendlineType val="linear"/>
          </c:trendline>
          <c:val>
            <c:numRef>
              <c:f>Aralık!$C$7:$C$37</c:f>
              <c:numCache>
                <c:formatCode>0.0</c:formatCode>
                <c:ptCount val="31"/>
                <c:pt idx="0">
                  <c:v>53.398058252427184</c:v>
                </c:pt>
                <c:pt idx="1">
                  <c:v>53.398058252427184</c:v>
                </c:pt>
                <c:pt idx="2">
                  <c:v>49.514563106796118</c:v>
                </c:pt>
                <c:pt idx="3">
                  <c:v>47.572815533980581</c:v>
                </c:pt>
                <c:pt idx="4">
                  <c:v>55.339805825242713</c:v>
                </c:pt>
                <c:pt idx="5">
                  <c:v>51.456310679611647</c:v>
                </c:pt>
                <c:pt idx="6">
                  <c:v>60.194174757281552</c:v>
                </c:pt>
                <c:pt idx="7">
                  <c:v>61.165048543689316</c:v>
                </c:pt>
                <c:pt idx="8">
                  <c:v>57.28155339805825</c:v>
                </c:pt>
                <c:pt idx="9">
                  <c:v>58.252427184466015</c:v>
                </c:pt>
                <c:pt idx="10">
                  <c:v>57.28155339805825</c:v>
                </c:pt>
                <c:pt idx="11">
                  <c:v>65.048543689320397</c:v>
                </c:pt>
                <c:pt idx="12">
                  <c:v>59.22330097087378</c:v>
                </c:pt>
                <c:pt idx="13">
                  <c:v>56.310679611650485</c:v>
                </c:pt>
                <c:pt idx="14">
                  <c:v>56.310679611650485</c:v>
                </c:pt>
                <c:pt idx="15">
                  <c:v>59.22330097087378</c:v>
                </c:pt>
                <c:pt idx="16">
                  <c:v>57.28155339805825</c:v>
                </c:pt>
                <c:pt idx="17">
                  <c:v>58.252427184466015</c:v>
                </c:pt>
                <c:pt idx="18">
                  <c:v>64.077669902912632</c:v>
                </c:pt>
                <c:pt idx="19">
                  <c:v>59.22330097087378</c:v>
                </c:pt>
                <c:pt idx="20">
                  <c:v>57.28155339805825</c:v>
                </c:pt>
                <c:pt idx="21">
                  <c:v>62.135922330097081</c:v>
                </c:pt>
                <c:pt idx="22">
                  <c:v>56.310679611650485</c:v>
                </c:pt>
                <c:pt idx="23">
                  <c:v>62.135922330097081</c:v>
                </c:pt>
                <c:pt idx="24">
                  <c:v>54.368932038834949</c:v>
                </c:pt>
                <c:pt idx="25">
                  <c:v>58.252427184466015</c:v>
                </c:pt>
                <c:pt idx="26">
                  <c:v>55.339805825242713</c:v>
                </c:pt>
                <c:pt idx="27">
                  <c:v>58.252427184466015</c:v>
                </c:pt>
                <c:pt idx="28">
                  <c:v>54.368932038834949</c:v>
                </c:pt>
                <c:pt idx="29">
                  <c:v>53.398058252427184</c:v>
                </c:pt>
                <c:pt idx="30">
                  <c:v>49.514563106796118</c:v>
                </c:pt>
              </c:numCache>
            </c:numRef>
          </c:val>
        </c:ser>
        <c:hiLowLines/>
        <c:marker val="1"/>
        <c:axId val="110170112"/>
        <c:axId val="110172032"/>
      </c:lineChart>
      <c:catAx>
        <c:axId val="11017011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Günler</a:t>
                </a:r>
                <a:endParaRPr lang="en-US"/>
              </a:p>
            </c:rich>
          </c:tx>
          <c:layout/>
        </c:title>
        <c:majorTickMark val="none"/>
        <c:tickLblPos val="nextTo"/>
        <c:txPr>
          <a:bodyPr/>
          <a:lstStyle/>
          <a:p>
            <a:pPr>
              <a:defRPr b="1"/>
            </a:pPr>
            <a:endParaRPr lang="tr-TR"/>
          </a:p>
        </c:txPr>
        <c:crossAx val="110172032"/>
        <c:crosses val="autoZero"/>
        <c:auto val="1"/>
        <c:lblAlgn val="ctr"/>
        <c:lblOffset val="100"/>
      </c:catAx>
      <c:valAx>
        <c:axId val="110172032"/>
        <c:scaling>
          <c:orientation val="minMax"/>
          <c:max val="80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 sz="1800"/>
                </a:pPr>
                <a:r>
                  <a:rPr lang="tr-TR" sz="1800"/>
                  <a:t>Yüzdelik ( % )</a:t>
                </a:r>
              </a:p>
            </c:rich>
          </c:tx>
          <c:layout/>
        </c:title>
        <c:numFmt formatCode="0" sourceLinked="0"/>
        <c:tickLblPos val="nextTo"/>
        <c:crossAx val="110170112"/>
        <c:crosses val="autoZero"/>
        <c:crossBetween val="between"/>
        <c:minorUnit val="5"/>
      </c:valAx>
      <c:spPr>
        <a:effectLst>
          <a:glow rad="228600">
            <a:schemeClr val="accent3">
              <a:satMod val="175000"/>
              <a:alpha val="40000"/>
            </a:schemeClr>
          </a:glow>
        </a:effectLst>
      </c:spPr>
    </c:plotArea>
    <c:plotVisOnly val="1"/>
  </c:chart>
  <c:printSettings>
    <c:headerFooter/>
    <c:pageMargins b="0.75000000000000233" l="0.70000000000000062" r="0.70000000000000062" t="0.75000000000000233" header="0.30000000000000032" footer="0.30000000000000032"/>
    <c:pageSetup orientation="portrait"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tr-TR"/>
  <c:style val="48"/>
  <c:chart>
    <c:title>
      <c:tx>
        <c:rich>
          <a:bodyPr/>
          <a:lstStyle/>
          <a:p>
            <a:pPr>
              <a:defRPr/>
            </a:pPr>
            <a:r>
              <a:rPr lang="tr-TR"/>
              <a:t>ARALIK/ Ortalama</a:t>
            </a:r>
            <a:endParaRPr lang="en-US"/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val>
            <c:numRef>
              <c:f>Aralık!$D$7:$D$37</c:f>
              <c:numCache>
                <c:formatCode>0.0</c:formatCode>
                <c:ptCount val="31"/>
                <c:pt idx="0">
                  <c:v>3.5067961165048533</c:v>
                </c:pt>
                <c:pt idx="1">
                  <c:v>4.5203883495145636</c:v>
                </c:pt>
                <c:pt idx="2">
                  <c:v>3.0485436893203883</c:v>
                </c:pt>
                <c:pt idx="3">
                  <c:v>4.0970873786407775</c:v>
                </c:pt>
                <c:pt idx="4">
                  <c:v>3.8155339805825244</c:v>
                </c:pt>
                <c:pt idx="5">
                  <c:v>3.7029126213592236</c:v>
                </c:pt>
                <c:pt idx="6">
                  <c:v>5.4067961165048546</c:v>
                </c:pt>
                <c:pt idx="7">
                  <c:v>4.5504854368932035</c:v>
                </c:pt>
                <c:pt idx="8">
                  <c:v>5.776699029126215</c:v>
                </c:pt>
                <c:pt idx="9">
                  <c:v>3.1029126213592226</c:v>
                </c:pt>
                <c:pt idx="10">
                  <c:v>4.1252427184466018</c:v>
                </c:pt>
                <c:pt idx="11">
                  <c:v>5.3203883495145643</c:v>
                </c:pt>
                <c:pt idx="12">
                  <c:v>3.9941747572815536</c:v>
                </c:pt>
                <c:pt idx="13">
                  <c:v>3.9048543689320399</c:v>
                </c:pt>
                <c:pt idx="14">
                  <c:v>4.463106796116505</c:v>
                </c:pt>
                <c:pt idx="15">
                  <c:v>5.4097087378640785</c:v>
                </c:pt>
                <c:pt idx="16">
                  <c:v>5.1310679611650487</c:v>
                </c:pt>
                <c:pt idx="17">
                  <c:v>4.8640776699029118</c:v>
                </c:pt>
                <c:pt idx="18">
                  <c:v>3.1184466019417476</c:v>
                </c:pt>
                <c:pt idx="19">
                  <c:v>4.383495145631068</c:v>
                </c:pt>
                <c:pt idx="20">
                  <c:v>4.3320388349514554</c:v>
                </c:pt>
                <c:pt idx="21">
                  <c:v>4.2834951456310684</c:v>
                </c:pt>
                <c:pt idx="22">
                  <c:v>3.4640776699029132</c:v>
                </c:pt>
                <c:pt idx="23">
                  <c:v>3.0757281553398053</c:v>
                </c:pt>
                <c:pt idx="24">
                  <c:v>4.2592233009708744</c:v>
                </c:pt>
                <c:pt idx="25">
                  <c:v>4.0184466019417489</c:v>
                </c:pt>
                <c:pt idx="26">
                  <c:v>5.2631067961165048</c:v>
                </c:pt>
                <c:pt idx="27">
                  <c:v>4.0922330097087389</c:v>
                </c:pt>
                <c:pt idx="28">
                  <c:v>3.1252427184466023</c:v>
                </c:pt>
                <c:pt idx="29">
                  <c:v>2.8854368932038823</c:v>
                </c:pt>
                <c:pt idx="30">
                  <c:v>2.9737864077669887</c:v>
                </c:pt>
              </c:numCache>
            </c:numRef>
          </c:val>
        </c:ser>
        <c:axId val="150529920"/>
        <c:axId val="110197376"/>
      </c:barChart>
      <c:catAx>
        <c:axId val="15052992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Günler</a:t>
                </a:r>
              </a:p>
            </c:rich>
          </c:tx>
          <c:layout/>
        </c:title>
        <c:majorTickMark val="none"/>
        <c:tickLblPos val="nextTo"/>
        <c:crossAx val="110197376"/>
        <c:crosses val="autoZero"/>
        <c:auto val="1"/>
        <c:lblAlgn val="ctr"/>
        <c:lblOffset val="100"/>
      </c:catAx>
      <c:valAx>
        <c:axId val="110197376"/>
        <c:scaling>
          <c:orientation val="minMax"/>
          <c:max val="10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 sz="1800"/>
                </a:pPr>
                <a:r>
                  <a:rPr lang="tr-TR" sz="1800"/>
                  <a:t>Yağış (mm)</a:t>
                </a:r>
              </a:p>
            </c:rich>
          </c:tx>
          <c:layout/>
        </c:title>
        <c:numFmt formatCode="General" sourceLinked="0"/>
        <c:tickLblPos val="nextTo"/>
        <c:crossAx val="150529920"/>
        <c:crosses val="autoZero"/>
        <c:crossBetween val="between"/>
        <c:majorUnit val="1"/>
      </c:valAx>
    </c:plotArea>
    <c:plotVisOnly val="1"/>
  </c:chart>
  <c:printSettings>
    <c:headerFooter/>
    <c:pageMargins b="0.750000000000003" l="0.70000000000000062" r="0.70000000000000062" t="0.750000000000003" header="0.30000000000000032" footer="0.30000000000000032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tr-TR"/>
  <c:style val="43"/>
  <c:chart>
    <c:title>
      <c:tx>
        <c:rich>
          <a:bodyPr/>
          <a:lstStyle/>
          <a:p>
            <a:pPr>
              <a:defRPr/>
            </a:pPr>
            <a:r>
              <a:rPr lang="tr-TR"/>
              <a:t>ARALIK/ </a:t>
            </a:r>
            <a:r>
              <a:rPr lang="en-US"/>
              <a:t>Maksimum 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spPr>
            <a:effectLst>
              <a:glow rad="228600">
                <a:schemeClr val="accent1">
                  <a:satMod val="175000"/>
                  <a:alpha val="40000"/>
                </a:schemeClr>
              </a:glow>
            </a:effectLst>
          </c:spPr>
          <c:val>
            <c:numRef>
              <c:f>Aralık!$B$7:$B$37</c:f>
              <c:numCache>
                <c:formatCode>0.0</c:formatCode>
                <c:ptCount val="31"/>
                <c:pt idx="0">
                  <c:v>51.8</c:v>
                </c:pt>
                <c:pt idx="1">
                  <c:v>42.5</c:v>
                </c:pt>
                <c:pt idx="2">
                  <c:v>30</c:v>
                </c:pt>
                <c:pt idx="3">
                  <c:v>55.1</c:v>
                </c:pt>
                <c:pt idx="4">
                  <c:v>36.4</c:v>
                </c:pt>
                <c:pt idx="5">
                  <c:v>59.3</c:v>
                </c:pt>
                <c:pt idx="6">
                  <c:v>66</c:v>
                </c:pt>
                <c:pt idx="7">
                  <c:v>29.2</c:v>
                </c:pt>
                <c:pt idx="8">
                  <c:v>58.5</c:v>
                </c:pt>
                <c:pt idx="9">
                  <c:v>28.5</c:v>
                </c:pt>
                <c:pt idx="10">
                  <c:v>47.2</c:v>
                </c:pt>
                <c:pt idx="11">
                  <c:v>44.3</c:v>
                </c:pt>
                <c:pt idx="12">
                  <c:v>30</c:v>
                </c:pt>
                <c:pt idx="13">
                  <c:v>48</c:v>
                </c:pt>
                <c:pt idx="14">
                  <c:v>36.700000000000003</c:v>
                </c:pt>
                <c:pt idx="15">
                  <c:v>50.6</c:v>
                </c:pt>
                <c:pt idx="16">
                  <c:v>67</c:v>
                </c:pt>
                <c:pt idx="17">
                  <c:v>58.2</c:v>
                </c:pt>
                <c:pt idx="18">
                  <c:v>28.8</c:v>
                </c:pt>
                <c:pt idx="19">
                  <c:v>28.2</c:v>
                </c:pt>
                <c:pt idx="20">
                  <c:v>43.3</c:v>
                </c:pt>
                <c:pt idx="21">
                  <c:v>50.1</c:v>
                </c:pt>
                <c:pt idx="22">
                  <c:v>36.6</c:v>
                </c:pt>
                <c:pt idx="23">
                  <c:v>38.299999999999997</c:v>
                </c:pt>
                <c:pt idx="24">
                  <c:v>41.3</c:v>
                </c:pt>
                <c:pt idx="25">
                  <c:v>68</c:v>
                </c:pt>
                <c:pt idx="26">
                  <c:v>56.5</c:v>
                </c:pt>
                <c:pt idx="27">
                  <c:v>34</c:v>
                </c:pt>
                <c:pt idx="28">
                  <c:v>34.700000000000003</c:v>
                </c:pt>
                <c:pt idx="29">
                  <c:v>34.5</c:v>
                </c:pt>
                <c:pt idx="30">
                  <c:v>42.4</c:v>
                </c:pt>
              </c:numCache>
            </c:numRef>
          </c:val>
        </c:ser>
        <c:axId val="110205568"/>
        <c:axId val="150589824"/>
      </c:barChart>
      <c:catAx>
        <c:axId val="11020556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Günler</a:t>
                </a:r>
              </a:p>
            </c:rich>
          </c:tx>
          <c:layout/>
        </c:title>
        <c:majorTickMark val="none"/>
        <c:tickLblPos val="nextTo"/>
        <c:crossAx val="150589824"/>
        <c:crosses val="autoZero"/>
        <c:auto val="1"/>
        <c:lblAlgn val="ctr"/>
        <c:lblOffset val="100"/>
      </c:catAx>
      <c:valAx>
        <c:axId val="150589824"/>
        <c:scaling>
          <c:orientation val="minMax"/>
          <c:max val="170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Yağış</a:t>
                </a:r>
                <a:r>
                  <a:rPr lang="tr-TR" baseline="0"/>
                  <a:t> ( mm )</a:t>
                </a:r>
                <a:endParaRPr lang="tr-TR"/>
              </a:p>
            </c:rich>
          </c:tx>
          <c:layout/>
        </c:title>
        <c:numFmt formatCode="General" sourceLinked="0"/>
        <c:tickLblPos val="nextTo"/>
        <c:crossAx val="110205568"/>
        <c:crosses val="autoZero"/>
        <c:crossBetween val="between"/>
        <c:majorUnit val="20"/>
      </c:valAx>
      <c:spPr>
        <a:effectLst>
          <a:glow rad="228600">
            <a:schemeClr val="accent5">
              <a:satMod val="175000"/>
              <a:alpha val="40000"/>
            </a:schemeClr>
          </a:glow>
        </a:effectLst>
      </c:spPr>
    </c:plotArea>
    <c:plotVisOnly val="1"/>
  </c:chart>
  <c:spPr>
    <a:effectLst>
      <a:glow rad="228600">
        <a:schemeClr val="accent1">
          <a:satMod val="175000"/>
          <a:alpha val="40000"/>
        </a:schemeClr>
      </a:glow>
    </a:effectLst>
  </c:spPr>
  <c:printSettings>
    <c:headerFooter/>
    <c:pageMargins b="0.75000000000000278" l="0.70000000000000062" r="0.70000000000000062" t="0.7500000000000027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3.gif"/><Relationship Id="rId5" Type="http://schemas.openxmlformats.org/officeDocument/2006/relationships/image" Target="../media/image2.jpeg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.xml"/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4.xml"/><Relationship Id="rId2" Type="http://schemas.openxmlformats.org/officeDocument/2006/relationships/chart" Target="../charts/chart33.xml"/><Relationship Id="rId1" Type="http://schemas.openxmlformats.org/officeDocument/2006/relationships/chart" Target="../charts/chart32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7.xml"/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0.xml"/><Relationship Id="rId2" Type="http://schemas.openxmlformats.org/officeDocument/2006/relationships/chart" Target="../charts/chart39.xml"/><Relationship Id="rId1" Type="http://schemas.openxmlformats.org/officeDocument/2006/relationships/chart" Target="../charts/chart38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6.xml"/><Relationship Id="rId2" Type="http://schemas.openxmlformats.org/officeDocument/2006/relationships/chart" Target="../charts/chart45.xml"/><Relationship Id="rId1" Type="http://schemas.openxmlformats.org/officeDocument/2006/relationships/chart" Target="../charts/chart44.xm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9.xml"/><Relationship Id="rId2" Type="http://schemas.openxmlformats.org/officeDocument/2006/relationships/chart" Target="../charts/chart48.xml"/><Relationship Id="rId1" Type="http://schemas.openxmlformats.org/officeDocument/2006/relationships/chart" Target="../charts/chart47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13</xdr:row>
      <xdr:rowOff>161926</xdr:rowOff>
    </xdr:from>
    <xdr:to>
      <xdr:col>11</xdr:col>
      <xdr:colOff>876300</xdr:colOff>
      <xdr:row>26</xdr:row>
      <xdr:rowOff>28575</xdr:rowOff>
    </xdr:to>
    <xdr:graphicFrame macro="">
      <xdr:nvGraphicFramePr>
        <xdr:cNvPr id="2" name="1 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333376</xdr:colOff>
      <xdr:row>27</xdr:row>
      <xdr:rowOff>9526</xdr:rowOff>
    </xdr:from>
    <xdr:to>
      <xdr:col>11</xdr:col>
      <xdr:colOff>828676</xdr:colOff>
      <xdr:row>40</xdr:row>
      <xdr:rowOff>66676</xdr:rowOff>
    </xdr:to>
    <xdr:graphicFrame macro="">
      <xdr:nvGraphicFramePr>
        <xdr:cNvPr id="3" name="2 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41</xdr:row>
      <xdr:rowOff>76201</xdr:rowOff>
    </xdr:from>
    <xdr:to>
      <xdr:col>11</xdr:col>
      <xdr:colOff>857250</xdr:colOff>
      <xdr:row>54</xdr:row>
      <xdr:rowOff>19051</xdr:rowOff>
    </xdr:to>
    <xdr:graphicFrame macro="">
      <xdr:nvGraphicFramePr>
        <xdr:cNvPr id="4" name="3 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352424</xdr:colOff>
      <xdr:row>0</xdr:row>
      <xdr:rowOff>104776</xdr:rowOff>
    </xdr:from>
    <xdr:to>
      <xdr:col>11</xdr:col>
      <xdr:colOff>809625</xdr:colOff>
      <xdr:row>12</xdr:row>
      <xdr:rowOff>123825</xdr:rowOff>
    </xdr:to>
    <xdr:graphicFrame macro="">
      <xdr:nvGraphicFramePr>
        <xdr:cNvPr id="5" name="4 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552450</xdr:colOff>
      <xdr:row>16</xdr:row>
      <xdr:rowOff>57150</xdr:rowOff>
    </xdr:from>
    <xdr:to>
      <xdr:col>3</xdr:col>
      <xdr:colOff>152400</xdr:colOff>
      <xdr:row>27</xdr:row>
      <xdr:rowOff>152400</xdr:rowOff>
    </xdr:to>
    <xdr:pic>
      <xdr:nvPicPr>
        <xdr:cNvPr id="7" name="6 Resim" descr="logojpg.jpg"/>
        <xdr:cNvPicPr>
          <a:picLocks noChangeAspect="1"/>
        </xdr:cNvPicPr>
      </xdr:nvPicPr>
      <xdr:blipFill>
        <a:blip xmlns:r="http://schemas.openxmlformats.org/officeDocument/2006/relationships" r:embed="rId5"/>
        <a:srcRect l="2410" t="6080" r="7630" b="7839"/>
        <a:stretch>
          <a:fillRect/>
        </a:stretch>
      </xdr:blipFill>
      <xdr:spPr>
        <a:xfrm>
          <a:off x="552450" y="3390900"/>
          <a:ext cx="2133600" cy="2562225"/>
        </a:xfrm>
        <a:prstGeom prst="rect">
          <a:avLst/>
        </a:prstGeom>
      </xdr:spPr>
    </xdr:pic>
    <xdr:clientData/>
  </xdr:twoCellAnchor>
  <xdr:twoCellAnchor editAs="oneCell">
    <xdr:from>
      <xdr:col>1</xdr:col>
      <xdr:colOff>342900</xdr:colOff>
      <xdr:row>141</xdr:row>
      <xdr:rowOff>57150</xdr:rowOff>
    </xdr:from>
    <xdr:to>
      <xdr:col>10</xdr:col>
      <xdr:colOff>466725</xdr:colOff>
      <xdr:row>147</xdr:row>
      <xdr:rowOff>110962</xdr:rowOff>
    </xdr:to>
    <xdr:pic>
      <xdr:nvPicPr>
        <xdr:cNvPr id="8" name="7 Resim" descr="logo.gif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14400" y="27765375"/>
          <a:ext cx="6629400" cy="11968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217531</xdr:colOff>
      <xdr:row>3</xdr:row>
      <xdr:rowOff>136007</xdr:rowOff>
    </xdr:from>
    <xdr:to>
      <xdr:col>16</xdr:col>
      <xdr:colOff>314312</xdr:colOff>
      <xdr:row>23</xdr:row>
      <xdr:rowOff>170026</xdr:rowOff>
    </xdr:to>
    <xdr:graphicFrame macro="">
      <xdr:nvGraphicFramePr>
        <xdr:cNvPr id="3" name="2 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280374</xdr:colOff>
      <xdr:row>41</xdr:row>
      <xdr:rowOff>36114</xdr:rowOff>
    </xdr:from>
    <xdr:to>
      <xdr:col>16</xdr:col>
      <xdr:colOff>377156</xdr:colOff>
      <xdr:row>61</xdr:row>
      <xdr:rowOff>76638</xdr:rowOff>
    </xdr:to>
    <xdr:graphicFrame macro="">
      <xdr:nvGraphicFramePr>
        <xdr:cNvPr id="5" name="4 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262752</xdr:colOff>
      <xdr:row>79</xdr:row>
      <xdr:rowOff>98535</xdr:rowOff>
    </xdr:from>
    <xdr:to>
      <xdr:col>16</xdr:col>
      <xdr:colOff>359533</xdr:colOff>
      <xdr:row>99</xdr:row>
      <xdr:rowOff>139059</xdr:rowOff>
    </xdr:to>
    <xdr:graphicFrame macro="">
      <xdr:nvGraphicFramePr>
        <xdr:cNvPr id="7" name="6 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95251</xdr:colOff>
      <xdr:row>0</xdr:row>
      <xdr:rowOff>0</xdr:rowOff>
    </xdr:from>
    <xdr:to>
      <xdr:col>0</xdr:col>
      <xdr:colOff>619125</xdr:colOff>
      <xdr:row>2</xdr:row>
      <xdr:rowOff>248117</xdr:rowOff>
    </xdr:to>
    <xdr:pic>
      <xdr:nvPicPr>
        <xdr:cNvPr id="2" name="1 Resim" descr="logojpg.jpg"/>
        <xdr:cNvPicPr>
          <a:picLocks noChangeAspect="1"/>
        </xdr:cNvPicPr>
      </xdr:nvPicPr>
      <xdr:blipFill>
        <a:blip xmlns:r="http://schemas.openxmlformats.org/officeDocument/2006/relationships" r:embed="rId1"/>
        <a:srcRect l="2410" t="6080" r="7630" b="7839"/>
        <a:stretch>
          <a:fillRect/>
        </a:stretch>
      </xdr:blipFill>
      <xdr:spPr>
        <a:xfrm>
          <a:off x="95251" y="0"/>
          <a:ext cx="523874" cy="62911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419099</xdr:colOff>
      <xdr:row>39</xdr:row>
      <xdr:rowOff>66675</xdr:rowOff>
    </xdr:from>
    <xdr:to>
      <xdr:col>34</xdr:col>
      <xdr:colOff>390525</xdr:colOff>
      <xdr:row>58</xdr:row>
      <xdr:rowOff>0</xdr:rowOff>
    </xdr:to>
    <xdr:graphicFrame macro="">
      <xdr:nvGraphicFramePr>
        <xdr:cNvPr id="3" name="2 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34</xdr:col>
      <xdr:colOff>571499</xdr:colOff>
      <xdr:row>39</xdr:row>
      <xdr:rowOff>104773</xdr:rowOff>
    </xdr:from>
    <xdr:to>
      <xdr:col>47</xdr:col>
      <xdr:colOff>304799</xdr:colOff>
      <xdr:row>57</xdr:row>
      <xdr:rowOff>219074</xdr:rowOff>
    </xdr:to>
    <xdr:graphicFrame macro="">
      <xdr:nvGraphicFramePr>
        <xdr:cNvPr id="4" name="3 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38</xdr:row>
      <xdr:rowOff>116632</xdr:rowOff>
    </xdr:from>
    <xdr:to>
      <xdr:col>20</xdr:col>
      <xdr:colOff>180975</xdr:colOff>
      <xdr:row>57</xdr:row>
      <xdr:rowOff>46071</xdr:rowOff>
    </xdr:to>
    <xdr:graphicFrame macro="">
      <xdr:nvGraphicFramePr>
        <xdr:cNvPr id="38" name="37 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113</xdr:col>
      <xdr:colOff>123825</xdr:colOff>
      <xdr:row>1</xdr:row>
      <xdr:rowOff>171450</xdr:rowOff>
    </xdr:from>
    <xdr:ext cx="3048912" cy="4225772"/>
    <xdr:sp macro="" textlink="">
      <xdr:nvSpPr>
        <xdr:cNvPr id="2" name="1 Metin kutusu"/>
        <xdr:cNvSpPr txBox="1"/>
      </xdr:nvSpPr>
      <xdr:spPr>
        <a:xfrm>
          <a:off x="46234350" y="361950"/>
          <a:ext cx="3048912" cy="42257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tr-TR" sz="1100"/>
            <a:t>Private Sub CommandButton1_Click()</a:t>
          </a:r>
        </a:p>
        <a:p>
          <a:r>
            <a:rPr lang="tr-TR" sz="1100"/>
            <a:t>Maksimum = 0</a:t>
          </a:r>
        </a:p>
        <a:p>
          <a:r>
            <a:rPr lang="tr-TR" sz="1100"/>
            <a:t>Tarih = ""</a:t>
          </a:r>
        </a:p>
        <a:p>
          <a:r>
            <a:rPr lang="tr-TR" sz="1100"/>
            <a:t>XSatir = 2</a:t>
          </a:r>
        </a:p>
        <a:p>
          <a:r>
            <a:rPr lang="tr-TR" sz="1100"/>
            <a:t>For Sutun = 1911 To 2013</a:t>
          </a:r>
        </a:p>
        <a:p>
          <a:r>
            <a:rPr lang="tr-TR" sz="1100"/>
            <a:t>    For Satir = 2 To 367</a:t>
          </a:r>
        </a:p>
        <a:p>
          <a:r>
            <a:rPr lang="tr-TR" sz="1100"/>
            <a:t>        If Cells(Satir, Sutun - 1909) &gt; Maksimum Then</a:t>
          </a:r>
        </a:p>
        <a:p>
          <a:r>
            <a:rPr lang="tr-TR" sz="1100"/>
            <a:t>            Maksimum = Cells(Satir, Sutun - 1909)</a:t>
          </a:r>
        </a:p>
        <a:p>
          <a:r>
            <a:rPr lang="tr-TR" sz="1100"/>
            <a:t>            Tarih = Cells(Satir, 1)</a:t>
          </a:r>
        </a:p>
        <a:p>
          <a:r>
            <a:rPr lang="tr-TR" sz="1100"/>
            <a:t>            Gun = Satir</a:t>
          </a:r>
        </a:p>
        <a:p>
          <a:r>
            <a:rPr lang="tr-TR" sz="1100"/>
            <a:t>        End If</a:t>
          </a:r>
        </a:p>
        <a:p>
          <a:r>
            <a:rPr lang="tr-TR" sz="1100"/>
            <a:t>    Next Satir</a:t>
          </a:r>
        </a:p>
        <a:p>
          <a:r>
            <a:rPr lang="tr-TR" sz="1100"/>
            <a:t>    Cells(XSatir, 110) = Sutun</a:t>
          </a:r>
        </a:p>
        <a:p>
          <a:r>
            <a:rPr lang="tr-TR" sz="1100"/>
            <a:t>    Cells(XSatir, 111) = Tarih</a:t>
          </a:r>
        </a:p>
        <a:p>
          <a:r>
            <a:rPr lang="tr-TR" sz="1100"/>
            <a:t>    Cells(XSatir, 112) = Maksimum</a:t>
          </a:r>
        </a:p>
        <a:p>
          <a:r>
            <a:rPr lang="tr-TR" sz="1100"/>
            <a:t>    Cells(XSatir, 113) = Gun - 1</a:t>
          </a:r>
        </a:p>
        <a:p>
          <a:r>
            <a:rPr lang="tr-TR" sz="1100"/>
            <a:t>    Maksimum = 0</a:t>
          </a:r>
        </a:p>
        <a:p>
          <a:r>
            <a:rPr lang="tr-TR" sz="1100"/>
            <a:t>    Gun = 1</a:t>
          </a:r>
        </a:p>
        <a:p>
          <a:r>
            <a:rPr lang="tr-TR" sz="1100"/>
            <a:t>    Tarih = ""</a:t>
          </a:r>
        </a:p>
        <a:p>
          <a:r>
            <a:rPr lang="tr-TR" sz="1100"/>
            <a:t>    XSatir = XSatir + 1</a:t>
          </a:r>
        </a:p>
        <a:p>
          <a:r>
            <a:rPr lang="tr-TR" sz="1100"/>
            <a:t>    </a:t>
          </a:r>
        </a:p>
        <a:p>
          <a:r>
            <a:rPr lang="tr-TR" sz="1100"/>
            <a:t>Next Sutun</a:t>
          </a:r>
        </a:p>
        <a:p>
          <a:r>
            <a:rPr lang="tr-TR" sz="1100"/>
            <a:t>End Sub</a:t>
          </a:r>
        </a:p>
        <a:p>
          <a:endParaRPr lang="tr-TR" sz="1100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380999</xdr:colOff>
      <xdr:row>38</xdr:row>
      <xdr:rowOff>38100</xdr:rowOff>
    </xdr:from>
    <xdr:to>
      <xdr:col>27</xdr:col>
      <xdr:colOff>352425</xdr:colOff>
      <xdr:row>57</xdr:row>
      <xdr:rowOff>123825</xdr:rowOff>
    </xdr:to>
    <xdr:graphicFrame macro="">
      <xdr:nvGraphicFramePr>
        <xdr:cNvPr id="2" name="1 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485774</xdr:colOff>
      <xdr:row>38</xdr:row>
      <xdr:rowOff>28573</xdr:rowOff>
    </xdr:from>
    <xdr:to>
      <xdr:col>40</xdr:col>
      <xdr:colOff>219074</xdr:colOff>
      <xdr:row>57</xdr:row>
      <xdr:rowOff>123825</xdr:rowOff>
    </xdr:to>
    <xdr:graphicFrame macro="">
      <xdr:nvGraphicFramePr>
        <xdr:cNvPr id="3" name="2 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38</xdr:row>
      <xdr:rowOff>116632</xdr:rowOff>
    </xdr:from>
    <xdr:to>
      <xdr:col>13</xdr:col>
      <xdr:colOff>180975</xdr:colOff>
      <xdr:row>57</xdr:row>
      <xdr:rowOff>46071</xdr:rowOff>
    </xdr:to>
    <xdr:graphicFrame macro="">
      <xdr:nvGraphicFramePr>
        <xdr:cNvPr id="4" name="3 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225135</xdr:colOff>
      <xdr:row>13</xdr:row>
      <xdr:rowOff>159328</xdr:rowOff>
    </xdr:from>
    <xdr:to>
      <xdr:col>18</xdr:col>
      <xdr:colOff>554181</xdr:colOff>
      <xdr:row>25</xdr:row>
      <xdr:rowOff>0</xdr:rowOff>
    </xdr:to>
    <xdr:graphicFrame macro="">
      <xdr:nvGraphicFramePr>
        <xdr:cNvPr id="2" name="1 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295273</xdr:colOff>
      <xdr:row>26</xdr:row>
      <xdr:rowOff>11256</xdr:rowOff>
    </xdr:from>
    <xdr:to>
      <xdr:col>18</xdr:col>
      <xdr:colOff>536864</xdr:colOff>
      <xdr:row>38</xdr:row>
      <xdr:rowOff>155863</xdr:rowOff>
    </xdr:to>
    <xdr:graphicFrame macro="">
      <xdr:nvGraphicFramePr>
        <xdr:cNvPr id="3" name="2 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242455</xdr:colOff>
      <xdr:row>0</xdr:row>
      <xdr:rowOff>116634</xdr:rowOff>
    </xdr:from>
    <xdr:to>
      <xdr:col>18</xdr:col>
      <xdr:colOff>536864</xdr:colOff>
      <xdr:row>12</xdr:row>
      <xdr:rowOff>121228</xdr:rowOff>
    </xdr:to>
    <xdr:graphicFrame macro="">
      <xdr:nvGraphicFramePr>
        <xdr:cNvPr id="4" name="3 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225135</xdr:colOff>
      <xdr:row>13</xdr:row>
      <xdr:rowOff>159328</xdr:rowOff>
    </xdr:from>
    <xdr:to>
      <xdr:col>18</xdr:col>
      <xdr:colOff>554181</xdr:colOff>
      <xdr:row>25</xdr:row>
      <xdr:rowOff>0</xdr:rowOff>
    </xdr:to>
    <xdr:graphicFrame macro="">
      <xdr:nvGraphicFramePr>
        <xdr:cNvPr id="8" name="7 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295273</xdr:colOff>
      <xdr:row>26</xdr:row>
      <xdr:rowOff>11256</xdr:rowOff>
    </xdr:from>
    <xdr:to>
      <xdr:col>18</xdr:col>
      <xdr:colOff>536864</xdr:colOff>
      <xdr:row>38</xdr:row>
      <xdr:rowOff>155863</xdr:rowOff>
    </xdr:to>
    <xdr:graphicFrame macro="">
      <xdr:nvGraphicFramePr>
        <xdr:cNvPr id="9" name="8 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242455</xdr:colOff>
      <xdr:row>0</xdr:row>
      <xdr:rowOff>116634</xdr:rowOff>
    </xdr:from>
    <xdr:to>
      <xdr:col>18</xdr:col>
      <xdr:colOff>536864</xdr:colOff>
      <xdr:row>12</xdr:row>
      <xdr:rowOff>121228</xdr:rowOff>
    </xdr:to>
    <xdr:graphicFrame macro="">
      <xdr:nvGraphicFramePr>
        <xdr:cNvPr id="10" name="9 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225135</xdr:colOff>
      <xdr:row>13</xdr:row>
      <xdr:rowOff>159328</xdr:rowOff>
    </xdr:from>
    <xdr:to>
      <xdr:col>18</xdr:col>
      <xdr:colOff>554181</xdr:colOff>
      <xdr:row>25</xdr:row>
      <xdr:rowOff>0</xdr:rowOff>
    </xdr:to>
    <xdr:graphicFrame macro="">
      <xdr:nvGraphicFramePr>
        <xdr:cNvPr id="2" name="1 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295273</xdr:colOff>
      <xdr:row>26</xdr:row>
      <xdr:rowOff>11256</xdr:rowOff>
    </xdr:from>
    <xdr:to>
      <xdr:col>18</xdr:col>
      <xdr:colOff>536864</xdr:colOff>
      <xdr:row>38</xdr:row>
      <xdr:rowOff>155863</xdr:rowOff>
    </xdr:to>
    <xdr:graphicFrame macro="">
      <xdr:nvGraphicFramePr>
        <xdr:cNvPr id="3" name="2 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242455</xdr:colOff>
      <xdr:row>0</xdr:row>
      <xdr:rowOff>116634</xdr:rowOff>
    </xdr:from>
    <xdr:to>
      <xdr:col>18</xdr:col>
      <xdr:colOff>536864</xdr:colOff>
      <xdr:row>12</xdr:row>
      <xdr:rowOff>121228</xdr:rowOff>
    </xdr:to>
    <xdr:graphicFrame macro="">
      <xdr:nvGraphicFramePr>
        <xdr:cNvPr id="4" name="3 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225135</xdr:colOff>
      <xdr:row>13</xdr:row>
      <xdr:rowOff>159328</xdr:rowOff>
    </xdr:from>
    <xdr:to>
      <xdr:col>18</xdr:col>
      <xdr:colOff>554181</xdr:colOff>
      <xdr:row>25</xdr:row>
      <xdr:rowOff>0</xdr:rowOff>
    </xdr:to>
    <xdr:graphicFrame macro="">
      <xdr:nvGraphicFramePr>
        <xdr:cNvPr id="2" name="1 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295273</xdr:colOff>
      <xdr:row>26</xdr:row>
      <xdr:rowOff>11256</xdr:rowOff>
    </xdr:from>
    <xdr:to>
      <xdr:col>18</xdr:col>
      <xdr:colOff>536864</xdr:colOff>
      <xdr:row>38</xdr:row>
      <xdr:rowOff>155863</xdr:rowOff>
    </xdr:to>
    <xdr:graphicFrame macro="">
      <xdr:nvGraphicFramePr>
        <xdr:cNvPr id="3" name="2 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242455</xdr:colOff>
      <xdr:row>0</xdr:row>
      <xdr:rowOff>116634</xdr:rowOff>
    </xdr:from>
    <xdr:to>
      <xdr:col>18</xdr:col>
      <xdr:colOff>536864</xdr:colOff>
      <xdr:row>12</xdr:row>
      <xdr:rowOff>121228</xdr:rowOff>
    </xdr:to>
    <xdr:graphicFrame macro="">
      <xdr:nvGraphicFramePr>
        <xdr:cNvPr id="4" name="3 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225135</xdr:colOff>
      <xdr:row>13</xdr:row>
      <xdr:rowOff>159328</xdr:rowOff>
    </xdr:from>
    <xdr:to>
      <xdr:col>18</xdr:col>
      <xdr:colOff>554181</xdr:colOff>
      <xdr:row>25</xdr:row>
      <xdr:rowOff>0</xdr:rowOff>
    </xdr:to>
    <xdr:graphicFrame macro="">
      <xdr:nvGraphicFramePr>
        <xdr:cNvPr id="2" name="1 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295273</xdr:colOff>
      <xdr:row>26</xdr:row>
      <xdr:rowOff>11256</xdr:rowOff>
    </xdr:from>
    <xdr:to>
      <xdr:col>18</xdr:col>
      <xdr:colOff>536864</xdr:colOff>
      <xdr:row>38</xdr:row>
      <xdr:rowOff>155863</xdr:rowOff>
    </xdr:to>
    <xdr:graphicFrame macro="">
      <xdr:nvGraphicFramePr>
        <xdr:cNvPr id="3" name="2 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242455</xdr:colOff>
      <xdr:row>0</xdr:row>
      <xdr:rowOff>116634</xdr:rowOff>
    </xdr:from>
    <xdr:to>
      <xdr:col>18</xdr:col>
      <xdr:colOff>536864</xdr:colOff>
      <xdr:row>12</xdr:row>
      <xdr:rowOff>121228</xdr:rowOff>
    </xdr:to>
    <xdr:graphicFrame macro="">
      <xdr:nvGraphicFramePr>
        <xdr:cNvPr id="4" name="3 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225135</xdr:colOff>
      <xdr:row>13</xdr:row>
      <xdr:rowOff>159328</xdr:rowOff>
    </xdr:from>
    <xdr:to>
      <xdr:col>18</xdr:col>
      <xdr:colOff>554181</xdr:colOff>
      <xdr:row>25</xdr:row>
      <xdr:rowOff>0</xdr:rowOff>
    </xdr:to>
    <xdr:graphicFrame macro="">
      <xdr:nvGraphicFramePr>
        <xdr:cNvPr id="2" name="1 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295273</xdr:colOff>
      <xdr:row>26</xdr:row>
      <xdr:rowOff>11256</xdr:rowOff>
    </xdr:from>
    <xdr:to>
      <xdr:col>18</xdr:col>
      <xdr:colOff>536864</xdr:colOff>
      <xdr:row>38</xdr:row>
      <xdr:rowOff>155863</xdr:rowOff>
    </xdr:to>
    <xdr:graphicFrame macro="">
      <xdr:nvGraphicFramePr>
        <xdr:cNvPr id="3" name="2 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242455</xdr:colOff>
      <xdr:row>0</xdr:row>
      <xdr:rowOff>116634</xdr:rowOff>
    </xdr:from>
    <xdr:to>
      <xdr:col>18</xdr:col>
      <xdr:colOff>536864</xdr:colOff>
      <xdr:row>12</xdr:row>
      <xdr:rowOff>121228</xdr:rowOff>
    </xdr:to>
    <xdr:graphicFrame macro="">
      <xdr:nvGraphicFramePr>
        <xdr:cNvPr id="4" name="3 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225135</xdr:colOff>
      <xdr:row>13</xdr:row>
      <xdr:rowOff>159328</xdr:rowOff>
    </xdr:from>
    <xdr:to>
      <xdr:col>18</xdr:col>
      <xdr:colOff>554181</xdr:colOff>
      <xdr:row>25</xdr:row>
      <xdr:rowOff>0</xdr:rowOff>
    </xdr:to>
    <xdr:graphicFrame macro="">
      <xdr:nvGraphicFramePr>
        <xdr:cNvPr id="2" name="1 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295273</xdr:colOff>
      <xdr:row>26</xdr:row>
      <xdr:rowOff>11256</xdr:rowOff>
    </xdr:from>
    <xdr:to>
      <xdr:col>18</xdr:col>
      <xdr:colOff>536864</xdr:colOff>
      <xdr:row>38</xdr:row>
      <xdr:rowOff>155863</xdr:rowOff>
    </xdr:to>
    <xdr:graphicFrame macro="">
      <xdr:nvGraphicFramePr>
        <xdr:cNvPr id="3" name="2 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242455</xdr:colOff>
      <xdr:row>0</xdr:row>
      <xdr:rowOff>116634</xdr:rowOff>
    </xdr:from>
    <xdr:to>
      <xdr:col>18</xdr:col>
      <xdr:colOff>536864</xdr:colOff>
      <xdr:row>12</xdr:row>
      <xdr:rowOff>121228</xdr:rowOff>
    </xdr:to>
    <xdr:graphicFrame macro="">
      <xdr:nvGraphicFramePr>
        <xdr:cNvPr id="4" name="3 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225135</xdr:colOff>
      <xdr:row>13</xdr:row>
      <xdr:rowOff>159328</xdr:rowOff>
    </xdr:from>
    <xdr:to>
      <xdr:col>18</xdr:col>
      <xdr:colOff>554181</xdr:colOff>
      <xdr:row>25</xdr:row>
      <xdr:rowOff>0</xdr:rowOff>
    </xdr:to>
    <xdr:graphicFrame macro="">
      <xdr:nvGraphicFramePr>
        <xdr:cNvPr id="2" name="1 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295273</xdr:colOff>
      <xdr:row>26</xdr:row>
      <xdr:rowOff>11256</xdr:rowOff>
    </xdr:from>
    <xdr:to>
      <xdr:col>18</xdr:col>
      <xdr:colOff>536864</xdr:colOff>
      <xdr:row>38</xdr:row>
      <xdr:rowOff>155863</xdr:rowOff>
    </xdr:to>
    <xdr:graphicFrame macro="">
      <xdr:nvGraphicFramePr>
        <xdr:cNvPr id="3" name="2 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242455</xdr:colOff>
      <xdr:row>0</xdr:row>
      <xdr:rowOff>116634</xdr:rowOff>
    </xdr:from>
    <xdr:to>
      <xdr:col>18</xdr:col>
      <xdr:colOff>536864</xdr:colOff>
      <xdr:row>12</xdr:row>
      <xdr:rowOff>121228</xdr:rowOff>
    </xdr:to>
    <xdr:graphicFrame macro="">
      <xdr:nvGraphicFramePr>
        <xdr:cNvPr id="4" name="3 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225135</xdr:colOff>
      <xdr:row>13</xdr:row>
      <xdr:rowOff>159328</xdr:rowOff>
    </xdr:from>
    <xdr:to>
      <xdr:col>18</xdr:col>
      <xdr:colOff>554181</xdr:colOff>
      <xdr:row>25</xdr:row>
      <xdr:rowOff>0</xdr:rowOff>
    </xdr:to>
    <xdr:graphicFrame macro="">
      <xdr:nvGraphicFramePr>
        <xdr:cNvPr id="2" name="1 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295273</xdr:colOff>
      <xdr:row>26</xdr:row>
      <xdr:rowOff>11256</xdr:rowOff>
    </xdr:from>
    <xdr:to>
      <xdr:col>18</xdr:col>
      <xdr:colOff>536864</xdr:colOff>
      <xdr:row>38</xdr:row>
      <xdr:rowOff>155863</xdr:rowOff>
    </xdr:to>
    <xdr:graphicFrame macro="">
      <xdr:nvGraphicFramePr>
        <xdr:cNvPr id="3" name="2 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242455</xdr:colOff>
      <xdr:row>0</xdr:row>
      <xdr:rowOff>116634</xdr:rowOff>
    </xdr:from>
    <xdr:to>
      <xdr:col>18</xdr:col>
      <xdr:colOff>536864</xdr:colOff>
      <xdr:row>12</xdr:row>
      <xdr:rowOff>121228</xdr:rowOff>
    </xdr:to>
    <xdr:graphicFrame macro="">
      <xdr:nvGraphicFramePr>
        <xdr:cNvPr id="4" name="3 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225135</xdr:colOff>
      <xdr:row>13</xdr:row>
      <xdr:rowOff>159328</xdr:rowOff>
    </xdr:from>
    <xdr:to>
      <xdr:col>18</xdr:col>
      <xdr:colOff>554181</xdr:colOff>
      <xdr:row>25</xdr:row>
      <xdr:rowOff>0</xdr:rowOff>
    </xdr:to>
    <xdr:graphicFrame macro="">
      <xdr:nvGraphicFramePr>
        <xdr:cNvPr id="2" name="1 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295273</xdr:colOff>
      <xdr:row>26</xdr:row>
      <xdr:rowOff>11256</xdr:rowOff>
    </xdr:from>
    <xdr:to>
      <xdr:col>18</xdr:col>
      <xdr:colOff>536864</xdr:colOff>
      <xdr:row>38</xdr:row>
      <xdr:rowOff>155863</xdr:rowOff>
    </xdr:to>
    <xdr:graphicFrame macro="">
      <xdr:nvGraphicFramePr>
        <xdr:cNvPr id="3" name="2 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242455</xdr:colOff>
      <xdr:row>0</xdr:row>
      <xdr:rowOff>116634</xdr:rowOff>
    </xdr:from>
    <xdr:to>
      <xdr:col>18</xdr:col>
      <xdr:colOff>536864</xdr:colOff>
      <xdr:row>12</xdr:row>
      <xdr:rowOff>121228</xdr:rowOff>
    </xdr:to>
    <xdr:graphicFrame macro="">
      <xdr:nvGraphicFramePr>
        <xdr:cNvPr id="4" name="3 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225135</xdr:colOff>
      <xdr:row>13</xdr:row>
      <xdr:rowOff>159328</xdr:rowOff>
    </xdr:from>
    <xdr:to>
      <xdr:col>18</xdr:col>
      <xdr:colOff>554181</xdr:colOff>
      <xdr:row>25</xdr:row>
      <xdr:rowOff>0</xdr:rowOff>
    </xdr:to>
    <xdr:graphicFrame macro="">
      <xdr:nvGraphicFramePr>
        <xdr:cNvPr id="2" name="1 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295273</xdr:colOff>
      <xdr:row>26</xdr:row>
      <xdr:rowOff>11256</xdr:rowOff>
    </xdr:from>
    <xdr:to>
      <xdr:col>18</xdr:col>
      <xdr:colOff>536864</xdr:colOff>
      <xdr:row>38</xdr:row>
      <xdr:rowOff>155863</xdr:rowOff>
    </xdr:to>
    <xdr:graphicFrame macro="">
      <xdr:nvGraphicFramePr>
        <xdr:cNvPr id="3" name="2 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242455</xdr:colOff>
      <xdr:row>0</xdr:row>
      <xdr:rowOff>116634</xdr:rowOff>
    </xdr:from>
    <xdr:to>
      <xdr:col>18</xdr:col>
      <xdr:colOff>536864</xdr:colOff>
      <xdr:row>12</xdr:row>
      <xdr:rowOff>121228</xdr:rowOff>
    </xdr:to>
    <xdr:graphicFrame macro="">
      <xdr:nvGraphicFramePr>
        <xdr:cNvPr id="4" name="3 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225135</xdr:colOff>
      <xdr:row>13</xdr:row>
      <xdr:rowOff>159328</xdr:rowOff>
    </xdr:from>
    <xdr:to>
      <xdr:col>18</xdr:col>
      <xdr:colOff>554181</xdr:colOff>
      <xdr:row>25</xdr:row>
      <xdr:rowOff>0</xdr:rowOff>
    </xdr:to>
    <xdr:graphicFrame macro="">
      <xdr:nvGraphicFramePr>
        <xdr:cNvPr id="2" name="1 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295273</xdr:colOff>
      <xdr:row>26</xdr:row>
      <xdr:rowOff>11256</xdr:rowOff>
    </xdr:from>
    <xdr:to>
      <xdr:col>18</xdr:col>
      <xdr:colOff>536864</xdr:colOff>
      <xdr:row>38</xdr:row>
      <xdr:rowOff>155863</xdr:rowOff>
    </xdr:to>
    <xdr:graphicFrame macro="">
      <xdr:nvGraphicFramePr>
        <xdr:cNvPr id="3" name="2 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242455</xdr:colOff>
      <xdr:row>0</xdr:row>
      <xdr:rowOff>116634</xdr:rowOff>
    </xdr:from>
    <xdr:to>
      <xdr:col>18</xdr:col>
      <xdr:colOff>536864</xdr:colOff>
      <xdr:row>12</xdr:row>
      <xdr:rowOff>121228</xdr:rowOff>
    </xdr:to>
    <xdr:graphicFrame macro="">
      <xdr:nvGraphicFramePr>
        <xdr:cNvPr id="4" name="3 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2" name="Tablo2" displayName="Tablo2" ref="A4:F108" headerRowCount="0" totalsRowShown="0" headerRowDxfId="16" dataDxfId="14" headerRowBorderDxfId="15" tableBorderDxfId="13" totalsRowBorderDxfId="12">
  <tableColumns count="6">
    <tableColumn id="1" name="Sütun1" headerRowDxfId="11" dataDxfId="10"/>
    <tableColumn id="2" name="Sütun2" headerRowDxfId="9" dataDxfId="8"/>
    <tableColumn id="3" name="Sütun3" headerRowDxfId="7" dataDxfId="6"/>
    <tableColumn id="4" name="Sütun4" headerRowDxfId="5" dataDxfId="4"/>
    <tableColumn id="5" name="Sütun5" headerRowDxfId="3" dataDxfId="2"/>
    <tableColumn id="6" name="Sütun6" headerRowDxfId="1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ntrol" Target="../activeX/activeX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ayfa1"/>
  <dimension ref="A1:GK414"/>
  <sheetViews>
    <sheetView workbookViewId="0">
      <selection activeCell="DF2" sqref="DF2"/>
    </sheetView>
  </sheetViews>
  <sheetFormatPr defaultRowHeight="15"/>
  <cols>
    <col min="1" max="1" width="12.28515625" style="16" bestFit="1" customWidth="1"/>
    <col min="2" max="12" width="5.5703125" bestFit="1" customWidth="1"/>
    <col min="13" max="13" width="6.5703125" bestFit="1" customWidth="1"/>
    <col min="14" max="17" width="5.5703125" bestFit="1" customWidth="1"/>
    <col min="18" max="19" width="6" bestFit="1" customWidth="1"/>
    <col min="20" max="29" width="5.5703125" bestFit="1" customWidth="1"/>
    <col min="30" max="31" width="6.5703125" bestFit="1" customWidth="1"/>
    <col min="32" max="32" width="5.5703125" bestFit="1" customWidth="1"/>
    <col min="33" max="33" width="6" bestFit="1" customWidth="1"/>
    <col min="34" max="41" width="5.5703125" bestFit="1" customWidth="1"/>
    <col min="42" max="42" width="6.5703125" bestFit="1" customWidth="1"/>
    <col min="43" max="45" width="5.5703125" bestFit="1" customWidth="1"/>
    <col min="46" max="46" width="6.5703125" bestFit="1" customWidth="1"/>
    <col min="47" max="47" width="5.5703125" bestFit="1" customWidth="1"/>
    <col min="48" max="48" width="6" bestFit="1" customWidth="1"/>
    <col min="49" max="51" width="5.5703125" bestFit="1" customWidth="1"/>
    <col min="52" max="54" width="6.5703125" bestFit="1" customWidth="1"/>
    <col min="55" max="55" width="5.5703125" bestFit="1" customWidth="1"/>
    <col min="56" max="56" width="6.5703125" bestFit="1" customWidth="1"/>
    <col min="57" max="58" width="5.5703125" bestFit="1" customWidth="1"/>
    <col min="59" max="59" width="6.5703125" bestFit="1" customWidth="1"/>
    <col min="60" max="70" width="5.5703125" bestFit="1" customWidth="1"/>
    <col min="71" max="71" width="6" bestFit="1" customWidth="1"/>
    <col min="72" max="72" width="6.5703125" bestFit="1" customWidth="1"/>
    <col min="73" max="75" width="5.5703125" bestFit="1" customWidth="1"/>
    <col min="76" max="76" width="6" bestFit="1" customWidth="1"/>
    <col min="77" max="77" width="5.5703125" bestFit="1" customWidth="1"/>
    <col min="78" max="78" width="6.5703125" bestFit="1" customWidth="1"/>
    <col min="79" max="87" width="5.5703125" bestFit="1" customWidth="1"/>
    <col min="88" max="88" width="6.5703125" bestFit="1" customWidth="1"/>
    <col min="89" max="91" width="5.5703125" bestFit="1" customWidth="1"/>
    <col min="92" max="92" width="6.5703125" bestFit="1" customWidth="1"/>
    <col min="93" max="94" width="5.5703125" bestFit="1" customWidth="1"/>
    <col min="95" max="95" width="6" bestFit="1" customWidth="1"/>
    <col min="96" max="100" width="5.5703125" bestFit="1" customWidth="1"/>
    <col min="101" max="101" width="6.5703125" bestFit="1" customWidth="1"/>
    <col min="102" max="104" width="5.5703125" bestFit="1" customWidth="1"/>
    <col min="105" max="105" width="5" bestFit="1" customWidth="1"/>
    <col min="106" max="106" width="15.5703125" customWidth="1"/>
    <col min="107" max="107" width="11.42578125" customWidth="1"/>
    <col min="108" max="108" width="7.42578125" bestFit="1" customWidth="1"/>
    <col min="109" max="109" width="9.140625" style="2"/>
    <col min="110" max="110" width="6.5703125" style="2" customWidth="1"/>
    <col min="111" max="111" width="10.7109375" style="2" bestFit="1" customWidth="1"/>
    <col min="112" max="112" width="10.7109375" style="2" customWidth="1"/>
    <col min="113" max="113" width="7.28515625" style="3" bestFit="1" customWidth="1"/>
    <col min="115" max="115" width="4" bestFit="1" customWidth="1"/>
    <col min="116" max="116" width="10.7109375" style="9" bestFit="1" customWidth="1"/>
    <col min="117" max="117" width="12.7109375" style="9" bestFit="1" customWidth="1"/>
    <col min="118" max="118" width="11.7109375" style="9" customWidth="1"/>
    <col min="119" max="119" width="14.7109375" style="9" bestFit="1" customWidth="1"/>
    <col min="120" max="121" width="15.5703125" style="9" bestFit="1" customWidth="1"/>
    <col min="122" max="122" width="14.140625" bestFit="1" customWidth="1"/>
    <col min="125" max="125" width="5.5703125" bestFit="1" customWidth="1"/>
    <col min="126" max="126" width="6.5703125" bestFit="1" customWidth="1"/>
    <col min="127" max="127" width="6.140625" customWidth="1"/>
    <col min="128" max="130" width="6" bestFit="1" customWidth="1"/>
    <col min="131" max="131" width="7.5703125" bestFit="1" customWidth="1"/>
    <col min="132" max="132" width="8.5703125" bestFit="1" customWidth="1"/>
    <col min="133" max="133" width="8" bestFit="1" customWidth="1"/>
    <col min="134" max="135" width="6" bestFit="1" customWidth="1"/>
    <col min="136" max="137" width="7" bestFit="1" customWidth="1"/>
    <col min="139" max="139" width="8" bestFit="1" customWidth="1"/>
    <col min="140" max="140" width="5" bestFit="1" customWidth="1"/>
    <col min="142" max="142" width="12.85546875" bestFit="1" customWidth="1"/>
    <col min="156" max="156" width="10.7109375" bestFit="1" customWidth="1"/>
  </cols>
  <sheetData>
    <row r="1" spans="1:193" ht="27" customHeight="1">
      <c r="B1">
        <v>1911</v>
      </c>
      <c r="C1">
        <v>1912</v>
      </c>
      <c r="D1">
        <v>1913</v>
      </c>
      <c r="E1">
        <v>1914</v>
      </c>
      <c r="F1">
        <v>1915</v>
      </c>
      <c r="G1">
        <v>1916</v>
      </c>
      <c r="H1">
        <v>1917</v>
      </c>
      <c r="I1">
        <v>1918</v>
      </c>
      <c r="J1">
        <v>1919</v>
      </c>
      <c r="K1">
        <v>1920</v>
      </c>
      <c r="L1">
        <v>1921</v>
      </c>
      <c r="M1">
        <v>1922</v>
      </c>
      <c r="N1">
        <v>1923</v>
      </c>
      <c r="O1">
        <v>1924</v>
      </c>
      <c r="P1">
        <v>1925</v>
      </c>
      <c r="Q1">
        <v>1926</v>
      </c>
      <c r="R1">
        <v>1927</v>
      </c>
      <c r="S1">
        <v>1928</v>
      </c>
      <c r="T1">
        <v>1929</v>
      </c>
      <c r="U1">
        <v>1930</v>
      </c>
      <c r="V1">
        <v>1931</v>
      </c>
      <c r="W1">
        <v>1932</v>
      </c>
      <c r="X1">
        <v>1933</v>
      </c>
      <c r="Y1">
        <v>1934</v>
      </c>
      <c r="Z1">
        <v>1935</v>
      </c>
      <c r="AA1">
        <v>1936</v>
      </c>
      <c r="AB1">
        <v>1937</v>
      </c>
      <c r="AC1">
        <v>1938</v>
      </c>
      <c r="AD1">
        <v>1939</v>
      </c>
      <c r="AE1">
        <v>1940</v>
      </c>
      <c r="AF1">
        <v>1941</v>
      </c>
      <c r="AG1">
        <v>1942</v>
      </c>
      <c r="AH1">
        <v>1943</v>
      </c>
      <c r="AI1">
        <v>1944</v>
      </c>
      <c r="AJ1">
        <v>1945</v>
      </c>
      <c r="AK1">
        <v>1946</v>
      </c>
      <c r="AL1">
        <v>1947</v>
      </c>
      <c r="AM1">
        <v>1948</v>
      </c>
      <c r="AN1">
        <v>1949</v>
      </c>
      <c r="AO1">
        <v>1950</v>
      </c>
      <c r="AP1">
        <v>1951</v>
      </c>
      <c r="AQ1">
        <v>1952</v>
      </c>
      <c r="AR1">
        <v>1953</v>
      </c>
      <c r="AS1">
        <v>1954</v>
      </c>
      <c r="AT1">
        <v>1955</v>
      </c>
      <c r="AU1">
        <v>1956</v>
      </c>
      <c r="AV1">
        <v>1957</v>
      </c>
      <c r="AW1">
        <v>1958</v>
      </c>
      <c r="AX1">
        <v>1959</v>
      </c>
      <c r="AY1">
        <v>1960</v>
      </c>
      <c r="AZ1">
        <v>1961</v>
      </c>
      <c r="BA1">
        <v>1962</v>
      </c>
      <c r="BB1">
        <v>1963</v>
      </c>
      <c r="BC1">
        <v>1964</v>
      </c>
      <c r="BD1">
        <v>1965</v>
      </c>
      <c r="BE1">
        <v>1966</v>
      </c>
      <c r="BF1">
        <v>1967</v>
      </c>
      <c r="BG1">
        <v>1968</v>
      </c>
      <c r="BH1">
        <v>1969</v>
      </c>
      <c r="BI1">
        <v>1970</v>
      </c>
      <c r="BJ1">
        <v>1971</v>
      </c>
      <c r="BK1">
        <v>1972</v>
      </c>
      <c r="BL1">
        <v>1973</v>
      </c>
      <c r="BM1">
        <v>1974</v>
      </c>
      <c r="BN1">
        <v>1975</v>
      </c>
      <c r="BO1">
        <v>1976</v>
      </c>
      <c r="BP1">
        <v>1977</v>
      </c>
      <c r="BQ1">
        <v>1978</v>
      </c>
      <c r="BR1">
        <v>1979</v>
      </c>
      <c r="BS1">
        <v>1980</v>
      </c>
      <c r="BT1">
        <v>1981</v>
      </c>
      <c r="BU1">
        <v>1982</v>
      </c>
      <c r="BV1">
        <v>1983</v>
      </c>
      <c r="BW1">
        <v>1984</v>
      </c>
      <c r="BX1">
        <v>1985</v>
      </c>
      <c r="BY1">
        <v>1986</v>
      </c>
      <c r="BZ1">
        <v>1987</v>
      </c>
      <c r="CA1">
        <v>1988</v>
      </c>
      <c r="CB1">
        <v>1989</v>
      </c>
      <c r="CC1">
        <v>1990</v>
      </c>
      <c r="CD1">
        <v>1991</v>
      </c>
      <c r="CE1">
        <v>1992</v>
      </c>
      <c r="CF1">
        <v>1993</v>
      </c>
      <c r="CG1">
        <v>1994</v>
      </c>
      <c r="CH1">
        <v>1995</v>
      </c>
      <c r="CI1">
        <v>1996</v>
      </c>
      <c r="CJ1">
        <v>1997</v>
      </c>
      <c r="CK1">
        <v>1998</v>
      </c>
      <c r="CL1">
        <v>1999</v>
      </c>
      <c r="CM1">
        <v>2000</v>
      </c>
      <c r="CN1">
        <v>2001</v>
      </c>
      <c r="CO1">
        <v>2002</v>
      </c>
      <c r="CP1">
        <v>2003</v>
      </c>
      <c r="CQ1">
        <v>2004</v>
      </c>
      <c r="CR1">
        <v>2005</v>
      </c>
      <c r="CS1">
        <v>2006</v>
      </c>
      <c r="CT1">
        <v>2007</v>
      </c>
      <c r="CU1">
        <v>2008</v>
      </c>
      <c r="CV1">
        <v>2009</v>
      </c>
      <c r="CW1">
        <v>2010</v>
      </c>
      <c r="CX1">
        <v>2011</v>
      </c>
      <c r="CY1">
        <v>2012</v>
      </c>
      <c r="CZ1">
        <v>2013</v>
      </c>
      <c r="DA1">
        <v>2014</v>
      </c>
      <c r="DE1" s="2" t="s">
        <v>2</v>
      </c>
      <c r="DF1" s="2" t="s">
        <v>17</v>
      </c>
      <c r="DG1" s="2" t="s">
        <v>4</v>
      </c>
      <c r="DH1" s="2" t="s">
        <v>31</v>
      </c>
      <c r="DI1" s="3" t="s">
        <v>3</v>
      </c>
      <c r="DM1" s="9" t="s">
        <v>18</v>
      </c>
      <c r="DN1" s="9" t="s">
        <v>2</v>
      </c>
      <c r="DO1" s="9" t="s">
        <v>400</v>
      </c>
      <c r="DP1" s="9" t="s">
        <v>4</v>
      </c>
      <c r="DQ1" s="9" t="s">
        <v>29</v>
      </c>
      <c r="DR1" s="9" t="s">
        <v>401</v>
      </c>
      <c r="DV1" t="s">
        <v>5</v>
      </c>
      <c r="DW1" t="s">
        <v>6</v>
      </c>
      <c r="DX1" t="s">
        <v>7</v>
      </c>
      <c r="DY1" t="s">
        <v>8</v>
      </c>
      <c r="DZ1" t="s">
        <v>9</v>
      </c>
      <c r="EA1" t="s">
        <v>10</v>
      </c>
      <c r="EB1" t="s">
        <v>11</v>
      </c>
      <c r="EC1" t="s">
        <v>12</v>
      </c>
      <c r="ED1" t="s">
        <v>13</v>
      </c>
      <c r="EE1" t="s">
        <v>14</v>
      </c>
      <c r="EF1" t="s">
        <v>15</v>
      </c>
      <c r="EG1" t="s">
        <v>16</v>
      </c>
      <c r="EI1" t="s">
        <v>30</v>
      </c>
      <c r="EJ1" t="s">
        <v>28</v>
      </c>
      <c r="EL1" t="s">
        <v>415</v>
      </c>
      <c r="EM1" t="s">
        <v>5</v>
      </c>
      <c r="EN1" t="s">
        <v>6</v>
      </c>
      <c r="EO1" t="s">
        <v>7</v>
      </c>
      <c r="EP1" t="s">
        <v>8</v>
      </c>
      <c r="EQ1" t="s">
        <v>9</v>
      </c>
      <c r="ER1" t="s">
        <v>10</v>
      </c>
      <c r="ES1" t="s">
        <v>11</v>
      </c>
      <c r="ET1" t="s">
        <v>12</v>
      </c>
      <c r="EU1" t="s">
        <v>13</v>
      </c>
      <c r="EV1" t="s">
        <v>14</v>
      </c>
      <c r="EW1" t="s">
        <v>15</v>
      </c>
      <c r="EX1" t="s">
        <v>16</v>
      </c>
      <c r="EZ1" t="s">
        <v>4</v>
      </c>
      <c r="FF1" t="s">
        <v>5</v>
      </c>
      <c r="FG1" t="s">
        <v>6</v>
      </c>
      <c r="FH1" t="s">
        <v>7</v>
      </c>
      <c r="FI1" t="s">
        <v>8</v>
      </c>
      <c r="FJ1" t="s">
        <v>9</v>
      </c>
      <c r="FK1" t="s">
        <v>10</v>
      </c>
      <c r="FL1" t="s">
        <v>11</v>
      </c>
      <c r="FM1" t="s">
        <v>12</v>
      </c>
      <c r="FN1" t="s">
        <v>13</v>
      </c>
      <c r="FO1" t="s">
        <v>14</v>
      </c>
      <c r="FP1" t="s">
        <v>15</v>
      </c>
      <c r="FQ1" t="s">
        <v>16</v>
      </c>
      <c r="FS1" t="s">
        <v>30</v>
      </c>
      <c r="FX1" t="s">
        <v>5</v>
      </c>
      <c r="FY1" t="s">
        <v>6</v>
      </c>
      <c r="FZ1" t="s">
        <v>7</v>
      </c>
      <c r="GA1" t="s">
        <v>8</v>
      </c>
      <c r="GB1" t="s">
        <v>9</v>
      </c>
      <c r="GC1" t="s">
        <v>10</v>
      </c>
      <c r="GD1" t="s">
        <v>11</v>
      </c>
      <c r="GE1" t="s">
        <v>12</v>
      </c>
      <c r="GF1" t="s">
        <v>13</v>
      </c>
      <c r="GG1" t="s">
        <v>14</v>
      </c>
      <c r="GH1" t="s">
        <v>15</v>
      </c>
      <c r="GI1" t="s">
        <v>16</v>
      </c>
      <c r="GK1" t="s">
        <v>30</v>
      </c>
    </row>
    <row r="2" spans="1:193">
      <c r="A2" s="17" t="s">
        <v>34</v>
      </c>
      <c r="C2">
        <v>17.7</v>
      </c>
      <c r="E2">
        <v>4.5</v>
      </c>
      <c r="I2">
        <v>5.4</v>
      </c>
      <c r="K2">
        <v>0.8</v>
      </c>
      <c r="L2">
        <v>0.6</v>
      </c>
      <c r="M2">
        <v>11.3</v>
      </c>
      <c r="O2">
        <v>11</v>
      </c>
      <c r="Q2">
        <v>21.7</v>
      </c>
      <c r="S2">
        <v>3.5</v>
      </c>
      <c r="V2">
        <v>0.3</v>
      </c>
      <c r="W2">
        <v>14</v>
      </c>
      <c r="AD2">
        <v>16.2</v>
      </c>
      <c r="AE2">
        <v>8</v>
      </c>
      <c r="AH2">
        <v>0.4</v>
      </c>
      <c r="AI2">
        <v>0.3</v>
      </c>
      <c r="AJ2">
        <v>1.8</v>
      </c>
      <c r="AK2">
        <v>0.8</v>
      </c>
      <c r="AL2">
        <v>8.5</v>
      </c>
      <c r="AM2">
        <v>35.5</v>
      </c>
      <c r="AO2">
        <v>9.4</v>
      </c>
      <c r="AP2">
        <v>3.5</v>
      </c>
      <c r="AQ2">
        <v>0.1</v>
      </c>
      <c r="AS2">
        <v>2.1</v>
      </c>
      <c r="AT2">
        <v>0.4</v>
      </c>
      <c r="AV2">
        <v>0.5</v>
      </c>
      <c r="AW2">
        <v>1.6</v>
      </c>
      <c r="AY2">
        <v>7.6</v>
      </c>
      <c r="AZ2">
        <v>2.6</v>
      </c>
      <c r="BB2">
        <v>3.3</v>
      </c>
      <c r="BE2">
        <v>0.9</v>
      </c>
      <c r="BG2">
        <v>0.5</v>
      </c>
      <c r="BH2">
        <v>0.1</v>
      </c>
      <c r="BJ2">
        <v>5.6</v>
      </c>
      <c r="BK2">
        <v>0.6</v>
      </c>
      <c r="BL2">
        <v>0.1</v>
      </c>
      <c r="BM2">
        <v>0.1</v>
      </c>
      <c r="BN2">
        <v>9</v>
      </c>
      <c r="BP2">
        <v>0.2</v>
      </c>
      <c r="BQ2">
        <v>11.2</v>
      </c>
      <c r="BR2">
        <v>12</v>
      </c>
      <c r="BS2">
        <v>14.8</v>
      </c>
      <c r="BV2">
        <v>0.8</v>
      </c>
      <c r="BX2">
        <v>2.1</v>
      </c>
      <c r="BY2">
        <v>28</v>
      </c>
      <c r="BZ2">
        <v>0.2</v>
      </c>
      <c r="CB2">
        <v>2</v>
      </c>
      <c r="CE2">
        <v>4.4000000000000004</v>
      </c>
      <c r="CF2">
        <v>15.5</v>
      </c>
      <c r="CG2">
        <v>2.2999999999999998</v>
      </c>
      <c r="CI2">
        <v>0.8</v>
      </c>
      <c r="CO2">
        <v>25.4</v>
      </c>
      <c r="CP2">
        <v>20.2</v>
      </c>
      <c r="CR2">
        <v>2.6</v>
      </c>
      <c r="CU2">
        <v>0.1</v>
      </c>
      <c r="CW2">
        <v>8.9</v>
      </c>
      <c r="CY2">
        <v>1.4</v>
      </c>
      <c r="DA2" s="2"/>
      <c r="DD2" s="1">
        <v>40909</v>
      </c>
      <c r="DE2" s="2">
        <f>AVERAGE(C2:DA2)</f>
        <v>6.4857142857142849</v>
      </c>
      <c r="DF2" s="2">
        <f>SUM(C2:DA2)/(COUNTA(C2:CZ2)+COUNTBLANK(C2:CZ2))</f>
        <v>3.5607843137254895</v>
      </c>
      <c r="DG2" s="2">
        <f>MAX(B2:DA2)</f>
        <v>35.5</v>
      </c>
      <c r="DH2" s="2">
        <f>MIN(B2:DA2)</f>
        <v>0.1</v>
      </c>
      <c r="DI2" s="3">
        <f>(COUNTA(C2:CZ2)/(COUNTA(C2:CZ2)+COUNTBLANK(C2:CZ2)))</f>
        <v>0.5490196078431373</v>
      </c>
      <c r="DK2">
        <v>32</v>
      </c>
      <c r="DL2" s="9" t="s">
        <v>5</v>
      </c>
      <c r="DM2" s="18">
        <f>AVERAGE(DE2:DE32)</f>
        <v>5.7932744222194552</v>
      </c>
      <c r="DN2" s="18">
        <f>AVERAGE(DF2:DF32)</f>
        <v>3.3827008222643893</v>
      </c>
      <c r="DO2" s="18">
        <f>AVERAGE(DG2:DG32)</f>
        <v>34.590322580645164</v>
      </c>
      <c r="DP2" s="18">
        <f>MAX(DG2:DG32)</f>
        <v>66</v>
      </c>
      <c r="DQ2" s="18">
        <f>MIN(DH2:DH32)</f>
        <v>0.1</v>
      </c>
      <c r="DR2" s="3">
        <f>AVERAGE(DI2:DI32)</f>
        <v>0.58602150537634401</v>
      </c>
      <c r="DU2">
        <v>1911</v>
      </c>
      <c r="DV2" s="2"/>
      <c r="DW2" s="2"/>
      <c r="DX2" s="2"/>
      <c r="DY2" s="2"/>
      <c r="DZ2" s="2"/>
      <c r="EA2" s="2"/>
      <c r="EB2" s="2">
        <v>29.4</v>
      </c>
      <c r="EC2" s="2">
        <v>30.9</v>
      </c>
      <c r="ED2" s="2">
        <v>151.19999999999999</v>
      </c>
      <c r="EE2" s="2">
        <v>14</v>
      </c>
      <c r="EF2" s="2">
        <v>22.2</v>
      </c>
      <c r="EG2" s="2">
        <v>98</v>
      </c>
      <c r="EI2">
        <v>345.7</v>
      </c>
      <c r="EJ2">
        <v>1911</v>
      </c>
      <c r="EL2">
        <v>1911</v>
      </c>
      <c r="ET2">
        <v>13.3</v>
      </c>
      <c r="EU2">
        <v>70.099999999999994</v>
      </c>
      <c r="EV2">
        <v>4.7</v>
      </c>
      <c r="EW2">
        <v>13.5</v>
      </c>
      <c r="EX2">
        <v>23.7</v>
      </c>
      <c r="EZ2">
        <v>70.099999999999994</v>
      </c>
      <c r="FA2">
        <v>1911</v>
      </c>
      <c r="FE2">
        <v>1911</v>
      </c>
      <c r="FL2">
        <v>7</v>
      </c>
      <c r="FM2">
        <v>5</v>
      </c>
      <c r="FN2">
        <v>8</v>
      </c>
      <c r="FO2">
        <v>4</v>
      </c>
      <c r="FP2">
        <v>6</v>
      </c>
      <c r="FQ2">
        <v>13</v>
      </c>
      <c r="FS2">
        <f>SUM(FF2:FQ2)</f>
        <v>43</v>
      </c>
      <c r="FT2">
        <v>1911</v>
      </c>
      <c r="FW2">
        <v>1911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K2">
        <f>SUM(FX2:GI2)</f>
        <v>0</v>
      </c>
    </row>
    <row r="3" spans="1:193">
      <c r="A3" s="17" t="s">
        <v>35</v>
      </c>
      <c r="C3">
        <v>6</v>
      </c>
      <c r="E3">
        <v>1.6</v>
      </c>
      <c r="F3">
        <v>3.8</v>
      </c>
      <c r="J3">
        <v>0.2</v>
      </c>
      <c r="K3">
        <v>0.4</v>
      </c>
      <c r="L3">
        <v>0.4</v>
      </c>
      <c r="O3">
        <v>1.5</v>
      </c>
      <c r="P3">
        <v>1.1000000000000001</v>
      </c>
      <c r="Q3">
        <v>0.7</v>
      </c>
      <c r="S3">
        <v>0.1</v>
      </c>
      <c r="U3">
        <v>10.7</v>
      </c>
      <c r="V3">
        <v>9.1999999999999993</v>
      </c>
      <c r="W3">
        <v>6</v>
      </c>
      <c r="AC3">
        <v>28</v>
      </c>
      <c r="AD3">
        <v>0.2</v>
      </c>
      <c r="AE3">
        <v>1.8</v>
      </c>
      <c r="AG3">
        <v>23</v>
      </c>
      <c r="AH3">
        <v>2.5</v>
      </c>
      <c r="AI3">
        <v>0.6</v>
      </c>
      <c r="AJ3">
        <v>12.5</v>
      </c>
      <c r="AL3">
        <v>4.5999999999999996</v>
      </c>
      <c r="AM3">
        <v>23.5</v>
      </c>
      <c r="AP3">
        <v>0.3</v>
      </c>
      <c r="AQ3">
        <v>0.2</v>
      </c>
      <c r="AR3">
        <v>31.2</v>
      </c>
      <c r="AS3">
        <v>1.1000000000000001</v>
      </c>
      <c r="AT3">
        <v>0.5</v>
      </c>
      <c r="AU3">
        <v>7.4</v>
      </c>
      <c r="AW3">
        <v>0.3</v>
      </c>
      <c r="BB3">
        <v>1.9</v>
      </c>
      <c r="BG3">
        <v>16.600000000000001</v>
      </c>
      <c r="BH3">
        <v>2.4</v>
      </c>
      <c r="BI3">
        <v>18.8</v>
      </c>
      <c r="BK3">
        <v>0.2</v>
      </c>
      <c r="BM3" t="s">
        <v>0</v>
      </c>
      <c r="BN3">
        <v>17.600000000000001</v>
      </c>
      <c r="BP3">
        <v>1.6</v>
      </c>
      <c r="BQ3">
        <v>0.2</v>
      </c>
      <c r="BR3">
        <v>18</v>
      </c>
      <c r="BS3">
        <v>0.6</v>
      </c>
      <c r="BT3">
        <v>10.5</v>
      </c>
      <c r="BU3">
        <v>12.6</v>
      </c>
      <c r="BV3">
        <v>0.2</v>
      </c>
      <c r="BX3">
        <v>0.2</v>
      </c>
      <c r="BY3">
        <v>0.5</v>
      </c>
      <c r="CB3">
        <v>3.5</v>
      </c>
      <c r="CC3">
        <v>0.3</v>
      </c>
      <c r="CD3">
        <v>10.8</v>
      </c>
      <c r="CF3">
        <v>17.899999999999999</v>
      </c>
      <c r="CG3">
        <v>3.9</v>
      </c>
      <c r="CH3">
        <v>13.5</v>
      </c>
      <c r="CI3">
        <v>0.6</v>
      </c>
      <c r="CM3">
        <v>2</v>
      </c>
      <c r="CN3">
        <v>1.5</v>
      </c>
      <c r="CO3">
        <v>0.6</v>
      </c>
      <c r="CP3">
        <v>0.5</v>
      </c>
      <c r="CQ3">
        <v>0.1</v>
      </c>
      <c r="CR3">
        <v>0.8</v>
      </c>
      <c r="CU3">
        <v>1.1000000000000001</v>
      </c>
      <c r="CV3">
        <v>6.9</v>
      </c>
      <c r="CW3">
        <v>12.1</v>
      </c>
      <c r="CX3">
        <v>0.2</v>
      </c>
      <c r="DA3" s="2"/>
      <c r="DD3" s="1">
        <v>40910</v>
      </c>
      <c r="DE3" s="2">
        <f t="shared" ref="DE3:DE32" si="0">AVERAGE(B3:DA3)</f>
        <v>5.8622950819672131</v>
      </c>
      <c r="DF3" s="2">
        <f t="shared" ref="DF3:DF32" si="1">SUM(C3:DA3)/(COUNTA(C3:CZ3)+COUNTBLANK(C3:CZ3))</f>
        <v>3.5058823529411769</v>
      </c>
      <c r="DG3" s="2">
        <f t="shared" ref="DG3:DG32" si="2">MAX(B3:DA3)</f>
        <v>31.2</v>
      </c>
      <c r="DH3" s="2">
        <f t="shared" ref="DH3:DH32" si="3">MIN(B3:DA3)</f>
        <v>0.1</v>
      </c>
      <c r="DI3" s="3">
        <f t="shared" ref="DI3:DI32" si="4">(COUNTA(C3:CZ3)/(COUNTA(C3:CZ3)+COUNTBLANK(C3:CZ3)))</f>
        <v>0.60784313725490191</v>
      </c>
      <c r="DK3">
        <v>61</v>
      </c>
      <c r="DL3" s="9" t="s">
        <v>6</v>
      </c>
      <c r="DM3" s="18">
        <f>AVERAGE(DE37:DE65)</f>
        <v>5.4877503440982025</v>
      </c>
      <c r="DN3" s="18">
        <f>AVERAGE(DF37:DF65)</f>
        <v>2.8979377958079784</v>
      </c>
      <c r="DO3" s="18">
        <f>AVERAGE(DG37:DG65)</f>
        <v>35.386206896551727</v>
      </c>
      <c r="DP3" s="18">
        <f>MAX(DG37:DG65)</f>
        <v>86.9</v>
      </c>
      <c r="DQ3" s="18">
        <f>MIN(DH37:DH65)</f>
        <v>0.1</v>
      </c>
      <c r="DR3" s="3">
        <f>AVERAGE(DI37:DI65)</f>
        <v>0.52400270453008779</v>
      </c>
      <c r="DU3">
        <v>1912</v>
      </c>
      <c r="DV3" s="2">
        <v>92.3</v>
      </c>
      <c r="DW3" s="2">
        <v>37.799999999999997</v>
      </c>
      <c r="DX3" s="2">
        <v>49.5</v>
      </c>
      <c r="DY3" s="2">
        <v>105.5</v>
      </c>
      <c r="DZ3" s="2">
        <v>4.8</v>
      </c>
      <c r="EA3" s="2">
        <v>3.7</v>
      </c>
      <c r="EB3" s="2">
        <v>27.7</v>
      </c>
      <c r="EC3" s="2">
        <v>17</v>
      </c>
      <c r="ED3" s="2">
        <v>36.299999999999997</v>
      </c>
      <c r="EE3" s="2">
        <v>102.8</v>
      </c>
      <c r="EF3" s="2">
        <v>73.599999999999994</v>
      </c>
      <c r="EG3" s="2">
        <v>49.7</v>
      </c>
      <c r="EI3">
        <v>600.70000000000005</v>
      </c>
      <c r="EJ3">
        <v>1912</v>
      </c>
      <c r="EL3">
        <v>1912</v>
      </c>
      <c r="EM3">
        <v>29.3</v>
      </c>
      <c r="EN3">
        <v>9.6</v>
      </c>
      <c r="EO3">
        <v>7.2</v>
      </c>
      <c r="EP3">
        <v>42.5</v>
      </c>
      <c r="EQ3">
        <v>1.4</v>
      </c>
      <c r="ER3">
        <v>3.2</v>
      </c>
      <c r="ES3">
        <v>13.8</v>
      </c>
      <c r="ET3">
        <v>13.8</v>
      </c>
      <c r="EU3">
        <v>22.5</v>
      </c>
      <c r="EV3">
        <v>21.4</v>
      </c>
      <c r="EW3">
        <v>38.200000000000003</v>
      </c>
      <c r="EX3">
        <v>8.6999999999999993</v>
      </c>
      <c r="EZ3">
        <v>42.5</v>
      </c>
      <c r="FA3">
        <v>1912</v>
      </c>
      <c r="FB3" t="s">
        <v>8</v>
      </c>
      <c r="FE3">
        <v>1912</v>
      </c>
      <c r="FF3">
        <v>15</v>
      </c>
      <c r="FG3">
        <v>14</v>
      </c>
      <c r="FH3">
        <v>14</v>
      </c>
      <c r="FI3">
        <v>13</v>
      </c>
      <c r="FJ3">
        <v>7</v>
      </c>
      <c r="FK3">
        <v>3</v>
      </c>
      <c r="FL3">
        <v>8</v>
      </c>
      <c r="FM3">
        <v>2</v>
      </c>
      <c r="FN3">
        <v>7</v>
      </c>
      <c r="FO3">
        <v>13</v>
      </c>
      <c r="FP3">
        <v>13</v>
      </c>
      <c r="FQ3">
        <v>9</v>
      </c>
      <c r="FS3">
        <f t="shared" ref="FS3:FS66" si="5">SUM(FF3:FQ3)</f>
        <v>118</v>
      </c>
      <c r="FT3">
        <v>1912</v>
      </c>
      <c r="FW3">
        <v>1912</v>
      </c>
      <c r="FX3">
        <v>7</v>
      </c>
      <c r="FY3">
        <v>2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K3">
        <f t="shared" ref="GK3:GK66" si="6">SUM(FX3:GI3)</f>
        <v>9</v>
      </c>
    </row>
    <row r="4" spans="1:193">
      <c r="A4" s="17" t="s">
        <v>36</v>
      </c>
      <c r="C4">
        <v>3.4</v>
      </c>
      <c r="F4">
        <v>8.1999999999999993</v>
      </c>
      <c r="G4">
        <v>0.7</v>
      </c>
      <c r="H4">
        <v>9.5</v>
      </c>
      <c r="I4">
        <v>0.8</v>
      </c>
      <c r="K4">
        <v>0.1</v>
      </c>
      <c r="M4">
        <v>3.5</v>
      </c>
      <c r="P4">
        <v>0.3</v>
      </c>
      <c r="U4">
        <v>14.5</v>
      </c>
      <c r="V4">
        <v>0.7</v>
      </c>
      <c r="W4">
        <v>0.3</v>
      </c>
      <c r="X4">
        <v>2.6</v>
      </c>
      <c r="Y4">
        <v>3</v>
      </c>
      <c r="AC4">
        <v>6.9</v>
      </c>
      <c r="AH4">
        <v>13.5</v>
      </c>
      <c r="AJ4">
        <v>13.6</v>
      </c>
      <c r="AK4">
        <v>2.8</v>
      </c>
      <c r="AL4">
        <v>5.4</v>
      </c>
      <c r="AO4">
        <v>8.6</v>
      </c>
      <c r="AR4">
        <v>3.1</v>
      </c>
      <c r="AT4">
        <v>0.1</v>
      </c>
      <c r="AW4">
        <v>0.2</v>
      </c>
      <c r="AX4">
        <v>0.7</v>
      </c>
      <c r="BA4">
        <v>21</v>
      </c>
      <c r="BB4">
        <v>0.7</v>
      </c>
      <c r="BC4">
        <v>1.4</v>
      </c>
      <c r="BE4">
        <v>5.8</v>
      </c>
      <c r="BF4">
        <v>6.1</v>
      </c>
      <c r="BG4">
        <v>9</v>
      </c>
      <c r="BH4">
        <v>1.3</v>
      </c>
      <c r="BI4">
        <v>0.1</v>
      </c>
      <c r="BJ4">
        <v>0.4</v>
      </c>
      <c r="BK4">
        <v>10</v>
      </c>
      <c r="BL4">
        <v>0.1</v>
      </c>
      <c r="BN4">
        <v>0.1</v>
      </c>
      <c r="BP4">
        <v>2.4</v>
      </c>
      <c r="BR4">
        <v>7.5</v>
      </c>
      <c r="BS4">
        <v>2.7</v>
      </c>
      <c r="BU4">
        <v>9.9</v>
      </c>
      <c r="BV4">
        <v>2.1</v>
      </c>
      <c r="BX4">
        <v>30.2</v>
      </c>
      <c r="BZ4">
        <v>22.3</v>
      </c>
      <c r="CA4">
        <v>0.1</v>
      </c>
      <c r="CB4">
        <v>2.6</v>
      </c>
      <c r="CC4">
        <v>0.6</v>
      </c>
      <c r="CF4">
        <v>3.1</v>
      </c>
      <c r="CG4">
        <v>1.5</v>
      </c>
      <c r="CH4">
        <v>7.6</v>
      </c>
      <c r="CI4">
        <v>10.4</v>
      </c>
      <c r="CJ4">
        <v>0.4</v>
      </c>
      <c r="CK4">
        <v>0.1</v>
      </c>
      <c r="CL4">
        <v>1</v>
      </c>
      <c r="CM4">
        <v>4.5999999999999996</v>
      </c>
      <c r="CN4">
        <v>2.5</v>
      </c>
      <c r="CP4">
        <v>7.4</v>
      </c>
      <c r="CQ4">
        <v>9.6999999999999993</v>
      </c>
      <c r="CR4">
        <v>3.5</v>
      </c>
      <c r="CT4">
        <v>8</v>
      </c>
      <c r="CU4">
        <v>2.8</v>
      </c>
      <c r="CV4">
        <v>5.4</v>
      </c>
      <c r="CW4">
        <v>7.4</v>
      </c>
      <c r="CX4">
        <v>17.399999999999999</v>
      </c>
      <c r="DA4" s="2"/>
      <c r="DD4" s="1">
        <v>40911</v>
      </c>
      <c r="DE4" s="2">
        <f t="shared" si="0"/>
        <v>5.3499999999999979</v>
      </c>
      <c r="DF4" s="2">
        <f t="shared" si="1"/>
        <v>3.2519607843137242</v>
      </c>
      <c r="DG4" s="2">
        <f t="shared" si="2"/>
        <v>30.2</v>
      </c>
      <c r="DH4" s="2">
        <f t="shared" si="3"/>
        <v>0.1</v>
      </c>
      <c r="DI4" s="3">
        <f t="shared" si="4"/>
        <v>0.60784313725490191</v>
      </c>
      <c r="DK4">
        <v>92</v>
      </c>
      <c r="DL4" s="9" t="s">
        <v>7</v>
      </c>
      <c r="DM4" s="18">
        <f>AVERAGE(DE70:DE100)</f>
        <v>4.9351609080313468</v>
      </c>
      <c r="DN4" s="18">
        <f>AVERAGE(DF70:DF100)</f>
        <v>2.194370651486401</v>
      </c>
      <c r="DO4" s="18">
        <f>AVERAGE(DG70:DG100)</f>
        <v>28.745161290322585</v>
      </c>
      <c r="DP4" s="18">
        <f>MAX(DG70:DG100)</f>
        <v>53</v>
      </c>
      <c r="DQ4" s="18">
        <f>MIN(DH70:DH100)</f>
        <v>0.1</v>
      </c>
      <c r="DR4" s="3">
        <f>AVERAGE(DI70:DI100)</f>
        <v>0.44275774826059477</v>
      </c>
      <c r="DU4">
        <v>1913</v>
      </c>
      <c r="DV4" s="2">
        <v>161.9</v>
      </c>
      <c r="DW4" s="2">
        <v>115.3</v>
      </c>
      <c r="DX4" s="2">
        <v>32</v>
      </c>
      <c r="DY4" s="2">
        <v>37.4</v>
      </c>
      <c r="DZ4" s="2">
        <v>44.3</v>
      </c>
      <c r="EA4" s="2">
        <v>24.4</v>
      </c>
      <c r="EB4" s="2">
        <v>64.900000000000006</v>
      </c>
      <c r="EC4" s="2">
        <v>177.1</v>
      </c>
      <c r="ED4" s="2">
        <v>137.80000000000001</v>
      </c>
      <c r="EE4" s="2">
        <v>11</v>
      </c>
      <c r="EF4" s="2">
        <v>42.9</v>
      </c>
      <c r="EG4" s="2">
        <v>155.4</v>
      </c>
      <c r="EI4">
        <v>1004.3999999999999</v>
      </c>
      <c r="EJ4">
        <v>1913</v>
      </c>
      <c r="EL4">
        <v>1913</v>
      </c>
      <c r="EM4">
        <v>39.5</v>
      </c>
      <c r="EN4">
        <v>20.3</v>
      </c>
      <c r="EO4">
        <v>19.7</v>
      </c>
      <c r="EP4">
        <v>23.2</v>
      </c>
      <c r="EQ4">
        <v>11.6</v>
      </c>
      <c r="ER4">
        <v>11.4</v>
      </c>
      <c r="ES4">
        <v>8.6999999999999993</v>
      </c>
      <c r="ET4">
        <v>85.4</v>
      </c>
      <c r="EU4">
        <v>85.7</v>
      </c>
      <c r="EV4">
        <v>4.7</v>
      </c>
      <c r="EW4">
        <v>18.7</v>
      </c>
      <c r="EX4">
        <v>68</v>
      </c>
      <c r="EZ4">
        <v>85.7</v>
      </c>
      <c r="FA4">
        <v>1913</v>
      </c>
      <c r="FB4" t="s">
        <v>13</v>
      </c>
      <c r="FE4">
        <v>1913</v>
      </c>
      <c r="FF4">
        <v>18</v>
      </c>
      <c r="FG4">
        <v>13</v>
      </c>
      <c r="FH4">
        <v>9</v>
      </c>
      <c r="FI4">
        <v>6</v>
      </c>
      <c r="FJ4">
        <v>13</v>
      </c>
      <c r="FK4">
        <v>6</v>
      </c>
      <c r="FL4">
        <v>18</v>
      </c>
      <c r="FM4">
        <v>9</v>
      </c>
      <c r="FN4">
        <v>14</v>
      </c>
      <c r="FO4">
        <v>7</v>
      </c>
      <c r="FP4">
        <v>9</v>
      </c>
      <c r="FQ4">
        <v>14</v>
      </c>
      <c r="FS4">
        <f t="shared" si="5"/>
        <v>136</v>
      </c>
      <c r="FT4">
        <v>1913</v>
      </c>
      <c r="FW4">
        <v>1913</v>
      </c>
      <c r="FX4">
        <v>3</v>
      </c>
      <c r="FY4">
        <v>8</v>
      </c>
      <c r="FZ4">
        <v>4</v>
      </c>
      <c r="GA4">
        <v>0</v>
      </c>
      <c r="GB4">
        <v>2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K4">
        <f t="shared" si="6"/>
        <v>17</v>
      </c>
    </row>
    <row r="5" spans="1:193">
      <c r="A5" s="17" t="s">
        <v>37</v>
      </c>
      <c r="D5">
        <v>1.7</v>
      </c>
      <c r="E5">
        <v>0.1</v>
      </c>
      <c r="G5">
        <v>3.2</v>
      </c>
      <c r="H5">
        <v>9.5</v>
      </c>
      <c r="I5">
        <v>8.8000000000000007</v>
      </c>
      <c r="L5">
        <v>0.4</v>
      </c>
      <c r="M5">
        <v>24.5</v>
      </c>
      <c r="U5">
        <v>14</v>
      </c>
      <c r="V5">
        <v>0.3</v>
      </c>
      <c r="W5">
        <v>13</v>
      </c>
      <c r="X5">
        <v>1.9</v>
      </c>
      <c r="Y5">
        <v>1.8</v>
      </c>
      <c r="Z5">
        <v>15.1</v>
      </c>
      <c r="AB5">
        <v>7.4</v>
      </c>
      <c r="AC5">
        <v>10.6</v>
      </c>
      <c r="AD5">
        <v>1.3</v>
      </c>
      <c r="AH5">
        <v>22</v>
      </c>
      <c r="AJ5">
        <v>0.6</v>
      </c>
      <c r="AK5">
        <v>1.8</v>
      </c>
      <c r="AL5">
        <v>7.9</v>
      </c>
      <c r="AM5">
        <v>1.4</v>
      </c>
      <c r="AO5">
        <v>14.1</v>
      </c>
      <c r="AS5">
        <v>0.8</v>
      </c>
      <c r="AT5">
        <v>0.2</v>
      </c>
      <c r="AW5">
        <v>3</v>
      </c>
      <c r="AX5">
        <v>10.6</v>
      </c>
      <c r="AY5">
        <v>6</v>
      </c>
      <c r="BB5">
        <v>3.4</v>
      </c>
      <c r="BD5">
        <v>11.5</v>
      </c>
      <c r="BE5">
        <v>17.2</v>
      </c>
      <c r="BF5">
        <v>18.2</v>
      </c>
      <c r="BG5">
        <v>11</v>
      </c>
      <c r="BH5">
        <v>7</v>
      </c>
      <c r="BK5">
        <v>1.9</v>
      </c>
      <c r="BM5">
        <v>0.1</v>
      </c>
      <c r="BO5">
        <v>21</v>
      </c>
      <c r="BP5">
        <v>1.4</v>
      </c>
      <c r="BR5">
        <v>0.3</v>
      </c>
      <c r="BS5">
        <v>5.2</v>
      </c>
      <c r="BT5">
        <v>0.1</v>
      </c>
      <c r="BV5">
        <v>0.2</v>
      </c>
      <c r="BX5">
        <v>9.9</v>
      </c>
      <c r="BZ5">
        <v>5.5</v>
      </c>
      <c r="CA5">
        <v>0.5</v>
      </c>
      <c r="CC5">
        <v>11.3</v>
      </c>
      <c r="CF5">
        <v>0.4</v>
      </c>
      <c r="CH5">
        <v>12.5</v>
      </c>
      <c r="CI5">
        <v>5.9</v>
      </c>
      <c r="CK5">
        <v>0.9</v>
      </c>
      <c r="CM5">
        <v>2.6</v>
      </c>
      <c r="CO5">
        <v>26.6</v>
      </c>
      <c r="CP5">
        <v>2.2999999999999998</v>
      </c>
      <c r="CQ5">
        <v>22.4</v>
      </c>
      <c r="CR5">
        <v>2.5</v>
      </c>
      <c r="CS5">
        <v>0.8</v>
      </c>
      <c r="CU5">
        <v>5.4</v>
      </c>
      <c r="CV5">
        <v>20.399999999999999</v>
      </c>
      <c r="CW5">
        <v>0.3</v>
      </c>
      <c r="CX5">
        <v>8</v>
      </c>
      <c r="CZ5">
        <v>1.3</v>
      </c>
      <c r="DA5" s="2"/>
      <c r="DD5" s="1">
        <v>40912</v>
      </c>
      <c r="DE5" s="2">
        <f t="shared" si="0"/>
        <v>6.9999999999999982</v>
      </c>
      <c r="DF5" s="2">
        <f t="shared" si="1"/>
        <v>4.1176470588235281</v>
      </c>
      <c r="DG5" s="2">
        <f t="shared" si="2"/>
        <v>26.6</v>
      </c>
      <c r="DH5" s="2">
        <f t="shared" si="3"/>
        <v>0.1</v>
      </c>
      <c r="DI5" s="3">
        <f t="shared" si="4"/>
        <v>0.58823529411764708</v>
      </c>
      <c r="DK5">
        <v>122</v>
      </c>
      <c r="DL5" s="9" t="s">
        <v>8</v>
      </c>
      <c r="DM5" s="18">
        <f>AVERAGE(DE105:DE134)</f>
        <v>4.378955789621922</v>
      </c>
      <c r="DN5" s="18">
        <f>AVERAGE(DF105:DF134)</f>
        <v>1.6176143790849671</v>
      </c>
      <c r="DO5" s="18">
        <f>AVERAGE(DG105:DG134)</f>
        <v>24.79000000000001</v>
      </c>
      <c r="DP5" s="18">
        <f>MAX(DG105:DG134)</f>
        <v>45</v>
      </c>
      <c r="DQ5" s="18">
        <f>MIN(DH105:DH134)</f>
        <v>0.1</v>
      </c>
      <c r="DR5" s="3">
        <f>AVERAGE(DI105:DI134)</f>
        <v>0.36372549019607875</v>
      </c>
      <c r="DU5">
        <v>1914</v>
      </c>
      <c r="DV5" s="2">
        <v>89.1</v>
      </c>
      <c r="DW5" s="2">
        <v>4</v>
      </c>
      <c r="DX5" s="2">
        <v>51.2</v>
      </c>
      <c r="DY5" s="2">
        <v>38.4</v>
      </c>
      <c r="DZ5" s="2">
        <v>18.2</v>
      </c>
      <c r="EA5" s="2">
        <v>82.8</v>
      </c>
      <c r="EB5" s="2">
        <v>4</v>
      </c>
      <c r="EC5" s="2">
        <v>140.6</v>
      </c>
      <c r="ED5" s="2">
        <v>20</v>
      </c>
      <c r="EE5" s="2">
        <v>77.7</v>
      </c>
      <c r="EF5" s="2">
        <v>144.6</v>
      </c>
      <c r="EG5" s="2">
        <v>38.1</v>
      </c>
      <c r="EI5">
        <v>708.7</v>
      </c>
      <c r="EJ5">
        <v>1914</v>
      </c>
      <c r="EL5">
        <v>1914</v>
      </c>
      <c r="EM5">
        <v>35.799999999999997</v>
      </c>
      <c r="EN5">
        <v>2.4</v>
      </c>
      <c r="EO5">
        <v>14.4</v>
      </c>
      <c r="EP5">
        <v>11.6</v>
      </c>
      <c r="EQ5">
        <v>4.3</v>
      </c>
      <c r="ER5">
        <v>15.2</v>
      </c>
      <c r="ES5">
        <v>45.5</v>
      </c>
      <c r="ET5">
        <v>82.1</v>
      </c>
      <c r="EU5">
        <v>8.8000000000000007</v>
      </c>
      <c r="EV5">
        <v>45.4</v>
      </c>
      <c r="EW5">
        <v>36.200000000000003</v>
      </c>
      <c r="EX5">
        <v>14</v>
      </c>
      <c r="EZ5">
        <v>82.1</v>
      </c>
      <c r="FA5">
        <v>1914</v>
      </c>
      <c r="FB5" t="s">
        <v>12</v>
      </c>
      <c r="FE5">
        <v>1914</v>
      </c>
      <c r="FF5">
        <v>21</v>
      </c>
      <c r="FG5">
        <v>5</v>
      </c>
      <c r="FH5">
        <v>15</v>
      </c>
      <c r="FI5">
        <v>9</v>
      </c>
      <c r="FJ5">
        <v>13</v>
      </c>
      <c r="FK5">
        <v>22</v>
      </c>
      <c r="FL5">
        <v>5</v>
      </c>
      <c r="FM5">
        <v>12</v>
      </c>
      <c r="FN5">
        <v>9</v>
      </c>
      <c r="FO5">
        <v>16</v>
      </c>
      <c r="FP5">
        <v>20</v>
      </c>
      <c r="FQ5">
        <v>13</v>
      </c>
      <c r="FS5">
        <f t="shared" si="5"/>
        <v>160</v>
      </c>
      <c r="FT5">
        <v>1914</v>
      </c>
      <c r="FW5">
        <v>1914</v>
      </c>
      <c r="FX5">
        <v>1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K5">
        <f t="shared" si="6"/>
        <v>1</v>
      </c>
    </row>
    <row r="6" spans="1:193">
      <c r="A6" s="17" t="s">
        <v>38</v>
      </c>
      <c r="D6">
        <v>17.600000000000001</v>
      </c>
      <c r="G6">
        <v>1.7</v>
      </c>
      <c r="K6">
        <v>0.1</v>
      </c>
      <c r="L6">
        <v>1.2</v>
      </c>
      <c r="M6">
        <v>23.2</v>
      </c>
      <c r="T6">
        <v>2.6</v>
      </c>
      <c r="U6">
        <v>1.1000000000000001</v>
      </c>
      <c r="X6">
        <v>0.5</v>
      </c>
      <c r="Z6">
        <v>12.6</v>
      </c>
      <c r="AB6">
        <v>1.7</v>
      </c>
      <c r="AC6">
        <v>16.100000000000001</v>
      </c>
      <c r="AD6">
        <v>1.7</v>
      </c>
      <c r="AE6">
        <v>23.1</v>
      </c>
      <c r="AF6">
        <v>12</v>
      </c>
      <c r="AH6">
        <v>0.7</v>
      </c>
      <c r="AI6">
        <v>2.5</v>
      </c>
      <c r="AK6">
        <v>1.4</v>
      </c>
      <c r="AL6">
        <v>7.8</v>
      </c>
      <c r="AQ6">
        <v>39.4</v>
      </c>
      <c r="AS6">
        <v>0.1</v>
      </c>
      <c r="AT6">
        <v>0.1</v>
      </c>
      <c r="AU6">
        <v>9.6999999999999993</v>
      </c>
      <c r="AX6">
        <v>12.5</v>
      </c>
      <c r="AY6">
        <v>13.6</v>
      </c>
      <c r="BE6">
        <v>0.2</v>
      </c>
      <c r="BF6">
        <v>7.3</v>
      </c>
      <c r="BH6">
        <v>22.5</v>
      </c>
      <c r="BK6">
        <v>0.1</v>
      </c>
      <c r="BL6">
        <v>0.1</v>
      </c>
      <c r="BM6">
        <v>0.1</v>
      </c>
      <c r="BO6">
        <v>1.7</v>
      </c>
      <c r="BP6">
        <v>0.1</v>
      </c>
      <c r="BQ6">
        <v>25.5</v>
      </c>
      <c r="BR6">
        <v>5.5</v>
      </c>
      <c r="BS6">
        <v>2.8</v>
      </c>
      <c r="BT6">
        <v>17.5</v>
      </c>
      <c r="BV6">
        <v>3.1</v>
      </c>
      <c r="BW6">
        <v>0.8</v>
      </c>
      <c r="BY6">
        <v>14.6</v>
      </c>
      <c r="BZ6">
        <v>0.3</v>
      </c>
      <c r="CC6">
        <v>2.2000000000000002</v>
      </c>
      <c r="CF6">
        <v>0.5</v>
      </c>
      <c r="CH6">
        <v>3.8</v>
      </c>
      <c r="CI6">
        <v>5.0999999999999996</v>
      </c>
      <c r="CM6">
        <v>1</v>
      </c>
      <c r="CO6">
        <v>4.5</v>
      </c>
      <c r="CP6">
        <v>0.2</v>
      </c>
      <c r="CQ6">
        <v>13.3</v>
      </c>
      <c r="CS6">
        <v>2</v>
      </c>
      <c r="CU6">
        <v>2.2999999999999998</v>
      </c>
      <c r="CV6">
        <v>4.2</v>
      </c>
      <c r="CZ6">
        <v>1.4</v>
      </c>
      <c r="DA6" s="2"/>
      <c r="DD6" s="1">
        <v>40913</v>
      </c>
      <c r="DE6" s="2">
        <f t="shared" si="0"/>
        <v>6.6480769230769239</v>
      </c>
      <c r="DF6" s="2">
        <f t="shared" si="1"/>
        <v>3.3892156862745102</v>
      </c>
      <c r="DG6" s="2">
        <f t="shared" si="2"/>
        <v>39.4</v>
      </c>
      <c r="DH6" s="2">
        <f t="shared" si="3"/>
        <v>0.1</v>
      </c>
      <c r="DI6" s="3">
        <f t="shared" si="4"/>
        <v>0.50980392156862742</v>
      </c>
      <c r="DK6">
        <v>153</v>
      </c>
      <c r="DL6" s="9" t="s">
        <v>9</v>
      </c>
      <c r="DM6" s="18">
        <f>AVERAGE(DE139:DE169)</f>
        <v>4.2625686878479883</v>
      </c>
      <c r="DN6" s="18">
        <f>AVERAGE(DF139:DF169)</f>
        <v>1.1805186590765337</v>
      </c>
      <c r="DO6" s="18">
        <f>AVERAGE(DG139:DG169)</f>
        <v>26.980645161290326</v>
      </c>
      <c r="DP6" s="18">
        <f>MAX(DG139:DG169)</f>
        <v>84</v>
      </c>
      <c r="DQ6" s="18">
        <f>MIN(DH139:DH169)</f>
        <v>0.1</v>
      </c>
      <c r="DR6" s="3">
        <f>AVERAGE(DI139:DI169)</f>
        <v>0.27893738140417457</v>
      </c>
      <c r="DU6">
        <v>1915</v>
      </c>
      <c r="DV6" s="2">
        <v>92.3</v>
      </c>
      <c r="DW6" s="2">
        <v>87.4</v>
      </c>
      <c r="DX6" s="2">
        <v>75.599999999999994</v>
      </c>
      <c r="DY6" s="2">
        <v>53.4</v>
      </c>
      <c r="DZ6" s="2">
        <v>18</v>
      </c>
      <c r="EA6" s="2">
        <v>19.100000000000001</v>
      </c>
      <c r="EB6" s="2">
        <v>2.5</v>
      </c>
      <c r="EC6" s="2">
        <v>5.8</v>
      </c>
      <c r="ED6" s="2">
        <v>32.299999999999997</v>
      </c>
      <c r="EE6" s="2">
        <v>91.6</v>
      </c>
      <c r="EF6" s="2">
        <v>140</v>
      </c>
      <c r="EG6" s="2">
        <v>40.799999999999997</v>
      </c>
      <c r="EI6">
        <v>658.8</v>
      </c>
      <c r="EJ6">
        <v>1915</v>
      </c>
      <c r="EL6">
        <v>1915</v>
      </c>
      <c r="EM6">
        <v>23.5</v>
      </c>
      <c r="EN6">
        <v>18.600000000000001</v>
      </c>
      <c r="EO6">
        <v>16.5</v>
      </c>
      <c r="EP6">
        <v>17.100000000000001</v>
      </c>
      <c r="EQ6">
        <v>3.3</v>
      </c>
      <c r="ER6">
        <v>9.5</v>
      </c>
      <c r="ES6">
        <v>3.1</v>
      </c>
      <c r="ET6">
        <v>5</v>
      </c>
      <c r="EU6">
        <v>11.2</v>
      </c>
      <c r="EV6">
        <v>27.4</v>
      </c>
      <c r="EW6">
        <v>55.5</v>
      </c>
      <c r="EX6">
        <v>14.6</v>
      </c>
      <c r="EZ6">
        <v>55.5</v>
      </c>
      <c r="FA6">
        <v>1915</v>
      </c>
      <c r="FB6" t="s">
        <v>15</v>
      </c>
      <c r="FE6">
        <v>1915</v>
      </c>
      <c r="FF6">
        <v>15</v>
      </c>
      <c r="FG6">
        <v>13</v>
      </c>
      <c r="FH6">
        <v>14</v>
      </c>
      <c r="FI6">
        <v>12</v>
      </c>
      <c r="FJ6">
        <v>13</v>
      </c>
      <c r="FK6">
        <v>10</v>
      </c>
      <c r="FL6">
        <v>2</v>
      </c>
      <c r="FM6">
        <v>4</v>
      </c>
      <c r="FN6">
        <v>11</v>
      </c>
      <c r="FO6">
        <v>19</v>
      </c>
      <c r="FP6">
        <v>16</v>
      </c>
      <c r="FQ6">
        <v>12</v>
      </c>
      <c r="FS6">
        <f t="shared" si="5"/>
        <v>141</v>
      </c>
      <c r="FT6">
        <v>1915</v>
      </c>
      <c r="FW6">
        <v>1915</v>
      </c>
      <c r="FX6">
        <v>0</v>
      </c>
      <c r="FY6">
        <v>1</v>
      </c>
      <c r="FZ6">
        <v>1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K6">
        <f t="shared" si="6"/>
        <v>2</v>
      </c>
    </row>
    <row r="7" spans="1:193">
      <c r="A7" s="17" t="s">
        <v>39</v>
      </c>
      <c r="D7">
        <v>7.4</v>
      </c>
      <c r="E7">
        <v>0.5</v>
      </c>
      <c r="F7">
        <v>1.1000000000000001</v>
      </c>
      <c r="G7">
        <v>0.3</v>
      </c>
      <c r="L7">
        <v>0.1</v>
      </c>
      <c r="M7">
        <v>10.4</v>
      </c>
      <c r="O7">
        <v>5.3</v>
      </c>
      <c r="Q7">
        <v>0.3</v>
      </c>
      <c r="R7">
        <v>11.2</v>
      </c>
      <c r="T7">
        <v>15.2</v>
      </c>
      <c r="U7">
        <v>1.1000000000000001</v>
      </c>
      <c r="V7">
        <v>0.5</v>
      </c>
      <c r="Y7">
        <v>1.6</v>
      </c>
      <c r="Z7">
        <v>1</v>
      </c>
      <c r="AB7">
        <v>0.3</v>
      </c>
      <c r="AE7">
        <v>20</v>
      </c>
      <c r="AI7">
        <v>23.7</v>
      </c>
      <c r="AM7">
        <v>9.1</v>
      </c>
      <c r="AP7">
        <v>1.7</v>
      </c>
      <c r="AQ7">
        <v>7.6</v>
      </c>
      <c r="AS7">
        <v>0.5</v>
      </c>
      <c r="AT7">
        <v>11.3</v>
      </c>
      <c r="AV7">
        <v>7.7</v>
      </c>
      <c r="AX7">
        <v>6.3</v>
      </c>
      <c r="AY7">
        <v>1.1000000000000001</v>
      </c>
      <c r="AZ7">
        <v>2.7</v>
      </c>
      <c r="BH7">
        <v>12.7</v>
      </c>
      <c r="BI7">
        <v>5.8</v>
      </c>
      <c r="BJ7">
        <v>1.2</v>
      </c>
      <c r="BL7">
        <v>1.8</v>
      </c>
      <c r="BM7">
        <v>0.3</v>
      </c>
      <c r="BO7">
        <v>0.7</v>
      </c>
      <c r="BQ7">
        <v>20.2</v>
      </c>
      <c r="BT7">
        <v>7.2</v>
      </c>
      <c r="BV7">
        <v>2.2999999999999998</v>
      </c>
      <c r="BW7">
        <v>2.5</v>
      </c>
      <c r="BY7">
        <v>3.6</v>
      </c>
      <c r="BZ7">
        <v>2.6</v>
      </c>
      <c r="CF7">
        <v>0.6</v>
      </c>
      <c r="CG7">
        <v>0.5</v>
      </c>
      <c r="CH7">
        <v>3.6</v>
      </c>
      <c r="CI7">
        <v>1</v>
      </c>
      <c r="CM7">
        <v>2</v>
      </c>
      <c r="CO7">
        <v>15.9</v>
      </c>
      <c r="CP7">
        <v>0.9</v>
      </c>
      <c r="CQ7">
        <v>1.3</v>
      </c>
      <c r="CS7">
        <v>2</v>
      </c>
      <c r="CV7">
        <v>11.5</v>
      </c>
      <c r="CX7">
        <v>1.6</v>
      </c>
      <c r="CY7">
        <v>2.6</v>
      </c>
      <c r="DA7" s="2"/>
      <c r="DD7" s="1">
        <v>40914</v>
      </c>
      <c r="DE7" s="2">
        <f t="shared" si="0"/>
        <v>5.0479999999999992</v>
      </c>
      <c r="DF7" s="2">
        <f t="shared" si="1"/>
        <v>2.4745098039215683</v>
      </c>
      <c r="DG7" s="2">
        <f t="shared" si="2"/>
        <v>23.7</v>
      </c>
      <c r="DH7" s="2">
        <f t="shared" si="3"/>
        <v>0.1</v>
      </c>
      <c r="DI7" s="3">
        <f t="shared" si="4"/>
        <v>0.49019607843137253</v>
      </c>
      <c r="DK7">
        <v>183</v>
      </c>
      <c r="DL7" s="9" t="s">
        <v>10</v>
      </c>
      <c r="DM7" s="18">
        <f>AVERAGE(DE174:DE203)</f>
        <v>5.1744858330162868</v>
      </c>
      <c r="DN7" s="18">
        <f>AVERAGE(DF174:DF203)</f>
        <v>1.1334967320261435</v>
      </c>
      <c r="DO7" s="18">
        <f>AVERAGE(DG174:DG203)</f>
        <v>32.43333333333333</v>
      </c>
      <c r="DP7" s="18">
        <f>MAX(DG174:DG203)</f>
        <v>91</v>
      </c>
      <c r="DQ7" s="18">
        <f>MIN(DH174:DH203)</f>
        <v>0.1</v>
      </c>
      <c r="DR7" s="3">
        <f>AVERAGE(DI174:DI203)</f>
        <v>0.21732026143790859</v>
      </c>
      <c r="DU7">
        <v>1916</v>
      </c>
      <c r="DV7" s="2">
        <v>58.6</v>
      </c>
      <c r="DW7" s="2">
        <v>58.8</v>
      </c>
      <c r="DX7" s="2">
        <v>47.6</v>
      </c>
      <c r="DY7" s="2">
        <v>31.2</v>
      </c>
      <c r="DZ7" s="2">
        <v>39</v>
      </c>
      <c r="EA7" s="2">
        <v>3.1</v>
      </c>
      <c r="EB7" s="2">
        <v>0.8</v>
      </c>
      <c r="EC7" s="2">
        <v>26.1</v>
      </c>
      <c r="ED7" s="2">
        <v>70.7</v>
      </c>
      <c r="EE7" s="2">
        <v>22.8</v>
      </c>
      <c r="EF7" s="2">
        <v>46</v>
      </c>
      <c r="EG7" s="2">
        <v>47.5</v>
      </c>
      <c r="EI7">
        <v>452.2</v>
      </c>
      <c r="EJ7">
        <v>1916</v>
      </c>
      <c r="EL7">
        <v>1916</v>
      </c>
      <c r="EM7">
        <v>23.1</v>
      </c>
      <c r="EN7">
        <v>15.3</v>
      </c>
      <c r="EO7">
        <v>17.5</v>
      </c>
      <c r="EP7">
        <v>10</v>
      </c>
      <c r="EQ7">
        <v>10.1</v>
      </c>
      <c r="ER7">
        <v>1.9</v>
      </c>
      <c r="ES7">
        <v>1.6</v>
      </c>
      <c r="ET7">
        <v>15.5</v>
      </c>
      <c r="EU7">
        <v>24.1</v>
      </c>
      <c r="EV7">
        <v>8.4</v>
      </c>
      <c r="EW7">
        <v>14.5</v>
      </c>
      <c r="EX7">
        <v>8.1999999999999993</v>
      </c>
      <c r="EZ7">
        <v>24.1</v>
      </c>
      <c r="FA7">
        <v>1916</v>
      </c>
      <c r="FB7" t="s">
        <v>13</v>
      </c>
      <c r="FE7">
        <v>1916</v>
      </c>
      <c r="FF7">
        <v>20</v>
      </c>
      <c r="FG7">
        <v>14</v>
      </c>
      <c r="FH7">
        <v>15</v>
      </c>
      <c r="FI7">
        <v>11</v>
      </c>
      <c r="FJ7">
        <v>14</v>
      </c>
      <c r="FK7">
        <v>3</v>
      </c>
      <c r="FL7">
        <v>1</v>
      </c>
      <c r="FM7">
        <v>8</v>
      </c>
      <c r="FN7">
        <v>10</v>
      </c>
      <c r="FO7">
        <v>7</v>
      </c>
      <c r="FP7">
        <v>12</v>
      </c>
      <c r="FQ7">
        <v>15</v>
      </c>
      <c r="FS7">
        <f t="shared" si="5"/>
        <v>130</v>
      </c>
      <c r="FT7">
        <v>1916</v>
      </c>
      <c r="FW7">
        <v>1916</v>
      </c>
      <c r="FX7">
        <v>2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K7">
        <f t="shared" si="6"/>
        <v>2</v>
      </c>
    </row>
    <row r="8" spans="1:193">
      <c r="A8" s="17" t="s">
        <v>40</v>
      </c>
      <c r="C8">
        <v>0.7</v>
      </c>
      <c r="D8">
        <v>2</v>
      </c>
      <c r="F8">
        <v>23.5</v>
      </c>
      <c r="G8">
        <v>0.8</v>
      </c>
      <c r="L8">
        <v>2</v>
      </c>
      <c r="M8">
        <v>5.8</v>
      </c>
      <c r="N8">
        <v>9.6</v>
      </c>
      <c r="O8">
        <v>2.1</v>
      </c>
      <c r="P8">
        <v>2.4</v>
      </c>
      <c r="R8">
        <v>3.2</v>
      </c>
      <c r="S8">
        <v>3</v>
      </c>
      <c r="T8">
        <v>2</v>
      </c>
      <c r="U8">
        <v>0.2</v>
      </c>
      <c r="V8">
        <v>1.6</v>
      </c>
      <c r="Y8">
        <v>1.6</v>
      </c>
      <c r="Z8">
        <v>1</v>
      </c>
      <c r="AC8">
        <v>1</v>
      </c>
      <c r="AE8">
        <v>0.7</v>
      </c>
      <c r="AG8">
        <v>1.1000000000000001</v>
      </c>
      <c r="AH8">
        <v>4</v>
      </c>
      <c r="AI8">
        <v>10</v>
      </c>
      <c r="AJ8">
        <v>10</v>
      </c>
      <c r="AK8">
        <v>0.5</v>
      </c>
      <c r="AL8">
        <v>12.7</v>
      </c>
      <c r="AM8">
        <v>0.9</v>
      </c>
      <c r="AO8">
        <v>13.4</v>
      </c>
      <c r="AQ8">
        <v>7.5</v>
      </c>
      <c r="AS8">
        <v>14</v>
      </c>
      <c r="AU8">
        <v>7.8</v>
      </c>
      <c r="AV8">
        <v>1.6</v>
      </c>
      <c r="AW8">
        <v>1.7</v>
      </c>
      <c r="AY8">
        <v>16.899999999999999</v>
      </c>
      <c r="AZ8">
        <v>2.9</v>
      </c>
      <c r="BD8">
        <v>2.5</v>
      </c>
      <c r="BE8">
        <v>10.8</v>
      </c>
      <c r="BF8">
        <v>5.2</v>
      </c>
      <c r="BG8">
        <v>6.3</v>
      </c>
      <c r="BH8">
        <v>5</v>
      </c>
      <c r="BI8">
        <v>5</v>
      </c>
      <c r="BJ8">
        <v>3.8</v>
      </c>
      <c r="BL8">
        <v>0.7</v>
      </c>
      <c r="BM8">
        <v>9.5</v>
      </c>
      <c r="BO8">
        <v>0.6</v>
      </c>
      <c r="BQ8">
        <v>17.8</v>
      </c>
      <c r="BR8">
        <v>0.5</v>
      </c>
      <c r="BS8">
        <v>2.4</v>
      </c>
      <c r="BT8">
        <v>14.9</v>
      </c>
      <c r="BU8">
        <v>21.4</v>
      </c>
      <c r="BW8">
        <v>8.4</v>
      </c>
      <c r="BX8">
        <v>5.0999999999999996</v>
      </c>
      <c r="BY8">
        <v>6.1</v>
      </c>
      <c r="BZ8">
        <v>13.1</v>
      </c>
      <c r="CB8">
        <v>3.5</v>
      </c>
      <c r="CF8">
        <v>5.7</v>
      </c>
      <c r="CH8">
        <v>0.2</v>
      </c>
      <c r="CI8">
        <v>0.1</v>
      </c>
      <c r="CJ8">
        <v>13.9</v>
      </c>
      <c r="CK8">
        <v>3.5</v>
      </c>
      <c r="CM8">
        <v>20.100000000000001</v>
      </c>
      <c r="CO8">
        <v>4.5999999999999996</v>
      </c>
      <c r="CP8">
        <v>1.2</v>
      </c>
      <c r="CQ8">
        <v>0.2</v>
      </c>
      <c r="CR8">
        <v>1</v>
      </c>
      <c r="CS8">
        <v>2.2000000000000002</v>
      </c>
      <c r="CU8">
        <v>2.9</v>
      </c>
      <c r="CY8">
        <v>20</v>
      </c>
      <c r="CZ8">
        <v>6</v>
      </c>
      <c r="DA8" s="2"/>
      <c r="DD8" s="1">
        <v>40915</v>
      </c>
      <c r="DE8" s="2">
        <f t="shared" si="0"/>
        <v>5.8567164179104481</v>
      </c>
      <c r="DF8" s="2">
        <f t="shared" si="1"/>
        <v>3.8470588235294123</v>
      </c>
      <c r="DG8" s="2">
        <f t="shared" si="2"/>
        <v>23.5</v>
      </c>
      <c r="DH8" s="2">
        <f t="shared" si="3"/>
        <v>0.1</v>
      </c>
      <c r="DI8" s="3">
        <f t="shared" si="4"/>
        <v>0.65686274509803921</v>
      </c>
      <c r="DK8">
        <v>214</v>
      </c>
      <c r="DL8" s="9" t="s">
        <v>11</v>
      </c>
      <c r="DM8" s="18">
        <f>AVERAGE(DE208:DE238)</f>
        <v>6.9899953981735168</v>
      </c>
      <c r="DN8" s="18">
        <f>AVERAGE(DF208:DF238)</f>
        <v>1.0310879190385831</v>
      </c>
      <c r="DO8" s="18">
        <f>AVERAGE(DG208:DG238)</f>
        <v>36.70322580645162</v>
      </c>
      <c r="DP8" s="18">
        <f>MAX(DG208:DG238)</f>
        <v>165.8</v>
      </c>
      <c r="DQ8" s="18">
        <f>MIN(DH208:DH238)</f>
        <v>0.1</v>
      </c>
      <c r="DR8" s="3">
        <f>AVERAGE(DI208:DI238)</f>
        <v>0.14136622390891843</v>
      </c>
      <c r="DU8">
        <v>1917</v>
      </c>
      <c r="DV8" s="2">
        <v>102.9</v>
      </c>
      <c r="DW8" s="2">
        <v>69.599999999999994</v>
      </c>
      <c r="DX8" s="2">
        <v>54.1</v>
      </c>
      <c r="DY8" s="2">
        <v>33.799999999999997</v>
      </c>
      <c r="DZ8" s="2">
        <v>17.100000000000001</v>
      </c>
      <c r="EA8" s="2">
        <v>42.9</v>
      </c>
      <c r="EB8" s="2">
        <v>68.5</v>
      </c>
      <c r="EC8" s="2"/>
      <c r="ED8" s="2">
        <v>31</v>
      </c>
      <c r="EE8" s="2">
        <v>21.4</v>
      </c>
      <c r="EF8" s="2">
        <v>40.1</v>
      </c>
      <c r="EG8" s="2">
        <v>50.1</v>
      </c>
      <c r="EI8">
        <v>531.5</v>
      </c>
      <c r="EJ8">
        <v>1917</v>
      </c>
      <c r="EL8">
        <v>1917</v>
      </c>
      <c r="EM8">
        <v>19.899999999999999</v>
      </c>
      <c r="EN8">
        <v>28.2</v>
      </c>
      <c r="EO8">
        <v>32.1</v>
      </c>
      <c r="EP8">
        <v>6.9</v>
      </c>
      <c r="EQ8">
        <v>5.2</v>
      </c>
      <c r="ER8">
        <v>28.2</v>
      </c>
      <c r="ES8">
        <v>0.8</v>
      </c>
      <c r="ET8">
        <v>0</v>
      </c>
      <c r="EU8">
        <v>19.5</v>
      </c>
      <c r="EV8">
        <v>8.3000000000000007</v>
      </c>
      <c r="EW8">
        <v>19.7</v>
      </c>
      <c r="EX8">
        <v>9.4</v>
      </c>
      <c r="EZ8">
        <v>32.1</v>
      </c>
      <c r="FA8">
        <v>1917</v>
      </c>
      <c r="FB8" t="s">
        <v>7</v>
      </c>
      <c r="FE8">
        <v>1917</v>
      </c>
      <c r="FF8">
        <v>17</v>
      </c>
      <c r="FG8">
        <v>14</v>
      </c>
      <c r="FH8">
        <v>10</v>
      </c>
      <c r="FI8">
        <v>9</v>
      </c>
      <c r="FJ8">
        <v>9</v>
      </c>
      <c r="FK8">
        <v>6</v>
      </c>
      <c r="FL8">
        <v>5</v>
      </c>
      <c r="FM8">
        <v>0</v>
      </c>
      <c r="FN8">
        <v>5</v>
      </c>
      <c r="FO8">
        <v>7</v>
      </c>
      <c r="FP8">
        <v>10</v>
      </c>
      <c r="FQ8">
        <v>12</v>
      </c>
      <c r="FS8">
        <f t="shared" si="5"/>
        <v>104</v>
      </c>
      <c r="FT8">
        <v>1917</v>
      </c>
      <c r="FW8">
        <v>1917</v>
      </c>
      <c r="FX8">
        <v>1</v>
      </c>
      <c r="FY8">
        <v>2</v>
      </c>
      <c r="FZ8">
        <v>3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3</v>
      </c>
      <c r="GK8">
        <f t="shared" si="6"/>
        <v>9</v>
      </c>
    </row>
    <row r="9" spans="1:193">
      <c r="A9" s="17" t="s">
        <v>41</v>
      </c>
      <c r="C9">
        <v>29.3</v>
      </c>
      <c r="D9">
        <v>11.6</v>
      </c>
      <c r="E9">
        <v>9.6</v>
      </c>
      <c r="H9">
        <v>8.6999999999999993</v>
      </c>
      <c r="L9">
        <v>0.4</v>
      </c>
      <c r="M9">
        <v>12.9</v>
      </c>
      <c r="N9">
        <v>0.1</v>
      </c>
      <c r="P9">
        <v>0.5</v>
      </c>
      <c r="Q9">
        <v>0.1</v>
      </c>
      <c r="S9">
        <v>2</v>
      </c>
      <c r="T9">
        <v>6.2</v>
      </c>
      <c r="Z9">
        <v>0.2</v>
      </c>
      <c r="AB9">
        <v>17.8</v>
      </c>
      <c r="AC9">
        <v>4</v>
      </c>
      <c r="AD9">
        <v>1.2</v>
      </c>
      <c r="AE9">
        <v>1.1000000000000001</v>
      </c>
      <c r="AF9">
        <v>0.2</v>
      </c>
      <c r="AH9">
        <v>0.3</v>
      </c>
      <c r="AI9">
        <v>2.4</v>
      </c>
      <c r="AJ9">
        <v>1.3</v>
      </c>
      <c r="AQ9">
        <v>15.3</v>
      </c>
      <c r="AR9">
        <v>1.9</v>
      </c>
      <c r="AS9">
        <v>6.3</v>
      </c>
      <c r="AU9">
        <v>2.9</v>
      </c>
      <c r="AW9">
        <v>20.2</v>
      </c>
      <c r="AX9">
        <v>1.2</v>
      </c>
      <c r="AY9">
        <v>5</v>
      </c>
      <c r="AZ9">
        <v>0.2</v>
      </c>
      <c r="BA9">
        <v>7</v>
      </c>
      <c r="BB9">
        <v>3.3</v>
      </c>
      <c r="BD9">
        <v>0.9</v>
      </c>
      <c r="BE9">
        <v>4.5</v>
      </c>
      <c r="BF9">
        <v>7.8</v>
      </c>
      <c r="BG9">
        <v>35</v>
      </c>
      <c r="BH9">
        <v>0.3</v>
      </c>
      <c r="BI9">
        <v>4.9000000000000004</v>
      </c>
      <c r="BJ9">
        <v>9.8000000000000007</v>
      </c>
      <c r="BL9">
        <v>0.8</v>
      </c>
      <c r="BM9">
        <v>3.6</v>
      </c>
      <c r="BN9">
        <v>39</v>
      </c>
      <c r="BO9">
        <v>0.1</v>
      </c>
      <c r="BP9">
        <v>3</v>
      </c>
      <c r="BQ9">
        <v>10.6</v>
      </c>
      <c r="BR9">
        <v>3.3</v>
      </c>
      <c r="BS9">
        <v>3.6</v>
      </c>
      <c r="BT9">
        <v>28.4</v>
      </c>
      <c r="BW9">
        <v>0.6</v>
      </c>
      <c r="BX9">
        <v>0.1</v>
      </c>
      <c r="BY9">
        <v>0.2</v>
      </c>
      <c r="CB9">
        <v>6.3</v>
      </c>
      <c r="CD9">
        <v>0.8</v>
      </c>
      <c r="CF9">
        <v>3.1</v>
      </c>
      <c r="CH9">
        <v>0.8</v>
      </c>
      <c r="CJ9">
        <v>12.6</v>
      </c>
      <c r="CM9">
        <v>23.7</v>
      </c>
      <c r="CO9">
        <v>2.1</v>
      </c>
      <c r="CQ9">
        <v>0.1</v>
      </c>
      <c r="CS9">
        <v>7.2</v>
      </c>
      <c r="CU9">
        <v>0.1</v>
      </c>
      <c r="CV9">
        <v>7</v>
      </c>
      <c r="CY9">
        <v>4.5</v>
      </c>
      <c r="CZ9">
        <v>3.2</v>
      </c>
      <c r="DA9" s="2"/>
      <c r="DD9" s="1">
        <v>40916</v>
      </c>
      <c r="DE9" s="2">
        <f t="shared" si="0"/>
        <v>6.4709677419354881</v>
      </c>
      <c r="DF9" s="2">
        <f t="shared" si="1"/>
        <v>3.9333333333333358</v>
      </c>
      <c r="DG9" s="2">
        <f t="shared" si="2"/>
        <v>39</v>
      </c>
      <c r="DH9" s="2">
        <f t="shared" si="3"/>
        <v>0.1</v>
      </c>
      <c r="DI9" s="3">
        <f t="shared" si="4"/>
        <v>0.60784313725490191</v>
      </c>
      <c r="DK9">
        <v>245</v>
      </c>
      <c r="DL9" s="9" t="s">
        <v>12</v>
      </c>
      <c r="DM9" s="18">
        <f>AVERAGE(DE243:DE273)</f>
        <v>7.1531360820924954</v>
      </c>
      <c r="DN9" s="18">
        <f>AVERAGE(DF243:DF273)</f>
        <v>1.1514563106796118</v>
      </c>
      <c r="DO9" s="18">
        <f>AVERAGE(DG243:DG273)</f>
        <v>41.609677419354831</v>
      </c>
      <c r="DP9" s="18">
        <f>MAX(DG243:DG273)</f>
        <v>88.7</v>
      </c>
      <c r="DQ9" s="18">
        <f>MIN(DH243:DH273)</f>
        <v>0.1</v>
      </c>
      <c r="DR9" s="3">
        <f>AVERAGE(DI243:DI273)</f>
        <v>0.1603507673034763</v>
      </c>
      <c r="DU9">
        <v>1918</v>
      </c>
      <c r="DV9" s="2">
        <v>103.2</v>
      </c>
      <c r="DW9" s="2">
        <v>66.099999999999994</v>
      </c>
      <c r="DX9" s="2">
        <v>63.2</v>
      </c>
      <c r="DY9" s="2">
        <v>12.3</v>
      </c>
      <c r="DZ9" s="2">
        <v>1.4</v>
      </c>
      <c r="EA9" s="2">
        <v>17.5</v>
      </c>
      <c r="EB9" s="2">
        <v>34.200000000000003</v>
      </c>
      <c r="EC9" s="2">
        <v>34.700000000000003</v>
      </c>
      <c r="ED9" s="2">
        <v>13.4</v>
      </c>
      <c r="EE9" s="2">
        <v>26.5</v>
      </c>
      <c r="EF9" s="2">
        <v>168.3</v>
      </c>
      <c r="EG9" s="2">
        <v>130.5</v>
      </c>
      <c r="EI9">
        <v>671.3</v>
      </c>
      <c r="EJ9">
        <v>1918</v>
      </c>
      <c r="EL9">
        <v>1918</v>
      </c>
      <c r="EM9">
        <v>46.8</v>
      </c>
      <c r="EN9">
        <v>7.7</v>
      </c>
      <c r="EO9">
        <v>27.3</v>
      </c>
      <c r="EP9">
        <v>5</v>
      </c>
      <c r="EQ9">
        <v>0.4</v>
      </c>
      <c r="ER9">
        <v>5.9</v>
      </c>
      <c r="ES9">
        <v>41.7</v>
      </c>
      <c r="ET9">
        <v>24</v>
      </c>
      <c r="EU9">
        <v>8.1999999999999993</v>
      </c>
      <c r="EV9">
        <v>8.1</v>
      </c>
      <c r="EW9">
        <v>54.9</v>
      </c>
      <c r="EX9">
        <v>43.3</v>
      </c>
      <c r="EZ9">
        <v>54.9</v>
      </c>
      <c r="FA9">
        <v>1918</v>
      </c>
      <c r="FB9" t="s">
        <v>15</v>
      </c>
      <c r="FE9">
        <v>1918</v>
      </c>
      <c r="FF9">
        <v>9</v>
      </c>
      <c r="FG9">
        <v>17</v>
      </c>
      <c r="FH9">
        <v>8</v>
      </c>
      <c r="FI9">
        <v>5</v>
      </c>
      <c r="FJ9">
        <v>4</v>
      </c>
      <c r="FK9">
        <v>6</v>
      </c>
      <c r="FL9">
        <v>6</v>
      </c>
      <c r="FM9">
        <v>4</v>
      </c>
      <c r="FN9">
        <v>3</v>
      </c>
      <c r="FO9">
        <v>10</v>
      </c>
      <c r="FP9">
        <v>19</v>
      </c>
      <c r="FQ9">
        <v>13</v>
      </c>
      <c r="FS9">
        <f t="shared" si="5"/>
        <v>104</v>
      </c>
      <c r="FT9">
        <v>1918</v>
      </c>
      <c r="FW9">
        <v>1918</v>
      </c>
      <c r="FX9">
        <v>0</v>
      </c>
      <c r="FY9">
        <v>1</v>
      </c>
      <c r="FZ9">
        <v>2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K9">
        <f t="shared" si="6"/>
        <v>3</v>
      </c>
    </row>
    <row r="10" spans="1:193">
      <c r="A10" s="17" t="s">
        <v>42</v>
      </c>
      <c r="C10">
        <v>0.6</v>
      </c>
      <c r="D10">
        <v>0.5</v>
      </c>
      <c r="E10">
        <v>35.799999999999997</v>
      </c>
      <c r="G10">
        <v>0.9</v>
      </c>
      <c r="H10">
        <v>0.7</v>
      </c>
      <c r="J10">
        <v>6.1</v>
      </c>
      <c r="K10">
        <v>20.7</v>
      </c>
      <c r="L10">
        <v>0.1</v>
      </c>
      <c r="M10">
        <v>0.4</v>
      </c>
      <c r="Q10">
        <v>0.2</v>
      </c>
      <c r="T10">
        <v>0.5</v>
      </c>
      <c r="V10">
        <v>1.8</v>
      </c>
      <c r="X10">
        <v>11.7</v>
      </c>
      <c r="Z10">
        <v>1.2</v>
      </c>
      <c r="AA10">
        <v>0.2</v>
      </c>
      <c r="AB10">
        <v>9.9</v>
      </c>
      <c r="AE10">
        <v>1.1000000000000001</v>
      </c>
      <c r="AF10">
        <v>1.2</v>
      </c>
      <c r="AG10">
        <v>5.0999999999999996</v>
      </c>
      <c r="AI10">
        <v>0.2</v>
      </c>
      <c r="AL10">
        <v>2.9</v>
      </c>
      <c r="AM10">
        <v>16</v>
      </c>
      <c r="AR10">
        <v>10.1</v>
      </c>
      <c r="AS10">
        <v>8.5</v>
      </c>
      <c r="AT10">
        <v>0.2</v>
      </c>
      <c r="AX10">
        <v>13</v>
      </c>
      <c r="BA10">
        <v>7.2</v>
      </c>
      <c r="BB10">
        <v>20.100000000000001</v>
      </c>
      <c r="BC10">
        <v>0.5</v>
      </c>
      <c r="BF10">
        <v>1</v>
      </c>
      <c r="BH10">
        <v>4.7</v>
      </c>
      <c r="BI10">
        <v>0.3</v>
      </c>
      <c r="BJ10">
        <v>19.7</v>
      </c>
      <c r="BL10">
        <v>2.2000000000000002</v>
      </c>
      <c r="BM10">
        <v>14.4</v>
      </c>
      <c r="BN10">
        <v>27.5</v>
      </c>
      <c r="BP10">
        <v>5.9</v>
      </c>
      <c r="BQ10">
        <v>5.5</v>
      </c>
      <c r="BR10">
        <v>0.1</v>
      </c>
      <c r="BS10">
        <v>1.8</v>
      </c>
      <c r="BT10">
        <v>6.8</v>
      </c>
      <c r="BV10">
        <v>1.2</v>
      </c>
      <c r="BX10">
        <v>37.4</v>
      </c>
      <c r="BZ10">
        <v>22</v>
      </c>
      <c r="CB10">
        <v>4.5</v>
      </c>
      <c r="CD10">
        <v>0.9</v>
      </c>
      <c r="CF10">
        <v>2.5</v>
      </c>
      <c r="CG10">
        <v>0.2</v>
      </c>
      <c r="CH10">
        <v>5.2</v>
      </c>
      <c r="CJ10">
        <v>3.7</v>
      </c>
      <c r="CL10">
        <v>0.2</v>
      </c>
      <c r="CM10">
        <v>6.2</v>
      </c>
      <c r="CN10">
        <v>1.5</v>
      </c>
      <c r="CR10">
        <v>0.1</v>
      </c>
      <c r="CS10">
        <v>32.4</v>
      </c>
      <c r="CU10">
        <v>4.3</v>
      </c>
      <c r="CY10">
        <v>2</v>
      </c>
      <c r="DA10" s="2"/>
      <c r="DD10" s="1">
        <v>40917</v>
      </c>
      <c r="DE10" s="2">
        <f t="shared" si="0"/>
        <v>6.8701754385964895</v>
      </c>
      <c r="DF10" s="2">
        <f t="shared" si="1"/>
        <v>3.839215686274509</v>
      </c>
      <c r="DG10" s="2">
        <f t="shared" si="2"/>
        <v>37.4</v>
      </c>
      <c r="DH10" s="2">
        <f t="shared" si="3"/>
        <v>0.1</v>
      </c>
      <c r="DI10" s="3">
        <f t="shared" si="4"/>
        <v>0.55882352941176472</v>
      </c>
      <c r="DK10">
        <v>275</v>
      </c>
      <c r="DL10" s="9" t="s">
        <v>13</v>
      </c>
      <c r="DM10" s="18">
        <f>AVERAGE(DE278:DE307)</f>
        <v>7.6315550430008221</v>
      </c>
      <c r="DN10" s="18">
        <f>AVERAGE(DF278:DF307)</f>
        <v>2.3001618122977359</v>
      </c>
      <c r="DO10" s="18">
        <f>AVERAGE(DG278:DG307)</f>
        <v>48.106666666666669</v>
      </c>
      <c r="DP10" s="18">
        <f>MAX(DG278:DG307)</f>
        <v>123</v>
      </c>
      <c r="DQ10" s="18">
        <f>MIN(DH278:DH307)</f>
        <v>0.1</v>
      </c>
      <c r="DR10" s="3">
        <f>AVERAGE(DI278:DI307)</f>
        <v>0.29838187702265379</v>
      </c>
      <c r="DU10">
        <v>1919</v>
      </c>
      <c r="DV10" s="2">
        <v>50.6</v>
      </c>
      <c r="DW10" s="2">
        <v>89.7</v>
      </c>
      <c r="DX10" s="2">
        <v>46.6</v>
      </c>
      <c r="DY10" s="2">
        <v>13</v>
      </c>
      <c r="DZ10" s="2">
        <v>166.7</v>
      </c>
      <c r="EA10" s="2">
        <v>70.5</v>
      </c>
      <c r="EB10" s="2">
        <v>20.5</v>
      </c>
      <c r="EC10" s="2">
        <v>28.4</v>
      </c>
      <c r="ED10" s="2">
        <v>53.2</v>
      </c>
      <c r="EE10" s="2">
        <v>78.5</v>
      </c>
      <c r="EF10" s="2">
        <v>143.30000000000001</v>
      </c>
      <c r="EG10" s="2">
        <v>151.30000000000001</v>
      </c>
      <c r="EI10">
        <v>912.3</v>
      </c>
      <c r="EJ10">
        <v>1919</v>
      </c>
      <c r="EL10">
        <v>1919</v>
      </c>
      <c r="EM10">
        <v>14.9</v>
      </c>
      <c r="EN10">
        <v>19</v>
      </c>
      <c r="EO10">
        <v>12.4</v>
      </c>
      <c r="EP10">
        <v>4.7</v>
      </c>
      <c r="EQ10">
        <v>41.5</v>
      </c>
      <c r="ER10">
        <v>31.8</v>
      </c>
      <c r="ES10">
        <v>21.1</v>
      </c>
      <c r="ET10">
        <v>11.6</v>
      </c>
      <c r="EU10">
        <v>31.2</v>
      </c>
      <c r="EV10">
        <v>30.4</v>
      </c>
      <c r="EW10">
        <v>33.1</v>
      </c>
      <c r="EX10">
        <v>19.899999999999999</v>
      </c>
      <c r="EZ10">
        <v>41.5</v>
      </c>
      <c r="FA10">
        <v>1919</v>
      </c>
      <c r="FB10" t="s">
        <v>9</v>
      </c>
      <c r="FE10">
        <v>1919</v>
      </c>
      <c r="FF10">
        <v>16</v>
      </c>
      <c r="FG10">
        <v>16</v>
      </c>
      <c r="FH10">
        <v>13</v>
      </c>
      <c r="FI10">
        <v>9</v>
      </c>
      <c r="FJ10">
        <v>11</v>
      </c>
      <c r="FK10">
        <v>7</v>
      </c>
      <c r="FL10">
        <v>4</v>
      </c>
      <c r="FM10">
        <v>5</v>
      </c>
      <c r="FN10">
        <v>6</v>
      </c>
      <c r="FO10">
        <v>13</v>
      </c>
      <c r="FP10">
        <v>10</v>
      </c>
      <c r="FQ10">
        <v>15</v>
      </c>
      <c r="FS10">
        <f t="shared" si="5"/>
        <v>125</v>
      </c>
      <c r="FT10">
        <v>1919</v>
      </c>
      <c r="FW10">
        <v>1919</v>
      </c>
      <c r="FX10">
        <v>0</v>
      </c>
      <c r="FY10">
        <v>4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K10">
        <f t="shared" si="6"/>
        <v>4</v>
      </c>
    </row>
    <row r="11" spans="1:193">
      <c r="A11" s="17" t="s">
        <v>43</v>
      </c>
      <c r="E11">
        <v>0.3</v>
      </c>
      <c r="G11">
        <v>23.1</v>
      </c>
      <c r="I11">
        <v>46.8</v>
      </c>
      <c r="J11">
        <v>11.1</v>
      </c>
      <c r="K11">
        <v>16.8</v>
      </c>
      <c r="N11">
        <v>4.2</v>
      </c>
      <c r="P11">
        <v>0.2</v>
      </c>
      <c r="Q11">
        <v>42</v>
      </c>
      <c r="V11">
        <v>5</v>
      </c>
      <c r="W11">
        <v>43.8</v>
      </c>
      <c r="X11">
        <v>3.5</v>
      </c>
      <c r="Y11">
        <v>3.2</v>
      </c>
      <c r="Z11">
        <v>3</v>
      </c>
      <c r="AB11">
        <v>1.8</v>
      </c>
      <c r="AE11">
        <v>0.9</v>
      </c>
      <c r="AF11">
        <v>1.2</v>
      </c>
      <c r="AG11">
        <v>2.7</v>
      </c>
      <c r="AH11">
        <v>7.1</v>
      </c>
      <c r="AN11">
        <v>8.1999999999999993</v>
      </c>
      <c r="AO11">
        <v>0.5</v>
      </c>
      <c r="AR11">
        <v>5.0999999999999996</v>
      </c>
      <c r="AS11">
        <v>5.7</v>
      </c>
      <c r="AT11">
        <v>1.3</v>
      </c>
      <c r="AX11">
        <v>6.4</v>
      </c>
      <c r="AY11">
        <v>2.2999999999999998</v>
      </c>
      <c r="AZ11">
        <v>10.1</v>
      </c>
      <c r="BC11">
        <v>9</v>
      </c>
      <c r="BD11">
        <v>3.3</v>
      </c>
      <c r="BF11">
        <v>18.7</v>
      </c>
      <c r="BG11">
        <v>22.5</v>
      </c>
      <c r="BH11">
        <v>15.1</v>
      </c>
      <c r="BJ11">
        <v>10</v>
      </c>
      <c r="BK11">
        <v>2</v>
      </c>
      <c r="BL11">
        <v>0.8</v>
      </c>
      <c r="BN11">
        <v>0.2</v>
      </c>
      <c r="BO11">
        <v>0.1</v>
      </c>
      <c r="BP11">
        <v>0.7</v>
      </c>
      <c r="BQ11">
        <v>4</v>
      </c>
      <c r="BR11">
        <v>0.1</v>
      </c>
      <c r="BT11">
        <v>32.1</v>
      </c>
      <c r="BU11">
        <v>12.5</v>
      </c>
      <c r="BV11">
        <v>0.2</v>
      </c>
      <c r="BW11">
        <v>15.8</v>
      </c>
      <c r="BX11">
        <v>20</v>
      </c>
      <c r="BY11">
        <v>10.5</v>
      </c>
      <c r="CA11">
        <v>1</v>
      </c>
      <c r="CG11">
        <v>1.1000000000000001</v>
      </c>
      <c r="CH11">
        <v>1.6</v>
      </c>
      <c r="CJ11">
        <v>0.4</v>
      </c>
      <c r="CK11">
        <v>8.3000000000000007</v>
      </c>
      <c r="CM11">
        <v>1.5</v>
      </c>
      <c r="CO11">
        <v>2.8</v>
      </c>
      <c r="CS11">
        <v>12</v>
      </c>
      <c r="CU11">
        <v>1.3</v>
      </c>
      <c r="CW11">
        <v>10.5</v>
      </c>
      <c r="CY11">
        <v>6</v>
      </c>
      <c r="DA11" s="2"/>
      <c r="DD11" s="1">
        <v>40918</v>
      </c>
      <c r="DE11" s="2">
        <f t="shared" si="0"/>
        <v>8.578571428571431</v>
      </c>
      <c r="DF11" s="2">
        <f t="shared" si="1"/>
        <v>4.7098039215686285</v>
      </c>
      <c r="DG11" s="2">
        <f t="shared" si="2"/>
        <v>46.8</v>
      </c>
      <c r="DH11" s="2">
        <f t="shared" si="3"/>
        <v>0.1</v>
      </c>
      <c r="DI11" s="3">
        <f t="shared" si="4"/>
        <v>0.5490196078431373</v>
      </c>
      <c r="DK11">
        <v>306</v>
      </c>
      <c r="DL11" s="9" t="s">
        <v>14</v>
      </c>
      <c r="DM11" s="18">
        <f>AVERAGE(DE312:DE342)</f>
        <v>7.8035642049292822</v>
      </c>
      <c r="DN11" s="18">
        <f>AVERAGE(DF312:DF342)</f>
        <v>3.0035703100532407</v>
      </c>
      <c r="DO11" s="18">
        <f>AVERAGE(DG312:DG342)</f>
        <v>59.70322580645162</v>
      </c>
      <c r="DP11" s="18">
        <f>MAX(DG312:DG342)</f>
        <v>131.30000000000001</v>
      </c>
      <c r="DQ11" s="18">
        <f>MIN(DH312:DH342)</f>
        <v>0.1</v>
      </c>
      <c r="DR11" s="3">
        <f>AVERAGE(DI312:DI342)</f>
        <v>0.38271218290009401</v>
      </c>
      <c r="DU11">
        <v>1920</v>
      </c>
      <c r="DV11" s="2">
        <v>94.2</v>
      </c>
      <c r="DW11" s="2">
        <v>94.6</v>
      </c>
      <c r="DX11" s="2">
        <v>42.8</v>
      </c>
      <c r="DY11" s="2">
        <v>28</v>
      </c>
      <c r="DZ11" s="2">
        <v>43.6</v>
      </c>
      <c r="EA11" s="2">
        <v>43.1</v>
      </c>
      <c r="EB11" s="2">
        <v>1.6</v>
      </c>
      <c r="EC11" s="2">
        <v>16.5</v>
      </c>
      <c r="ED11" s="2">
        <v>35</v>
      </c>
      <c r="EE11" s="2">
        <v>138.4</v>
      </c>
      <c r="EF11" s="2">
        <v>96.3</v>
      </c>
      <c r="EG11" s="2">
        <v>26.8</v>
      </c>
      <c r="EI11">
        <v>660.9</v>
      </c>
      <c r="EJ11">
        <v>1920</v>
      </c>
      <c r="EL11">
        <v>1920</v>
      </c>
      <c r="EM11">
        <v>23.9</v>
      </c>
      <c r="EN11">
        <v>42.2</v>
      </c>
      <c r="EO11">
        <v>11.2</v>
      </c>
      <c r="EP11">
        <v>15.3</v>
      </c>
      <c r="EQ11">
        <v>15.8</v>
      </c>
      <c r="ER11">
        <v>26.8</v>
      </c>
      <c r="ES11">
        <v>7.4</v>
      </c>
      <c r="ET11">
        <v>16.5</v>
      </c>
      <c r="EU11">
        <v>10.5</v>
      </c>
      <c r="EV11">
        <v>37.700000000000003</v>
      </c>
      <c r="EW11">
        <v>27.5</v>
      </c>
      <c r="EX11">
        <v>12.3</v>
      </c>
      <c r="EZ11">
        <v>42.2</v>
      </c>
      <c r="FA11">
        <v>1920</v>
      </c>
      <c r="FB11" t="s">
        <v>6</v>
      </c>
      <c r="FE11">
        <v>1920</v>
      </c>
      <c r="FF11">
        <v>14</v>
      </c>
      <c r="FG11">
        <v>19</v>
      </c>
      <c r="FH11">
        <v>11</v>
      </c>
      <c r="FI11">
        <v>5</v>
      </c>
      <c r="FJ11">
        <v>8</v>
      </c>
      <c r="FK11">
        <v>6</v>
      </c>
      <c r="FL11">
        <v>3</v>
      </c>
      <c r="FM11">
        <v>1</v>
      </c>
      <c r="FN11">
        <v>10</v>
      </c>
      <c r="FO11">
        <v>18</v>
      </c>
      <c r="FP11">
        <v>14</v>
      </c>
      <c r="FQ11">
        <v>12</v>
      </c>
      <c r="FS11">
        <f t="shared" si="5"/>
        <v>121</v>
      </c>
      <c r="FT11">
        <v>1920</v>
      </c>
      <c r="FW11">
        <v>1920</v>
      </c>
      <c r="FX11">
        <v>1</v>
      </c>
      <c r="FY11">
        <v>5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K11">
        <f t="shared" si="6"/>
        <v>6</v>
      </c>
    </row>
    <row r="12" spans="1:193">
      <c r="A12" s="17" t="s">
        <v>44</v>
      </c>
      <c r="F12">
        <v>4.5</v>
      </c>
      <c r="G12">
        <v>0.1</v>
      </c>
      <c r="I12">
        <v>24</v>
      </c>
      <c r="J12">
        <v>0.8</v>
      </c>
      <c r="M12">
        <v>1.1000000000000001</v>
      </c>
      <c r="N12">
        <v>7.6</v>
      </c>
      <c r="P12">
        <v>1.7</v>
      </c>
      <c r="Q12">
        <v>7.8</v>
      </c>
      <c r="R12">
        <v>2</v>
      </c>
      <c r="V12">
        <v>1.1000000000000001</v>
      </c>
      <c r="W12">
        <v>1.6</v>
      </c>
      <c r="X12">
        <v>5.8</v>
      </c>
      <c r="Z12">
        <v>0.8</v>
      </c>
      <c r="AA12">
        <v>1.5</v>
      </c>
      <c r="AB12">
        <v>6.3</v>
      </c>
      <c r="AE12">
        <v>0.9</v>
      </c>
      <c r="AF12">
        <v>12.8</v>
      </c>
      <c r="AG12">
        <v>14.4</v>
      </c>
      <c r="AH12">
        <v>2</v>
      </c>
      <c r="AJ12">
        <v>3.5</v>
      </c>
      <c r="AL12">
        <v>5.4</v>
      </c>
      <c r="AP12">
        <v>0.1</v>
      </c>
      <c r="AS12">
        <v>5.2</v>
      </c>
      <c r="AT12">
        <v>0.4</v>
      </c>
      <c r="AV12">
        <v>0.5</v>
      </c>
      <c r="AX12">
        <v>9</v>
      </c>
      <c r="AY12">
        <v>22.6</v>
      </c>
      <c r="AZ12">
        <v>1.7</v>
      </c>
      <c r="BB12">
        <v>1.8</v>
      </c>
      <c r="BC12">
        <v>1.7</v>
      </c>
      <c r="BD12">
        <v>4.4000000000000004</v>
      </c>
      <c r="BG12">
        <v>32</v>
      </c>
      <c r="BH12">
        <v>6.4</v>
      </c>
      <c r="BI12">
        <v>0.1</v>
      </c>
      <c r="BJ12">
        <v>12.5</v>
      </c>
      <c r="BK12">
        <v>3.3</v>
      </c>
      <c r="BL12">
        <v>4.2</v>
      </c>
      <c r="BM12">
        <v>1.9</v>
      </c>
      <c r="BN12">
        <v>0.1</v>
      </c>
      <c r="BQ12">
        <v>0.2</v>
      </c>
      <c r="BR12">
        <v>35.5</v>
      </c>
      <c r="BS12">
        <v>0.1</v>
      </c>
      <c r="BU12">
        <v>0.2</v>
      </c>
      <c r="BW12">
        <v>25.8</v>
      </c>
      <c r="BX12">
        <v>2.7</v>
      </c>
      <c r="BY12">
        <v>1.5</v>
      </c>
      <c r="CA12">
        <v>5</v>
      </c>
      <c r="CG12">
        <v>0.1</v>
      </c>
      <c r="CH12">
        <v>1.9</v>
      </c>
      <c r="CK12">
        <v>0.1</v>
      </c>
      <c r="CM12">
        <v>5.5</v>
      </c>
      <c r="CQ12">
        <v>3.8</v>
      </c>
      <c r="CS12">
        <v>9.3000000000000007</v>
      </c>
      <c r="CV12">
        <v>1.7</v>
      </c>
      <c r="CW12">
        <v>1.7</v>
      </c>
      <c r="CY12">
        <v>14</v>
      </c>
      <c r="CZ12">
        <v>13.8</v>
      </c>
      <c r="DA12" s="2"/>
      <c r="DD12" s="1">
        <v>40919</v>
      </c>
      <c r="DE12" s="2">
        <f t="shared" si="0"/>
        <v>5.9035087719298245</v>
      </c>
      <c r="DF12" s="2">
        <f t="shared" si="1"/>
        <v>3.2990196078431371</v>
      </c>
      <c r="DG12" s="2">
        <f t="shared" si="2"/>
        <v>35.5</v>
      </c>
      <c r="DH12" s="2">
        <f t="shared" si="3"/>
        <v>0.1</v>
      </c>
      <c r="DI12" s="3">
        <f t="shared" si="4"/>
        <v>0.55882352941176472</v>
      </c>
      <c r="DK12">
        <v>336</v>
      </c>
      <c r="DL12" s="9" t="s">
        <v>15</v>
      </c>
      <c r="DM12" s="18">
        <f>AVERAGE(DE347:DE376)</f>
        <v>6.9601230658917084</v>
      </c>
      <c r="DN12" s="18">
        <f>AVERAGE(DF347:DF376)</f>
        <v>3.3494498381877027</v>
      </c>
      <c r="DO12" s="18">
        <f>AVERAGE(DG347:DG376)</f>
        <v>44.88333333333334</v>
      </c>
      <c r="DP12" s="18">
        <f>MAX(DG347:DG376)</f>
        <v>94.2</v>
      </c>
      <c r="DQ12" s="18">
        <f>MIN(DH347:DH376)</f>
        <v>0.1</v>
      </c>
      <c r="DR12" s="3">
        <f>AVERAGE(DI347:DI376)</f>
        <v>0.47864077669902905</v>
      </c>
      <c r="DU12">
        <v>1921</v>
      </c>
      <c r="DV12" s="2">
        <v>22.5</v>
      </c>
      <c r="DW12" s="2">
        <v>39.6</v>
      </c>
      <c r="DX12" s="2">
        <v>18.7</v>
      </c>
      <c r="DY12" s="2">
        <v>44.4</v>
      </c>
      <c r="DZ12" s="2">
        <v>15.2</v>
      </c>
      <c r="EA12" s="2">
        <v>46.6</v>
      </c>
      <c r="EB12" s="2">
        <v>63.3</v>
      </c>
      <c r="EC12" s="2">
        <v>13.3</v>
      </c>
      <c r="ED12" s="2">
        <v>94.4</v>
      </c>
      <c r="EE12" s="2">
        <v>18.7</v>
      </c>
      <c r="EF12" s="2">
        <v>64.099999999999994</v>
      </c>
      <c r="EG12" s="2">
        <v>69.599999999999994</v>
      </c>
      <c r="EI12">
        <v>510.4</v>
      </c>
      <c r="EJ12">
        <v>1921</v>
      </c>
      <c r="EL12">
        <v>1921</v>
      </c>
      <c r="EM12">
        <v>8.6999999999999993</v>
      </c>
      <c r="EN12">
        <v>11</v>
      </c>
      <c r="EO12">
        <v>6.1</v>
      </c>
      <c r="EP12">
        <v>8.6</v>
      </c>
      <c r="EQ12">
        <v>8.9</v>
      </c>
      <c r="ER12">
        <v>25.2</v>
      </c>
      <c r="ES12">
        <v>1.4</v>
      </c>
      <c r="ET12">
        <v>13</v>
      </c>
      <c r="EU12">
        <v>26.1</v>
      </c>
      <c r="EV12">
        <v>7</v>
      </c>
      <c r="EW12">
        <v>32.700000000000003</v>
      </c>
      <c r="EX12">
        <v>38.6</v>
      </c>
      <c r="EZ12">
        <v>38.6</v>
      </c>
      <c r="FA12">
        <v>1921</v>
      </c>
      <c r="FE12">
        <v>1921</v>
      </c>
      <c r="FF12">
        <v>16</v>
      </c>
      <c r="FG12">
        <v>16</v>
      </c>
      <c r="FH12">
        <v>7</v>
      </c>
      <c r="FI12">
        <v>16</v>
      </c>
      <c r="FJ12">
        <v>9</v>
      </c>
      <c r="FK12">
        <v>9</v>
      </c>
      <c r="FL12">
        <v>6</v>
      </c>
      <c r="FM12">
        <v>3</v>
      </c>
      <c r="FN12">
        <v>12</v>
      </c>
      <c r="FO12">
        <v>6</v>
      </c>
      <c r="FP12">
        <v>16</v>
      </c>
      <c r="FQ12">
        <v>14</v>
      </c>
      <c r="FS12">
        <f t="shared" si="5"/>
        <v>130</v>
      </c>
      <c r="FT12">
        <v>1921</v>
      </c>
      <c r="FW12">
        <v>1921</v>
      </c>
      <c r="FX12">
        <v>6</v>
      </c>
      <c r="FY12">
        <v>8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K12">
        <f t="shared" si="6"/>
        <v>14</v>
      </c>
    </row>
    <row r="13" spans="1:193">
      <c r="A13" s="17" t="s">
        <v>45</v>
      </c>
      <c r="C13">
        <v>2</v>
      </c>
      <c r="D13">
        <v>3</v>
      </c>
      <c r="E13">
        <v>0.3</v>
      </c>
      <c r="F13">
        <v>2.6</v>
      </c>
      <c r="G13">
        <v>2.2999999999999998</v>
      </c>
      <c r="H13">
        <v>5.6</v>
      </c>
      <c r="I13">
        <v>1</v>
      </c>
      <c r="K13">
        <v>9.9</v>
      </c>
      <c r="O13">
        <v>5.2</v>
      </c>
      <c r="P13">
        <v>1.9</v>
      </c>
      <c r="R13">
        <v>2.4</v>
      </c>
      <c r="U13">
        <v>1.1000000000000001</v>
      </c>
      <c r="V13">
        <v>1.7</v>
      </c>
      <c r="X13">
        <v>2.2999999999999998</v>
      </c>
      <c r="Z13">
        <v>1.9</v>
      </c>
      <c r="AB13">
        <v>5.0999999999999996</v>
      </c>
      <c r="AF13">
        <v>3.7</v>
      </c>
      <c r="AG13">
        <v>27.1</v>
      </c>
      <c r="AJ13">
        <v>1.8</v>
      </c>
      <c r="AL13">
        <v>0.4</v>
      </c>
      <c r="AO13">
        <v>10</v>
      </c>
      <c r="AQ13">
        <v>2.6</v>
      </c>
      <c r="AR13">
        <v>1</v>
      </c>
      <c r="AV13">
        <v>2.6</v>
      </c>
      <c r="AW13">
        <v>0.9</v>
      </c>
      <c r="BB13">
        <v>7.6</v>
      </c>
      <c r="BD13">
        <v>0.2</v>
      </c>
      <c r="BF13">
        <v>3.4</v>
      </c>
      <c r="BG13">
        <v>16</v>
      </c>
      <c r="BH13">
        <v>14.4</v>
      </c>
      <c r="BJ13">
        <v>4.5999999999999996</v>
      </c>
      <c r="BK13">
        <v>12.1</v>
      </c>
      <c r="BL13">
        <v>6.4</v>
      </c>
      <c r="BM13">
        <v>6.3</v>
      </c>
      <c r="BR13">
        <v>4.8</v>
      </c>
      <c r="BS13">
        <v>4</v>
      </c>
      <c r="BU13">
        <v>2.5</v>
      </c>
      <c r="BV13">
        <v>0.1</v>
      </c>
      <c r="BW13">
        <v>3.5</v>
      </c>
      <c r="BX13">
        <v>1.3</v>
      </c>
      <c r="BY13">
        <v>11.7</v>
      </c>
      <c r="BZ13">
        <v>6.6</v>
      </c>
      <c r="CA13">
        <v>0.9</v>
      </c>
      <c r="CE13">
        <v>0.3</v>
      </c>
      <c r="CH13">
        <v>18.7</v>
      </c>
      <c r="CJ13">
        <v>1.2</v>
      </c>
      <c r="CM13">
        <v>10.3</v>
      </c>
      <c r="CP13">
        <v>10.4</v>
      </c>
      <c r="CR13">
        <v>0.1</v>
      </c>
      <c r="CS13">
        <v>8.8000000000000007</v>
      </c>
      <c r="CT13">
        <v>2</v>
      </c>
      <c r="CW13">
        <v>3</v>
      </c>
      <c r="CZ13">
        <v>15</v>
      </c>
      <c r="DA13" s="2"/>
      <c r="DD13" s="1">
        <v>40920</v>
      </c>
      <c r="DE13" s="2">
        <f t="shared" si="0"/>
        <v>5.181132075471699</v>
      </c>
      <c r="DF13" s="2">
        <f t="shared" si="1"/>
        <v>2.6921568627450982</v>
      </c>
      <c r="DG13" s="2">
        <f t="shared" si="2"/>
        <v>27.1</v>
      </c>
      <c r="DH13" s="2">
        <f t="shared" si="3"/>
        <v>0.1</v>
      </c>
      <c r="DI13" s="3">
        <f t="shared" si="4"/>
        <v>0.51960784313725494</v>
      </c>
      <c r="DK13">
        <v>367</v>
      </c>
      <c r="DL13" s="9" t="s">
        <v>16</v>
      </c>
      <c r="DM13" s="18">
        <f>AVERAGE(DE381:DE411)</f>
        <v>7.2832920742247982</v>
      </c>
      <c r="DN13" s="18">
        <f>AVERAGE(DF381:DF411)</f>
        <v>4.1295333542123389</v>
      </c>
      <c r="DO13" s="18">
        <f>AVERAGE(DG381:DG411)</f>
        <v>44.387096774193552</v>
      </c>
      <c r="DP13" s="18">
        <f>MAX(DG381:DG411)</f>
        <v>68</v>
      </c>
      <c r="DQ13" s="18">
        <f>MIN(DH381:DH411)</f>
        <v>0.1</v>
      </c>
      <c r="DR13" s="3">
        <f>AVERAGE(DI381:DI411)</f>
        <v>0.56811775759473837</v>
      </c>
      <c r="DU13">
        <v>1922</v>
      </c>
      <c r="DV13" s="2">
        <v>214</v>
      </c>
      <c r="DW13" s="2">
        <v>64.7</v>
      </c>
      <c r="DX13" s="2">
        <v>30.9</v>
      </c>
      <c r="DY13" s="2">
        <v>76.2</v>
      </c>
      <c r="DZ13" s="2">
        <v>74.599999999999994</v>
      </c>
      <c r="EA13" s="2">
        <v>14.3</v>
      </c>
      <c r="EB13" s="2">
        <v>33.299999999999997</v>
      </c>
      <c r="EC13" s="2">
        <v>57.2</v>
      </c>
      <c r="ED13" s="2">
        <v>35.1</v>
      </c>
      <c r="EE13" s="2">
        <v>89.1</v>
      </c>
      <c r="EF13" s="2">
        <v>191.2</v>
      </c>
      <c r="EG13" s="2">
        <v>96.3</v>
      </c>
      <c r="EI13">
        <v>976.90000000000009</v>
      </c>
      <c r="EJ13">
        <v>1922</v>
      </c>
      <c r="EL13">
        <v>1922</v>
      </c>
      <c r="EM13">
        <v>38.6</v>
      </c>
      <c r="EN13">
        <v>18.5</v>
      </c>
      <c r="EO13">
        <v>18.600000000000001</v>
      </c>
      <c r="EP13">
        <v>16.2</v>
      </c>
      <c r="EQ13">
        <v>27.6</v>
      </c>
      <c r="ER13">
        <v>10.199999999999999</v>
      </c>
      <c r="ES13">
        <v>35.1</v>
      </c>
      <c r="ET13">
        <v>28</v>
      </c>
      <c r="EU13">
        <v>27.1</v>
      </c>
      <c r="EV13">
        <v>36.5</v>
      </c>
      <c r="EW13">
        <v>40.5</v>
      </c>
      <c r="EX13">
        <v>25.9</v>
      </c>
      <c r="EZ13">
        <v>40.5</v>
      </c>
      <c r="FA13">
        <v>1922</v>
      </c>
      <c r="FE13">
        <v>1922</v>
      </c>
      <c r="FF13">
        <v>24</v>
      </c>
      <c r="FG13">
        <v>12</v>
      </c>
      <c r="FH13">
        <v>5</v>
      </c>
      <c r="FI13">
        <v>15</v>
      </c>
      <c r="FJ13">
        <v>13</v>
      </c>
      <c r="FK13">
        <v>7</v>
      </c>
      <c r="FL13">
        <v>5</v>
      </c>
      <c r="FM13">
        <v>8</v>
      </c>
      <c r="FN13">
        <v>5</v>
      </c>
      <c r="FO13">
        <v>13</v>
      </c>
      <c r="FP13">
        <v>21</v>
      </c>
      <c r="FQ13">
        <v>16</v>
      </c>
      <c r="FS13">
        <f t="shared" si="5"/>
        <v>144</v>
      </c>
      <c r="FT13">
        <v>1922</v>
      </c>
      <c r="FW13">
        <v>1922</v>
      </c>
      <c r="FX13">
        <v>3</v>
      </c>
      <c r="FY13">
        <v>2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K13">
        <f t="shared" si="6"/>
        <v>5</v>
      </c>
    </row>
    <row r="14" spans="1:193">
      <c r="A14" s="17" t="s">
        <v>46</v>
      </c>
      <c r="D14">
        <v>13.8</v>
      </c>
      <c r="F14">
        <v>9.8000000000000007</v>
      </c>
      <c r="G14">
        <v>1.6</v>
      </c>
      <c r="H14">
        <v>1</v>
      </c>
      <c r="L14">
        <v>0.1</v>
      </c>
      <c r="N14">
        <v>4.8</v>
      </c>
      <c r="O14">
        <v>3.2</v>
      </c>
      <c r="P14">
        <v>4.7</v>
      </c>
      <c r="R14">
        <v>3.7</v>
      </c>
      <c r="S14">
        <v>12.8</v>
      </c>
      <c r="T14">
        <v>2.5</v>
      </c>
      <c r="U14">
        <v>3.2</v>
      </c>
      <c r="X14">
        <v>2</v>
      </c>
      <c r="Z14">
        <v>0.5</v>
      </c>
      <c r="AA14">
        <v>4.3</v>
      </c>
      <c r="AB14">
        <v>2.5</v>
      </c>
      <c r="AD14">
        <v>12.6</v>
      </c>
      <c r="AE14">
        <v>0.3</v>
      </c>
      <c r="AF14">
        <v>6</v>
      </c>
      <c r="AH14">
        <v>4.7</v>
      </c>
      <c r="AI14">
        <v>4.3</v>
      </c>
      <c r="AJ14">
        <v>1.3</v>
      </c>
      <c r="AK14">
        <v>2.7</v>
      </c>
      <c r="AL14">
        <v>1.4</v>
      </c>
      <c r="AN14">
        <v>0.6</v>
      </c>
      <c r="AO14">
        <v>2</v>
      </c>
      <c r="AR14">
        <v>10.199999999999999</v>
      </c>
      <c r="AS14">
        <v>3.4</v>
      </c>
      <c r="AV14">
        <v>3.9</v>
      </c>
      <c r="AW14">
        <v>0.4</v>
      </c>
      <c r="AX14">
        <v>31.3</v>
      </c>
      <c r="AZ14">
        <v>13.5</v>
      </c>
      <c r="BB14">
        <v>15</v>
      </c>
      <c r="BD14">
        <v>0.7</v>
      </c>
      <c r="BE14">
        <v>2.2000000000000002</v>
      </c>
      <c r="BF14">
        <v>27.2</v>
      </c>
      <c r="BG14">
        <v>23</v>
      </c>
      <c r="BH14">
        <v>5</v>
      </c>
      <c r="BJ14">
        <v>0.4</v>
      </c>
      <c r="BK14">
        <v>3.7</v>
      </c>
      <c r="BL14">
        <v>16.3</v>
      </c>
      <c r="BM14">
        <v>26.5</v>
      </c>
      <c r="BN14">
        <v>0.3</v>
      </c>
      <c r="BP14">
        <v>5</v>
      </c>
      <c r="BR14">
        <v>8.8000000000000007</v>
      </c>
      <c r="BS14">
        <v>11</v>
      </c>
      <c r="BT14">
        <v>0.3</v>
      </c>
      <c r="BU14">
        <v>7.7</v>
      </c>
      <c r="BW14">
        <v>1.9</v>
      </c>
      <c r="BX14">
        <v>0.2</v>
      </c>
      <c r="BY14">
        <v>1.9</v>
      </c>
      <c r="CA14">
        <v>1.4</v>
      </c>
      <c r="CE14">
        <v>0.2</v>
      </c>
      <c r="CH14">
        <v>25.5</v>
      </c>
      <c r="CJ14">
        <v>9</v>
      </c>
      <c r="CM14">
        <v>1.5</v>
      </c>
      <c r="CN14">
        <v>3.5</v>
      </c>
      <c r="CP14">
        <v>0.3</v>
      </c>
      <c r="CR14">
        <v>0.1</v>
      </c>
      <c r="CS14">
        <v>2.4</v>
      </c>
      <c r="CT14">
        <v>0.3</v>
      </c>
      <c r="CW14">
        <v>5.5</v>
      </c>
      <c r="CY14">
        <v>0.1</v>
      </c>
      <c r="DA14" s="2"/>
      <c r="DD14" s="1">
        <v>40921</v>
      </c>
      <c r="DE14" s="2">
        <f t="shared" si="0"/>
        <v>5.9682539682539675</v>
      </c>
      <c r="DF14" s="2">
        <f t="shared" si="1"/>
        <v>3.6862745098039209</v>
      </c>
      <c r="DG14" s="2">
        <f t="shared" si="2"/>
        <v>31.3</v>
      </c>
      <c r="DH14" s="2">
        <f t="shared" si="3"/>
        <v>0.1</v>
      </c>
      <c r="DI14" s="3">
        <f t="shared" si="4"/>
        <v>0.61764705882352944</v>
      </c>
      <c r="DU14">
        <v>1923</v>
      </c>
      <c r="DV14" s="2">
        <v>96.7</v>
      </c>
      <c r="DW14" s="2">
        <v>93.8</v>
      </c>
      <c r="DX14" s="2">
        <v>26.1</v>
      </c>
      <c r="DY14" s="2">
        <v>17.600000000000001</v>
      </c>
      <c r="DZ14" s="2">
        <v>19.8</v>
      </c>
      <c r="EA14" s="2">
        <v>54.1</v>
      </c>
      <c r="EB14" s="2">
        <v>5.9</v>
      </c>
      <c r="EC14" s="2">
        <v>9.6</v>
      </c>
      <c r="ED14" s="2">
        <v>6.6</v>
      </c>
      <c r="EE14" s="2">
        <v>96.2</v>
      </c>
      <c r="EF14" s="2">
        <v>5.9</v>
      </c>
      <c r="EG14" s="2">
        <v>234</v>
      </c>
      <c r="EI14">
        <v>666.3</v>
      </c>
      <c r="EJ14">
        <v>1923</v>
      </c>
      <c r="EL14">
        <v>1923</v>
      </c>
      <c r="EM14">
        <v>25.5</v>
      </c>
      <c r="EN14">
        <v>20.2</v>
      </c>
      <c r="EO14">
        <v>8.5</v>
      </c>
      <c r="EP14">
        <v>7</v>
      </c>
      <c r="EQ14">
        <v>13.9</v>
      </c>
      <c r="ER14">
        <v>34.700000000000003</v>
      </c>
      <c r="ES14">
        <v>18.8</v>
      </c>
      <c r="ET14">
        <v>7.5</v>
      </c>
      <c r="EU14">
        <v>6.2</v>
      </c>
      <c r="EV14">
        <v>51.4</v>
      </c>
      <c r="EW14">
        <v>3.6</v>
      </c>
      <c r="EX14">
        <v>47.2</v>
      </c>
      <c r="EZ14">
        <v>51.4</v>
      </c>
      <c r="FA14">
        <v>1923</v>
      </c>
      <c r="FE14">
        <v>1923</v>
      </c>
      <c r="FF14">
        <v>15</v>
      </c>
      <c r="FG14">
        <v>20</v>
      </c>
      <c r="FH14">
        <v>12</v>
      </c>
      <c r="FI14">
        <v>8</v>
      </c>
      <c r="FJ14">
        <v>5</v>
      </c>
      <c r="FK14">
        <v>7</v>
      </c>
      <c r="FL14">
        <v>2</v>
      </c>
      <c r="FM14">
        <v>4</v>
      </c>
      <c r="FN14">
        <v>4</v>
      </c>
      <c r="FO14">
        <v>7</v>
      </c>
      <c r="FP14">
        <v>3</v>
      </c>
      <c r="FQ14">
        <v>18</v>
      </c>
      <c r="FS14">
        <f t="shared" si="5"/>
        <v>105</v>
      </c>
      <c r="FT14">
        <v>1923</v>
      </c>
      <c r="FW14">
        <v>1923</v>
      </c>
      <c r="FX14">
        <v>3</v>
      </c>
      <c r="FY14">
        <v>2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2</v>
      </c>
      <c r="GK14">
        <f t="shared" si="6"/>
        <v>7</v>
      </c>
    </row>
    <row r="15" spans="1:193">
      <c r="A15" s="17" t="s">
        <v>47</v>
      </c>
      <c r="C15">
        <v>1</v>
      </c>
      <c r="E15">
        <v>0.3</v>
      </c>
      <c r="F15">
        <v>2.6</v>
      </c>
      <c r="G15">
        <v>0.7</v>
      </c>
      <c r="M15">
        <v>19.2</v>
      </c>
      <c r="N15">
        <v>15</v>
      </c>
      <c r="O15">
        <v>0.8</v>
      </c>
      <c r="Q15">
        <v>3</v>
      </c>
      <c r="S15">
        <v>0.3</v>
      </c>
      <c r="U15">
        <v>7</v>
      </c>
      <c r="X15">
        <v>3.9</v>
      </c>
      <c r="AB15">
        <v>4.3</v>
      </c>
      <c r="AC15">
        <v>3</v>
      </c>
      <c r="AG15">
        <v>0.9</v>
      </c>
      <c r="AH15">
        <v>11.2</v>
      </c>
      <c r="AI15">
        <v>0.6</v>
      </c>
      <c r="AJ15">
        <v>2.1</v>
      </c>
      <c r="AK15">
        <v>6.4</v>
      </c>
      <c r="AN15">
        <v>3.1</v>
      </c>
      <c r="AP15">
        <v>9.3000000000000007</v>
      </c>
      <c r="AQ15">
        <v>13.9</v>
      </c>
      <c r="AV15">
        <v>2.8</v>
      </c>
      <c r="AW15">
        <v>2.8</v>
      </c>
      <c r="AY15">
        <v>24.1</v>
      </c>
      <c r="AZ15">
        <v>3.4</v>
      </c>
      <c r="BB15">
        <v>5.5</v>
      </c>
      <c r="BE15">
        <v>3.6</v>
      </c>
      <c r="BF15">
        <v>2.7</v>
      </c>
      <c r="BG15">
        <v>21</v>
      </c>
      <c r="BI15">
        <v>0.1</v>
      </c>
      <c r="BJ15">
        <v>0.1</v>
      </c>
      <c r="BK15">
        <v>12</v>
      </c>
      <c r="BL15">
        <v>6</v>
      </c>
      <c r="BM15">
        <v>2.2999999999999998</v>
      </c>
      <c r="BN15">
        <v>0.1</v>
      </c>
      <c r="BP15">
        <v>6.7</v>
      </c>
      <c r="BR15">
        <v>10.7</v>
      </c>
      <c r="BS15">
        <v>6</v>
      </c>
      <c r="BT15">
        <v>11</v>
      </c>
      <c r="BU15">
        <v>0.2</v>
      </c>
      <c r="BW15">
        <v>0.7</v>
      </c>
      <c r="BX15">
        <v>16.3</v>
      </c>
      <c r="CB15">
        <v>11.2</v>
      </c>
      <c r="CD15">
        <v>1.4</v>
      </c>
      <c r="CG15">
        <v>0.2</v>
      </c>
      <c r="CH15">
        <v>6.7</v>
      </c>
      <c r="CI15">
        <v>5</v>
      </c>
      <c r="CJ15">
        <v>2</v>
      </c>
      <c r="CK15">
        <v>0.6</v>
      </c>
      <c r="CN15">
        <v>17</v>
      </c>
      <c r="CO15">
        <v>1.5</v>
      </c>
      <c r="CQ15">
        <v>6.8</v>
      </c>
      <c r="CR15">
        <v>2.8</v>
      </c>
      <c r="CS15">
        <v>0.8</v>
      </c>
      <c r="CV15">
        <v>1.4</v>
      </c>
      <c r="CW15">
        <v>0.1</v>
      </c>
      <c r="CX15">
        <v>0.1</v>
      </c>
      <c r="CY15">
        <v>10.9</v>
      </c>
      <c r="DA15" s="2"/>
      <c r="DD15" s="1">
        <v>40922</v>
      </c>
      <c r="DE15" s="2">
        <f t="shared" si="0"/>
        <v>5.4344827586206881</v>
      </c>
      <c r="DF15" s="2">
        <f t="shared" si="1"/>
        <v>3.0901960784313718</v>
      </c>
      <c r="DG15" s="2">
        <f t="shared" si="2"/>
        <v>24.1</v>
      </c>
      <c r="DH15" s="2">
        <f t="shared" si="3"/>
        <v>0.1</v>
      </c>
      <c r="DI15" s="3">
        <f t="shared" si="4"/>
        <v>0.56862745098039214</v>
      </c>
      <c r="DK15" s="14"/>
      <c r="DL15" s="15"/>
      <c r="DM15" s="15"/>
      <c r="DN15" s="15"/>
      <c r="DO15" s="15"/>
      <c r="DP15" s="15"/>
      <c r="DQ15" s="15"/>
      <c r="DU15">
        <v>1924</v>
      </c>
      <c r="DV15" s="2">
        <v>59.8</v>
      </c>
      <c r="DW15" s="2">
        <v>86.9</v>
      </c>
      <c r="DX15" s="2">
        <v>22.8</v>
      </c>
      <c r="DY15" s="2">
        <v>40.200000000000003</v>
      </c>
      <c r="DZ15" s="2">
        <v>49.2</v>
      </c>
      <c r="EA15" s="2">
        <v>161.69999999999999</v>
      </c>
      <c r="EB15" s="2">
        <v>44.9</v>
      </c>
      <c r="EC15" s="2">
        <v>172.1</v>
      </c>
      <c r="ED15" s="2">
        <v>3.3</v>
      </c>
      <c r="EE15" s="2">
        <v>164.2</v>
      </c>
      <c r="EF15" s="2">
        <v>134.30000000000001</v>
      </c>
      <c r="EG15" s="2">
        <v>89.7</v>
      </c>
      <c r="EI15">
        <v>1029.0999999999999</v>
      </c>
      <c r="EJ15">
        <v>1924</v>
      </c>
      <c r="EL15">
        <v>1924</v>
      </c>
      <c r="EM15">
        <v>15.3</v>
      </c>
      <c r="EN15">
        <v>23.3</v>
      </c>
      <c r="EO15">
        <v>7.6</v>
      </c>
      <c r="EP15">
        <v>18.399999999999999</v>
      </c>
      <c r="EQ15">
        <v>44.7</v>
      </c>
      <c r="ER15">
        <v>91</v>
      </c>
      <c r="ES15">
        <v>5.7</v>
      </c>
      <c r="ET15">
        <v>88.7</v>
      </c>
      <c r="EU15">
        <v>1.7</v>
      </c>
      <c r="EV15">
        <v>42</v>
      </c>
      <c r="EW15">
        <v>40.6</v>
      </c>
      <c r="EX15">
        <v>33</v>
      </c>
      <c r="EZ15">
        <v>91</v>
      </c>
      <c r="FA15">
        <v>1924</v>
      </c>
      <c r="FE15">
        <v>1924</v>
      </c>
      <c r="FF15">
        <v>12</v>
      </c>
      <c r="FG15">
        <v>15</v>
      </c>
      <c r="FH15">
        <v>9</v>
      </c>
      <c r="FI15">
        <v>9</v>
      </c>
      <c r="FJ15">
        <v>3</v>
      </c>
      <c r="FK15">
        <v>13</v>
      </c>
      <c r="FL15">
        <v>4</v>
      </c>
      <c r="FM15">
        <v>9</v>
      </c>
      <c r="FN15">
        <v>5</v>
      </c>
      <c r="FO15">
        <v>14</v>
      </c>
      <c r="FP15">
        <v>17</v>
      </c>
      <c r="FQ15">
        <v>17</v>
      </c>
      <c r="FS15">
        <f t="shared" si="5"/>
        <v>127</v>
      </c>
      <c r="FT15">
        <v>1924</v>
      </c>
      <c r="FW15">
        <v>1924</v>
      </c>
      <c r="FX15">
        <v>0</v>
      </c>
      <c r="FY15">
        <v>1</v>
      </c>
      <c r="FZ15">
        <v>3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K15">
        <f t="shared" si="6"/>
        <v>4</v>
      </c>
    </row>
    <row r="16" spans="1:193" ht="15.75" customHeight="1">
      <c r="A16" s="17" t="s">
        <v>48</v>
      </c>
      <c r="C16">
        <v>5.0999999999999996</v>
      </c>
      <c r="D16">
        <v>0.7</v>
      </c>
      <c r="G16">
        <v>9.1999999999999993</v>
      </c>
      <c r="I16">
        <v>1.3</v>
      </c>
      <c r="J16">
        <v>14.9</v>
      </c>
      <c r="K16">
        <v>23.9</v>
      </c>
      <c r="N16">
        <v>2.2999999999999998</v>
      </c>
      <c r="P16">
        <v>0.5</v>
      </c>
      <c r="Q16">
        <v>1.3</v>
      </c>
      <c r="S16">
        <v>9.6</v>
      </c>
      <c r="T16">
        <v>1.5</v>
      </c>
      <c r="U16">
        <v>0.4</v>
      </c>
      <c r="V16">
        <v>7.7</v>
      </c>
      <c r="W16">
        <v>1.1000000000000001</v>
      </c>
      <c r="X16">
        <v>0.6</v>
      </c>
      <c r="Z16">
        <v>3</v>
      </c>
      <c r="AA16">
        <v>0.9</v>
      </c>
      <c r="AB16">
        <v>11.3</v>
      </c>
      <c r="AC16">
        <v>0.8</v>
      </c>
      <c r="AF16">
        <v>0.4</v>
      </c>
      <c r="AH16">
        <v>0.5</v>
      </c>
      <c r="AJ16">
        <v>2.5</v>
      </c>
      <c r="AK16">
        <v>15</v>
      </c>
      <c r="AN16">
        <v>1.5</v>
      </c>
      <c r="AP16">
        <v>8.4</v>
      </c>
      <c r="AQ16">
        <v>15.5</v>
      </c>
      <c r="AR16">
        <v>1.2</v>
      </c>
      <c r="AT16">
        <v>18.2</v>
      </c>
      <c r="AV16">
        <v>6.2</v>
      </c>
      <c r="AW16">
        <v>4.5</v>
      </c>
      <c r="AZ16">
        <v>0.2</v>
      </c>
      <c r="BA16">
        <v>1.4</v>
      </c>
      <c r="BB16">
        <v>7.7</v>
      </c>
      <c r="BC16">
        <v>1</v>
      </c>
      <c r="BG16">
        <v>25</v>
      </c>
      <c r="BH16">
        <v>5.5</v>
      </c>
      <c r="BI16">
        <v>1</v>
      </c>
      <c r="BJ16">
        <v>0.1</v>
      </c>
      <c r="BK16">
        <v>0.4</v>
      </c>
      <c r="BL16">
        <v>0.3</v>
      </c>
      <c r="BM16">
        <v>2</v>
      </c>
      <c r="BN16">
        <v>0.8</v>
      </c>
      <c r="BO16">
        <v>9.6999999999999993</v>
      </c>
      <c r="BP16">
        <v>0.1</v>
      </c>
      <c r="BQ16">
        <v>0.2</v>
      </c>
      <c r="BR16">
        <v>0.9</v>
      </c>
      <c r="BT16">
        <v>7.4</v>
      </c>
      <c r="BV16">
        <v>25.1</v>
      </c>
      <c r="BX16">
        <v>1.5</v>
      </c>
      <c r="BY16">
        <v>4.5999999999999996</v>
      </c>
      <c r="CA16">
        <v>3.3</v>
      </c>
      <c r="CD16">
        <v>12.1</v>
      </c>
      <c r="CG16">
        <v>0.3</v>
      </c>
      <c r="CH16">
        <v>16.5</v>
      </c>
      <c r="CI16">
        <v>10.199999999999999</v>
      </c>
      <c r="CJ16">
        <v>3.5</v>
      </c>
      <c r="CL16">
        <v>8.8000000000000007</v>
      </c>
      <c r="CN16">
        <v>10</v>
      </c>
      <c r="CO16">
        <v>2.7</v>
      </c>
      <c r="CQ16">
        <v>9.1999999999999993</v>
      </c>
      <c r="CR16">
        <v>18.5</v>
      </c>
      <c r="CS16">
        <v>0.1</v>
      </c>
      <c r="CU16">
        <v>6.4</v>
      </c>
      <c r="CW16">
        <v>0.4</v>
      </c>
      <c r="CY16">
        <v>0.2</v>
      </c>
      <c r="DA16" s="2"/>
      <c r="DD16" s="1">
        <v>40923</v>
      </c>
      <c r="DE16" s="2">
        <f t="shared" si="0"/>
        <v>5.6476923076923073</v>
      </c>
      <c r="DF16" s="2">
        <f t="shared" si="1"/>
        <v>3.5990196078431369</v>
      </c>
      <c r="DG16" s="2">
        <f t="shared" si="2"/>
        <v>25.1</v>
      </c>
      <c r="DH16" s="2">
        <f t="shared" si="3"/>
        <v>0.1</v>
      </c>
      <c r="DI16" s="3">
        <f t="shared" si="4"/>
        <v>0.63725490196078427</v>
      </c>
      <c r="DK16" s="68" t="s">
        <v>5</v>
      </c>
      <c r="DL16" s="71" t="s">
        <v>4</v>
      </c>
      <c r="DM16" s="12" t="s">
        <v>27</v>
      </c>
      <c r="DN16" s="8">
        <v>66</v>
      </c>
      <c r="DO16" s="8">
        <v>272.39999999999998</v>
      </c>
      <c r="DP16" s="8">
        <v>30</v>
      </c>
      <c r="DQ16" s="8">
        <v>17</v>
      </c>
      <c r="DU16">
        <v>1925</v>
      </c>
      <c r="DV16" s="2">
        <v>20.100000000000001</v>
      </c>
      <c r="DW16" s="2">
        <v>11.1</v>
      </c>
      <c r="DX16" s="2">
        <v>96.9</v>
      </c>
      <c r="DY16" s="2">
        <v>18.7</v>
      </c>
      <c r="DZ16" s="2">
        <v>111.8</v>
      </c>
      <c r="EA16" s="2">
        <v>67.2</v>
      </c>
      <c r="EB16" s="2">
        <v>103.8</v>
      </c>
      <c r="EC16" s="2">
        <v>33.1</v>
      </c>
      <c r="ED16" s="2"/>
      <c r="EE16" s="2">
        <v>66</v>
      </c>
      <c r="EF16" s="2">
        <v>109.4</v>
      </c>
      <c r="EG16" s="2">
        <v>228.7</v>
      </c>
      <c r="EI16">
        <v>866.8</v>
      </c>
      <c r="EJ16">
        <v>1925</v>
      </c>
      <c r="EL16">
        <v>1925</v>
      </c>
      <c r="EM16">
        <v>4.7</v>
      </c>
      <c r="EN16">
        <v>6</v>
      </c>
      <c r="EO16">
        <v>23.5</v>
      </c>
      <c r="EP16">
        <v>4.2</v>
      </c>
      <c r="EQ16">
        <v>37</v>
      </c>
      <c r="ER16">
        <v>31</v>
      </c>
      <c r="ES16">
        <v>30.9</v>
      </c>
      <c r="ET16">
        <v>26.6</v>
      </c>
      <c r="EU16">
        <v>0</v>
      </c>
      <c r="EV16">
        <v>31</v>
      </c>
      <c r="EW16">
        <v>42.7</v>
      </c>
      <c r="EX16">
        <v>46</v>
      </c>
      <c r="EZ16">
        <v>46</v>
      </c>
      <c r="FA16">
        <v>1925</v>
      </c>
      <c r="FE16">
        <v>1925</v>
      </c>
      <c r="FF16">
        <v>14</v>
      </c>
      <c r="FG16">
        <v>4</v>
      </c>
      <c r="FH16">
        <v>20</v>
      </c>
      <c r="FI16">
        <v>8</v>
      </c>
      <c r="FJ16">
        <v>12</v>
      </c>
      <c r="FK16">
        <v>11</v>
      </c>
      <c r="FL16">
        <v>11</v>
      </c>
      <c r="FM16">
        <v>7</v>
      </c>
      <c r="FN16">
        <v>0</v>
      </c>
      <c r="FO16">
        <v>11</v>
      </c>
      <c r="FP16">
        <v>10</v>
      </c>
      <c r="FQ16">
        <v>20</v>
      </c>
      <c r="FS16">
        <f t="shared" si="5"/>
        <v>128</v>
      </c>
      <c r="FT16">
        <v>1925</v>
      </c>
      <c r="FW16">
        <v>1925</v>
      </c>
      <c r="FX16">
        <v>4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K16">
        <f t="shared" si="6"/>
        <v>4</v>
      </c>
    </row>
    <row r="17" spans="1:193">
      <c r="A17" s="17" t="s">
        <v>49</v>
      </c>
      <c r="E17">
        <v>9.9</v>
      </c>
      <c r="G17">
        <v>1.5</v>
      </c>
      <c r="J17">
        <v>7.4</v>
      </c>
      <c r="M17">
        <v>11.9</v>
      </c>
      <c r="N17">
        <v>1.9</v>
      </c>
      <c r="Q17">
        <v>7.8</v>
      </c>
      <c r="T17">
        <v>32.700000000000003</v>
      </c>
      <c r="U17">
        <v>2.1</v>
      </c>
      <c r="V17">
        <v>2.2000000000000002</v>
      </c>
      <c r="Z17">
        <v>14.9</v>
      </c>
      <c r="AA17">
        <v>0.3</v>
      </c>
      <c r="AB17">
        <v>3.5</v>
      </c>
      <c r="AC17">
        <v>1.8</v>
      </c>
      <c r="AE17">
        <v>9</v>
      </c>
      <c r="AH17">
        <v>11</v>
      </c>
      <c r="AI17">
        <v>22.8</v>
      </c>
      <c r="AK17">
        <v>9.5</v>
      </c>
      <c r="AL17">
        <v>0.4</v>
      </c>
      <c r="AN17">
        <v>1.4</v>
      </c>
      <c r="AP17">
        <v>7.1</v>
      </c>
      <c r="AR17">
        <v>3</v>
      </c>
      <c r="AS17">
        <v>0.9</v>
      </c>
      <c r="AV17">
        <v>0.2</v>
      </c>
      <c r="AW17">
        <v>1.3</v>
      </c>
      <c r="AX17">
        <v>7.5</v>
      </c>
      <c r="AY17">
        <v>13.6</v>
      </c>
      <c r="AZ17">
        <v>6.8</v>
      </c>
      <c r="BA17">
        <v>5.6</v>
      </c>
      <c r="BB17">
        <v>10.3</v>
      </c>
      <c r="BC17">
        <v>12</v>
      </c>
      <c r="BE17">
        <v>1.8</v>
      </c>
      <c r="BF17">
        <v>15</v>
      </c>
      <c r="BH17">
        <v>0.2</v>
      </c>
      <c r="BJ17">
        <v>0.1</v>
      </c>
      <c r="BK17">
        <v>9.9</v>
      </c>
      <c r="BL17">
        <v>1.5</v>
      </c>
      <c r="BM17">
        <v>3.5</v>
      </c>
      <c r="BO17">
        <v>12.5</v>
      </c>
      <c r="BP17">
        <v>0.4</v>
      </c>
      <c r="BQ17">
        <v>0.1</v>
      </c>
      <c r="BR17">
        <v>4.2</v>
      </c>
      <c r="BS17">
        <v>9</v>
      </c>
      <c r="BT17">
        <v>2.9</v>
      </c>
      <c r="BV17">
        <v>6.6</v>
      </c>
      <c r="BW17">
        <v>22.4</v>
      </c>
      <c r="BY17">
        <v>7</v>
      </c>
      <c r="CA17">
        <v>1.6</v>
      </c>
      <c r="CD17">
        <v>1.6</v>
      </c>
      <c r="CE17">
        <v>0.8</v>
      </c>
      <c r="CH17">
        <v>3</v>
      </c>
      <c r="CI17">
        <v>31.4</v>
      </c>
      <c r="CM17">
        <v>10</v>
      </c>
      <c r="CN17">
        <v>4</v>
      </c>
      <c r="CQ17">
        <v>1</v>
      </c>
      <c r="CR17">
        <v>28.4</v>
      </c>
      <c r="CV17">
        <v>7.8</v>
      </c>
      <c r="CW17">
        <v>2.6</v>
      </c>
      <c r="CX17">
        <v>7.6</v>
      </c>
      <c r="CY17">
        <v>9.5</v>
      </c>
      <c r="CZ17">
        <v>4.7</v>
      </c>
      <c r="DA17" s="2"/>
      <c r="DD17" s="1">
        <v>40924</v>
      </c>
      <c r="DE17" s="2">
        <f t="shared" si="0"/>
        <v>7.19</v>
      </c>
      <c r="DF17" s="2">
        <f t="shared" si="1"/>
        <v>4.2294117647058824</v>
      </c>
      <c r="DG17" s="2">
        <f t="shared" si="2"/>
        <v>32.700000000000003</v>
      </c>
      <c r="DH17" s="2">
        <f t="shared" si="3"/>
        <v>0.1</v>
      </c>
      <c r="DI17" s="3">
        <f t="shared" si="4"/>
        <v>0.58823529411764708</v>
      </c>
      <c r="DK17" s="69"/>
      <c r="DL17" s="67"/>
      <c r="DM17" s="12" t="s">
        <v>33</v>
      </c>
      <c r="DN17" s="13">
        <v>12450</v>
      </c>
      <c r="DO17" s="8">
        <v>1968</v>
      </c>
      <c r="DP17" s="8">
        <v>1973</v>
      </c>
      <c r="DQ17" s="8">
        <v>1941</v>
      </c>
      <c r="DU17">
        <v>1926</v>
      </c>
      <c r="DV17" s="2">
        <v>145.19999999999999</v>
      </c>
      <c r="DW17" s="2">
        <v>19.100000000000001</v>
      </c>
      <c r="DX17" s="2">
        <v>76.2</v>
      </c>
      <c r="DY17" s="2">
        <v>30.5</v>
      </c>
      <c r="DZ17" s="2">
        <v>1.1000000000000001</v>
      </c>
      <c r="EA17" s="2">
        <v>16.5</v>
      </c>
      <c r="EB17" s="2">
        <v>67.3</v>
      </c>
      <c r="EC17" s="2">
        <v>33.9</v>
      </c>
      <c r="ED17" s="2">
        <v>17.3</v>
      </c>
      <c r="EE17" s="2">
        <v>37.799999999999997</v>
      </c>
      <c r="EF17" s="2">
        <v>0.2</v>
      </c>
      <c r="EG17" s="2">
        <v>138.5</v>
      </c>
      <c r="EI17">
        <v>583.6</v>
      </c>
      <c r="EJ17">
        <v>1926</v>
      </c>
      <c r="EL17">
        <v>1926</v>
      </c>
      <c r="EM17">
        <v>42</v>
      </c>
      <c r="EN17">
        <v>14.5</v>
      </c>
      <c r="EO17">
        <v>18</v>
      </c>
      <c r="EP17">
        <v>17.5</v>
      </c>
      <c r="EQ17">
        <v>0.5</v>
      </c>
      <c r="ER17">
        <v>5</v>
      </c>
      <c r="ES17">
        <v>33.200000000000003</v>
      </c>
      <c r="ET17">
        <v>11.6</v>
      </c>
      <c r="EU17">
        <v>7.5</v>
      </c>
      <c r="EV17">
        <v>23.4</v>
      </c>
      <c r="EW17">
        <v>0.2</v>
      </c>
      <c r="EX17">
        <v>21</v>
      </c>
      <c r="EZ17">
        <v>42</v>
      </c>
      <c r="FA17">
        <v>1926</v>
      </c>
      <c r="FE17">
        <v>1926</v>
      </c>
      <c r="FF17">
        <v>17</v>
      </c>
      <c r="FG17">
        <v>7</v>
      </c>
      <c r="FH17">
        <v>16</v>
      </c>
      <c r="FI17">
        <v>4</v>
      </c>
      <c r="FJ17">
        <v>3</v>
      </c>
      <c r="FK17">
        <v>8</v>
      </c>
      <c r="FL17">
        <v>3</v>
      </c>
      <c r="FM17">
        <v>6</v>
      </c>
      <c r="FN17">
        <v>5</v>
      </c>
      <c r="FO17">
        <v>6</v>
      </c>
      <c r="FP17">
        <v>1</v>
      </c>
      <c r="FQ17">
        <v>15</v>
      </c>
      <c r="FS17">
        <f t="shared" si="5"/>
        <v>91</v>
      </c>
      <c r="FT17">
        <v>1926</v>
      </c>
      <c r="FW17">
        <v>1926</v>
      </c>
      <c r="FX17">
        <v>0</v>
      </c>
      <c r="FY17">
        <v>0</v>
      </c>
      <c r="FZ17">
        <v>2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K17">
        <f t="shared" si="6"/>
        <v>2</v>
      </c>
    </row>
    <row r="18" spans="1:193">
      <c r="A18" s="17" t="s">
        <v>50</v>
      </c>
      <c r="D18">
        <v>4.5999999999999996</v>
      </c>
      <c r="E18">
        <v>2.7</v>
      </c>
      <c r="M18">
        <v>38.6</v>
      </c>
      <c r="N18">
        <v>16.5</v>
      </c>
      <c r="P18">
        <v>0.2</v>
      </c>
      <c r="Q18">
        <v>24.9</v>
      </c>
      <c r="R18">
        <v>1.7</v>
      </c>
      <c r="T18">
        <v>7.6</v>
      </c>
      <c r="U18">
        <v>2.1</v>
      </c>
      <c r="W18">
        <v>0.4</v>
      </c>
      <c r="Y18">
        <v>12</v>
      </c>
      <c r="Z18">
        <v>0.8</v>
      </c>
      <c r="AB18">
        <v>1.4</v>
      </c>
      <c r="AC18">
        <v>1.8</v>
      </c>
      <c r="AE18">
        <v>0.2</v>
      </c>
      <c r="AF18">
        <v>6.4</v>
      </c>
      <c r="AG18">
        <v>0.2</v>
      </c>
      <c r="AH18">
        <v>2.5</v>
      </c>
      <c r="AI18">
        <v>1.7</v>
      </c>
      <c r="AJ18">
        <v>4.0999999999999996</v>
      </c>
      <c r="AK18">
        <v>4.5</v>
      </c>
      <c r="AL18">
        <v>1</v>
      </c>
      <c r="AO18">
        <v>0.8</v>
      </c>
      <c r="AP18">
        <v>7.3</v>
      </c>
      <c r="AQ18">
        <v>1.6</v>
      </c>
      <c r="AR18">
        <v>0.9</v>
      </c>
      <c r="AS18">
        <v>9.1</v>
      </c>
      <c r="AV18">
        <v>0.3</v>
      </c>
      <c r="AX18">
        <v>14</v>
      </c>
      <c r="AY18">
        <v>0.3</v>
      </c>
      <c r="AZ18">
        <v>7.5</v>
      </c>
      <c r="BC18">
        <v>1</v>
      </c>
      <c r="BE18">
        <v>2.1</v>
      </c>
      <c r="BF18">
        <v>16</v>
      </c>
      <c r="BI18">
        <v>6.3</v>
      </c>
      <c r="BJ18">
        <v>0.1</v>
      </c>
      <c r="BK18">
        <v>0.5</v>
      </c>
      <c r="BL18">
        <v>2.2000000000000002</v>
      </c>
      <c r="BN18">
        <v>0.2</v>
      </c>
      <c r="BO18">
        <v>1</v>
      </c>
      <c r="BP18">
        <v>10</v>
      </c>
      <c r="BS18">
        <v>7.7</v>
      </c>
      <c r="BT18">
        <v>0.6</v>
      </c>
      <c r="BV18">
        <v>0.7</v>
      </c>
      <c r="BX18">
        <v>8.1999999999999993</v>
      </c>
      <c r="BY18">
        <v>15.8</v>
      </c>
      <c r="BZ18">
        <v>0.1</v>
      </c>
      <c r="CD18">
        <v>3.6</v>
      </c>
      <c r="CG18">
        <v>0.2</v>
      </c>
      <c r="CH18">
        <v>8.6</v>
      </c>
      <c r="CI18">
        <v>1</v>
      </c>
      <c r="CM18">
        <v>3</v>
      </c>
      <c r="CR18">
        <v>16.100000000000001</v>
      </c>
      <c r="CV18">
        <v>0.5</v>
      </c>
      <c r="CW18">
        <v>2.6</v>
      </c>
      <c r="CX18">
        <v>1.1000000000000001</v>
      </c>
      <c r="CY18">
        <v>0.1</v>
      </c>
      <c r="CZ18">
        <v>4.0999999999999996</v>
      </c>
      <c r="DA18" s="2"/>
      <c r="DD18" s="1">
        <v>40925</v>
      </c>
      <c r="DE18" s="2">
        <f t="shared" si="0"/>
        <v>5.018965517241381</v>
      </c>
      <c r="DF18" s="2">
        <f t="shared" si="1"/>
        <v>2.8539215686274519</v>
      </c>
      <c r="DG18" s="2">
        <f t="shared" si="2"/>
        <v>38.6</v>
      </c>
      <c r="DH18" s="2">
        <f t="shared" si="3"/>
        <v>0.1</v>
      </c>
      <c r="DI18" s="3">
        <f t="shared" si="4"/>
        <v>0.56862745098039214</v>
      </c>
      <c r="DK18" s="69"/>
      <c r="DL18" s="72"/>
      <c r="DM18" s="73"/>
      <c r="DN18" s="12" t="s">
        <v>24</v>
      </c>
      <c r="DO18" s="11" t="s">
        <v>25</v>
      </c>
      <c r="DP18" s="11" t="s">
        <v>19</v>
      </c>
      <c r="DQ18" s="11" t="s">
        <v>26</v>
      </c>
      <c r="DU18">
        <v>1927</v>
      </c>
      <c r="DV18" s="2">
        <v>42.3</v>
      </c>
      <c r="DW18" s="2">
        <v>201.9</v>
      </c>
      <c r="DX18" s="2">
        <v>10.8</v>
      </c>
      <c r="DY18" s="2">
        <v>58.9</v>
      </c>
      <c r="DZ18" s="2">
        <v>39.4</v>
      </c>
      <c r="EA18" s="2"/>
      <c r="EB18" s="2"/>
      <c r="EC18" s="2">
        <v>3.7</v>
      </c>
      <c r="ED18" s="2">
        <v>4.7</v>
      </c>
      <c r="EE18" s="2">
        <v>167.8</v>
      </c>
      <c r="EF18" s="2">
        <v>44.8</v>
      </c>
      <c r="EG18" s="2">
        <v>151.5</v>
      </c>
      <c r="EI18">
        <v>725.8</v>
      </c>
      <c r="EJ18">
        <v>1927</v>
      </c>
      <c r="EL18">
        <v>1927</v>
      </c>
      <c r="EM18">
        <v>11.2</v>
      </c>
      <c r="EN18">
        <v>55.1</v>
      </c>
      <c r="EO18">
        <v>6.5</v>
      </c>
      <c r="EP18">
        <v>16.7</v>
      </c>
      <c r="EQ18">
        <v>22.2</v>
      </c>
      <c r="ER18">
        <v>0</v>
      </c>
      <c r="ES18">
        <v>46</v>
      </c>
      <c r="ET18">
        <v>3.7</v>
      </c>
      <c r="EU18">
        <v>3.8</v>
      </c>
      <c r="EV18">
        <v>104.9</v>
      </c>
      <c r="EW18">
        <v>15</v>
      </c>
      <c r="EX18">
        <v>35.4</v>
      </c>
      <c r="EZ18">
        <v>104.9</v>
      </c>
      <c r="FA18">
        <v>1927</v>
      </c>
      <c r="FE18">
        <v>1927</v>
      </c>
      <c r="FF18">
        <v>15</v>
      </c>
      <c r="FG18">
        <v>19</v>
      </c>
      <c r="FH18">
        <v>3</v>
      </c>
      <c r="FI18">
        <v>11</v>
      </c>
      <c r="FJ18">
        <v>6</v>
      </c>
      <c r="FK18">
        <v>0</v>
      </c>
      <c r="FL18">
        <v>0</v>
      </c>
      <c r="FM18">
        <v>1</v>
      </c>
      <c r="FN18">
        <v>3</v>
      </c>
      <c r="FO18">
        <v>9</v>
      </c>
      <c r="FP18">
        <v>8</v>
      </c>
      <c r="FQ18">
        <v>21</v>
      </c>
      <c r="FS18">
        <f t="shared" si="5"/>
        <v>96</v>
      </c>
      <c r="FT18">
        <v>1927</v>
      </c>
      <c r="FW18">
        <v>1927</v>
      </c>
      <c r="FX18">
        <v>0</v>
      </c>
      <c r="FY18">
        <v>11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1</v>
      </c>
      <c r="GK18">
        <f t="shared" si="6"/>
        <v>12</v>
      </c>
    </row>
    <row r="19" spans="1:193">
      <c r="A19" s="17" t="s">
        <v>51</v>
      </c>
      <c r="C19">
        <v>5</v>
      </c>
      <c r="E19">
        <v>4.0999999999999996</v>
      </c>
      <c r="G19">
        <v>0.7</v>
      </c>
      <c r="H19">
        <v>3.7</v>
      </c>
      <c r="M19">
        <v>2</v>
      </c>
      <c r="N19">
        <v>25.5</v>
      </c>
      <c r="R19">
        <v>0.4</v>
      </c>
      <c r="U19">
        <v>2.5</v>
      </c>
      <c r="V19">
        <v>13.2</v>
      </c>
      <c r="X19">
        <v>1.2</v>
      </c>
      <c r="Y19">
        <v>0.5</v>
      </c>
      <c r="AC19">
        <v>4.4000000000000004</v>
      </c>
      <c r="AF19">
        <v>2.5</v>
      </c>
      <c r="AG19">
        <v>0.7</v>
      </c>
      <c r="AH19">
        <v>0.7</v>
      </c>
      <c r="AI19">
        <v>5</v>
      </c>
      <c r="AJ19">
        <v>20.2</v>
      </c>
      <c r="AL19">
        <v>4.4000000000000004</v>
      </c>
      <c r="AN19">
        <v>0.1</v>
      </c>
      <c r="AO19">
        <v>2</v>
      </c>
      <c r="AP19">
        <v>0.2</v>
      </c>
      <c r="AQ19">
        <v>5.2</v>
      </c>
      <c r="AR19">
        <v>4.7</v>
      </c>
      <c r="AS19">
        <v>22.2</v>
      </c>
      <c r="AV19">
        <v>0.3</v>
      </c>
      <c r="AW19">
        <v>0.1</v>
      </c>
      <c r="AX19">
        <v>2.2999999999999998</v>
      </c>
      <c r="AY19">
        <v>8.5</v>
      </c>
      <c r="AZ19">
        <v>8</v>
      </c>
      <c r="BB19">
        <v>7.2</v>
      </c>
      <c r="BC19">
        <v>2</v>
      </c>
      <c r="BE19">
        <v>9.5</v>
      </c>
      <c r="BF19">
        <v>5</v>
      </c>
      <c r="BG19">
        <v>0.2</v>
      </c>
      <c r="BH19">
        <v>1.5</v>
      </c>
      <c r="BI19">
        <v>18.5</v>
      </c>
      <c r="BJ19">
        <v>4.5</v>
      </c>
      <c r="BL19">
        <v>0.3</v>
      </c>
      <c r="BM19">
        <v>13.7</v>
      </c>
      <c r="BN19">
        <v>0.2</v>
      </c>
      <c r="BO19">
        <v>4.7</v>
      </c>
      <c r="BP19">
        <v>1</v>
      </c>
      <c r="BR19">
        <v>8.5</v>
      </c>
      <c r="BS19">
        <v>0.1</v>
      </c>
      <c r="BT19">
        <v>0.2</v>
      </c>
      <c r="BV19">
        <v>0.1</v>
      </c>
      <c r="BX19">
        <v>0.7</v>
      </c>
      <c r="BY19">
        <v>6</v>
      </c>
      <c r="CD19">
        <v>4</v>
      </c>
      <c r="CG19">
        <v>0.3</v>
      </c>
      <c r="CH19">
        <v>0.2</v>
      </c>
      <c r="CL19">
        <v>13</v>
      </c>
      <c r="CM19">
        <v>5.5</v>
      </c>
      <c r="CN19">
        <v>1.5</v>
      </c>
      <c r="CR19">
        <v>1.8</v>
      </c>
      <c r="CS19">
        <v>6.1</v>
      </c>
      <c r="CW19">
        <v>13.3</v>
      </c>
      <c r="CY19">
        <v>0.7</v>
      </c>
      <c r="CZ19">
        <v>3</v>
      </c>
      <c r="DA19" s="2"/>
      <c r="DD19" s="1">
        <v>40926</v>
      </c>
      <c r="DE19" s="2">
        <f t="shared" si="0"/>
        <v>4.8067796610169484</v>
      </c>
      <c r="DF19" s="2">
        <f t="shared" si="1"/>
        <v>2.7803921568627445</v>
      </c>
      <c r="DG19" s="2">
        <f t="shared" si="2"/>
        <v>25.5</v>
      </c>
      <c r="DH19" s="2">
        <f t="shared" si="3"/>
        <v>0.1</v>
      </c>
      <c r="DI19" s="3">
        <f t="shared" si="4"/>
        <v>0.57843137254901966</v>
      </c>
      <c r="DK19" s="69"/>
      <c r="DL19" s="74" t="s">
        <v>29</v>
      </c>
      <c r="DM19" s="12" t="s">
        <v>27</v>
      </c>
      <c r="DN19" s="75"/>
      <c r="DO19" s="5">
        <f>DV110</f>
        <v>20.100000000000001</v>
      </c>
      <c r="DP19" s="8">
        <f>FF109</f>
        <v>9</v>
      </c>
      <c r="DQ19" s="66"/>
      <c r="DU19">
        <v>1928</v>
      </c>
      <c r="DV19" s="2">
        <v>39.299999999999997</v>
      </c>
      <c r="DW19" s="2">
        <v>78.05</v>
      </c>
      <c r="DX19" s="2">
        <v>23.3</v>
      </c>
      <c r="DY19" s="2">
        <v>17.5</v>
      </c>
      <c r="DZ19" s="2">
        <v>72.5</v>
      </c>
      <c r="EA19" s="2">
        <v>12.8</v>
      </c>
      <c r="EB19" s="2">
        <v>4.0999999999999996</v>
      </c>
      <c r="EC19" s="2">
        <v>0.6</v>
      </c>
      <c r="ED19" s="2">
        <v>2.8</v>
      </c>
      <c r="EE19" s="2">
        <v>54.8</v>
      </c>
      <c r="EF19" s="2">
        <v>187.1</v>
      </c>
      <c r="EG19" s="2">
        <v>200.2</v>
      </c>
      <c r="EI19">
        <v>693.05</v>
      </c>
      <c r="EJ19">
        <v>1928</v>
      </c>
      <c r="EL19">
        <v>1928</v>
      </c>
      <c r="EM19">
        <v>12.8</v>
      </c>
      <c r="EN19">
        <v>15.1</v>
      </c>
      <c r="EO19">
        <v>4.5999999999999996</v>
      </c>
      <c r="EP19">
        <v>6.6</v>
      </c>
      <c r="EQ19">
        <v>18</v>
      </c>
      <c r="ER19">
        <v>7.3</v>
      </c>
      <c r="ES19">
        <v>0</v>
      </c>
      <c r="ET19">
        <v>0.6</v>
      </c>
      <c r="EU19">
        <v>1.2</v>
      </c>
      <c r="EV19">
        <v>17.5</v>
      </c>
      <c r="EW19">
        <v>30.2</v>
      </c>
      <c r="EX19">
        <v>37.1</v>
      </c>
      <c r="EZ19">
        <v>37.1</v>
      </c>
      <c r="FA19">
        <v>1928</v>
      </c>
      <c r="FE19">
        <v>1928</v>
      </c>
      <c r="FF19">
        <v>16</v>
      </c>
      <c r="FG19">
        <v>14</v>
      </c>
      <c r="FH19">
        <v>12</v>
      </c>
      <c r="FI19">
        <v>8</v>
      </c>
      <c r="FJ19">
        <v>10</v>
      </c>
      <c r="FK19">
        <v>2</v>
      </c>
      <c r="FL19">
        <v>3</v>
      </c>
      <c r="FM19">
        <v>1</v>
      </c>
      <c r="FN19">
        <v>4</v>
      </c>
      <c r="FO19">
        <v>9</v>
      </c>
      <c r="FP19">
        <v>18</v>
      </c>
      <c r="FQ19">
        <v>23</v>
      </c>
      <c r="FS19">
        <f t="shared" si="5"/>
        <v>120</v>
      </c>
      <c r="FT19">
        <v>1928</v>
      </c>
      <c r="FW19">
        <v>1928</v>
      </c>
      <c r="FX19">
        <v>4</v>
      </c>
      <c r="FY19">
        <v>7</v>
      </c>
      <c r="FZ19">
        <v>2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K19">
        <f t="shared" si="6"/>
        <v>13</v>
      </c>
    </row>
    <row r="20" spans="1:193">
      <c r="A20" s="17" t="s">
        <v>52</v>
      </c>
      <c r="C20">
        <v>2</v>
      </c>
      <c r="D20">
        <v>17.3</v>
      </c>
      <c r="E20">
        <v>5.6</v>
      </c>
      <c r="L20">
        <v>0.4</v>
      </c>
      <c r="M20">
        <v>4.3</v>
      </c>
      <c r="N20">
        <v>0.4</v>
      </c>
      <c r="P20">
        <v>0.3</v>
      </c>
      <c r="Q20">
        <v>16.5</v>
      </c>
      <c r="S20">
        <v>0.4</v>
      </c>
      <c r="U20">
        <v>2.8</v>
      </c>
      <c r="V20">
        <v>0.3</v>
      </c>
      <c r="X20">
        <v>0.3</v>
      </c>
      <c r="AA20">
        <v>8.1</v>
      </c>
      <c r="AB20">
        <v>0.2</v>
      </c>
      <c r="AE20">
        <v>12.1</v>
      </c>
      <c r="AF20">
        <v>0.9</v>
      </c>
      <c r="AG20">
        <v>1</v>
      </c>
      <c r="AL20">
        <v>3.5</v>
      </c>
      <c r="AM20">
        <v>18.5</v>
      </c>
      <c r="AN20">
        <v>0.5</v>
      </c>
      <c r="AP20">
        <v>33</v>
      </c>
      <c r="AR20">
        <v>3</v>
      </c>
      <c r="AT20">
        <v>23.3</v>
      </c>
      <c r="AU20">
        <v>1.5</v>
      </c>
      <c r="AV20">
        <v>4.7</v>
      </c>
      <c r="AW20">
        <v>1.9</v>
      </c>
      <c r="AX20">
        <v>1.5</v>
      </c>
      <c r="AY20">
        <v>8.6999999999999993</v>
      </c>
      <c r="AZ20">
        <v>14</v>
      </c>
      <c r="BB20">
        <v>18.8</v>
      </c>
      <c r="BD20">
        <v>0.6</v>
      </c>
      <c r="BE20">
        <v>0.8</v>
      </c>
      <c r="BH20">
        <v>12.7</v>
      </c>
      <c r="BI20">
        <v>4.7</v>
      </c>
      <c r="BJ20">
        <v>0.2</v>
      </c>
      <c r="BL20">
        <v>2.7</v>
      </c>
      <c r="BM20">
        <v>24.4</v>
      </c>
      <c r="BO20">
        <v>0.2</v>
      </c>
      <c r="BP20">
        <v>7.8</v>
      </c>
      <c r="BQ20">
        <v>1</v>
      </c>
      <c r="BR20">
        <v>4.8</v>
      </c>
      <c r="BT20">
        <v>4.5</v>
      </c>
      <c r="BV20">
        <v>5.7</v>
      </c>
      <c r="BW20">
        <v>1.5</v>
      </c>
      <c r="BX20">
        <v>12.7</v>
      </c>
      <c r="BY20">
        <v>0.2</v>
      </c>
      <c r="BZ20">
        <v>4</v>
      </c>
      <c r="CC20">
        <v>16</v>
      </c>
      <c r="CD20">
        <v>1.5</v>
      </c>
      <c r="CG20">
        <v>4.5</v>
      </c>
      <c r="CL20">
        <v>3.5</v>
      </c>
      <c r="CM20">
        <v>0.7</v>
      </c>
      <c r="CN20">
        <v>0.5</v>
      </c>
      <c r="CO20">
        <v>2.4</v>
      </c>
      <c r="CP20">
        <v>0.3</v>
      </c>
      <c r="CS20">
        <v>21.8</v>
      </c>
      <c r="CT20">
        <v>6.5</v>
      </c>
      <c r="CV20">
        <v>0.2</v>
      </c>
      <c r="CW20">
        <v>14.5</v>
      </c>
      <c r="CZ20">
        <v>2.2000000000000002</v>
      </c>
      <c r="DA20" s="2"/>
      <c r="DD20" s="1">
        <v>40927</v>
      </c>
      <c r="DE20" s="2">
        <f t="shared" si="0"/>
        <v>6.1483333333333308</v>
      </c>
      <c r="DF20" s="2">
        <f t="shared" si="1"/>
        <v>3.6166666666666654</v>
      </c>
      <c r="DG20" s="2">
        <f t="shared" si="2"/>
        <v>33</v>
      </c>
      <c r="DH20" s="2">
        <f t="shared" si="3"/>
        <v>0.2</v>
      </c>
      <c r="DI20" s="3">
        <f t="shared" si="4"/>
        <v>0.58823529411764708</v>
      </c>
      <c r="DK20" s="70"/>
      <c r="DL20" s="67"/>
      <c r="DM20" s="12" t="s">
        <v>28</v>
      </c>
      <c r="DN20" s="67"/>
      <c r="DO20" s="8">
        <v>1925</v>
      </c>
      <c r="DP20" s="8">
        <v>1918</v>
      </c>
      <c r="DQ20" s="67"/>
      <c r="DU20">
        <v>1929</v>
      </c>
      <c r="DV20" s="2">
        <v>86.2</v>
      </c>
      <c r="DW20" s="2">
        <v>9.0399999999999991</v>
      </c>
      <c r="DX20" s="2">
        <v>106.8</v>
      </c>
      <c r="DY20" s="2">
        <v>64</v>
      </c>
      <c r="DZ20" s="2">
        <v>10.9</v>
      </c>
      <c r="EA20" s="2">
        <v>12.7</v>
      </c>
      <c r="EB20" s="2">
        <v>2.2000000000000002</v>
      </c>
      <c r="EC20" s="2">
        <v>0.5</v>
      </c>
      <c r="ED20" s="2">
        <v>129.9</v>
      </c>
      <c r="EE20" s="2">
        <v>121.3</v>
      </c>
      <c r="EF20" s="2">
        <v>140</v>
      </c>
      <c r="EG20" s="2">
        <v>79.8</v>
      </c>
      <c r="EI20">
        <v>763.33999999999992</v>
      </c>
      <c r="EJ20">
        <v>1929</v>
      </c>
      <c r="EL20">
        <v>1929</v>
      </c>
      <c r="EM20">
        <v>32.700000000000003</v>
      </c>
      <c r="EN20">
        <v>4</v>
      </c>
      <c r="EO20">
        <v>43.8</v>
      </c>
      <c r="EP20">
        <v>23</v>
      </c>
      <c r="EQ20">
        <v>3.2</v>
      </c>
      <c r="ER20">
        <v>6.3</v>
      </c>
      <c r="ES20">
        <v>3.8</v>
      </c>
      <c r="ET20">
        <v>0.5</v>
      </c>
      <c r="EU20">
        <v>43.3</v>
      </c>
      <c r="EV20">
        <v>44.5</v>
      </c>
      <c r="EW20">
        <v>58.2</v>
      </c>
      <c r="EX20">
        <v>14.5</v>
      </c>
      <c r="EZ20">
        <v>58.2</v>
      </c>
      <c r="FA20">
        <v>1929</v>
      </c>
      <c r="FE20">
        <v>1929</v>
      </c>
      <c r="FF20">
        <v>14</v>
      </c>
      <c r="FG20">
        <v>21</v>
      </c>
      <c r="FH20">
        <v>13</v>
      </c>
      <c r="FI20">
        <v>8</v>
      </c>
      <c r="FJ20">
        <v>11</v>
      </c>
      <c r="FK20">
        <v>6</v>
      </c>
      <c r="FL20">
        <v>1</v>
      </c>
      <c r="FM20">
        <v>1</v>
      </c>
      <c r="FN20">
        <v>19</v>
      </c>
      <c r="FO20">
        <v>16</v>
      </c>
      <c r="FP20">
        <v>22</v>
      </c>
      <c r="FQ20">
        <v>18</v>
      </c>
      <c r="FS20">
        <f t="shared" si="5"/>
        <v>150</v>
      </c>
      <c r="FT20">
        <v>1929</v>
      </c>
      <c r="FW20">
        <v>1929</v>
      </c>
      <c r="FX20">
        <v>3</v>
      </c>
      <c r="FY20">
        <v>16</v>
      </c>
      <c r="FZ20">
        <v>10</v>
      </c>
      <c r="GA20">
        <v>1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K20">
        <f t="shared" si="6"/>
        <v>30</v>
      </c>
    </row>
    <row r="21" spans="1:193">
      <c r="A21" s="17" t="s">
        <v>53</v>
      </c>
      <c r="E21">
        <v>5.6</v>
      </c>
      <c r="H21">
        <v>9.8000000000000007</v>
      </c>
      <c r="J21">
        <v>2.2999999999999998</v>
      </c>
      <c r="L21">
        <v>0.3</v>
      </c>
      <c r="M21">
        <v>2.9</v>
      </c>
      <c r="N21">
        <v>1.4</v>
      </c>
      <c r="P21">
        <v>3.3</v>
      </c>
      <c r="S21">
        <v>0.7</v>
      </c>
      <c r="T21">
        <v>3</v>
      </c>
      <c r="U21">
        <v>7.2</v>
      </c>
      <c r="W21">
        <v>1</v>
      </c>
      <c r="X21">
        <v>3.9</v>
      </c>
      <c r="AB21">
        <v>10.1</v>
      </c>
      <c r="AG21">
        <v>6.4</v>
      </c>
      <c r="AI21">
        <v>10.3</v>
      </c>
      <c r="AJ21">
        <v>5</v>
      </c>
      <c r="AL21">
        <v>0.8</v>
      </c>
      <c r="AO21">
        <v>15.2</v>
      </c>
      <c r="AP21">
        <v>18.100000000000001</v>
      </c>
      <c r="AQ21">
        <v>7.4</v>
      </c>
      <c r="AR21">
        <v>11</v>
      </c>
      <c r="AS21">
        <v>3.1</v>
      </c>
      <c r="AT21">
        <v>12.4</v>
      </c>
      <c r="AU21">
        <v>12.8</v>
      </c>
      <c r="AV21">
        <v>4.5</v>
      </c>
      <c r="BB21">
        <v>19.600000000000001</v>
      </c>
      <c r="BC21">
        <v>10</v>
      </c>
      <c r="BD21">
        <v>0.8</v>
      </c>
      <c r="BE21">
        <v>14.7</v>
      </c>
      <c r="BG21">
        <v>0.1</v>
      </c>
      <c r="BI21">
        <v>20.5</v>
      </c>
      <c r="BJ21">
        <v>0.1</v>
      </c>
      <c r="BL21">
        <v>1.5</v>
      </c>
      <c r="BM21">
        <v>2.5</v>
      </c>
      <c r="BN21">
        <v>0.5</v>
      </c>
      <c r="BP21">
        <v>0.3</v>
      </c>
      <c r="BQ21">
        <v>1.6</v>
      </c>
      <c r="BR21">
        <v>1.5</v>
      </c>
      <c r="BS21">
        <v>0.1</v>
      </c>
      <c r="BT21">
        <v>0.9</v>
      </c>
      <c r="BV21">
        <v>32.4</v>
      </c>
      <c r="BW21">
        <v>9.1</v>
      </c>
      <c r="BX21">
        <v>4</v>
      </c>
      <c r="BZ21">
        <v>5.7</v>
      </c>
      <c r="CB21">
        <v>0.4</v>
      </c>
      <c r="CC21">
        <v>3.8</v>
      </c>
      <c r="CD21">
        <v>0.3</v>
      </c>
      <c r="CG21">
        <v>0.8</v>
      </c>
      <c r="CH21">
        <v>0.8</v>
      </c>
      <c r="CI21">
        <v>0.4</v>
      </c>
      <c r="CL21">
        <v>4</v>
      </c>
      <c r="CM21">
        <v>0.7</v>
      </c>
      <c r="CN21">
        <v>1.5</v>
      </c>
      <c r="CO21">
        <v>0.4</v>
      </c>
      <c r="CP21">
        <v>2.9</v>
      </c>
      <c r="CQ21">
        <v>1.2</v>
      </c>
      <c r="CR21">
        <v>0.1</v>
      </c>
      <c r="CS21">
        <v>2.9</v>
      </c>
      <c r="CT21">
        <v>0.1</v>
      </c>
      <c r="CW21">
        <v>0.1</v>
      </c>
      <c r="CY21">
        <v>2</v>
      </c>
      <c r="DA21" s="2"/>
      <c r="DD21" s="1">
        <v>40928</v>
      </c>
      <c r="DE21" s="2">
        <f t="shared" si="0"/>
        <v>5.029508196721312</v>
      </c>
      <c r="DF21" s="2">
        <f t="shared" si="1"/>
        <v>3.0078431372549019</v>
      </c>
      <c r="DG21" s="2">
        <f t="shared" si="2"/>
        <v>32.4</v>
      </c>
      <c r="DH21" s="2">
        <f t="shared" si="3"/>
        <v>0.1</v>
      </c>
      <c r="DI21" s="3">
        <f t="shared" si="4"/>
        <v>0.59803921568627449</v>
      </c>
      <c r="DK21" s="15"/>
      <c r="DL21" s="15"/>
      <c r="DM21" s="15"/>
      <c r="DN21" s="15"/>
      <c r="DO21" s="15"/>
      <c r="DP21" s="15"/>
      <c r="DQ21" s="15"/>
      <c r="DU21">
        <v>1930</v>
      </c>
      <c r="DV21" s="2">
        <v>85.2</v>
      </c>
      <c r="DW21" s="2">
        <v>56.7</v>
      </c>
      <c r="DX21" s="2">
        <v>78.5</v>
      </c>
      <c r="DY21" s="2">
        <v>38.799999999999997</v>
      </c>
      <c r="DZ21" s="2">
        <v>39.6</v>
      </c>
      <c r="EA21" s="2">
        <v>19</v>
      </c>
      <c r="EB21" s="2">
        <v>2.5</v>
      </c>
      <c r="EC21" s="2">
        <v>25.6</v>
      </c>
      <c r="ED21" s="2">
        <v>24.8</v>
      </c>
      <c r="EE21" s="2">
        <v>208.6</v>
      </c>
      <c r="EF21" s="2">
        <v>50.7</v>
      </c>
      <c r="EG21" s="2">
        <v>92.7</v>
      </c>
      <c r="EI21">
        <v>722.70000000000016</v>
      </c>
      <c r="EJ21">
        <v>1930</v>
      </c>
      <c r="EL21">
        <v>1930</v>
      </c>
      <c r="EM21">
        <v>14.5</v>
      </c>
      <c r="EN21">
        <v>22.8</v>
      </c>
      <c r="EO21">
        <v>33.5</v>
      </c>
      <c r="EP21">
        <v>11.9</v>
      </c>
      <c r="EQ21">
        <v>14.2</v>
      </c>
      <c r="ER21">
        <v>12.9</v>
      </c>
      <c r="ES21">
        <v>2.2000000000000002</v>
      </c>
      <c r="ET21">
        <v>22.5</v>
      </c>
      <c r="EU21">
        <v>19.399999999999999</v>
      </c>
      <c r="EV21">
        <v>71</v>
      </c>
      <c r="EW21">
        <v>18.100000000000001</v>
      </c>
      <c r="EX21">
        <v>17.899999999999999</v>
      </c>
      <c r="EZ21">
        <v>71</v>
      </c>
      <c r="FA21">
        <v>1930</v>
      </c>
      <c r="FE21">
        <v>1930</v>
      </c>
      <c r="FF21">
        <v>21</v>
      </c>
      <c r="FG21">
        <v>19</v>
      </c>
      <c r="FH21">
        <v>10</v>
      </c>
      <c r="FI21">
        <v>12</v>
      </c>
      <c r="FJ21">
        <v>11</v>
      </c>
      <c r="FK21">
        <v>8</v>
      </c>
      <c r="FL21">
        <v>2</v>
      </c>
      <c r="FM21">
        <v>5</v>
      </c>
      <c r="FN21">
        <v>5</v>
      </c>
      <c r="FO21">
        <v>10</v>
      </c>
      <c r="FP21">
        <v>7</v>
      </c>
      <c r="FQ21">
        <v>22</v>
      </c>
      <c r="FS21">
        <f t="shared" si="5"/>
        <v>132</v>
      </c>
      <c r="FT21">
        <v>1930</v>
      </c>
      <c r="FW21">
        <v>1930</v>
      </c>
      <c r="FX21">
        <v>3</v>
      </c>
      <c r="FY21">
        <v>6</v>
      </c>
      <c r="FZ21">
        <v>2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K21">
        <f t="shared" si="6"/>
        <v>11</v>
      </c>
    </row>
    <row r="22" spans="1:193">
      <c r="A22" s="17" t="s">
        <v>54</v>
      </c>
      <c r="D22">
        <v>8.6</v>
      </c>
      <c r="E22">
        <v>2.2999999999999998</v>
      </c>
      <c r="H22">
        <v>6.3</v>
      </c>
      <c r="J22">
        <v>0.8</v>
      </c>
      <c r="K22">
        <v>0.4</v>
      </c>
      <c r="M22">
        <v>1.3</v>
      </c>
      <c r="Q22">
        <v>10.8</v>
      </c>
      <c r="S22">
        <v>1.5</v>
      </c>
      <c r="U22">
        <v>8.8000000000000007</v>
      </c>
      <c r="W22">
        <v>4.7</v>
      </c>
      <c r="X22">
        <v>6.5</v>
      </c>
      <c r="Y22">
        <v>3.7</v>
      </c>
      <c r="AB22">
        <v>0.8</v>
      </c>
      <c r="AE22">
        <v>0.8</v>
      </c>
      <c r="AG22">
        <v>0.5</v>
      </c>
      <c r="AI22">
        <v>0.2</v>
      </c>
      <c r="AJ22">
        <v>7.7</v>
      </c>
      <c r="AK22">
        <v>7.7</v>
      </c>
      <c r="AL22">
        <v>1.6</v>
      </c>
      <c r="AO22">
        <v>0.8</v>
      </c>
      <c r="AP22">
        <v>6.1</v>
      </c>
      <c r="AQ22">
        <v>1.1000000000000001</v>
      </c>
      <c r="AR22">
        <v>42.5</v>
      </c>
      <c r="AS22">
        <v>5.4</v>
      </c>
      <c r="AT22">
        <v>7.5</v>
      </c>
      <c r="AU22">
        <v>1.9</v>
      </c>
      <c r="AZ22">
        <v>7.3</v>
      </c>
      <c r="BB22">
        <v>13.5</v>
      </c>
      <c r="BD22">
        <v>0.3</v>
      </c>
      <c r="BE22">
        <v>32.299999999999997</v>
      </c>
      <c r="BH22">
        <v>12</v>
      </c>
      <c r="BI22">
        <v>6.4</v>
      </c>
      <c r="BK22">
        <v>3.5</v>
      </c>
      <c r="BL22">
        <v>0.1</v>
      </c>
      <c r="BM22">
        <v>0.3</v>
      </c>
      <c r="BN22">
        <v>5.2</v>
      </c>
      <c r="BP22">
        <v>1</v>
      </c>
      <c r="BQ22">
        <v>2</v>
      </c>
      <c r="BR22">
        <v>0.5</v>
      </c>
      <c r="BS22">
        <v>2.1</v>
      </c>
      <c r="BT22">
        <v>8.4</v>
      </c>
      <c r="BU22">
        <v>2.4</v>
      </c>
      <c r="BV22">
        <v>28.1</v>
      </c>
      <c r="BX22">
        <v>0.3</v>
      </c>
      <c r="BZ22">
        <v>4</v>
      </c>
      <c r="CC22">
        <v>1.4</v>
      </c>
      <c r="CD22">
        <v>0.3</v>
      </c>
      <c r="CE22">
        <v>1.8</v>
      </c>
      <c r="CG22">
        <v>7</v>
      </c>
      <c r="CH22">
        <v>0.5</v>
      </c>
      <c r="CJ22">
        <v>2</v>
      </c>
      <c r="CK22">
        <v>4.2</v>
      </c>
      <c r="CM22">
        <v>0.9</v>
      </c>
      <c r="CN22">
        <v>0.5</v>
      </c>
      <c r="CP22">
        <v>0.2</v>
      </c>
      <c r="CQ22">
        <v>50.5</v>
      </c>
      <c r="CR22">
        <v>9.4</v>
      </c>
      <c r="CX22">
        <v>0.1</v>
      </c>
      <c r="CY22">
        <v>5.0999999999999996</v>
      </c>
      <c r="CZ22">
        <v>1.6</v>
      </c>
      <c r="DA22" s="2"/>
      <c r="DD22" s="1">
        <v>40929</v>
      </c>
      <c r="DE22" s="2">
        <f t="shared" si="0"/>
        <v>5.9249999999999998</v>
      </c>
      <c r="DF22" s="2">
        <f t="shared" si="1"/>
        <v>3.4852941176470589</v>
      </c>
      <c r="DG22" s="2">
        <f t="shared" si="2"/>
        <v>50.5</v>
      </c>
      <c r="DH22" s="2">
        <f t="shared" si="3"/>
        <v>0.1</v>
      </c>
      <c r="DI22" s="3">
        <f t="shared" si="4"/>
        <v>0.58823529411764708</v>
      </c>
      <c r="DK22" s="6"/>
      <c r="DU22">
        <v>1931</v>
      </c>
      <c r="DV22" s="2">
        <v>103.9</v>
      </c>
      <c r="DW22" s="2">
        <v>125</v>
      </c>
      <c r="DX22" s="2">
        <v>65.400000000000006</v>
      </c>
      <c r="DY22" s="2">
        <v>61.6</v>
      </c>
      <c r="DZ22" s="2">
        <v>51.7</v>
      </c>
      <c r="EA22" s="2">
        <v>77.3</v>
      </c>
      <c r="EB22" s="2">
        <v>0.4</v>
      </c>
      <c r="EC22" s="2"/>
      <c r="ED22" s="2">
        <v>95.1</v>
      </c>
      <c r="EE22" s="2">
        <v>71.099999999999994</v>
      </c>
      <c r="EF22" s="2">
        <v>126.8</v>
      </c>
      <c r="EG22" s="2">
        <v>99</v>
      </c>
      <c r="EI22">
        <v>877.3</v>
      </c>
      <c r="EJ22">
        <v>1931</v>
      </c>
      <c r="EL22">
        <v>1931</v>
      </c>
      <c r="EM22">
        <v>39.1</v>
      </c>
      <c r="EN22">
        <v>21.6</v>
      </c>
      <c r="EO22">
        <v>17.8</v>
      </c>
      <c r="EP22">
        <v>19.2</v>
      </c>
      <c r="EQ22">
        <v>24.5</v>
      </c>
      <c r="ER22">
        <v>35</v>
      </c>
      <c r="ES22">
        <v>2.5</v>
      </c>
      <c r="ET22">
        <v>0</v>
      </c>
      <c r="EU22">
        <v>37</v>
      </c>
      <c r="EV22">
        <v>45.2</v>
      </c>
      <c r="EW22">
        <v>54.5</v>
      </c>
      <c r="EX22">
        <v>40.1</v>
      </c>
      <c r="EZ22">
        <v>54.5</v>
      </c>
      <c r="FA22">
        <v>1931</v>
      </c>
      <c r="FE22">
        <v>1931</v>
      </c>
      <c r="FF22">
        <v>20</v>
      </c>
      <c r="FG22">
        <v>19</v>
      </c>
      <c r="FH22">
        <v>15</v>
      </c>
      <c r="FI22">
        <v>9</v>
      </c>
      <c r="FJ22">
        <v>6</v>
      </c>
      <c r="FK22">
        <v>5</v>
      </c>
      <c r="FL22">
        <v>2</v>
      </c>
      <c r="FM22">
        <v>2</v>
      </c>
      <c r="FN22">
        <v>11</v>
      </c>
      <c r="FO22">
        <v>11</v>
      </c>
      <c r="FP22">
        <v>17</v>
      </c>
      <c r="FQ22">
        <v>16</v>
      </c>
      <c r="FS22">
        <f t="shared" si="5"/>
        <v>133</v>
      </c>
      <c r="FT22">
        <v>1931</v>
      </c>
      <c r="FW22">
        <v>1931</v>
      </c>
      <c r="FX22">
        <v>11</v>
      </c>
      <c r="FY22">
        <v>5</v>
      </c>
      <c r="FZ22">
        <v>5</v>
      </c>
      <c r="GA22">
        <v>2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1</v>
      </c>
      <c r="GI22">
        <v>8</v>
      </c>
      <c r="GK22">
        <f t="shared" si="6"/>
        <v>32</v>
      </c>
    </row>
    <row r="23" spans="1:193" ht="15" customHeight="1">
      <c r="A23" s="17" t="s">
        <v>55</v>
      </c>
      <c r="D23">
        <v>39.5</v>
      </c>
      <c r="E23">
        <v>0.7</v>
      </c>
      <c r="F23">
        <v>3.3</v>
      </c>
      <c r="G23">
        <v>7.5</v>
      </c>
      <c r="H23">
        <v>1.8</v>
      </c>
      <c r="J23">
        <v>0.9</v>
      </c>
      <c r="K23">
        <v>3.5</v>
      </c>
      <c r="M23">
        <v>10</v>
      </c>
      <c r="O23">
        <v>15.3</v>
      </c>
      <c r="R23">
        <v>9</v>
      </c>
      <c r="U23">
        <v>0.8</v>
      </c>
      <c r="V23">
        <v>2.2000000000000002</v>
      </c>
      <c r="W23">
        <v>2.1</v>
      </c>
      <c r="X23">
        <v>13.5</v>
      </c>
      <c r="Y23">
        <v>2.5</v>
      </c>
      <c r="Z23">
        <v>8</v>
      </c>
      <c r="AE23">
        <v>4</v>
      </c>
      <c r="AJ23">
        <v>10.5</v>
      </c>
      <c r="AK23">
        <v>0.6</v>
      </c>
      <c r="AL23">
        <v>1</v>
      </c>
      <c r="AM23">
        <v>13.6</v>
      </c>
      <c r="AN23">
        <v>0.2</v>
      </c>
      <c r="AP23">
        <v>6.1</v>
      </c>
      <c r="AR23">
        <v>1.5</v>
      </c>
      <c r="AS23">
        <v>0.9</v>
      </c>
      <c r="AT23">
        <v>4.5</v>
      </c>
      <c r="AU23">
        <v>0.8</v>
      </c>
      <c r="AW23">
        <v>0.3</v>
      </c>
      <c r="AY23">
        <v>5</v>
      </c>
      <c r="AZ23">
        <v>0.4</v>
      </c>
      <c r="BC23" t="s">
        <v>0</v>
      </c>
      <c r="BD23">
        <v>1.5</v>
      </c>
      <c r="BE23">
        <v>11.5</v>
      </c>
      <c r="BH23">
        <v>27.3</v>
      </c>
      <c r="BI23">
        <v>5.4</v>
      </c>
      <c r="BK23">
        <v>0.1</v>
      </c>
      <c r="BL23">
        <v>0.2</v>
      </c>
      <c r="BM23">
        <v>0.2</v>
      </c>
      <c r="BN23">
        <v>2.2999999999999998</v>
      </c>
      <c r="BO23">
        <v>1.2</v>
      </c>
      <c r="BP23">
        <v>2.5</v>
      </c>
      <c r="BQ23">
        <v>4.5999999999999996</v>
      </c>
      <c r="BR23">
        <v>0.4</v>
      </c>
      <c r="BS23">
        <v>0.6</v>
      </c>
      <c r="BT23">
        <v>0.8</v>
      </c>
      <c r="BZ23">
        <v>0.6</v>
      </c>
      <c r="CC23">
        <v>3.1</v>
      </c>
      <c r="CD23">
        <v>0.2</v>
      </c>
      <c r="CI23">
        <v>6.6</v>
      </c>
      <c r="CK23">
        <v>8.3000000000000007</v>
      </c>
      <c r="CQ23">
        <v>40.1</v>
      </c>
      <c r="CR23">
        <v>1.2</v>
      </c>
      <c r="CS23">
        <v>5.3</v>
      </c>
      <c r="CW23">
        <v>48.5</v>
      </c>
      <c r="CX23">
        <v>1.3</v>
      </c>
      <c r="CZ23">
        <v>3</v>
      </c>
      <c r="DA23" s="2"/>
      <c r="DD23" s="1">
        <v>40930</v>
      </c>
      <c r="DE23" s="2">
        <f t="shared" si="0"/>
        <v>6.3054545454545448</v>
      </c>
      <c r="DF23" s="2">
        <f t="shared" si="1"/>
        <v>3.3999999999999995</v>
      </c>
      <c r="DG23" s="2">
        <f t="shared" si="2"/>
        <v>48.5</v>
      </c>
      <c r="DH23" s="2">
        <f t="shared" si="3"/>
        <v>0.1</v>
      </c>
      <c r="DI23" s="3">
        <f t="shared" si="4"/>
        <v>0.5490196078431373</v>
      </c>
      <c r="DK23" s="68" t="s">
        <v>6</v>
      </c>
      <c r="DL23" s="71" t="s">
        <v>4</v>
      </c>
      <c r="DM23" s="12" t="s">
        <v>27</v>
      </c>
      <c r="DN23" s="8">
        <v>86.9</v>
      </c>
      <c r="DO23" s="5">
        <v>229.79999999996701</v>
      </c>
      <c r="DP23" s="8">
        <v>26</v>
      </c>
      <c r="DQ23" s="8">
        <v>21</v>
      </c>
      <c r="DR23" s="6"/>
      <c r="DU23">
        <v>1932</v>
      </c>
      <c r="DV23" s="2">
        <v>123.8</v>
      </c>
      <c r="DW23" s="2">
        <v>98</v>
      </c>
      <c r="DX23" s="2">
        <v>46.8</v>
      </c>
      <c r="DY23" s="2">
        <v>62.6</v>
      </c>
      <c r="DZ23" s="2">
        <v>31.6</v>
      </c>
      <c r="EA23" s="2">
        <v>54.8</v>
      </c>
      <c r="EB23" s="2">
        <v>69.599999999999994</v>
      </c>
      <c r="EC23" s="2"/>
      <c r="ED23" s="2">
        <v>2.5</v>
      </c>
      <c r="EE23" s="2">
        <v>6.1</v>
      </c>
      <c r="EF23" s="2">
        <v>154.69999999999999</v>
      </c>
      <c r="EG23" s="2">
        <v>63</v>
      </c>
      <c r="EI23">
        <v>713.5</v>
      </c>
      <c r="EJ23">
        <v>1932</v>
      </c>
      <c r="EL23">
        <v>1932</v>
      </c>
      <c r="EM23">
        <v>43.8</v>
      </c>
      <c r="EN23">
        <v>26.1</v>
      </c>
      <c r="EO23">
        <v>8.5</v>
      </c>
      <c r="EP23">
        <v>23.2</v>
      </c>
      <c r="EQ23">
        <v>24</v>
      </c>
      <c r="ER23">
        <v>49</v>
      </c>
      <c r="ES23">
        <v>0.4</v>
      </c>
      <c r="ET23">
        <v>0</v>
      </c>
      <c r="EU23">
        <v>2.5</v>
      </c>
      <c r="EV23">
        <v>3.6</v>
      </c>
      <c r="EW23">
        <v>32.5</v>
      </c>
      <c r="EX23">
        <v>14.1</v>
      </c>
      <c r="EZ23">
        <v>49</v>
      </c>
      <c r="FA23">
        <v>1932</v>
      </c>
      <c r="FE23">
        <v>1932</v>
      </c>
      <c r="FF23">
        <v>19</v>
      </c>
      <c r="FG23">
        <v>19</v>
      </c>
      <c r="FH23">
        <v>15</v>
      </c>
      <c r="FI23">
        <v>9</v>
      </c>
      <c r="FJ23">
        <v>6</v>
      </c>
      <c r="FK23">
        <v>4</v>
      </c>
      <c r="FL23">
        <v>10</v>
      </c>
      <c r="FM23">
        <v>2</v>
      </c>
      <c r="FN23">
        <v>2</v>
      </c>
      <c r="FO23">
        <v>4</v>
      </c>
      <c r="FP23">
        <v>18</v>
      </c>
      <c r="FQ23">
        <v>17</v>
      </c>
      <c r="FS23">
        <f t="shared" si="5"/>
        <v>125</v>
      </c>
      <c r="FT23">
        <v>1932</v>
      </c>
      <c r="FW23">
        <v>1932</v>
      </c>
      <c r="FX23">
        <v>8</v>
      </c>
      <c r="FY23">
        <v>16</v>
      </c>
      <c r="FZ23">
        <v>6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K23">
        <f t="shared" si="6"/>
        <v>30</v>
      </c>
    </row>
    <row r="24" spans="1:193">
      <c r="A24" s="17" t="s">
        <v>56</v>
      </c>
      <c r="D24">
        <v>22.5</v>
      </c>
      <c r="E24">
        <v>1.1000000000000001</v>
      </c>
      <c r="F24">
        <v>4.5</v>
      </c>
      <c r="G24">
        <v>1.2</v>
      </c>
      <c r="H24">
        <v>2.9</v>
      </c>
      <c r="J24">
        <v>0.1</v>
      </c>
      <c r="K24">
        <v>12.4</v>
      </c>
      <c r="M24">
        <v>15.6</v>
      </c>
      <c r="O24">
        <v>3</v>
      </c>
      <c r="P24">
        <v>0.3</v>
      </c>
      <c r="Q24">
        <v>6.6</v>
      </c>
      <c r="R24">
        <v>4.5</v>
      </c>
      <c r="S24">
        <v>1.2</v>
      </c>
      <c r="W24">
        <v>4.4000000000000004</v>
      </c>
      <c r="X24">
        <v>12</v>
      </c>
      <c r="Z24">
        <v>0.3</v>
      </c>
      <c r="AA24">
        <v>10.9</v>
      </c>
      <c r="AC24">
        <v>5.2</v>
      </c>
      <c r="AD24">
        <v>0.7</v>
      </c>
      <c r="AF24">
        <v>0.4</v>
      </c>
      <c r="AG24">
        <v>24</v>
      </c>
      <c r="AJ24">
        <v>0.6</v>
      </c>
      <c r="AM24">
        <v>1.6</v>
      </c>
      <c r="AN24">
        <v>0.4</v>
      </c>
      <c r="AO24">
        <v>26</v>
      </c>
      <c r="AP24">
        <v>2.1</v>
      </c>
      <c r="AQ24">
        <v>2.1</v>
      </c>
      <c r="AS24">
        <v>5</v>
      </c>
      <c r="AT24">
        <v>5.2</v>
      </c>
      <c r="AU24">
        <v>0.2</v>
      </c>
      <c r="AW24">
        <v>10</v>
      </c>
      <c r="BB24">
        <v>19.899999999999999</v>
      </c>
      <c r="BC24">
        <v>0.8</v>
      </c>
      <c r="BE24">
        <v>5.0999999999999996</v>
      </c>
      <c r="BG24">
        <v>1.7</v>
      </c>
      <c r="BI24">
        <v>0.2</v>
      </c>
      <c r="BK24">
        <v>0.1</v>
      </c>
      <c r="BL24">
        <v>0.5</v>
      </c>
      <c r="BN24">
        <v>0.1</v>
      </c>
      <c r="BP24">
        <v>0.5</v>
      </c>
      <c r="BQ24">
        <v>0.8</v>
      </c>
      <c r="BT24">
        <v>9.6999999999999993</v>
      </c>
      <c r="BV24">
        <v>0.9</v>
      </c>
      <c r="BY24">
        <v>0.2</v>
      </c>
      <c r="BZ24">
        <v>0.3</v>
      </c>
      <c r="CA24">
        <v>2.4</v>
      </c>
      <c r="CD24">
        <v>3.9</v>
      </c>
      <c r="CI24">
        <v>1.5</v>
      </c>
      <c r="CK24">
        <v>3.7</v>
      </c>
      <c r="CL24">
        <v>0.5</v>
      </c>
      <c r="CP24">
        <v>5.7</v>
      </c>
      <c r="CQ24">
        <v>5.8</v>
      </c>
      <c r="CR24">
        <v>1.1000000000000001</v>
      </c>
      <c r="CS24">
        <v>1.4</v>
      </c>
      <c r="CU24">
        <v>8.4</v>
      </c>
      <c r="CV24">
        <v>3.5</v>
      </c>
      <c r="CW24">
        <v>7.6</v>
      </c>
      <c r="CX24">
        <v>12.2</v>
      </c>
      <c r="CZ24">
        <v>0.3</v>
      </c>
      <c r="DA24" s="2"/>
      <c r="DD24" s="1">
        <v>40931</v>
      </c>
      <c r="DE24" s="2">
        <f t="shared" si="0"/>
        <v>4.8440677966101688</v>
      </c>
      <c r="DF24" s="2">
        <f t="shared" si="1"/>
        <v>2.8019607843137249</v>
      </c>
      <c r="DG24" s="2">
        <f t="shared" si="2"/>
        <v>26</v>
      </c>
      <c r="DH24" s="2">
        <f t="shared" si="3"/>
        <v>0.1</v>
      </c>
      <c r="DI24" s="3">
        <f t="shared" si="4"/>
        <v>0.57843137254901966</v>
      </c>
      <c r="DK24" s="69"/>
      <c r="DL24" s="67"/>
      <c r="DM24" s="12" t="s">
        <v>33</v>
      </c>
      <c r="DN24" s="13">
        <v>29633</v>
      </c>
      <c r="DO24" s="19">
        <v>1948</v>
      </c>
      <c r="DP24" s="8">
        <v>1971</v>
      </c>
      <c r="DQ24" s="8">
        <v>2003</v>
      </c>
      <c r="DR24" s="6"/>
      <c r="DU24">
        <v>1933</v>
      </c>
      <c r="DV24" s="2">
        <v>85.2</v>
      </c>
      <c r="DW24" s="2">
        <v>106.5</v>
      </c>
      <c r="DX24" s="2">
        <v>22.3</v>
      </c>
      <c r="DY24" s="2">
        <v>53.5</v>
      </c>
      <c r="DZ24" s="2">
        <v>115.9</v>
      </c>
      <c r="EA24" s="2">
        <v>6.2</v>
      </c>
      <c r="EB24" s="2">
        <v>54.999999999999098</v>
      </c>
      <c r="EC24" s="2">
        <v>9.6999999999999993</v>
      </c>
      <c r="ED24" s="2">
        <v>57.7</v>
      </c>
      <c r="EE24" s="2">
        <v>96.3</v>
      </c>
      <c r="EF24" s="2">
        <v>97.8</v>
      </c>
      <c r="EG24" s="2">
        <v>229.2</v>
      </c>
      <c r="EI24">
        <v>935.29999999999905</v>
      </c>
      <c r="EJ24">
        <v>1933</v>
      </c>
      <c r="EL24">
        <v>1933</v>
      </c>
      <c r="EM24">
        <v>13.5</v>
      </c>
      <c r="EN24">
        <v>24.5</v>
      </c>
      <c r="EO24">
        <v>11.5</v>
      </c>
      <c r="EP24">
        <v>8.8000000000000007</v>
      </c>
      <c r="EQ24">
        <v>27</v>
      </c>
      <c r="ER24">
        <v>3.9</v>
      </c>
      <c r="ES24">
        <v>17.7</v>
      </c>
      <c r="ET24">
        <v>5.3</v>
      </c>
      <c r="EU24">
        <v>27</v>
      </c>
      <c r="EV24">
        <v>26</v>
      </c>
      <c r="EW24">
        <v>26.8</v>
      </c>
      <c r="EX24">
        <v>48</v>
      </c>
      <c r="EZ24">
        <v>48</v>
      </c>
      <c r="FA24">
        <v>1933</v>
      </c>
      <c r="FE24">
        <v>1933</v>
      </c>
      <c r="FF24">
        <v>21</v>
      </c>
      <c r="FG24">
        <v>17</v>
      </c>
      <c r="FH24">
        <v>16</v>
      </c>
      <c r="FI24">
        <v>15</v>
      </c>
      <c r="FJ24">
        <v>16</v>
      </c>
      <c r="FK24">
        <v>5</v>
      </c>
      <c r="FL24">
        <v>5</v>
      </c>
      <c r="FM24">
        <v>5</v>
      </c>
      <c r="FN24">
        <v>10</v>
      </c>
      <c r="FO24">
        <v>14</v>
      </c>
      <c r="FP24">
        <v>13</v>
      </c>
      <c r="FQ24">
        <v>21</v>
      </c>
      <c r="FS24">
        <f t="shared" si="5"/>
        <v>158</v>
      </c>
      <c r="FT24">
        <v>1933</v>
      </c>
      <c r="FW24">
        <v>1933</v>
      </c>
      <c r="FX24">
        <v>0</v>
      </c>
      <c r="FY24">
        <v>3</v>
      </c>
      <c r="FZ24">
        <v>5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6</v>
      </c>
      <c r="GK24">
        <f t="shared" si="6"/>
        <v>14</v>
      </c>
    </row>
    <row r="25" spans="1:193" ht="15.75" customHeight="1">
      <c r="A25" s="17" t="s">
        <v>57</v>
      </c>
      <c r="D25">
        <v>2.2999999999999998</v>
      </c>
      <c r="E25">
        <v>0.6</v>
      </c>
      <c r="G25">
        <v>0.5</v>
      </c>
      <c r="J25">
        <v>0.7</v>
      </c>
      <c r="K25">
        <v>2.6</v>
      </c>
      <c r="M25">
        <v>2.5</v>
      </c>
      <c r="Q25">
        <v>1.5</v>
      </c>
      <c r="R25">
        <v>2.2000000000000002</v>
      </c>
      <c r="S25">
        <v>0.2</v>
      </c>
      <c r="U25">
        <v>0.3</v>
      </c>
      <c r="W25">
        <v>3.6</v>
      </c>
      <c r="X25">
        <v>4</v>
      </c>
      <c r="Y25">
        <v>3.5</v>
      </c>
      <c r="AC25">
        <v>0.5</v>
      </c>
      <c r="AF25">
        <v>1.4</v>
      </c>
      <c r="AJ25">
        <v>0.2</v>
      </c>
      <c r="AN25">
        <v>0.2</v>
      </c>
      <c r="AO25">
        <v>2</v>
      </c>
      <c r="AS25">
        <v>5.6</v>
      </c>
      <c r="AT25">
        <v>0.5</v>
      </c>
      <c r="AV25">
        <v>0.2</v>
      </c>
      <c r="AW25">
        <v>6.7</v>
      </c>
      <c r="AZ25">
        <v>1.5</v>
      </c>
      <c r="BB25">
        <v>1</v>
      </c>
      <c r="BC25">
        <v>0.8</v>
      </c>
      <c r="BD25">
        <v>3</v>
      </c>
      <c r="BE25">
        <v>1.2</v>
      </c>
      <c r="BF25">
        <v>2.1</v>
      </c>
      <c r="BH25" t="s">
        <v>0</v>
      </c>
      <c r="BI25">
        <v>3.1</v>
      </c>
      <c r="BK25">
        <v>1.6</v>
      </c>
      <c r="BL25">
        <v>0.1</v>
      </c>
      <c r="BM25" t="s">
        <v>0</v>
      </c>
      <c r="BP25">
        <v>2</v>
      </c>
      <c r="BQ25">
        <v>0.6</v>
      </c>
      <c r="BS25">
        <v>0.1</v>
      </c>
      <c r="BT25">
        <v>8.1999999999999993</v>
      </c>
      <c r="BU25">
        <v>0.9</v>
      </c>
      <c r="BV25">
        <v>0.2</v>
      </c>
      <c r="BW25">
        <v>0.4</v>
      </c>
      <c r="BY25">
        <v>0.4</v>
      </c>
      <c r="BZ25">
        <v>6</v>
      </c>
      <c r="CA25">
        <v>2</v>
      </c>
      <c r="CD25">
        <v>1.5</v>
      </c>
      <c r="CE25">
        <v>1.7</v>
      </c>
      <c r="CH25">
        <v>5.7</v>
      </c>
      <c r="CM25">
        <v>30.2</v>
      </c>
      <c r="CP25">
        <v>0.3</v>
      </c>
      <c r="CS25">
        <v>3.2</v>
      </c>
      <c r="CU25">
        <v>0.8</v>
      </c>
      <c r="CV25">
        <v>0.1</v>
      </c>
      <c r="CW25">
        <v>1</v>
      </c>
      <c r="CX25">
        <v>9.8000000000000007</v>
      </c>
      <c r="CY25">
        <v>2.6</v>
      </c>
      <c r="CZ25">
        <v>6.2</v>
      </c>
      <c r="DA25" s="2"/>
      <c r="DD25" s="1">
        <v>40932</v>
      </c>
      <c r="DE25" s="2">
        <f t="shared" si="0"/>
        <v>2.6433962264150948</v>
      </c>
      <c r="DF25" s="2">
        <f t="shared" si="1"/>
        <v>1.3735294117647061</v>
      </c>
      <c r="DG25" s="2">
        <f t="shared" si="2"/>
        <v>30.2</v>
      </c>
      <c r="DH25" s="2">
        <f t="shared" si="3"/>
        <v>0.1</v>
      </c>
      <c r="DI25" s="3">
        <f t="shared" si="4"/>
        <v>0.53921568627450978</v>
      </c>
      <c r="DK25" s="69"/>
      <c r="DL25" s="72"/>
      <c r="DM25" s="73"/>
      <c r="DN25" s="12" t="s">
        <v>24</v>
      </c>
      <c r="DO25" s="11" t="s">
        <v>25</v>
      </c>
      <c r="DP25" s="11" t="s">
        <v>19</v>
      </c>
      <c r="DQ25" s="11" t="s">
        <v>26</v>
      </c>
      <c r="DU25">
        <v>1934</v>
      </c>
      <c r="DV25" s="2">
        <v>108.1</v>
      </c>
      <c r="DW25" s="2">
        <v>23.799999999998299</v>
      </c>
      <c r="DX25" s="2">
        <v>22.099999999983801</v>
      </c>
      <c r="DY25" s="2">
        <v>16.399999999996901</v>
      </c>
      <c r="DZ25" s="2">
        <v>11.199999999988</v>
      </c>
      <c r="EA25" s="2">
        <v>9.6999999999993705</v>
      </c>
      <c r="EB25" s="2">
        <v>25.699999999991299</v>
      </c>
      <c r="EC25" s="2">
        <v>6.1999999999989104</v>
      </c>
      <c r="ED25" s="2">
        <v>12.2999999999943</v>
      </c>
      <c r="EE25" s="2">
        <v>86.399999999989703</v>
      </c>
      <c r="EF25" s="2">
        <v>102.899999999961</v>
      </c>
      <c r="EG25" s="2">
        <v>84.899999999962304</v>
      </c>
      <c r="EI25">
        <v>509.69999999984782</v>
      </c>
      <c r="EJ25">
        <v>1934</v>
      </c>
      <c r="EL25">
        <v>1934</v>
      </c>
      <c r="EM25">
        <v>66</v>
      </c>
      <c r="EN25">
        <v>11.7</v>
      </c>
      <c r="EO25">
        <v>7.8</v>
      </c>
      <c r="EP25">
        <v>12.5</v>
      </c>
      <c r="EQ25">
        <v>5.9</v>
      </c>
      <c r="ER25">
        <v>7.5</v>
      </c>
      <c r="ES25">
        <v>31.5</v>
      </c>
      <c r="ET25">
        <v>3.8</v>
      </c>
      <c r="EU25">
        <v>3.4</v>
      </c>
      <c r="EV25">
        <v>53</v>
      </c>
      <c r="EW25">
        <v>23.8</v>
      </c>
      <c r="EX25">
        <v>17.899999999999999</v>
      </c>
      <c r="EZ25">
        <v>66</v>
      </c>
      <c r="FA25">
        <v>1934</v>
      </c>
      <c r="FE25">
        <v>1934</v>
      </c>
      <c r="FF25">
        <v>13</v>
      </c>
      <c r="FG25">
        <v>10</v>
      </c>
      <c r="FH25">
        <v>7</v>
      </c>
      <c r="FI25">
        <v>4</v>
      </c>
      <c r="FJ25">
        <v>4</v>
      </c>
      <c r="FK25">
        <v>4</v>
      </c>
      <c r="FL25">
        <v>6</v>
      </c>
      <c r="FM25">
        <v>3</v>
      </c>
      <c r="FN25">
        <v>9</v>
      </c>
      <c r="FO25">
        <v>7</v>
      </c>
      <c r="FP25">
        <v>16</v>
      </c>
      <c r="FQ25">
        <v>18</v>
      </c>
      <c r="FS25">
        <f t="shared" si="5"/>
        <v>101</v>
      </c>
      <c r="FT25">
        <v>1934</v>
      </c>
      <c r="FW25">
        <v>1934</v>
      </c>
      <c r="FX25">
        <v>2</v>
      </c>
      <c r="FY25">
        <v>7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K25">
        <f t="shared" si="6"/>
        <v>9</v>
      </c>
    </row>
    <row r="26" spans="1:193">
      <c r="A26" s="17" t="s">
        <v>58</v>
      </c>
      <c r="C26">
        <v>1</v>
      </c>
      <c r="G26">
        <v>1.2</v>
      </c>
      <c r="H26">
        <v>13.2</v>
      </c>
      <c r="I26">
        <v>4.4000000000000004</v>
      </c>
      <c r="J26">
        <v>0.9</v>
      </c>
      <c r="L26">
        <v>3.5</v>
      </c>
      <c r="M26">
        <v>8.3000000000000007</v>
      </c>
      <c r="R26">
        <v>0.7</v>
      </c>
      <c r="W26">
        <v>13.6</v>
      </c>
      <c r="X26">
        <v>5.8</v>
      </c>
      <c r="Z26">
        <v>0.2</v>
      </c>
      <c r="AB26">
        <v>25.5</v>
      </c>
      <c r="AC26">
        <v>2.7</v>
      </c>
      <c r="AD26">
        <v>1</v>
      </c>
      <c r="AE26">
        <v>2.2000000000000002</v>
      </c>
      <c r="AF26">
        <v>0.1</v>
      </c>
      <c r="AG26">
        <v>0.6</v>
      </c>
      <c r="AH26">
        <v>3.4</v>
      </c>
      <c r="AJ26">
        <v>26</v>
      </c>
      <c r="AK26">
        <v>1.4</v>
      </c>
      <c r="AL26">
        <v>8.6999999999999993</v>
      </c>
      <c r="AO26">
        <v>3.4</v>
      </c>
      <c r="AQ26">
        <v>2.1</v>
      </c>
      <c r="AS26">
        <v>2.2000000000000002</v>
      </c>
      <c r="AU26">
        <v>22</v>
      </c>
      <c r="AV26">
        <v>2.6</v>
      </c>
      <c r="AW26">
        <v>14.5</v>
      </c>
      <c r="AX26">
        <v>30</v>
      </c>
      <c r="AZ26">
        <v>5</v>
      </c>
      <c r="BB26">
        <v>1</v>
      </c>
      <c r="BD26">
        <v>17.8</v>
      </c>
      <c r="BE26">
        <v>4.8</v>
      </c>
      <c r="BG26">
        <v>8</v>
      </c>
      <c r="BH26">
        <v>3.4</v>
      </c>
      <c r="BI26">
        <v>0.4</v>
      </c>
      <c r="BK26">
        <v>1.3</v>
      </c>
      <c r="BL26">
        <v>1.8</v>
      </c>
      <c r="BM26">
        <v>5</v>
      </c>
      <c r="BO26">
        <v>0.1</v>
      </c>
      <c r="BP26">
        <v>0.3</v>
      </c>
      <c r="BQ26">
        <v>2.8</v>
      </c>
      <c r="BR26">
        <v>0.1</v>
      </c>
      <c r="BS26">
        <v>11.1</v>
      </c>
      <c r="BT26">
        <v>0.2</v>
      </c>
      <c r="BU26">
        <v>8.4</v>
      </c>
      <c r="BW26">
        <v>3.6</v>
      </c>
      <c r="BX26">
        <v>10</v>
      </c>
      <c r="BY26">
        <v>37.6</v>
      </c>
      <c r="BZ26">
        <v>0.1</v>
      </c>
      <c r="CD26">
        <v>0.2</v>
      </c>
      <c r="CE26">
        <v>3.1</v>
      </c>
      <c r="CK26">
        <v>4</v>
      </c>
      <c r="CM26">
        <v>5.4</v>
      </c>
      <c r="CO26">
        <v>0.8</v>
      </c>
      <c r="CP26">
        <v>0.5</v>
      </c>
      <c r="CQ26">
        <v>2.5</v>
      </c>
      <c r="CR26">
        <v>1.7</v>
      </c>
      <c r="CS26">
        <v>18.600000000000001</v>
      </c>
      <c r="CV26">
        <v>9.4</v>
      </c>
      <c r="CW26">
        <v>4.5</v>
      </c>
      <c r="CX26">
        <v>11.1</v>
      </c>
      <c r="CY26">
        <v>7.7</v>
      </c>
      <c r="CZ26">
        <v>2.7</v>
      </c>
      <c r="DA26" s="2"/>
      <c r="DD26" s="1">
        <v>40933</v>
      </c>
      <c r="DE26" s="2">
        <f t="shared" si="0"/>
        <v>6.2888888888888905</v>
      </c>
      <c r="DF26" s="2">
        <f t="shared" si="1"/>
        <v>3.8843137254901969</v>
      </c>
      <c r="DG26" s="2">
        <f t="shared" si="2"/>
        <v>37.6</v>
      </c>
      <c r="DH26" s="2">
        <f t="shared" si="3"/>
        <v>0.1</v>
      </c>
      <c r="DI26" s="3">
        <f t="shared" si="4"/>
        <v>0.61764705882352944</v>
      </c>
      <c r="DK26" s="69"/>
      <c r="DL26" s="74" t="s">
        <v>29</v>
      </c>
      <c r="DM26" s="12" t="s">
        <v>27</v>
      </c>
      <c r="DN26" s="75"/>
      <c r="DO26" s="18">
        <v>4</v>
      </c>
      <c r="DP26" s="8">
        <v>4</v>
      </c>
      <c r="DQ26" s="66"/>
      <c r="DU26">
        <v>1935</v>
      </c>
      <c r="DV26" s="2">
        <v>96.5</v>
      </c>
      <c r="DW26" s="2">
        <v>92.399999999948903</v>
      </c>
      <c r="DX26" s="2">
        <v>40.539999999981397</v>
      </c>
      <c r="DY26" s="2">
        <v>34.399999999993902</v>
      </c>
      <c r="DZ26" s="2">
        <v>48.399999999951902</v>
      </c>
      <c r="EA26" s="2">
        <v>15.7999999999947</v>
      </c>
      <c r="EB26" s="2">
        <v>134.999999999941</v>
      </c>
      <c r="EC26" s="2">
        <v>9.7999999999874507</v>
      </c>
      <c r="ED26" s="2">
        <v>77.899999999931495</v>
      </c>
      <c r="EE26" s="2">
        <v>51.399999999980601</v>
      </c>
      <c r="EF26" s="2">
        <v>166.39999999993501</v>
      </c>
      <c r="EG26" s="2">
        <v>101.899999999949</v>
      </c>
      <c r="EI26">
        <v>870.43999999955679</v>
      </c>
      <c r="EJ26">
        <v>1935</v>
      </c>
      <c r="EL26">
        <v>1935</v>
      </c>
      <c r="EM26">
        <v>15.1</v>
      </c>
      <c r="EN26">
        <v>45.6</v>
      </c>
      <c r="EO26">
        <v>9.9</v>
      </c>
      <c r="EP26">
        <v>15.5</v>
      </c>
      <c r="EQ26">
        <v>43.2</v>
      </c>
      <c r="ER26">
        <v>6.8</v>
      </c>
      <c r="ES26">
        <v>17.399999999999999</v>
      </c>
      <c r="ET26">
        <v>8.8000000000000007</v>
      </c>
      <c r="EU26">
        <v>35.700000000000003</v>
      </c>
      <c r="EV26">
        <v>28.9</v>
      </c>
      <c r="EW26">
        <v>33.799999999999997</v>
      </c>
      <c r="EX26">
        <v>20.100000000000001</v>
      </c>
      <c r="EZ26">
        <v>45.6</v>
      </c>
      <c r="FA26">
        <v>1935</v>
      </c>
      <c r="FE26">
        <v>1935</v>
      </c>
      <c r="FF26">
        <v>22</v>
      </c>
      <c r="FG26">
        <v>16</v>
      </c>
      <c r="FH26">
        <v>13</v>
      </c>
      <c r="FI26">
        <v>9</v>
      </c>
      <c r="FJ26">
        <v>6</v>
      </c>
      <c r="FK26">
        <v>5</v>
      </c>
      <c r="FL26">
        <v>6</v>
      </c>
      <c r="FM26">
        <v>3</v>
      </c>
      <c r="FN26">
        <v>9</v>
      </c>
      <c r="FO26">
        <v>10</v>
      </c>
      <c r="FP26">
        <v>21</v>
      </c>
      <c r="FQ26">
        <v>17</v>
      </c>
      <c r="FS26">
        <f t="shared" si="5"/>
        <v>137</v>
      </c>
      <c r="FT26">
        <v>1935</v>
      </c>
      <c r="FW26">
        <v>1935</v>
      </c>
      <c r="FX26">
        <v>0</v>
      </c>
      <c r="FY26">
        <v>3</v>
      </c>
      <c r="FZ26">
        <v>4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K26">
        <f t="shared" si="6"/>
        <v>7</v>
      </c>
    </row>
    <row r="27" spans="1:193">
      <c r="A27" s="17" t="s">
        <v>59</v>
      </c>
      <c r="F27">
        <v>0.5</v>
      </c>
      <c r="G27">
        <v>0.7</v>
      </c>
      <c r="H27">
        <v>19.899999999999999</v>
      </c>
      <c r="I27">
        <v>10.7</v>
      </c>
      <c r="J27">
        <v>0.7</v>
      </c>
      <c r="M27">
        <v>0.1</v>
      </c>
      <c r="R27">
        <v>0.3</v>
      </c>
      <c r="S27">
        <v>0.7</v>
      </c>
      <c r="U27">
        <v>3.6</v>
      </c>
      <c r="V27">
        <v>39.1</v>
      </c>
      <c r="W27">
        <v>0.2</v>
      </c>
      <c r="X27">
        <v>1.6</v>
      </c>
      <c r="Z27">
        <v>0.5</v>
      </c>
      <c r="AC27">
        <v>0.5</v>
      </c>
      <c r="AD27">
        <v>0.4</v>
      </c>
      <c r="AE27">
        <v>1.9</v>
      </c>
      <c r="AF27">
        <v>3.8</v>
      </c>
      <c r="AG27">
        <v>1.2</v>
      </c>
      <c r="AH27">
        <v>9.6999999999999993</v>
      </c>
      <c r="AI27">
        <v>2.2999999999999998</v>
      </c>
      <c r="AJ27">
        <v>1.6</v>
      </c>
      <c r="AL27">
        <v>10.1</v>
      </c>
      <c r="AN27">
        <v>4</v>
      </c>
      <c r="AO27">
        <v>1.5</v>
      </c>
      <c r="AP27">
        <v>5.5</v>
      </c>
      <c r="AQ27">
        <v>3.7</v>
      </c>
      <c r="AR27">
        <v>33.6</v>
      </c>
      <c r="AS27">
        <v>15.2</v>
      </c>
      <c r="AW27">
        <v>7</v>
      </c>
      <c r="AX27">
        <v>20</v>
      </c>
      <c r="AZ27">
        <v>4.7</v>
      </c>
      <c r="BD27">
        <v>2.5</v>
      </c>
      <c r="BF27">
        <v>7.2</v>
      </c>
      <c r="BG27">
        <v>19.3</v>
      </c>
      <c r="BH27">
        <v>2</v>
      </c>
      <c r="BI27">
        <v>0.2</v>
      </c>
      <c r="BK27">
        <v>1.4</v>
      </c>
      <c r="BL27">
        <v>9.3000000000000007</v>
      </c>
      <c r="BN27">
        <v>0.3</v>
      </c>
      <c r="BP27">
        <v>0.2</v>
      </c>
      <c r="BQ27">
        <v>9.8000000000000007</v>
      </c>
      <c r="BR27">
        <v>2</v>
      </c>
      <c r="BS27">
        <v>9.5</v>
      </c>
      <c r="BT27">
        <v>7</v>
      </c>
      <c r="BU27">
        <v>1.4</v>
      </c>
      <c r="BW27">
        <v>1.9</v>
      </c>
      <c r="BX27">
        <v>0.2</v>
      </c>
      <c r="BY27">
        <v>11.5</v>
      </c>
      <c r="CA27">
        <v>1.9</v>
      </c>
      <c r="CE27">
        <v>1</v>
      </c>
      <c r="CF27">
        <v>15.4</v>
      </c>
      <c r="CH27">
        <v>7.2</v>
      </c>
      <c r="CK27">
        <v>7.8</v>
      </c>
      <c r="CM27">
        <v>0.2</v>
      </c>
      <c r="CP27">
        <v>0.5</v>
      </c>
      <c r="CQ27">
        <v>4</v>
      </c>
      <c r="CR27">
        <v>7.3</v>
      </c>
      <c r="CS27">
        <v>2.7</v>
      </c>
      <c r="CV27">
        <v>1.2</v>
      </c>
      <c r="CW27">
        <v>0.1</v>
      </c>
      <c r="CX27">
        <v>2.2999999999999998</v>
      </c>
      <c r="CY27">
        <v>5.5</v>
      </c>
      <c r="CZ27">
        <v>7.2</v>
      </c>
      <c r="DA27" s="2"/>
      <c r="DD27" s="1">
        <v>40934</v>
      </c>
      <c r="DE27" s="2">
        <f t="shared" si="0"/>
        <v>5.6396825396825383</v>
      </c>
      <c r="DF27" s="2">
        <f t="shared" si="1"/>
        <v>3.4833333333333325</v>
      </c>
      <c r="DG27" s="2">
        <f t="shared" si="2"/>
        <v>39.1</v>
      </c>
      <c r="DH27" s="2">
        <f t="shared" si="3"/>
        <v>0.1</v>
      </c>
      <c r="DI27" s="3">
        <f t="shared" si="4"/>
        <v>0.61764705882352944</v>
      </c>
      <c r="DK27" s="70"/>
      <c r="DL27" s="67"/>
      <c r="DM27" s="12" t="s">
        <v>28</v>
      </c>
      <c r="DN27" s="67"/>
      <c r="DO27" s="8">
        <v>1914</v>
      </c>
      <c r="DP27" s="8">
        <v>1925</v>
      </c>
      <c r="DQ27" s="67"/>
      <c r="DU27">
        <v>1936</v>
      </c>
      <c r="DV27" s="2">
        <v>36</v>
      </c>
      <c r="DW27" s="2">
        <v>185.79999999996201</v>
      </c>
      <c r="DX27" s="2">
        <v>23.699999999995299</v>
      </c>
      <c r="DY27" s="2">
        <v>26.699999999984001</v>
      </c>
      <c r="DZ27" s="2">
        <v>40.399999999993703</v>
      </c>
      <c r="EA27" s="2">
        <v>49.299999999974801</v>
      </c>
      <c r="EB27" s="2">
        <v>10.699999999995301</v>
      </c>
      <c r="EC27" s="2">
        <v>52.999999999990898</v>
      </c>
      <c r="ED27" s="2">
        <v>76.499999999948201</v>
      </c>
      <c r="EE27" s="2">
        <v>90.699999999973301</v>
      </c>
      <c r="EF27" s="2">
        <v>73.699999999961094</v>
      </c>
      <c r="EG27" s="2">
        <v>91.199999999937006</v>
      </c>
      <c r="EI27">
        <v>757.69999999968968</v>
      </c>
      <c r="EJ27">
        <v>1936</v>
      </c>
      <c r="EL27">
        <v>1936</v>
      </c>
      <c r="EM27">
        <v>10.9</v>
      </c>
      <c r="EN27">
        <v>57.5</v>
      </c>
      <c r="EO27">
        <v>16.5</v>
      </c>
      <c r="EP27">
        <v>11.6</v>
      </c>
      <c r="EQ27">
        <v>14</v>
      </c>
      <c r="ER27">
        <v>11.8</v>
      </c>
      <c r="ES27">
        <v>48.9</v>
      </c>
      <c r="ET27">
        <v>34</v>
      </c>
      <c r="EU27">
        <v>23.1</v>
      </c>
      <c r="EV27">
        <v>22</v>
      </c>
      <c r="EW27">
        <v>20.399999999999999</v>
      </c>
      <c r="EX27">
        <v>14.8</v>
      </c>
      <c r="EZ27">
        <v>57.5</v>
      </c>
      <c r="FA27">
        <v>1936</v>
      </c>
      <c r="FE27">
        <v>1936</v>
      </c>
      <c r="FF27">
        <v>9</v>
      </c>
      <c r="FG27">
        <v>19</v>
      </c>
      <c r="FH27">
        <v>8</v>
      </c>
      <c r="FI27">
        <v>11</v>
      </c>
      <c r="FJ27">
        <v>11</v>
      </c>
      <c r="FK27">
        <v>10</v>
      </c>
      <c r="FL27">
        <v>4</v>
      </c>
      <c r="FM27">
        <v>6</v>
      </c>
      <c r="FN27">
        <v>11</v>
      </c>
      <c r="FO27">
        <v>14</v>
      </c>
      <c r="FP27">
        <v>16</v>
      </c>
      <c r="FQ27">
        <v>17</v>
      </c>
      <c r="FS27">
        <f t="shared" si="5"/>
        <v>136</v>
      </c>
      <c r="FT27">
        <v>1936</v>
      </c>
      <c r="FW27">
        <v>1936</v>
      </c>
      <c r="FX27">
        <v>13</v>
      </c>
      <c r="FY27">
        <v>2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2</v>
      </c>
      <c r="GK27">
        <f t="shared" si="6"/>
        <v>17</v>
      </c>
    </row>
    <row r="28" spans="1:193">
      <c r="A28" s="17" t="s">
        <v>60</v>
      </c>
      <c r="D28">
        <v>7.4</v>
      </c>
      <c r="F28">
        <v>0.8</v>
      </c>
      <c r="H28">
        <v>0.7</v>
      </c>
      <c r="L28">
        <v>1.4</v>
      </c>
      <c r="O28">
        <v>4.4000000000000004</v>
      </c>
      <c r="R28">
        <v>0.1</v>
      </c>
      <c r="T28">
        <v>0.4</v>
      </c>
      <c r="U28">
        <v>0.4</v>
      </c>
      <c r="V28">
        <v>9.5</v>
      </c>
      <c r="W28">
        <v>2.2000000000000002</v>
      </c>
      <c r="Z28">
        <v>6.1</v>
      </c>
      <c r="AB28">
        <v>1.6</v>
      </c>
      <c r="AE28">
        <v>17.3</v>
      </c>
      <c r="AF28">
        <v>11.2</v>
      </c>
      <c r="AG28">
        <v>5.5</v>
      </c>
      <c r="AH28">
        <v>26.2</v>
      </c>
      <c r="AI28">
        <v>1.2</v>
      </c>
      <c r="AL28">
        <v>7</v>
      </c>
      <c r="AN28">
        <v>1.3</v>
      </c>
      <c r="AP28">
        <v>12.5</v>
      </c>
      <c r="AR28">
        <v>4.4000000000000004</v>
      </c>
      <c r="AS28">
        <v>3</v>
      </c>
      <c r="AW28">
        <v>37.700000000000003</v>
      </c>
      <c r="AX28">
        <v>7.7</v>
      </c>
      <c r="AZ28">
        <v>13.5</v>
      </c>
      <c r="BB28">
        <v>12</v>
      </c>
      <c r="BD28">
        <v>0.5</v>
      </c>
      <c r="BE28">
        <v>5.2</v>
      </c>
      <c r="BF28">
        <v>0.9</v>
      </c>
      <c r="BG28">
        <v>17.7</v>
      </c>
      <c r="BH28">
        <v>24</v>
      </c>
      <c r="BI28">
        <v>0.1</v>
      </c>
      <c r="BK28">
        <v>0.1</v>
      </c>
      <c r="BL28">
        <v>0.9</v>
      </c>
      <c r="BM28">
        <v>0.1</v>
      </c>
      <c r="BN28">
        <v>0.4</v>
      </c>
      <c r="BP28">
        <v>2.7</v>
      </c>
      <c r="BQ28">
        <v>5.3</v>
      </c>
      <c r="BR28">
        <v>0.2</v>
      </c>
      <c r="BS28">
        <v>40</v>
      </c>
      <c r="BT28">
        <v>19.600000000000001</v>
      </c>
      <c r="BU28">
        <v>0.2</v>
      </c>
      <c r="BW28">
        <v>4.2</v>
      </c>
      <c r="BY28">
        <v>2.6</v>
      </c>
      <c r="BZ28">
        <v>0.8</v>
      </c>
      <c r="CC28">
        <v>0.8</v>
      </c>
      <c r="CG28">
        <v>6.6</v>
      </c>
      <c r="CH28">
        <v>7.6</v>
      </c>
      <c r="CI28">
        <v>0.1</v>
      </c>
      <c r="CK28">
        <v>9.6999999999999993</v>
      </c>
      <c r="CP28">
        <v>2.8</v>
      </c>
      <c r="CQ28">
        <v>1.9</v>
      </c>
      <c r="CR28">
        <v>20.6</v>
      </c>
      <c r="CS28">
        <v>1.3</v>
      </c>
      <c r="CT28">
        <v>13.3</v>
      </c>
      <c r="CU28">
        <v>5.7</v>
      </c>
      <c r="CW28">
        <v>9.3000000000000007</v>
      </c>
      <c r="CY28">
        <v>3.5</v>
      </c>
      <c r="CZ28">
        <v>7.2</v>
      </c>
      <c r="DA28" s="2"/>
      <c r="DD28" s="1">
        <v>40935</v>
      </c>
      <c r="DE28" s="2">
        <f t="shared" si="0"/>
        <v>6.9728813559322047</v>
      </c>
      <c r="DF28" s="2">
        <f t="shared" si="1"/>
        <v>4.0333333333333341</v>
      </c>
      <c r="DG28" s="2">
        <f t="shared" si="2"/>
        <v>40</v>
      </c>
      <c r="DH28" s="2">
        <f t="shared" si="3"/>
        <v>0.1</v>
      </c>
      <c r="DI28" s="3">
        <f t="shared" si="4"/>
        <v>0.57843137254901966</v>
      </c>
      <c r="DK28" s="15"/>
      <c r="DL28" s="15"/>
      <c r="DM28" s="15"/>
      <c r="DN28" s="15"/>
      <c r="DO28" s="15"/>
      <c r="DP28" s="15"/>
      <c r="DQ28" s="15"/>
      <c r="DU28">
        <v>1937</v>
      </c>
      <c r="DV28" s="2">
        <v>125.3</v>
      </c>
      <c r="DW28" s="2">
        <v>79.899999999942494</v>
      </c>
      <c r="DX28" s="2">
        <v>12.4999999999973</v>
      </c>
      <c r="DY28" s="2">
        <v>66.699999999979198</v>
      </c>
      <c r="DZ28" s="2">
        <v>24.299999999977501</v>
      </c>
      <c r="EA28" s="2">
        <v>2</v>
      </c>
      <c r="EB28" s="2">
        <v>31.299999999999301</v>
      </c>
      <c r="EC28" s="2">
        <v>83.499999999980005</v>
      </c>
      <c r="ED28" s="2">
        <v>36.2999999999927</v>
      </c>
      <c r="EE28" s="2">
        <v>203.59999999990401</v>
      </c>
      <c r="EF28" s="2">
        <v>100.99999999996</v>
      </c>
      <c r="EG28" s="2">
        <v>142.19999999993701</v>
      </c>
      <c r="EI28">
        <v>908.59999999960451</v>
      </c>
      <c r="EJ28">
        <v>1937</v>
      </c>
      <c r="EL28">
        <v>1937</v>
      </c>
      <c r="EM28">
        <v>25.5</v>
      </c>
      <c r="EN28">
        <v>20.6</v>
      </c>
      <c r="EO28">
        <v>6</v>
      </c>
      <c r="EP28">
        <v>27.3</v>
      </c>
      <c r="EQ28">
        <v>11.1</v>
      </c>
      <c r="ER28">
        <v>2</v>
      </c>
      <c r="ES28">
        <v>3.4</v>
      </c>
      <c r="ET28">
        <v>40.799999999999997</v>
      </c>
      <c r="EU28">
        <v>16</v>
      </c>
      <c r="EV28">
        <v>53</v>
      </c>
      <c r="EW28">
        <v>18</v>
      </c>
      <c r="EX28">
        <v>37</v>
      </c>
      <c r="EZ28">
        <v>53</v>
      </c>
      <c r="FA28">
        <v>1937</v>
      </c>
      <c r="FE28">
        <v>1937</v>
      </c>
      <c r="FF28">
        <v>24</v>
      </c>
      <c r="FG28">
        <v>11</v>
      </c>
      <c r="FH28">
        <v>5</v>
      </c>
      <c r="FI28">
        <v>12</v>
      </c>
      <c r="FJ28">
        <v>5</v>
      </c>
      <c r="FK28">
        <v>1</v>
      </c>
      <c r="FL28">
        <v>5</v>
      </c>
      <c r="FM28">
        <v>9</v>
      </c>
      <c r="FN28">
        <v>9</v>
      </c>
      <c r="FO28">
        <v>15</v>
      </c>
      <c r="FP28">
        <v>18</v>
      </c>
      <c r="FQ28">
        <v>17</v>
      </c>
      <c r="FS28">
        <f t="shared" si="5"/>
        <v>131</v>
      </c>
      <c r="FT28">
        <v>1937</v>
      </c>
      <c r="FW28">
        <v>1937</v>
      </c>
      <c r="FX28">
        <v>5</v>
      </c>
      <c r="FY28">
        <v>3</v>
      </c>
      <c r="FZ28">
        <v>1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7</v>
      </c>
      <c r="GK28">
        <f t="shared" si="6"/>
        <v>16</v>
      </c>
    </row>
    <row r="29" spans="1:193">
      <c r="A29" s="17" t="s">
        <v>61</v>
      </c>
      <c r="C29">
        <v>7</v>
      </c>
      <c r="F29">
        <v>0.1</v>
      </c>
      <c r="L29">
        <v>8.6999999999999993</v>
      </c>
      <c r="M29">
        <v>1</v>
      </c>
      <c r="N29">
        <v>3.8</v>
      </c>
      <c r="O29">
        <v>1.2</v>
      </c>
      <c r="R29">
        <v>0.5</v>
      </c>
      <c r="S29">
        <v>1.2</v>
      </c>
      <c r="V29">
        <v>4.8</v>
      </c>
      <c r="W29">
        <v>11.8</v>
      </c>
      <c r="Z29">
        <v>5.6</v>
      </c>
      <c r="AA29">
        <v>0.9</v>
      </c>
      <c r="AD29">
        <v>2.5</v>
      </c>
      <c r="AE29">
        <v>0.3</v>
      </c>
      <c r="AF29">
        <v>2.1</v>
      </c>
      <c r="AG29">
        <v>5</v>
      </c>
      <c r="AL29">
        <v>0.1</v>
      </c>
      <c r="AN29">
        <v>0.5</v>
      </c>
      <c r="AO29">
        <v>0.5</v>
      </c>
      <c r="AP29">
        <v>0.3</v>
      </c>
      <c r="AQ29">
        <v>4.3</v>
      </c>
      <c r="AS29">
        <v>0.2</v>
      </c>
      <c r="AU29">
        <v>3.6</v>
      </c>
      <c r="AW29">
        <v>19</v>
      </c>
      <c r="AX29">
        <v>4.8</v>
      </c>
      <c r="BA29">
        <v>0.8</v>
      </c>
      <c r="BB29">
        <v>0.6</v>
      </c>
      <c r="BC29">
        <v>0.5</v>
      </c>
      <c r="BD29">
        <v>0.3</v>
      </c>
      <c r="BE29">
        <v>17.2</v>
      </c>
      <c r="BF29">
        <v>8.6999999999999993</v>
      </c>
      <c r="BH29">
        <v>10.4</v>
      </c>
      <c r="BI29">
        <v>14.1</v>
      </c>
      <c r="BJ29">
        <v>17.3</v>
      </c>
      <c r="BL29">
        <v>1.7</v>
      </c>
      <c r="BM29">
        <v>0.1</v>
      </c>
      <c r="BN29">
        <v>0.6</v>
      </c>
      <c r="BO29">
        <v>1.4</v>
      </c>
      <c r="BP29">
        <v>5.8</v>
      </c>
      <c r="BQ29">
        <v>6.3</v>
      </c>
      <c r="BS29">
        <v>16</v>
      </c>
      <c r="BT29">
        <v>14.5</v>
      </c>
      <c r="BU29">
        <v>1.7</v>
      </c>
      <c r="BW29">
        <v>0.1</v>
      </c>
      <c r="BX29">
        <v>10.7</v>
      </c>
      <c r="BZ29">
        <v>2.1</v>
      </c>
      <c r="CB29">
        <v>0.5</v>
      </c>
      <c r="CD29">
        <v>1</v>
      </c>
      <c r="CE29">
        <v>2.1</v>
      </c>
      <c r="CG29">
        <v>0.7</v>
      </c>
      <c r="CI29">
        <v>2.2999999999999998</v>
      </c>
      <c r="CK29">
        <v>3.4</v>
      </c>
      <c r="CL29">
        <v>8.5</v>
      </c>
      <c r="CN29">
        <v>1.5</v>
      </c>
      <c r="CP29">
        <v>0.3</v>
      </c>
      <c r="CQ29">
        <v>2.2999999999999998</v>
      </c>
      <c r="CR29">
        <v>19.8</v>
      </c>
      <c r="CT29">
        <v>0.5</v>
      </c>
      <c r="CU29">
        <v>7</v>
      </c>
      <c r="CV29">
        <v>0.3</v>
      </c>
      <c r="CW29">
        <v>5.6</v>
      </c>
      <c r="CX29">
        <v>0.3</v>
      </c>
      <c r="CY29">
        <v>0.9</v>
      </c>
      <c r="CZ29">
        <v>1.5</v>
      </c>
      <c r="DA29" s="2"/>
      <c r="DD29" s="1">
        <v>40936</v>
      </c>
      <c r="DE29" s="2">
        <f t="shared" si="0"/>
        <v>4.3624999999999998</v>
      </c>
      <c r="DF29" s="2">
        <f t="shared" si="1"/>
        <v>2.7372549019607844</v>
      </c>
      <c r="DG29" s="2">
        <f t="shared" si="2"/>
        <v>19.8</v>
      </c>
      <c r="DH29" s="2">
        <f t="shared" si="3"/>
        <v>0.1</v>
      </c>
      <c r="DI29" s="3">
        <f t="shared" si="4"/>
        <v>0.62745098039215685</v>
      </c>
      <c r="DK29" s="6"/>
      <c r="DU29">
        <v>1938</v>
      </c>
      <c r="DV29" s="2">
        <v>95.5</v>
      </c>
      <c r="DW29" s="2">
        <v>46.999999999970299</v>
      </c>
      <c r="DX29" s="2">
        <v>75.299999999991996</v>
      </c>
      <c r="DY29" s="2">
        <v>75.499999999950106</v>
      </c>
      <c r="DZ29" s="2">
        <v>51.699999999979902</v>
      </c>
      <c r="EA29" s="2">
        <v>28</v>
      </c>
      <c r="EB29" s="2">
        <v>12.6999999999971</v>
      </c>
      <c r="EC29" s="2">
        <v>24.5</v>
      </c>
      <c r="ED29" s="2">
        <v>276.19999999980701</v>
      </c>
      <c r="EE29" s="2">
        <v>58.499999999964302</v>
      </c>
      <c r="EF29" s="2">
        <v>16.8999999999895</v>
      </c>
      <c r="EG29" s="2">
        <v>122.599999999933</v>
      </c>
      <c r="EI29">
        <v>884.39999999952852</v>
      </c>
      <c r="EJ29">
        <v>1938</v>
      </c>
      <c r="EL29">
        <v>1938</v>
      </c>
      <c r="EM29">
        <v>28</v>
      </c>
      <c r="EN29">
        <v>10.8</v>
      </c>
      <c r="EO29">
        <v>24.5</v>
      </c>
      <c r="EP29">
        <v>12.3</v>
      </c>
      <c r="EQ29">
        <v>23.3</v>
      </c>
      <c r="ER29">
        <v>28</v>
      </c>
      <c r="ES29">
        <v>14.8</v>
      </c>
      <c r="ET29">
        <v>14.5</v>
      </c>
      <c r="EU29">
        <v>79.900000000000006</v>
      </c>
      <c r="EV29">
        <v>21.1</v>
      </c>
      <c r="EW29">
        <v>13.6</v>
      </c>
      <c r="EX29">
        <v>13.3</v>
      </c>
      <c r="EZ29">
        <v>79.900000000000006</v>
      </c>
      <c r="FA29">
        <v>1938</v>
      </c>
      <c r="FE29">
        <v>1938</v>
      </c>
      <c r="FF29">
        <v>16</v>
      </c>
      <c r="FG29">
        <v>17</v>
      </c>
      <c r="FH29">
        <v>12</v>
      </c>
      <c r="FI29">
        <v>16</v>
      </c>
      <c r="FJ29">
        <v>11</v>
      </c>
      <c r="FK29">
        <v>1</v>
      </c>
      <c r="FL29">
        <v>2</v>
      </c>
      <c r="FM29">
        <v>2</v>
      </c>
      <c r="FN29">
        <v>11</v>
      </c>
      <c r="FO29">
        <v>12</v>
      </c>
      <c r="FP29">
        <v>7</v>
      </c>
      <c r="FQ29">
        <v>25</v>
      </c>
      <c r="FS29">
        <f t="shared" si="5"/>
        <v>132</v>
      </c>
      <c r="FT29">
        <v>1938</v>
      </c>
      <c r="FW29">
        <v>1938</v>
      </c>
      <c r="FX29">
        <v>2</v>
      </c>
      <c r="FY29">
        <v>9</v>
      </c>
      <c r="FZ29">
        <v>3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K29">
        <f t="shared" si="6"/>
        <v>14</v>
      </c>
    </row>
    <row r="30" spans="1:193">
      <c r="A30" s="17" t="s">
        <v>62</v>
      </c>
      <c r="C30">
        <v>3.4</v>
      </c>
      <c r="H30">
        <v>2.8</v>
      </c>
      <c r="J30">
        <v>2.2000000000000002</v>
      </c>
      <c r="K30">
        <v>2.4</v>
      </c>
      <c r="L30">
        <v>1.7</v>
      </c>
      <c r="M30">
        <v>1</v>
      </c>
      <c r="R30">
        <v>0.4</v>
      </c>
      <c r="T30">
        <v>2.7</v>
      </c>
      <c r="Y30">
        <v>2.8</v>
      </c>
      <c r="Z30">
        <v>8.5</v>
      </c>
      <c r="AA30">
        <v>8.9</v>
      </c>
      <c r="AB30">
        <v>5.7</v>
      </c>
      <c r="AG30">
        <v>2</v>
      </c>
      <c r="AH30">
        <v>2</v>
      </c>
      <c r="AI30">
        <v>3</v>
      </c>
      <c r="AJ30">
        <v>42.5</v>
      </c>
      <c r="AK30">
        <v>3.3</v>
      </c>
      <c r="AN30">
        <v>0.5</v>
      </c>
      <c r="AP30">
        <v>2.1</v>
      </c>
      <c r="AQ30">
        <v>2.8</v>
      </c>
      <c r="AS30">
        <v>3.3</v>
      </c>
      <c r="AU30">
        <v>5</v>
      </c>
      <c r="AV30">
        <v>2.1</v>
      </c>
      <c r="AX30">
        <v>3.7</v>
      </c>
      <c r="BA30">
        <v>16.7</v>
      </c>
      <c r="BB30">
        <v>5</v>
      </c>
      <c r="BC30">
        <v>4.5</v>
      </c>
      <c r="BE30">
        <v>20.399999999999999</v>
      </c>
      <c r="BF30">
        <v>0.7</v>
      </c>
      <c r="BG30">
        <v>7.3</v>
      </c>
      <c r="BI30">
        <v>12.8</v>
      </c>
      <c r="BJ30">
        <v>0.1</v>
      </c>
      <c r="BL30">
        <v>1.5</v>
      </c>
      <c r="BM30">
        <v>0.3</v>
      </c>
      <c r="BN30">
        <v>3</v>
      </c>
      <c r="BO30">
        <v>11</v>
      </c>
      <c r="BQ30" t="s">
        <v>0</v>
      </c>
      <c r="BS30">
        <v>0.2</v>
      </c>
      <c r="BT30">
        <v>3.5</v>
      </c>
      <c r="BU30">
        <v>14.1</v>
      </c>
      <c r="BV30">
        <v>0.1</v>
      </c>
      <c r="BX30">
        <v>17.5</v>
      </c>
      <c r="BY30">
        <v>7</v>
      </c>
      <c r="BZ30">
        <v>11.1</v>
      </c>
      <c r="CB30">
        <v>2.5</v>
      </c>
      <c r="CD30">
        <v>4.7</v>
      </c>
      <c r="CE30">
        <v>0.2</v>
      </c>
      <c r="CF30">
        <v>4.5999999999999996</v>
      </c>
      <c r="CG30">
        <v>36</v>
      </c>
      <c r="CH30">
        <v>0.3</v>
      </c>
      <c r="CK30">
        <v>0.1</v>
      </c>
      <c r="CL30">
        <v>6.5</v>
      </c>
      <c r="CN30">
        <v>0.1</v>
      </c>
      <c r="CP30">
        <v>12.7</v>
      </c>
      <c r="CQ30">
        <v>15</v>
      </c>
      <c r="CR30">
        <v>34.1</v>
      </c>
      <c r="CS30">
        <v>0.1</v>
      </c>
      <c r="CT30">
        <v>0.8</v>
      </c>
      <c r="CU30">
        <v>1.8</v>
      </c>
      <c r="CV30">
        <v>7.1</v>
      </c>
      <c r="CW30">
        <v>19.7</v>
      </c>
      <c r="CX30">
        <v>8.1999999999999993</v>
      </c>
      <c r="CY30">
        <v>1</v>
      </c>
      <c r="CZ30">
        <v>0.2</v>
      </c>
      <c r="DA30" s="2"/>
      <c r="DD30" s="1">
        <v>40937</v>
      </c>
      <c r="DE30" s="2">
        <f t="shared" si="0"/>
        <v>6.4650793650793661</v>
      </c>
      <c r="DF30" s="2">
        <f t="shared" si="1"/>
        <v>3.9931372549019613</v>
      </c>
      <c r="DG30" s="2">
        <f t="shared" si="2"/>
        <v>42.5</v>
      </c>
      <c r="DH30" s="2">
        <f t="shared" si="3"/>
        <v>0.1</v>
      </c>
      <c r="DI30" s="3">
        <f t="shared" si="4"/>
        <v>0.62745098039215685</v>
      </c>
      <c r="DK30" s="68" t="s">
        <v>7</v>
      </c>
      <c r="DL30" s="71" t="s">
        <v>4</v>
      </c>
      <c r="DM30" s="12" t="s">
        <v>27</v>
      </c>
      <c r="DN30" s="8">
        <v>53</v>
      </c>
      <c r="DO30" s="5">
        <v>188.9</v>
      </c>
      <c r="DP30" s="8">
        <v>24</v>
      </c>
      <c r="DQ30" s="8">
        <v>15</v>
      </c>
      <c r="DU30">
        <v>1939</v>
      </c>
      <c r="DV30" s="2">
        <v>53.1</v>
      </c>
      <c r="DW30" s="2">
        <v>60.299999999974403</v>
      </c>
      <c r="DX30" s="2">
        <v>147.99999999995501</v>
      </c>
      <c r="DY30" s="2">
        <v>4.49999999999772</v>
      </c>
      <c r="DZ30" s="2">
        <v>17.599999999992399</v>
      </c>
      <c r="EA30" s="2">
        <v>62.999999999958803</v>
      </c>
      <c r="EB30" s="2">
        <v>20.199999999995299</v>
      </c>
      <c r="EC30" s="2">
        <v>123.499999999957</v>
      </c>
      <c r="ED30" s="2">
        <v>64.299999999988401</v>
      </c>
      <c r="EE30" s="2">
        <v>48.199999999971197</v>
      </c>
      <c r="EF30" s="2">
        <v>153.09999999991899</v>
      </c>
      <c r="EG30" s="2">
        <v>261.79999999991799</v>
      </c>
      <c r="EI30">
        <v>1017.5999999996034</v>
      </c>
      <c r="EJ30">
        <v>1939</v>
      </c>
      <c r="EL30">
        <v>1939</v>
      </c>
      <c r="EM30">
        <v>16.2</v>
      </c>
      <c r="EN30">
        <v>24</v>
      </c>
      <c r="EO30">
        <v>31</v>
      </c>
      <c r="EP30">
        <v>2.6</v>
      </c>
      <c r="EQ30">
        <v>6.9</v>
      </c>
      <c r="ER30">
        <v>20.3</v>
      </c>
      <c r="ES30">
        <v>10.7</v>
      </c>
      <c r="ET30">
        <v>49.5</v>
      </c>
      <c r="EU30">
        <v>45.8</v>
      </c>
      <c r="EV30">
        <v>18.3</v>
      </c>
      <c r="EW30">
        <v>33.9</v>
      </c>
      <c r="EX30">
        <v>56.5</v>
      </c>
      <c r="EZ30">
        <v>56.5</v>
      </c>
      <c r="FA30">
        <v>1939</v>
      </c>
      <c r="FE30">
        <v>1939</v>
      </c>
      <c r="FF30">
        <v>16</v>
      </c>
      <c r="FG30">
        <v>18</v>
      </c>
      <c r="FH30">
        <v>23</v>
      </c>
      <c r="FI30">
        <v>7</v>
      </c>
      <c r="FJ30">
        <v>10</v>
      </c>
      <c r="FK30">
        <v>15</v>
      </c>
      <c r="FL30">
        <v>6</v>
      </c>
      <c r="FM30">
        <v>12</v>
      </c>
      <c r="FN30">
        <v>7</v>
      </c>
      <c r="FO30">
        <v>12</v>
      </c>
      <c r="FP30">
        <v>19</v>
      </c>
      <c r="FQ30">
        <v>21</v>
      </c>
      <c r="FS30">
        <f t="shared" si="5"/>
        <v>166</v>
      </c>
      <c r="FT30">
        <v>1939</v>
      </c>
      <c r="FW30">
        <v>1939</v>
      </c>
      <c r="FX30">
        <v>12</v>
      </c>
      <c r="FY30">
        <v>5</v>
      </c>
      <c r="FZ30">
        <v>2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3</v>
      </c>
      <c r="GK30">
        <f t="shared" si="6"/>
        <v>22</v>
      </c>
    </row>
    <row r="31" spans="1:193">
      <c r="A31" s="17" t="s">
        <v>63</v>
      </c>
      <c r="C31">
        <v>8.1</v>
      </c>
      <c r="D31">
        <v>0.9</v>
      </c>
      <c r="E31">
        <v>1.2</v>
      </c>
      <c r="F31">
        <v>11.3</v>
      </c>
      <c r="G31">
        <v>0.7</v>
      </c>
      <c r="H31">
        <v>6.4</v>
      </c>
      <c r="J31">
        <v>0.9</v>
      </c>
      <c r="K31">
        <v>0.2</v>
      </c>
      <c r="M31">
        <v>2.2000000000000002</v>
      </c>
      <c r="N31">
        <v>0.7</v>
      </c>
      <c r="S31">
        <v>1.8</v>
      </c>
      <c r="T31">
        <v>6.3</v>
      </c>
      <c r="X31">
        <v>1</v>
      </c>
      <c r="Y31">
        <v>5.9</v>
      </c>
      <c r="Z31">
        <v>10.6</v>
      </c>
      <c r="AB31">
        <v>7.7</v>
      </c>
      <c r="AD31" t="s">
        <v>0</v>
      </c>
      <c r="AE31">
        <v>1</v>
      </c>
      <c r="AG31">
        <v>1</v>
      </c>
      <c r="AI31">
        <v>0.4</v>
      </c>
      <c r="AJ31">
        <v>22</v>
      </c>
      <c r="AM31">
        <v>0.4</v>
      </c>
      <c r="AN31">
        <v>0.1</v>
      </c>
      <c r="AO31">
        <v>19.5</v>
      </c>
      <c r="AQ31">
        <v>0.7</v>
      </c>
      <c r="AS31">
        <v>4.0999999999999996</v>
      </c>
      <c r="AU31">
        <v>2</v>
      </c>
      <c r="AV31">
        <v>2.7</v>
      </c>
      <c r="AW31">
        <v>6.3</v>
      </c>
      <c r="AX31">
        <v>1.1000000000000001</v>
      </c>
      <c r="BA31">
        <v>17.899999999999999</v>
      </c>
      <c r="BB31">
        <v>1.3</v>
      </c>
      <c r="BC31">
        <v>2.5</v>
      </c>
      <c r="BE31">
        <v>1.9</v>
      </c>
      <c r="BF31">
        <v>1.3</v>
      </c>
      <c r="BG31">
        <v>0.2</v>
      </c>
      <c r="BH31">
        <v>10.199999999999999</v>
      </c>
      <c r="BI31">
        <v>0.2</v>
      </c>
      <c r="BL31">
        <v>5.3</v>
      </c>
      <c r="BM31">
        <v>1.4</v>
      </c>
      <c r="BN31">
        <v>8.8000000000000007</v>
      </c>
      <c r="BO31">
        <v>0.8</v>
      </c>
      <c r="BQ31">
        <v>14</v>
      </c>
      <c r="BR31">
        <v>11</v>
      </c>
      <c r="BT31">
        <v>0.3</v>
      </c>
      <c r="BU31">
        <v>9.4</v>
      </c>
      <c r="BV31">
        <v>0.7</v>
      </c>
      <c r="BW31">
        <v>0.5</v>
      </c>
      <c r="BX31">
        <v>9.1</v>
      </c>
      <c r="BY31">
        <v>0.8</v>
      </c>
      <c r="BZ31">
        <v>33.5</v>
      </c>
      <c r="CA31">
        <v>0.3</v>
      </c>
      <c r="CB31">
        <v>0.8</v>
      </c>
      <c r="CD31">
        <v>4.4000000000000004</v>
      </c>
      <c r="CE31">
        <v>1</v>
      </c>
      <c r="CF31">
        <v>3.8</v>
      </c>
      <c r="CG31">
        <v>4.3</v>
      </c>
      <c r="CI31">
        <v>4.5</v>
      </c>
      <c r="CL31">
        <v>9.4</v>
      </c>
      <c r="CM31">
        <v>1</v>
      </c>
      <c r="CP31">
        <v>5.2</v>
      </c>
      <c r="CQ31">
        <v>4.3</v>
      </c>
      <c r="CT31">
        <v>0.3</v>
      </c>
      <c r="CU31">
        <v>0.8</v>
      </c>
      <c r="CV31">
        <v>3.3</v>
      </c>
      <c r="CW31">
        <v>0.5</v>
      </c>
      <c r="CX31">
        <v>0.1</v>
      </c>
      <c r="CY31">
        <v>5.8</v>
      </c>
      <c r="DA31" s="2"/>
      <c r="DD31" s="1">
        <v>40938</v>
      </c>
      <c r="DE31" s="2">
        <f t="shared" si="0"/>
        <v>4.5985074626865696</v>
      </c>
      <c r="DF31" s="2">
        <f t="shared" si="1"/>
        <v>3.0205882352941189</v>
      </c>
      <c r="DG31" s="2">
        <f t="shared" si="2"/>
        <v>33.5</v>
      </c>
      <c r="DH31" s="2">
        <f t="shared" si="3"/>
        <v>0.1</v>
      </c>
      <c r="DI31" s="3">
        <f t="shared" si="4"/>
        <v>0.66666666666666663</v>
      </c>
      <c r="DK31" s="69"/>
      <c r="DL31" s="67"/>
      <c r="DM31" s="12" t="s">
        <v>33</v>
      </c>
      <c r="DN31" s="13">
        <v>21262</v>
      </c>
      <c r="DO31" s="19">
        <v>1958</v>
      </c>
      <c r="DP31" s="8">
        <v>1971</v>
      </c>
      <c r="DQ31" s="8">
        <v>1987</v>
      </c>
      <c r="DU31">
        <v>1940</v>
      </c>
      <c r="DV31" s="2">
        <v>106.9</v>
      </c>
      <c r="DW31" s="2">
        <v>106.09999999995399</v>
      </c>
      <c r="DX31" s="2">
        <v>152.99999999996601</v>
      </c>
      <c r="DY31" s="2">
        <v>93.899999999924106</v>
      </c>
      <c r="DZ31" s="2">
        <v>29.399999999979201</v>
      </c>
      <c r="EA31" s="2">
        <v>95.299999999933604</v>
      </c>
      <c r="EB31" s="2">
        <v>59.199999999966202</v>
      </c>
      <c r="EC31" s="2">
        <v>4.1999999999998199</v>
      </c>
      <c r="ED31" s="2">
        <v>46.999999999956401</v>
      </c>
      <c r="EE31" s="2">
        <v>43.0999999999786</v>
      </c>
      <c r="EF31" s="2">
        <v>50.8999999999862</v>
      </c>
      <c r="EG31" s="2">
        <v>291.99999999987398</v>
      </c>
      <c r="EI31">
        <v>1080.999999999465</v>
      </c>
      <c r="EJ31">
        <v>1940</v>
      </c>
      <c r="EL31">
        <v>1940</v>
      </c>
      <c r="EM31">
        <v>23.1</v>
      </c>
      <c r="EN31">
        <v>17.600000000000001</v>
      </c>
      <c r="EO31">
        <v>39.299999999999997</v>
      </c>
      <c r="EP31">
        <v>27.1</v>
      </c>
      <c r="EQ31">
        <v>7.4</v>
      </c>
      <c r="ER31">
        <v>40.4</v>
      </c>
      <c r="ES31">
        <v>11</v>
      </c>
      <c r="ET31">
        <v>3</v>
      </c>
      <c r="EU31">
        <v>32.9</v>
      </c>
      <c r="EV31">
        <v>14</v>
      </c>
      <c r="EW31">
        <v>16.399999999999999</v>
      </c>
      <c r="EX31">
        <v>44.3</v>
      </c>
      <c r="EZ31">
        <v>44.3</v>
      </c>
      <c r="FA31">
        <v>1940</v>
      </c>
      <c r="FE31">
        <v>1940</v>
      </c>
      <c r="FF31">
        <v>23</v>
      </c>
      <c r="FG31">
        <v>15</v>
      </c>
      <c r="FH31">
        <v>16</v>
      </c>
      <c r="FI31">
        <v>13</v>
      </c>
      <c r="FJ31">
        <v>13</v>
      </c>
      <c r="FK31">
        <v>10</v>
      </c>
      <c r="FL31">
        <v>5</v>
      </c>
      <c r="FM31">
        <v>3</v>
      </c>
      <c r="FN31">
        <v>4</v>
      </c>
      <c r="FO31">
        <v>12</v>
      </c>
      <c r="FP31">
        <v>11</v>
      </c>
      <c r="FQ31">
        <v>27</v>
      </c>
      <c r="FS31">
        <f t="shared" si="5"/>
        <v>152</v>
      </c>
      <c r="FT31">
        <v>1940</v>
      </c>
      <c r="FW31">
        <v>1940</v>
      </c>
      <c r="FX31">
        <v>7</v>
      </c>
      <c r="FY31">
        <v>3</v>
      </c>
      <c r="FZ31">
        <v>8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8</v>
      </c>
      <c r="GK31">
        <f t="shared" si="6"/>
        <v>26</v>
      </c>
    </row>
    <row r="32" spans="1:193">
      <c r="A32" s="17" t="s">
        <v>64</v>
      </c>
      <c r="D32">
        <v>0.5</v>
      </c>
      <c r="E32">
        <v>2.2999999999999998</v>
      </c>
      <c r="F32">
        <v>15.7</v>
      </c>
      <c r="H32">
        <v>0.4</v>
      </c>
      <c r="J32">
        <v>0.6</v>
      </c>
      <c r="L32">
        <v>1.2</v>
      </c>
      <c r="N32">
        <v>2.9</v>
      </c>
      <c r="O32">
        <v>6.8</v>
      </c>
      <c r="P32">
        <v>2.7</v>
      </c>
      <c r="S32">
        <v>0.3</v>
      </c>
      <c r="T32">
        <v>3</v>
      </c>
      <c r="U32">
        <v>1.3</v>
      </c>
      <c r="V32">
        <v>2.7</v>
      </c>
      <c r="X32">
        <v>0.6</v>
      </c>
      <c r="Y32">
        <v>66</v>
      </c>
      <c r="Z32">
        <v>0.7</v>
      </c>
      <c r="AB32">
        <v>0.4</v>
      </c>
      <c r="AC32">
        <v>8.1999999999999993</v>
      </c>
      <c r="AD32">
        <v>15.3</v>
      </c>
      <c r="AE32">
        <v>0.2</v>
      </c>
      <c r="AF32">
        <v>0.8</v>
      </c>
      <c r="AG32">
        <v>14.5</v>
      </c>
      <c r="AI32">
        <v>0.3</v>
      </c>
      <c r="AJ32">
        <v>7.5</v>
      </c>
      <c r="AK32">
        <v>3.4</v>
      </c>
      <c r="AL32">
        <v>1.9</v>
      </c>
      <c r="AO32">
        <v>2</v>
      </c>
      <c r="AP32">
        <v>3.1</v>
      </c>
      <c r="AQ32">
        <v>2</v>
      </c>
      <c r="AS32">
        <v>3.7</v>
      </c>
      <c r="AU32">
        <v>2.7</v>
      </c>
      <c r="AV32">
        <v>3.5</v>
      </c>
      <c r="AX32">
        <v>1.8</v>
      </c>
      <c r="BA32">
        <v>6.3</v>
      </c>
      <c r="BB32">
        <v>2.2000000000000002</v>
      </c>
      <c r="BC32">
        <v>20.399999999999999</v>
      </c>
      <c r="BH32">
        <v>0.1</v>
      </c>
      <c r="BI32">
        <v>6.7</v>
      </c>
      <c r="BL32">
        <v>0.1</v>
      </c>
      <c r="BM32">
        <v>0.1</v>
      </c>
      <c r="BN32">
        <v>15</v>
      </c>
      <c r="BQ32">
        <v>0.2</v>
      </c>
      <c r="BR32">
        <v>6.5</v>
      </c>
      <c r="BU32">
        <v>0.9</v>
      </c>
      <c r="BV32">
        <v>20.2</v>
      </c>
      <c r="BX32">
        <v>0.2</v>
      </c>
      <c r="BZ32">
        <v>0.8</v>
      </c>
      <c r="CA32">
        <v>5.2</v>
      </c>
      <c r="CB32">
        <v>1</v>
      </c>
      <c r="CC32">
        <v>0.2</v>
      </c>
      <c r="CD32">
        <v>4.5</v>
      </c>
      <c r="CE32">
        <v>4.8</v>
      </c>
      <c r="CF32">
        <v>0.2</v>
      </c>
      <c r="CI32">
        <v>1.7</v>
      </c>
      <c r="CL32">
        <v>2.2999999999999998</v>
      </c>
      <c r="CM32">
        <v>0.5</v>
      </c>
      <c r="CN32">
        <v>13</v>
      </c>
      <c r="CP32">
        <v>8.1999999999999993</v>
      </c>
      <c r="CT32">
        <v>0.5</v>
      </c>
      <c r="CV32">
        <v>1.3</v>
      </c>
      <c r="CW32">
        <v>5.3</v>
      </c>
      <c r="CX32">
        <v>0.1</v>
      </c>
      <c r="CY32">
        <v>4.3</v>
      </c>
      <c r="CZ32">
        <v>11.2</v>
      </c>
      <c r="DA32" s="2"/>
      <c r="DD32" s="1">
        <v>40939</v>
      </c>
      <c r="DE32" s="2">
        <f t="shared" si="0"/>
        <v>5.046875</v>
      </c>
      <c r="DF32" s="2">
        <f t="shared" si="1"/>
        <v>3.1666666666666665</v>
      </c>
      <c r="DG32" s="2">
        <f t="shared" si="2"/>
        <v>66</v>
      </c>
      <c r="DH32" s="2">
        <f t="shared" si="3"/>
        <v>0.1</v>
      </c>
      <c r="DI32" s="3">
        <f t="shared" si="4"/>
        <v>0.62745098039215685</v>
      </c>
      <c r="DK32" s="69"/>
      <c r="DL32" s="72"/>
      <c r="DM32" s="73"/>
      <c r="DN32" s="12" t="s">
        <v>24</v>
      </c>
      <c r="DO32" s="11" t="s">
        <v>25</v>
      </c>
      <c r="DP32" s="11" t="s">
        <v>19</v>
      </c>
      <c r="DQ32" s="11" t="s">
        <v>26</v>
      </c>
      <c r="DU32">
        <v>1941</v>
      </c>
      <c r="DV32" s="2">
        <v>67.099999999999994</v>
      </c>
      <c r="DW32" s="2">
        <v>84.799999999967397</v>
      </c>
      <c r="DX32" s="2">
        <v>29.2999999999947</v>
      </c>
      <c r="DY32" s="2">
        <v>33.599999999984902</v>
      </c>
      <c r="DZ32" s="2">
        <v>101.699999999916</v>
      </c>
      <c r="EA32" s="2">
        <v>29.0999999999786</v>
      </c>
      <c r="EB32" s="2">
        <v>11.1999999999971</v>
      </c>
      <c r="EC32" s="2">
        <v>0.4</v>
      </c>
      <c r="ED32" s="2">
        <v>50.399999999981901</v>
      </c>
      <c r="EE32" s="2">
        <v>125.09999999994599</v>
      </c>
      <c r="EF32" s="2">
        <v>119.499999999943</v>
      </c>
      <c r="EG32" s="2">
        <v>82.999999999976197</v>
      </c>
      <c r="EI32">
        <v>735.19999999966092</v>
      </c>
      <c r="EJ32">
        <v>1941</v>
      </c>
      <c r="EL32">
        <v>1941</v>
      </c>
      <c r="EM32">
        <v>12.8</v>
      </c>
      <c r="EN32">
        <v>20.5</v>
      </c>
      <c r="EO32">
        <v>8.1</v>
      </c>
      <c r="EP32">
        <v>10.5</v>
      </c>
      <c r="EQ32">
        <v>41.4</v>
      </c>
      <c r="ER32">
        <v>13.1</v>
      </c>
      <c r="ES32">
        <v>27.7</v>
      </c>
      <c r="ET32">
        <v>0.4</v>
      </c>
      <c r="EU32">
        <v>14.2</v>
      </c>
      <c r="EV32">
        <v>53.6</v>
      </c>
      <c r="EW32">
        <v>24.9</v>
      </c>
      <c r="EX32">
        <v>28.7</v>
      </c>
      <c r="EZ32">
        <v>53.6</v>
      </c>
      <c r="FA32">
        <v>1941</v>
      </c>
      <c r="FE32">
        <v>1941</v>
      </c>
      <c r="FF32">
        <v>19</v>
      </c>
      <c r="FG32">
        <v>14</v>
      </c>
      <c r="FH32">
        <v>11</v>
      </c>
      <c r="FI32">
        <v>9</v>
      </c>
      <c r="FJ32">
        <v>13</v>
      </c>
      <c r="FK32">
        <v>8</v>
      </c>
      <c r="FL32">
        <v>3</v>
      </c>
      <c r="FM32">
        <v>4</v>
      </c>
      <c r="FN32">
        <v>16</v>
      </c>
      <c r="FO32">
        <v>13</v>
      </c>
      <c r="FP32">
        <v>20</v>
      </c>
      <c r="FQ32">
        <v>16</v>
      </c>
      <c r="FS32">
        <f t="shared" si="5"/>
        <v>146</v>
      </c>
      <c r="FT32">
        <v>1941</v>
      </c>
      <c r="FW32">
        <v>1941</v>
      </c>
      <c r="FX32">
        <v>17</v>
      </c>
      <c r="FY32">
        <v>0</v>
      </c>
      <c r="FZ32">
        <v>4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2</v>
      </c>
      <c r="GI32">
        <v>8</v>
      </c>
      <c r="GK32">
        <f t="shared" si="6"/>
        <v>31</v>
      </c>
    </row>
    <row r="33" spans="1:193">
      <c r="A33" s="17"/>
      <c r="B33">
        <v>1911</v>
      </c>
      <c r="C33">
        <v>1912</v>
      </c>
      <c r="D33">
        <v>1913</v>
      </c>
      <c r="E33">
        <v>1914</v>
      </c>
      <c r="F33">
        <v>1915</v>
      </c>
      <c r="G33">
        <v>1916</v>
      </c>
      <c r="H33">
        <v>1917</v>
      </c>
      <c r="I33">
        <v>1918</v>
      </c>
      <c r="J33">
        <v>1919</v>
      </c>
      <c r="K33">
        <v>1920</v>
      </c>
      <c r="L33">
        <v>1921</v>
      </c>
      <c r="M33">
        <v>1922</v>
      </c>
      <c r="N33">
        <v>1923</v>
      </c>
      <c r="O33">
        <v>1924</v>
      </c>
      <c r="P33">
        <v>1925</v>
      </c>
      <c r="Q33">
        <v>1926</v>
      </c>
      <c r="R33">
        <v>1927</v>
      </c>
      <c r="S33">
        <v>1928</v>
      </c>
      <c r="T33">
        <v>1929</v>
      </c>
      <c r="U33">
        <v>1930</v>
      </c>
      <c r="V33">
        <v>1931</v>
      </c>
      <c r="W33">
        <v>1932</v>
      </c>
      <c r="X33">
        <v>1933</v>
      </c>
      <c r="Y33">
        <v>1934</v>
      </c>
      <c r="Z33">
        <v>1935</v>
      </c>
      <c r="AA33">
        <v>1936</v>
      </c>
      <c r="AB33">
        <v>1937</v>
      </c>
      <c r="AC33">
        <v>1938</v>
      </c>
      <c r="AD33">
        <v>1939</v>
      </c>
      <c r="AE33">
        <v>1940</v>
      </c>
      <c r="AF33">
        <v>1941</v>
      </c>
      <c r="AG33">
        <v>1942</v>
      </c>
      <c r="AH33">
        <v>1943</v>
      </c>
      <c r="AI33">
        <v>1944</v>
      </c>
      <c r="AJ33">
        <v>1945</v>
      </c>
      <c r="AK33">
        <v>1946</v>
      </c>
      <c r="AL33">
        <v>1947</v>
      </c>
      <c r="AM33">
        <v>1948</v>
      </c>
      <c r="AN33">
        <v>1949</v>
      </c>
      <c r="AO33">
        <v>1950</v>
      </c>
      <c r="AP33">
        <v>1951</v>
      </c>
      <c r="AQ33">
        <v>1952</v>
      </c>
      <c r="AR33">
        <v>1953</v>
      </c>
      <c r="AS33">
        <v>1954</v>
      </c>
      <c r="AT33">
        <v>1955</v>
      </c>
      <c r="AU33">
        <v>1956</v>
      </c>
      <c r="AV33">
        <v>1957</v>
      </c>
      <c r="AW33">
        <v>1958</v>
      </c>
      <c r="AX33">
        <v>1959</v>
      </c>
      <c r="AY33">
        <v>1960</v>
      </c>
      <c r="AZ33">
        <v>1961</v>
      </c>
      <c r="BA33">
        <v>1962</v>
      </c>
      <c r="BB33">
        <v>1963</v>
      </c>
      <c r="BC33">
        <v>1964</v>
      </c>
      <c r="BD33">
        <v>1965</v>
      </c>
      <c r="BE33">
        <v>1966</v>
      </c>
      <c r="BF33">
        <v>1967</v>
      </c>
      <c r="BG33">
        <v>1968</v>
      </c>
      <c r="BH33">
        <v>1969</v>
      </c>
      <c r="BI33">
        <v>1970</v>
      </c>
      <c r="BJ33">
        <v>1971</v>
      </c>
      <c r="BK33">
        <v>1972</v>
      </c>
      <c r="BL33">
        <v>1973</v>
      </c>
      <c r="BM33">
        <v>1974</v>
      </c>
      <c r="BN33">
        <v>1975</v>
      </c>
      <c r="BO33">
        <v>1976</v>
      </c>
      <c r="BP33">
        <v>1977</v>
      </c>
      <c r="BQ33">
        <v>1978</v>
      </c>
      <c r="BR33">
        <v>1979</v>
      </c>
      <c r="BS33">
        <v>1980</v>
      </c>
      <c r="BT33">
        <v>1981</v>
      </c>
      <c r="BU33">
        <v>1982</v>
      </c>
      <c r="BV33">
        <v>1983</v>
      </c>
      <c r="BW33">
        <v>1984</v>
      </c>
      <c r="BX33">
        <v>1985</v>
      </c>
      <c r="BY33">
        <v>1986</v>
      </c>
      <c r="BZ33">
        <v>1987</v>
      </c>
      <c r="CA33">
        <v>1988</v>
      </c>
      <c r="CB33">
        <v>1989</v>
      </c>
      <c r="CC33">
        <v>1990</v>
      </c>
      <c r="CD33">
        <v>1991</v>
      </c>
      <c r="CE33">
        <v>1992</v>
      </c>
      <c r="CF33">
        <v>1993</v>
      </c>
      <c r="CG33">
        <v>1994</v>
      </c>
      <c r="CH33">
        <v>1995</v>
      </c>
      <c r="CI33">
        <v>1996</v>
      </c>
      <c r="CJ33">
        <v>1997</v>
      </c>
      <c r="CK33">
        <v>1998</v>
      </c>
      <c r="CL33">
        <v>1999</v>
      </c>
      <c r="CM33">
        <v>2000</v>
      </c>
      <c r="CN33">
        <v>2001</v>
      </c>
      <c r="CO33">
        <v>2002</v>
      </c>
      <c r="CP33">
        <v>2003</v>
      </c>
      <c r="CQ33">
        <v>2004</v>
      </c>
      <c r="CR33">
        <v>2005</v>
      </c>
      <c r="CS33">
        <v>2006</v>
      </c>
      <c r="CT33">
        <v>2007</v>
      </c>
      <c r="CU33">
        <v>2008</v>
      </c>
      <c r="CV33">
        <v>2009</v>
      </c>
      <c r="CW33">
        <v>2010</v>
      </c>
      <c r="CX33">
        <v>2011</v>
      </c>
      <c r="CY33">
        <v>2012</v>
      </c>
      <c r="CZ33">
        <v>2013</v>
      </c>
      <c r="DA33">
        <v>2014</v>
      </c>
      <c r="DD33" s="1"/>
      <c r="DK33" s="69"/>
      <c r="DL33" s="74" t="s">
        <v>29</v>
      </c>
      <c r="DM33" s="12" t="s">
        <v>27</v>
      </c>
      <c r="DN33" s="75"/>
      <c r="DO33" s="18">
        <v>9.9</v>
      </c>
      <c r="DP33" s="8">
        <v>3</v>
      </c>
      <c r="DQ33" s="66"/>
      <c r="DU33">
        <v>1942</v>
      </c>
      <c r="DV33" s="2">
        <v>136.9</v>
      </c>
      <c r="DW33" s="2">
        <v>76.599999999970095</v>
      </c>
      <c r="DX33" s="2">
        <v>37.1999999999897</v>
      </c>
      <c r="DY33" s="2">
        <v>12.7999999999897</v>
      </c>
      <c r="DZ33" s="2">
        <v>3.1999999999970998</v>
      </c>
      <c r="EA33" s="2">
        <v>33.499999999975898</v>
      </c>
      <c r="EB33" s="2">
        <v>40.399999999966901</v>
      </c>
      <c r="EC33" s="2">
        <v>68.499999999990493</v>
      </c>
      <c r="ED33" s="2">
        <v>60.999999999978101</v>
      </c>
      <c r="EE33" s="2">
        <v>217.99999999976299</v>
      </c>
      <c r="EF33" s="2">
        <v>191.99999999996601</v>
      </c>
      <c r="EG33" s="2">
        <v>19.899999999992399</v>
      </c>
      <c r="EI33">
        <v>899.99999999953639</v>
      </c>
      <c r="EJ33">
        <v>1942</v>
      </c>
      <c r="EL33">
        <v>1942</v>
      </c>
      <c r="EM33">
        <v>27.1</v>
      </c>
      <c r="EN33">
        <v>17.2</v>
      </c>
      <c r="EO33">
        <v>7.6</v>
      </c>
      <c r="EP33">
        <v>4.4000000000000004</v>
      </c>
      <c r="EQ33">
        <v>1.1000000000000001</v>
      </c>
      <c r="ER33">
        <v>26.6</v>
      </c>
      <c r="ES33">
        <v>11.2</v>
      </c>
      <c r="ET33">
        <v>37.5</v>
      </c>
      <c r="EU33">
        <v>37.5</v>
      </c>
      <c r="EV33">
        <v>131.30000000000001</v>
      </c>
      <c r="EW33">
        <v>60</v>
      </c>
      <c r="EX33">
        <v>4</v>
      </c>
      <c r="EZ33">
        <v>131.30000000000001</v>
      </c>
      <c r="FA33">
        <v>1942</v>
      </c>
      <c r="FE33">
        <v>1942</v>
      </c>
      <c r="FF33">
        <v>26</v>
      </c>
      <c r="FG33">
        <v>18</v>
      </c>
      <c r="FH33">
        <v>18</v>
      </c>
      <c r="FI33">
        <v>13</v>
      </c>
      <c r="FJ33">
        <v>3</v>
      </c>
      <c r="FK33">
        <v>4</v>
      </c>
      <c r="FL33">
        <v>4</v>
      </c>
      <c r="FM33">
        <v>10</v>
      </c>
      <c r="FN33">
        <v>4</v>
      </c>
      <c r="FO33">
        <v>18</v>
      </c>
      <c r="FP33">
        <v>19</v>
      </c>
      <c r="FQ33">
        <v>12</v>
      </c>
      <c r="FS33">
        <f t="shared" si="5"/>
        <v>149</v>
      </c>
      <c r="FT33">
        <v>1942</v>
      </c>
      <c r="FW33">
        <v>1942</v>
      </c>
      <c r="FX33">
        <v>10</v>
      </c>
      <c r="FY33">
        <v>5</v>
      </c>
      <c r="FZ33">
        <v>4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K33">
        <f t="shared" si="6"/>
        <v>19</v>
      </c>
    </row>
    <row r="34" spans="1:193" ht="15.75" customHeight="1">
      <c r="A34" s="17" t="s">
        <v>30</v>
      </c>
      <c r="C34">
        <f>SUM(C2:C32)</f>
        <v>92.3</v>
      </c>
      <c r="D34">
        <f t="shared" ref="D34:BO34" si="7">SUM(D2:D32)</f>
        <v>161.90000000000003</v>
      </c>
      <c r="E34">
        <f t="shared" si="7"/>
        <v>89.099999999999952</v>
      </c>
      <c r="F34">
        <f t="shared" si="7"/>
        <v>92.3</v>
      </c>
      <c r="G34">
        <f t="shared" si="7"/>
        <v>58.600000000000023</v>
      </c>
      <c r="H34">
        <f t="shared" si="7"/>
        <v>102.9</v>
      </c>
      <c r="I34">
        <f t="shared" si="7"/>
        <v>103.2</v>
      </c>
      <c r="J34">
        <f t="shared" si="7"/>
        <v>50.6</v>
      </c>
      <c r="K34">
        <f t="shared" si="7"/>
        <v>94.200000000000017</v>
      </c>
      <c r="L34">
        <f t="shared" si="7"/>
        <v>22.5</v>
      </c>
      <c r="M34">
        <f t="shared" si="7"/>
        <v>214.00000000000003</v>
      </c>
      <c r="N34">
        <f t="shared" si="7"/>
        <v>96.700000000000017</v>
      </c>
      <c r="O34">
        <f t="shared" si="7"/>
        <v>59.800000000000004</v>
      </c>
      <c r="P34">
        <f t="shared" si="7"/>
        <v>20.100000000000001</v>
      </c>
      <c r="Q34">
        <f t="shared" si="7"/>
        <v>145.19999999999999</v>
      </c>
      <c r="R34">
        <f t="shared" si="7"/>
        <v>42.3</v>
      </c>
      <c r="S34">
        <f t="shared" si="7"/>
        <v>39.300000000000004</v>
      </c>
      <c r="T34">
        <f t="shared" si="7"/>
        <v>86.2</v>
      </c>
      <c r="U34">
        <f t="shared" si="7"/>
        <v>85.2</v>
      </c>
      <c r="V34">
        <f t="shared" si="7"/>
        <v>103.9</v>
      </c>
      <c r="W34">
        <f t="shared" si="7"/>
        <v>123.79999999999998</v>
      </c>
      <c r="X34">
        <f t="shared" si="7"/>
        <v>85.199999999999989</v>
      </c>
      <c r="Y34">
        <f t="shared" si="7"/>
        <v>108.1</v>
      </c>
      <c r="Z34">
        <f t="shared" si="7"/>
        <v>96.499999999999972</v>
      </c>
      <c r="AA34">
        <f t="shared" si="7"/>
        <v>36</v>
      </c>
      <c r="AB34">
        <f t="shared" si="7"/>
        <v>125.3</v>
      </c>
      <c r="AC34">
        <f t="shared" si="7"/>
        <v>95.5</v>
      </c>
      <c r="AD34">
        <f t="shared" si="7"/>
        <v>53.099999999999994</v>
      </c>
      <c r="AE34">
        <f t="shared" si="7"/>
        <v>106.9</v>
      </c>
      <c r="AF34">
        <f t="shared" si="7"/>
        <v>67.09999999999998</v>
      </c>
      <c r="AG34">
        <f t="shared" si="7"/>
        <v>136.90000000000003</v>
      </c>
      <c r="AH34">
        <f t="shared" si="7"/>
        <v>124.40000000000002</v>
      </c>
      <c r="AI34">
        <f t="shared" si="7"/>
        <v>91.8</v>
      </c>
      <c r="AJ34">
        <f t="shared" si="7"/>
        <v>198.89999999999998</v>
      </c>
      <c r="AK34">
        <f t="shared" si="7"/>
        <v>61.8</v>
      </c>
      <c r="AL34">
        <f t="shared" si="7"/>
        <v>97.499999999999972</v>
      </c>
      <c r="AM34">
        <f t="shared" si="7"/>
        <v>120.5</v>
      </c>
      <c r="AN34">
        <f t="shared" si="7"/>
        <v>22.6</v>
      </c>
      <c r="AO34">
        <f t="shared" si="7"/>
        <v>131.69999999999999</v>
      </c>
      <c r="AP34">
        <f t="shared" si="7"/>
        <v>126.79999999999997</v>
      </c>
      <c r="AQ34">
        <f t="shared" si="7"/>
        <v>135.1</v>
      </c>
      <c r="AR34">
        <f t="shared" si="7"/>
        <v>168.4</v>
      </c>
      <c r="AS34">
        <f t="shared" si="7"/>
        <v>131.6</v>
      </c>
      <c r="AT34">
        <f t="shared" si="7"/>
        <v>86.100000000000009</v>
      </c>
      <c r="AU34">
        <f t="shared" si="7"/>
        <v>80.3</v>
      </c>
      <c r="AV34">
        <f t="shared" si="7"/>
        <v>46.900000000000006</v>
      </c>
      <c r="AW34">
        <f t="shared" si="7"/>
        <v>140.4</v>
      </c>
      <c r="AX34">
        <f t="shared" si="7"/>
        <v>185.4</v>
      </c>
      <c r="AY34">
        <f t="shared" si="7"/>
        <v>135.29999999999998</v>
      </c>
      <c r="AZ34">
        <f t="shared" si="7"/>
        <v>106</v>
      </c>
      <c r="BA34">
        <f t="shared" si="7"/>
        <v>83.899999999999991</v>
      </c>
      <c r="BB34">
        <f t="shared" si="7"/>
        <v>182.7</v>
      </c>
      <c r="BC34">
        <f t="shared" si="7"/>
        <v>68.099999999999994</v>
      </c>
      <c r="BD34">
        <f t="shared" si="7"/>
        <v>50.8</v>
      </c>
      <c r="BE34">
        <f t="shared" si="7"/>
        <v>173.7</v>
      </c>
      <c r="BF34">
        <f t="shared" si="7"/>
        <v>154.5</v>
      </c>
      <c r="BG34">
        <f t="shared" si="7"/>
        <v>272.39999999999998</v>
      </c>
      <c r="BH34">
        <f t="shared" si="7"/>
        <v>206.20000000000002</v>
      </c>
      <c r="BI34">
        <f t="shared" si="7"/>
        <v>135.69999999999999</v>
      </c>
      <c r="BJ34">
        <f t="shared" si="7"/>
        <v>90.599999999999966</v>
      </c>
      <c r="BK34">
        <f t="shared" si="7"/>
        <v>64.8</v>
      </c>
      <c r="BL34">
        <f t="shared" si="7"/>
        <v>69.499999999999986</v>
      </c>
      <c r="BM34">
        <f t="shared" si="7"/>
        <v>118.69999999999997</v>
      </c>
      <c r="BN34">
        <f t="shared" si="7"/>
        <v>131.29999999999998</v>
      </c>
      <c r="BO34">
        <f t="shared" si="7"/>
        <v>66.800000000000011</v>
      </c>
      <c r="BP34">
        <f t="shared" ref="BP34:CZ34" si="8">SUM(BP2:BP32)</f>
        <v>61.599999999999994</v>
      </c>
      <c r="BQ34">
        <f t="shared" si="8"/>
        <v>144.49999999999994</v>
      </c>
      <c r="BR34">
        <f t="shared" si="8"/>
        <v>147.69999999999999</v>
      </c>
      <c r="BS34">
        <f t="shared" si="8"/>
        <v>151.49999999999994</v>
      </c>
      <c r="BT34">
        <f t="shared" si="8"/>
        <v>217.5</v>
      </c>
      <c r="BU34">
        <f t="shared" si="8"/>
        <v>106.40000000000003</v>
      </c>
      <c r="BV34">
        <f t="shared" si="8"/>
        <v>131</v>
      </c>
      <c r="BW34">
        <f t="shared" si="8"/>
        <v>103.7</v>
      </c>
      <c r="BX34">
        <f t="shared" si="8"/>
        <v>200.59999999999994</v>
      </c>
      <c r="BY34">
        <f t="shared" si="8"/>
        <v>172.3</v>
      </c>
      <c r="BZ34">
        <f t="shared" si="8"/>
        <v>141.69999999999999</v>
      </c>
      <c r="CA34">
        <f t="shared" si="8"/>
        <v>25.599999999999998</v>
      </c>
      <c r="CB34">
        <f t="shared" si="8"/>
        <v>38.79999999999999</v>
      </c>
      <c r="CC34">
        <f t="shared" si="8"/>
        <v>39.700000000000003</v>
      </c>
      <c r="CD34">
        <f t="shared" si="8"/>
        <v>57.7</v>
      </c>
      <c r="CE34">
        <f t="shared" si="8"/>
        <v>21.4</v>
      </c>
      <c r="CF34">
        <f t="shared" si="8"/>
        <v>73.3</v>
      </c>
      <c r="CG34">
        <f t="shared" si="8"/>
        <v>70.5</v>
      </c>
      <c r="CH34">
        <f t="shared" si="8"/>
        <v>152</v>
      </c>
      <c r="CI34">
        <f t="shared" si="8"/>
        <v>88.6</v>
      </c>
      <c r="CJ34">
        <f t="shared" si="8"/>
        <v>48.699999999999996</v>
      </c>
      <c r="CK34">
        <f t="shared" si="8"/>
        <v>54.7</v>
      </c>
      <c r="CL34">
        <f t="shared" si="8"/>
        <v>57.699999999999996</v>
      </c>
      <c r="CM34">
        <f t="shared" si="8"/>
        <v>139.1</v>
      </c>
      <c r="CN34">
        <f t="shared" si="8"/>
        <v>58.6</v>
      </c>
      <c r="CO34">
        <f t="shared" si="8"/>
        <v>90.3</v>
      </c>
      <c r="CP34">
        <f t="shared" si="8"/>
        <v>83</v>
      </c>
      <c r="CQ34">
        <f t="shared" si="8"/>
        <v>195.50000000000003</v>
      </c>
      <c r="CR34">
        <f t="shared" si="8"/>
        <v>173.6</v>
      </c>
      <c r="CS34">
        <f t="shared" si="8"/>
        <v>143.39999999999998</v>
      </c>
      <c r="CT34">
        <f t="shared" si="8"/>
        <v>32.300000000000004</v>
      </c>
      <c r="CU34">
        <f t="shared" si="8"/>
        <v>51.199999999999996</v>
      </c>
      <c r="CV34">
        <f t="shared" si="8"/>
        <v>93.2</v>
      </c>
      <c r="CW34">
        <f t="shared" si="8"/>
        <v>185.1</v>
      </c>
      <c r="CX34">
        <f t="shared" si="8"/>
        <v>81.499999999999972</v>
      </c>
      <c r="CY34">
        <f t="shared" si="8"/>
        <v>110.39999999999999</v>
      </c>
      <c r="CZ34">
        <f t="shared" si="8"/>
        <v>95.800000000000026</v>
      </c>
      <c r="DD34" s="1"/>
      <c r="DK34" s="70"/>
      <c r="DL34" s="67"/>
      <c r="DM34" s="12" t="s">
        <v>28</v>
      </c>
      <c r="DN34" s="67"/>
      <c r="DO34" s="8">
        <v>1990</v>
      </c>
      <c r="DP34" s="8">
        <v>1927</v>
      </c>
      <c r="DQ34" s="67"/>
      <c r="DU34">
        <v>1943</v>
      </c>
      <c r="DV34" s="2">
        <v>124.4</v>
      </c>
      <c r="DW34" s="2">
        <v>24.099999999994399</v>
      </c>
      <c r="DX34" s="2">
        <v>26.199999999990499</v>
      </c>
      <c r="DY34" s="2">
        <v>79.799999999971504</v>
      </c>
      <c r="DZ34" s="2">
        <v>73.799999999973707</v>
      </c>
      <c r="EA34" s="2">
        <v>75.599999999954505</v>
      </c>
      <c r="EB34" s="2">
        <v>32.199999999974303</v>
      </c>
      <c r="EC34" s="2"/>
      <c r="ED34" s="2">
        <v>135.09999999988901</v>
      </c>
      <c r="EE34" s="2">
        <v>113.599999999966</v>
      </c>
      <c r="EF34" s="2">
        <v>119.39999999995599</v>
      </c>
      <c r="EG34" s="2">
        <v>115.69999999996701</v>
      </c>
      <c r="EI34">
        <v>919.89999999962788</v>
      </c>
      <c r="EJ34">
        <v>1943</v>
      </c>
      <c r="EL34">
        <v>1943</v>
      </c>
      <c r="EM34">
        <v>26.2</v>
      </c>
      <c r="EN34">
        <v>7</v>
      </c>
      <c r="EO34">
        <v>6.1</v>
      </c>
      <c r="EP34">
        <v>22</v>
      </c>
      <c r="EQ34">
        <v>26.5</v>
      </c>
      <c r="ER34">
        <v>46.1</v>
      </c>
      <c r="ES34">
        <v>22.7</v>
      </c>
      <c r="ET34">
        <v>0</v>
      </c>
      <c r="EU34">
        <v>76.400000000000006</v>
      </c>
      <c r="EV34">
        <v>47</v>
      </c>
      <c r="EW34">
        <v>37.5</v>
      </c>
      <c r="EX34">
        <v>17</v>
      </c>
      <c r="EZ34">
        <v>76.400000000000006</v>
      </c>
      <c r="FA34">
        <v>1943</v>
      </c>
      <c r="FE34">
        <v>1943</v>
      </c>
      <c r="FF34">
        <v>21</v>
      </c>
      <c r="FG34">
        <v>12</v>
      </c>
      <c r="FH34">
        <v>15</v>
      </c>
      <c r="FI34">
        <v>12</v>
      </c>
      <c r="FJ34">
        <v>15</v>
      </c>
      <c r="FK34">
        <v>8</v>
      </c>
      <c r="FL34">
        <v>7</v>
      </c>
      <c r="FM34">
        <v>0</v>
      </c>
      <c r="FN34">
        <v>5</v>
      </c>
      <c r="FO34">
        <v>16</v>
      </c>
      <c r="FP34">
        <v>15</v>
      </c>
      <c r="FQ34">
        <v>17</v>
      </c>
      <c r="FS34">
        <f t="shared" si="5"/>
        <v>143</v>
      </c>
      <c r="FT34">
        <v>1943</v>
      </c>
      <c r="FW34">
        <v>1943</v>
      </c>
      <c r="FX34">
        <v>4</v>
      </c>
      <c r="FY34">
        <v>2</v>
      </c>
      <c r="FZ34">
        <v>4</v>
      </c>
      <c r="GA34">
        <v>3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K34">
        <f t="shared" si="6"/>
        <v>13</v>
      </c>
    </row>
    <row r="35" spans="1:193">
      <c r="A35" s="17" t="s">
        <v>4</v>
      </c>
      <c r="C35">
        <f>MAX(C2:C32)</f>
        <v>29.3</v>
      </c>
      <c r="D35">
        <f t="shared" ref="D35:BO35" si="9">MAX(D2:D32)</f>
        <v>39.5</v>
      </c>
      <c r="E35">
        <f t="shared" si="9"/>
        <v>35.799999999999997</v>
      </c>
      <c r="F35">
        <f t="shared" si="9"/>
        <v>23.5</v>
      </c>
      <c r="G35">
        <f t="shared" si="9"/>
        <v>23.1</v>
      </c>
      <c r="H35">
        <f t="shared" si="9"/>
        <v>19.899999999999999</v>
      </c>
      <c r="I35">
        <f t="shared" si="9"/>
        <v>46.8</v>
      </c>
      <c r="J35">
        <f t="shared" si="9"/>
        <v>14.9</v>
      </c>
      <c r="K35">
        <f t="shared" si="9"/>
        <v>23.9</v>
      </c>
      <c r="L35">
        <f t="shared" si="9"/>
        <v>8.6999999999999993</v>
      </c>
      <c r="M35">
        <f t="shared" si="9"/>
        <v>38.6</v>
      </c>
      <c r="N35">
        <f t="shared" si="9"/>
        <v>25.5</v>
      </c>
      <c r="O35">
        <f t="shared" si="9"/>
        <v>15.3</v>
      </c>
      <c r="P35">
        <f t="shared" si="9"/>
        <v>4.7</v>
      </c>
      <c r="Q35">
        <f t="shared" si="9"/>
        <v>42</v>
      </c>
      <c r="R35">
        <f t="shared" si="9"/>
        <v>11.2</v>
      </c>
      <c r="S35">
        <f t="shared" si="9"/>
        <v>12.8</v>
      </c>
      <c r="T35">
        <f t="shared" si="9"/>
        <v>32.700000000000003</v>
      </c>
      <c r="U35">
        <f t="shared" si="9"/>
        <v>14.5</v>
      </c>
      <c r="V35">
        <f t="shared" si="9"/>
        <v>39.1</v>
      </c>
      <c r="W35">
        <f t="shared" si="9"/>
        <v>43.8</v>
      </c>
      <c r="X35">
        <f t="shared" si="9"/>
        <v>13.5</v>
      </c>
      <c r="Y35">
        <f t="shared" si="9"/>
        <v>66</v>
      </c>
      <c r="Z35">
        <f t="shared" si="9"/>
        <v>15.1</v>
      </c>
      <c r="AA35">
        <f t="shared" si="9"/>
        <v>10.9</v>
      </c>
      <c r="AB35">
        <f t="shared" si="9"/>
        <v>25.5</v>
      </c>
      <c r="AC35">
        <f t="shared" si="9"/>
        <v>28</v>
      </c>
      <c r="AD35">
        <f t="shared" si="9"/>
        <v>16.2</v>
      </c>
      <c r="AE35">
        <f t="shared" si="9"/>
        <v>23.1</v>
      </c>
      <c r="AF35">
        <f t="shared" si="9"/>
        <v>12.8</v>
      </c>
      <c r="AG35">
        <f t="shared" si="9"/>
        <v>27.1</v>
      </c>
      <c r="AH35">
        <f t="shared" si="9"/>
        <v>26.2</v>
      </c>
      <c r="AI35">
        <f t="shared" si="9"/>
        <v>23.7</v>
      </c>
      <c r="AJ35">
        <f t="shared" si="9"/>
        <v>42.5</v>
      </c>
      <c r="AK35">
        <f t="shared" si="9"/>
        <v>15</v>
      </c>
      <c r="AL35">
        <f t="shared" si="9"/>
        <v>12.7</v>
      </c>
      <c r="AM35">
        <f t="shared" si="9"/>
        <v>35.5</v>
      </c>
      <c r="AN35">
        <f t="shared" si="9"/>
        <v>8.1999999999999993</v>
      </c>
      <c r="AO35">
        <f t="shared" si="9"/>
        <v>26</v>
      </c>
      <c r="AP35">
        <f t="shared" si="9"/>
        <v>33</v>
      </c>
      <c r="AQ35">
        <f t="shared" si="9"/>
        <v>39.4</v>
      </c>
      <c r="AR35">
        <f t="shared" si="9"/>
        <v>42.5</v>
      </c>
      <c r="AS35">
        <f t="shared" si="9"/>
        <v>22.2</v>
      </c>
      <c r="AT35">
        <f t="shared" si="9"/>
        <v>23.3</v>
      </c>
      <c r="AU35">
        <f t="shared" si="9"/>
        <v>22</v>
      </c>
      <c r="AV35">
        <f t="shared" si="9"/>
        <v>7.7</v>
      </c>
      <c r="AW35">
        <f t="shared" si="9"/>
        <v>37.700000000000003</v>
      </c>
      <c r="AX35">
        <f t="shared" si="9"/>
        <v>31.3</v>
      </c>
      <c r="AY35">
        <f t="shared" si="9"/>
        <v>24.1</v>
      </c>
      <c r="AZ35">
        <f t="shared" si="9"/>
        <v>14</v>
      </c>
      <c r="BA35">
        <f t="shared" si="9"/>
        <v>21</v>
      </c>
      <c r="BB35">
        <f t="shared" si="9"/>
        <v>20.100000000000001</v>
      </c>
      <c r="BC35">
        <f t="shared" si="9"/>
        <v>20.399999999999999</v>
      </c>
      <c r="BD35">
        <f t="shared" si="9"/>
        <v>17.8</v>
      </c>
      <c r="BE35">
        <f t="shared" si="9"/>
        <v>32.299999999999997</v>
      </c>
      <c r="BF35">
        <f t="shared" si="9"/>
        <v>27.2</v>
      </c>
      <c r="BG35">
        <f t="shared" si="9"/>
        <v>35</v>
      </c>
      <c r="BH35">
        <f t="shared" si="9"/>
        <v>27.3</v>
      </c>
      <c r="BI35">
        <f t="shared" si="9"/>
        <v>20.5</v>
      </c>
      <c r="BJ35">
        <f t="shared" si="9"/>
        <v>19.7</v>
      </c>
      <c r="BK35">
        <f t="shared" si="9"/>
        <v>12.1</v>
      </c>
      <c r="BL35">
        <f t="shared" si="9"/>
        <v>16.3</v>
      </c>
      <c r="BM35">
        <f t="shared" si="9"/>
        <v>26.5</v>
      </c>
      <c r="BN35">
        <f t="shared" si="9"/>
        <v>39</v>
      </c>
      <c r="BO35">
        <f t="shared" si="9"/>
        <v>21</v>
      </c>
      <c r="BP35">
        <f t="shared" ref="BP35:CZ35" si="10">MAX(BP2:BP32)</f>
        <v>10</v>
      </c>
      <c r="BQ35">
        <f t="shared" si="10"/>
        <v>25.5</v>
      </c>
      <c r="BR35">
        <f t="shared" si="10"/>
        <v>35.5</v>
      </c>
      <c r="BS35">
        <f t="shared" si="10"/>
        <v>40</v>
      </c>
      <c r="BT35">
        <f t="shared" si="10"/>
        <v>32.1</v>
      </c>
      <c r="BU35">
        <f t="shared" si="10"/>
        <v>21.4</v>
      </c>
      <c r="BV35">
        <f t="shared" si="10"/>
        <v>32.4</v>
      </c>
      <c r="BW35">
        <f t="shared" si="10"/>
        <v>25.8</v>
      </c>
      <c r="BX35">
        <f t="shared" si="10"/>
        <v>37.4</v>
      </c>
      <c r="BY35">
        <f t="shared" si="10"/>
        <v>37.6</v>
      </c>
      <c r="BZ35">
        <f t="shared" si="10"/>
        <v>33.5</v>
      </c>
      <c r="CA35">
        <f t="shared" si="10"/>
        <v>5.2</v>
      </c>
      <c r="CB35">
        <f t="shared" si="10"/>
        <v>11.2</v>
      </c>
      <c r="CC35">
        <f t="shared" si="10"/>
        <v>16</v>
      </c>
      <c r="CD35">
        <f t="shared" si="10"/>
        <v>12.1</v>
      </c>
      <c r="CE35">
        <f t="shared" si="10"/>
        <v>4.8</v>
      </c>
      <c r="CF35">
        <f t="shared" si="10"/>
        <v>17.899999999999999</v>
      </c>
      <c r="CG35">
        <f t="shared" si="10"/>
        <v>36</v>
      </c>
      <c r="CH35">
        <f t="shared" si="10"/>
        <v>25.5</v>
      </c>
      <c r="CI35">
        <f t="shared" si="10"/>
        <v>31.4</v>
      </c>
      <c r="CJ35">
        <f t="shared" si="10"/>
        <v>13.9</v>
      </c>
      <c r="CK35">
        <f t="shared" si="10"/>
        <v>9.6999999999999993</v>
      </c>
      <c r="CL35">
        <f t="shared" si="10"/>
        <v>13</v>
      </c>
      <c r="CM35">
        <f t="shared" si="10"/>
        <v>30.2</v>
      </c>
      <c r="CN35">
        <f t="shared" si="10"/>
        <v>17</v>
      </c>
      <c r="CO35">
        <f t="shared" si="10"/>
        <v>26.6</v>
      </c>
      <c r="CP35">
        <f t="shared" si="10"/>
        <v>20.2</v>
      </c>
      <c r="CQ35">
        <f t="shared" si="10"/>
        <v>50.5</v>
      </c>
      <c r="CR35">
        <f t="shared" si="10"/>
        <v>34.1</v>
      </c>
      <c r="CS35">
        <f t="shared" si="10"/>
        <v>32.4</v>
      </c>
      <c r="CT35">
        <f t="shared" si="10"/>
        <v>13.3</v>
      </c>
      <c r="CU35">
        <f t="shared" si="10"/>
        <v>8.4</v>
      </c>
      <c r="CV35">
        <f t="shared" si="10"/>
        <v>20.399999999999999</v>
      </c>
      <c r="CW35">
        <f t="shared" si="10"/>
        <v>48.5</v>
      </c>
      <c r="CX35">
        <f t="shared" si="10"/>
        <v>17.399999999999999</v>
      </c>
      <c r="CY35">
        <f t="shared" si="10"/>
        <v>20</v>
      </c>
      <c r="CZ35">
        <f t="shared" si="10"/>
        <v>15</v>
      </c>
      <c r="DD35" s="1"/>
      <c r="DU35">
        <v>1944</v>
      </c>
      <c r="DV35" s="2">
        <v>91.8</v>
      </c>
      <c r="DW35" s="2">
        <v>78.899999999983606</v>
      </c>
      <c r="DX35" s="2">
        <v>136.39999999993501</v>
      </c>
      <c r="DY35" s="2">
        <v>33.699999999979902</v>
      </c>
      <c r="DZ35" s="2">
        <v>76.699999999942904</v>
      </c>
      <c r="EA35" s="2">
        <v>0.29999999999972699</v>
      </c>
      <c r="EB35" s="2">
        <v>67.999999999956401</v>
      </c>
      <c r="EC35" s="2">
        <v>67.999999999981895</v>
      </c>
      <c r="ED35" s="2">
        <v>45.499999999964103</v>
      </c>
      <c r="EE35" s="2">
        <v>67.999999999939504</v>
      </c>
      <c r="EF35" s="2">
        <v>64.7999999999452</v>
      </c>
      <c r="EG35" s="2">
        <v>175.099999999923</v>
      </c>
      <c r="EI35">
        <v>907.19999999951142</v>
      </c>
      <c r="EJ35">
        <v>1944</v>
      </c>
      <c r="EL35">
        <v>1944</v>
      </c>
      <c r="EM35">
        <v>23.7</v>
      </c>
      <c r="EN35">
        <v>20</v>
      </c>
      <c r="EO35">
        <v>46.4</v>
      </c>
      <c r="EP35">
        <v>15.8</v>
      </c>
      <c r="EQ35">
        <v>24.1</v>
      </c>
      <c r="ER35">
        <v>0.3</v>
      </c>
      <c r="ES35">
        <v>17.600000000000001</v>
      </c>
      <c r="ET35">
        <v>60.8</v>
      </c>
      <c r="EU35">
        <v>27.1</v>
      </c>
      <c r="EV35">
        <v>22.2</v>
      </c>
      <c r="EW35">
        <v>18.600000000000001</v>
      </c>
      <c r="EX35">
        <v>28.6</v>
      </c>
      <c r="EZ35">
        <v>60.8</v>
      </c>
      <c r="FA35">
        <v>1944</v>
      </c>
      <c r="FE35">
        <v>1944</v>
      </c>
      <c r="FF35">
        <v>20</v>
      </c>
      <c r="FG35">
        <v>16</v>
      </c>
      <c r="FH35">
        <v>21</v>
      </c>
      <c r="FI35">
        <v>9</v>
      </c>
      <c r="FJ35">
        <v>9</v>
      </c>
      <c r="FK35">
        <v>3</v>
      </c>
      <c r="FL35">
        <v>4</v>
      </c>
      <c r="FM35">
        <v>5</v>
      </c>
      <c r="FN35">
        <v>6</v>
      </c>
      <c r="FO35">
        <v>14</v>
      </c>
      <c r="FP35">
        <v>15</v>
      </c>
      <c r="FQ35">
        <v>26</v>
      </c>
      <c r="FS35">
        <f t="shared" si="5"/>
        <v>148</v>
      </c>
      <c r="FT35">
        <v>1944</v>
      </c>
      <c r="FW35">
        <v>1944</v>
      </c>
      <c r="FX35">
        <v>6</v>
      </c>
      <c r="FY35">
        <v>3</v>
      </c>
      <c r="FZ35">
        <v>2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4</v>
      </c>
      <c r="GK35">
        <f t="shared" si="6"/>
        <v>15</v>
      </c>
    </row>
    <row r="36" spans="1:193">
      <c r="A36" s="17"/>
      <c r="DA36" s="2"/>
      <c r="DD36" s="1"/>
      <c r="DU36">
        <v>1945</v>
      </c>
      <c r="DV36" s="2">
        <v>198.9</v>
      </c>
      <c r="DW36" s="2">
        <v>67.539999999962006</v>
      </c>
      <c r="DX36" s="2">
        <v>67.899999999962802</v>
      </c>
      <c r="DY36" s="2">
        <v>71.899999999983294</v>
      </c>
      <c r="DZ36" s="2">
        <v>4.5</v>
      </c>
      <c r="EA36" s="2">
        <v>3.6999999999993598</v>
      </c>
      <c r="EB36" s="2">
        <v>3.8999999999996402</v>
      </c>
      <c r="EC36" s="2">
        <v>49.399999999997803</v>
      </c>
      <c r="ED36" s="2">
        <v>18.8999999999896</v>
      </c>
      <c r="EE36" s="2">
        <v>64.699999999989402</v>
      </c>
      <c r="EF36" s="2">
        <v>70.199999999953107</v>
      </c>
      <c r="EG36" s="2">
        <v>65.799999999988799</v>
      </c>
      <c r="EI36">
        <v>687.33999999978778</v>
      </c>
      <c r="EJ36">
        <v>1945</v>
      </c>
      <c r="EL36">
        <v>1945</v>
      </c>
      <c r="EM36">
        <v>42.5</v>
      </c>
      <c r="EN36">
        <v>19.100000000000001</v>
      </c>
      <c r="EO36">
        <v>28.7</v>
      </c>
      <c r="EP36">
        <v>15.3</v>
      </c>
      <c r="EQ36">
        <v>4</v>
      </c>
      <c r="ER36">
        <v>2</v>
      </c>
      <c r="ES36">
        <v>32.9</v>
      </c>
      <c r="ET36">
        <v>35</v>
      </c>
      <c r="EU36">
        <v>6.3</v>
      </c>
      <c r="EV36">
        <v>23</v>
      </c>
      <c r="EW36">
        <v>28.6</v>
      </c>
      <c r="EX36">
        <v>22</v>
      </c>
      <c r="EZ36">
        <v>42.5</v>
      </c>
      <c r="FA36">
        <v>1945</v>
      </c>
      <c r="FE36">
        <v>1945</v>
      </c>
      <c r="FF36">
        <v>23</v>
      </c>
      <c r="FG36">
        <v>17</v>
      </c>
      <c r="FH36">
        <v>14</v>
      </c>
      <c r="FI36">
        <v>10</v>
      </c>
      <c r="FJ36">
        <v>2</v>
      </c>
      <c r="FK36">
        <v>4</v>
      </c>
      <c r="FL36">
        <v>2</v>
      </c>
      <c r="FM36">
        <v>6</v>
      </c>
      <c r="FN36">
        <v>6</v>
      </c>
      <c r="FO36">
        <v>13</v>
      </c>
      <c r="FP36">
        <v>20</v>
      </c>
      <c r="FQ36">
        <v>16</v>
      </c>
      <c r="FS36">
        <f t="shared" si="5"/>
        <v>133</v>
      </c>
      <c r="FT36">
        <v>1945</v>
      </c>
      <c r="FW36">
        <v>1945</v>
      </c>
      <c r="FX36">
        <v>4</v>
      </c>
      <c r="FY36">
        <v>7</v>
      </c>
      <c r="FZ36">
        <v>7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K36">
        <f t="shared" si="6"/>
        <v>18</v>
      </c>
    </row>
    <row r="37" spans="1:193">
      <c r="A37" s="17" t="s">
        <v>65</v>
      </c>
      <c r="C37">
        <v>6</v>
      </c>
      <c r="F37">
        <v>3.3</v>
      </c>
      <c r="G37">
        <v>0.1</v>
      </c>
      <c r="H37">
        <v>2.8</v>
      </c>
      <c r="I37">
        <v>3.4</v>
      </c>
      <c r="J37">
        <v>3.2</v>
      </c>
      <c r="M37">
        <v>10.7</v>
      </c>
      <c r="O37">
        <v>2</v>
      </c>
      <c r="Q37">
        <v>14.5</v>
      </c>
      <c r="R37">
        <v>2.5</v>
      </c>
      <c r="S37">
        <v>7.5</v>
      </c>
      <c r="U37">
        <v>0.2</v>
      </c>
      <c r="V37">
        <v>0.3</v>
      </c>
      <c r="X37">
        <v>1</v>
      </c>
      <c r="Y37">
        <v>2.1</v>
      </c>
      <c r="AB37">
        <v>1.6</v>
      </c>
      <c r="AC37">
        <v>6.3</v>
      </c>
      <c r="AD37">
        <v>24</v>
      </c>
      <c r="AE37">
        <v>7</v>
      </c>
      <c r="AK37">
        <v>20.399999999999999</v>
      </c>
      <c r="AL37">
        <v>0.2</v>
      </c>
      <c r="AP37">
        <v>6.2</v>
      </c>
      <c r="AQ37">
        <v>14.3</v>
      </c>
      <c r="AR37">
        <v>0.2</v>
      </c>
      <c r="AS37">
        <v>1.7</v>
      </c>
      <c r="AU37">
        <v>35.5</v>
      </c>
      <c r="AV37">
        <v>2.6</v>
      </c>
      <c r="AY37">
        <v>1</v>
      </c>
      <c r="BA37">
        <v>1.4</v>
      </c>
      <c r="BB37">
        <v>0.9</v>
      </c>
      <c r="BC37">
        <v>10.7</v>
      </c>
      <c r="BD37">
        <v>0.7</v>
      </c>
      <c r="BI37">
        <v>8</v>
      </c>
      <c r="BJ37">
        <v>0.2</v>
      </c>
      <c r="BK37">
        <v>2.2999999999999998</v>
      </c>
      <c r="BM37">
        <v>0.2</v>
      </c>
      <c r="BN37">
        <v>7.5</v>
      </c>
      <c r="BO37">
        <v>0.4</v>
      </c>
      <c r="BQ37">
        <v>1</v>
      </c>
      <c r="BR37">
        <v>0.1</v>
      </c>
      <c r="BT37">
        <v>0.8</v>
      </c>
      <c r="BU37">
        <v>8.8000000000000007</v>
      </c>
      <c r="BV37">
        <v>3.3</v>
      </c>
      <c r="BX37">
        <v>0.3</v>
      </c>
      <c r="BZ37">
        <v>3.1</v>
      </c>
      <c r="CA37">
        <v>14</v>
      </c>
      <c r="CD37">
        <v>6.5</v>
      </c>
      <c r="CE37">
        <v>15.7</v>
      </c>
      <c r="CF37">
        <v>1.2</v>
      </c>
      <c r="CG37">
        <v>0.9</v>
      </c>
      <c r="CH37">
        <v>9.5</v>
      </c>
      <c r="CI37">
        <v>2.4</v>
      </c>
      <c r="CJ37">
        <v>0.6</v>
      </c>
      <c r="CK37">
        <v>8</v>
      </c>
      <c r="CL37">
        <v>19</v>
      </c>
      <c r="CN37">
        <v>17.5</v>
      </c>
      <c r="CP37">
        <v>10.5</v>
      </c>
      <c r="CR37">
        <v>2.7</v>
      </c>
      <c r="CW37">
        <v>6.7</v>
      </c>
      <c r="CY37">
        <v>2.2999999999999998</v>
      </c>
      <c r="DA37" s="2"/>
      <c r="DD37" s="1">
        <v>40940</v>
      </c>
      <c r="DE37" s="2">
        <f t="shared" ref="DE37:DE65" si="11">AVERAGE(B37:DA37)</f>
        <v>5.796666666666666</v>
      </c>
      <c r="DF37" s="2">
        <f t="shared" ref="DF37:DF65" si="12">SUM(C37:DA37)/(COUNTA(C37:CZ37)+COUNTBLANK(C37:CZ37))</f>
        <v>3.4098039215686269</v>
      </c>
      <c r="DG37" s="2">
        <f t="shared" ref="DG37:DG65" si="13">MAX(B37:DA37)</f>
        <v>35.5</v>
      </c>
      <c r="DH37" s="2">
        <f t="shared" ref="DH37:DH65" si="14">MIN(B37:DA37)</f>
        <v>0.1</v>
      </c>
      <c r="DI37" s="3">
        <f t="shared" ref="DI37:DI65" si="15">(COUNTA(C37:CZ37)/(COUNTA(C37:CZ37)+COUNTBLANK(C37:CZ37)))</f>
        <v>0.58823529411764708</v>
      </c>
      <c r="DK37" s="68" t="s">
        <v>8</v>
      </c>
      <c r="DL37" s="71" t="s">
        <v>4</v>
      </c>
      <c r="DM37" s="12" t="s">
        <v>27</v>
      </c>
      <c r="DN37" s="4">
        <v>45</v>
      </c>
      <c r="DO37" s="5">
        <v>161.30000000000001</v>
      </c>
      <c r="DP37" s="8">
        <v>22</v>
      </c>
      <c r="DQ37" s="8">
        <v>3</v>
      </c>
      <c r="DU37">
        <v>1946</v>
      </c>
      <c r="DV37" s="2">
        <v>61.8</v>
      </c>
      <c r="DW37" s="2">
        <v>101.59999999997299</v>
      </c>
      <c r="DX37" s="2">
        <v>52.499999999964103</v>
      </c>
      <c r="DY37" s="2">
        <v>17.299999999996999</v>
      </c>
      <c r="DZ37" s="2">
        <v>38.499999999987701</v>
      </c>
      <c r="EA37" s="2">
        <v>1.1999999999998201</v>
      </c>
      <c r="EB37" s="2">
        <v>18.899999999995099</v>
      </c>
      <c r="EC37" s="2">
        <v>46.899999999951397</v>
      </c>
      <c r="ED37" s="2">
        <v>10.299999999995601</v>
      </c>
      <c r="EE37" s="2">
        <v>111.19999999994801</v>
      </c>
      <c r="EF37" s="2">
        <v>95.199999999972604</v>
      </c>
      <c r="EG37" s="2">
        <v>117.099999999942</v>
      </c>
      <c r="EI37">
        <v>672.49999999971237</v>
      </c>
      <c r="EJ37">
        <v>1946</v>
      </c>
      <c r="EL37">
        <v>1946</v>
      </c>
      <c r="EM37">
        <v>15</v>
      </c>
      <c r="EN37">
        <v>22.8</v>
      </c>
      <c r="EO37">
        <v>19.2</v>
      </c>
      <c r="EP37">
        <v>13</v>
      </c>
      <c r="EQ37">
        <v>18.399999999999999</v>
      </c>
      <c r="ER37">
        <v>1</v>
      </c>
      <c r="ES37">
        <v>2.5</v>
      </c>
      <c r="ET37">
        <v>44.2</v>
      </c>
      <c r="EU37">
        <v>7.8</v>
      </c>
      <c r="EV37">
        <v>22.5</v>
      </c>
      <c r="EW37">
        <v>31</v>
      </c>
      <c r="EX37">
        <v>25.8</v>
      </c>
      <c r="EZ37">
        <v>44.2</v>
      </c>
      <c r="FA37">
        <v>1946</v>
      </c>
      <c r="FE37">
        <v>1946</v>
      </c>
      <c r="FF37">
        <v>16</v>
      </c>
      <c r="FG37">
        <v>17</v>
      </c>
      <c r="FH37">
        <v>19</v>
      </c>
      <c r="FI37">
        <v>7</v>
      </c>
      <c r="FJ37">
        <v>11</v>
      </c>
      <c r="FK37">
        <v>2</v>
      </c>
      <c r="FL37">
        <v>4</v>
      </c>
      <c r="FM37">
        <v>3</v>
      </c>
      <c r="FN37">
        <v>3</v>
      </c>
      <c r="FO37">
        <v>18</v>
      </c>
      <c r="FP37">
        <v>12</v>
      </c>
      <c r="FQ37">
        <v>22</v>
      </c>
      <c r="FS37">
        <f t="shared" si="5"/>
        <v>134</v>
      </c>
      <c r="FT37">
        <v>1946</v>
      </c>
      <c r="FW37">
        <v>1946</v>
      </c>
      <c r="FX37">
        <v>13</v>
      </c>
      <c r="FY37">
        <v>5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3</v>
      </c>
      <c r="GK37">
        <f t="shared" si="6"/>
        <v>21</v>
      </c>
    </row>
    <row r="38" spans="1:193">
      <c r="A38" s="17" t="s">
        <v>66</v>
      </c>
      <c r="F38">
        <v>18.600000000000001</v>
      </c>
      <c r="H38">
        <v>9.3000000000000007</v>
      </c>
      <c r="I38">
        <v>1.2</v>
      </c>
      <c r="J38">
        <v>6.5</v>
      </c>
      <c r="K38">
        <v>5.5</v>
      </c>
      <c r="M38">
        <v>7.4</v>
      </c>
      <c r="N38">
        <v>1.4</v>
      </c>
      <c r="O38">
        <v>2.4</v>
      </c>
      <c r="P38">
        <v>6</v>
      </c>
      <c r="R38">
        <v>4.3</v>
      </c>
      <c r="S38">
        <v>12.2</v>
      </c>
      <c r="U38">
        <v>1</v>
      </c>
      <c r="V38">
        <v>2.7</v>
      </c>
      <c r="Y38">
        <v>1</v>
      </c>
      <c r="AF38">
        <v>7.3</v>
      </c>
      <c r="AG38">
        <v>3.4</v>
      </c>
      <c r="AJ38">
        <v>0.2</v>
      </c>
      <c r="AK38">
        <v>2.2999999999999998</v>
      </c>
      <c r="AM38">
        <v>1</v>
      </c>
      <c r="AN38">
        <v>17</v>
      </c>
      <c r="AO38">
        <v>2.7</v>
      </c>
      <c r="AP38">
        <v>2.8</v>
      </c>
      <c r="AR38">
        <v>24</v>
      </c>
      <c r="AS38">
        <v>6</v>
      </c>
      <c r="AT38">
        <v>0.8</v>
      </c>
      <c r="AU38">
        <v>8.1999999999999993</v>
      </c>
      <c r="AV38">
        <v>2.2999999999999998</v>
      </c>
      <c r="AX38">
        <v>1.3</v>
      </c>
      <c r="AY38">
        <v>5.8</v>
      </c>
      <c r="AZ38">
        <v>4</v>
      </c>
      <c r="BA38">
        <v>3.5</v>
      </c>
      <c r="BB38">
        <v>0.1</v>
      </c>
      <c r="BC38">
        <v>1.6</v>
      </c>
      <c r="BD38">
        <v>32.4</v>
      </c>
      <c r="BI38">
        <v>4.7</v>
      </c>
      <c r="BJ38">
        <v>13.6</v>
      </c>
      <c r="BK38">
        <v>13.7</v>
      </c>
      <c r="BL38">
        <v>0.1</v>
      </c>
      <c r="BN38">
        <v>4.0999999999999996</v>
      </c>
      <c r="BQ38">
        <v>1.5</v>
      </c>
      <c r="BS38">
        <v>8</v>
      </c>
      <c r="BU38">
        <v>14.8</v>
      </c>
      <c r="BV38">
        <v>3.1</v>
      </c>
      <c r="BX38">
        <v>5.6</v>
      </c>
      <c r="BY38">
        <v>21.2</v>
      </c>
      <c r="BZ38">
        <v>2.6</v>
      </c>
      <c r="CD38">
        <v>1.6</v>
      </c>
      <c r="CE38">
        <v>0.5</v>
      </c>
      <c r="CF38">
        <v>0.4</v>
      </c>
      <c r="CJ38">
        <v>2.6</v>
      </c>
      <c r="CK38">
        <v>12.5</v>
      </c>
      <c r="CL38">
        <v>1</v>
      </c>
      <c r="CM38">
        <v>9</v>
      </c>
      <c r="CN38">
        <v>23.5</v>
      </c>
      <c r="CP38">
        <v>18.7</v>
      </c>
      <c r="CR38">
        <v>3.1</v>
      </c>
      <c r="CT38">
        <v>0.3</v>
      </c>
      <c r="CV38">
        <v>0.1</v>
      </c>
      <c r="CW38">
        <v>39.299999999999997</v>
      </c>
      <c r="CY38">
        <v>0.1</v>
      </c>
      <c r="DA38" s="2"/>
      <c r="DD38" s="1">
        <v>40941</v>
      </c>
      <c r="DE38" s="2">
        <f t="shared" si="11"/>
        <v>6.8650000000000029</v>
      </c>
      <c r="DF38" s="2">
        <f t="shared" si="12"/>
        <v>4.0382352941176487</v>
      </c>
      <c r="DG38" s="2">
        <f t="shared" si="13"/>
        <v>39.299999999999997</v>
      </c>
      <c r="DH38" s="2">
        <f t="shared" si="14"/>
        <v>0.1</v>
      </c>
      <c r="DI38" s="3">
        <f t="shared" si="15"/>
        <v>0.58823529411764708</v>
      </c>
      <c r="DK38" s="69"/>
      <c r="DL38" s="67"/>
      <c r="DM38" s="12" t="s">
        <v>33</v>
      </c>
      <c r="DN38" s="13">
        <v>33337</v>
      </c>
      <c r="DO38" s="19">
        <v>1965</v>
      </c>
      <c r="DP38" s="8">
        <v>1974</v>
      </c>
      <c r="DQ38" s="8">
        <v>1997</v>
      </c>
      <c r="DU38">
        <v>1947</v>
      </c>
      <c r="DV38" s="2">
        <v>97.5</v>
      </c>
      <c r="DW38" s="2">
        <v>110.59999999998401</v>
      </c>
      <c r="DX38" s="2">
        <v>59.5999999999813</v>
      </c>
      <c r="DY38" s="2">
        <v>32.199999999986197</v>
      </c>
      <c r="DZ38" s="2">
        <v>22.199999999983401</v>
      </c>
      <c r="EA38" s="2">
        <v>8.8999999999978101</v>
      </c>
      <c r="EB38" s="2">
        <v>1.5999999999981001</v>
      </c>
      <c r="EC38" s="2">
        <v>10.799999999993799</v>
      </c>
      <c r="ED38" s="2">
        <v>41.4999999999797</v>
      </c>
      <c r="EE38" s="2">
        <v>76.499999999978201</v>
      </c>
      <c r="EF38" s="2">
        <v>111.399999999961</v>
      </c>
      <c r="EG38" s="2">
        <v>131.599999999967</v>
      </c>
      <c r="EI38">
        <v>704.39999999978977</v>
      </c>
      <c r="EJ38">
        <v>1947</v>
      </c>
      <c r="EL38">
        <v>1947</v>
      </c>
      <c r="EM38">
        <v>12.7</v>
      </c>
      <c r="EN38">
        <v>51</v>
      </c>
      <c r="EO38">
        <v>13.5</v>
      </c>
      <c r="EP38">
        <v>24.8</v>
      </c>
      <c r="EQ38">
        <v>7.9</v>
      </c>
      <c r="ER38">
        <v>3.6</v>
      </c>
      <c r="ES38">
        <v>8.5</v>
      </c>
      <c r="ET38">
        <v>3.2</v>
      </c>
      <c r="EU38">
        <v>19.8</v>
      </c>
      <c r="EV38">
        <v>17</v>
      </c>
      <c r="EW38">
        <v>38.1</v>
      </c>
      <c r="EX38">
        <v>27.3</v>
      </c>
      <c r="EZ38">
        <v>51</v>
      </c>
      <c r="FA38">
        <v>1947</v>
      </c>
      <c r="FE38">
        <v>1947</v>
      </c>
      <c r="FF38">
        <v>25</v>
      </c>
      <c r="FG38">
        <v>14</v>
      </c>
      <c r="FH38">
        <v>12</v>
      </c>
      <c r="FI38">
        <v>3</v>
      </c>
      <c r="FJ38">
        <v>6</v>
      </c>
      <c r="FK38">
        <v>3</v>
      </c>
      <c r="FL38">
        <v>3</v>
      </c>
      <c r="FM38">
        <v>6</v>
      </c>
      <c r="FN38">
        <v>6</v>
      </c>
      <c r="FO38">
        <v>14</v>
      </c>
      <c r="FP38">
        <v>14</v>
      </c>
      <c r="FQ38">
        <v>20</v>
      </c>
      <c r="FS38">
        <f t="shared" si="5"/>
        <v>126</v>
      </c>
      <c r="FT38">
        <v>1947</v>
      </c>
      <c r="FW38">
        <v>1947</v>
      </c>
      <c r="FX38">
        <v>0</v>
      </c>
      <c r="FY38">
        <v>4</v>
      </c>
      <c r="FZ38">
        <v>1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K38">
        <f t="shared" si="6"/>
        <v>5</v>
      </c>
    </row>
    <row r="39" spans="1:193">
      <c r="A39" s="17" t="s">
        <v>67</v>
      </c>
      <c r="D39">
        <v>14.7</v>
      </c>
      <c r="F39">
        <v>12.7</v>
      </c>
      <c r="H39">
        <v>1.8</v>
      </c>
      <c r="I39">
        <v>2.4</v>
      </c>
      <c r="M39">
        <v>4.5</v>
      </c>
      <c r="O39">
        <v>1.2</v>
      </c>
      <c r="P39">
        <v>2.9</v>
      </c>
      <c r="R39">
        <v>1</v>
      </c>
      <c r="U39">
        <v>2.2999999999999998</v>
      </c>
      <c r="V39">
        <v>10.4</v>
      </c>
      <c r="X39">
        <v>2.5</v>
      </c>
      <c r="Z39">
        <v>0.4</v>
      </c>
      <c r="AD39">
        <v>0.4</v>
      </c>
      <c r="AF39">
        <v>20.5</v>
      </c>
      <c r="AG39">
        <v>7.5</v>
      </c>
      <c r="AH39">
        <v>5.0999999999999996</v>
      </c>
      <c r="AN39">
        <v>6</v>
      </c>
      <c r="AP39">
        <v>2.4</v>
      </c>
      <c r="AQ39">
        <v>12</v>
      </c>
      <c r="AR39">
        <v>7.3</v>
      </c>
      <c r="AS39">
        <v>1</v>
      </c>
      <c r="AT39">
        <v>1.8</v>
      </c>
      <c r="AU39">
        <v>12.4</v>
      </c>
      <c r="AX39">
        <v>5.7</v>
      </c>
      <c r="AZ39">
        <v>4</v>
      </c>
      <c r="BA39">
        <v>2.7</v>
      </c>
      <c r="BB39">
        <v>1.5</v>
      </c>
      <c r="BC39">
        <v>3.8</v>
      </c>
      <c r="BD39">
        <v>15.3</v>
      </c>
      <c r="BF39">
        <v>0.3</v>
      </c>
      <c r="BI39">
        <v>5.7</v>
      </c>
      <c r="BJ39">
        <v>7.6</v>
      </c>
      <c r="BK39">
        <v>5.0999999999999996</v>
      </c>
      <c r="BL39">
        <v>0.1</v>
      </c>
      <c r="BN39">
        <v>0.2</v>
      </c>
      <c r="BO39">
        <v>3</v>
      </c>
      <c r="BP39">
        <v>6</v>
      </c>
      <c r="BQ39">
        <v>6.5</v>
      </c>
      <c r="BR39">
        <v>0.1</v>
      </c>
      <c r="BS39">
        <v>8.4</v>
      </c>
      <c r="BU39">
        <v>28.9</v>
      </c>
      <c r="BV39">
        <v>23.9</v>
      </c>
      <c r="BX39">
        <v>1</v>
      </c>
      <c r="BY39">
        <v>14</v>
      </c>
      <c r="BZ39">
        <v>0.2</v>
      </c>
      <c r="CA39">
        <v>0.1</v>
      </c>
      <c r="CC39">
        <v>0.1</v>
      </c>
      <c r="CD39">
        <v>1.6</v>
      </c>
      <c r="CF39">
        <v>0.3</v>
      </c>
      <c r="CJ39">
        <v>2.7</v>
      </c>
      <c r="CK39">
        <v>1</v>
      </c>
      <c r="CM39">
        <v>5</v>
      </c>
      <c r="CN39">
        <v>2</v>
      </c>
      <c r="CP39">
        <v>4.2</v>
      </c>
      <c r="CQ39">
        <v>4.4000000000000004</v>
      </c>
      <c r="CR39">
        <v>12.9</v>
      </c>
      <c r="CT39">
        <v>0.6</v>
      </c>
      <c r="CU39">
        <v>0.6</v>
      </c>
      <c r="CV39">
        <v>1</v>
      </c>
      <c r="CW39">
        <v>0.1</v>
      </c>
      <c r="CY39">
        <v>0.1</v>
      </c>
      <c r="DA39" s="2"/>
      <c r="DD39" s="1">
        <v>40942</v>
      </c>
      <c r="DE39" s="2">
        <f t="shared" si="11"/>
        <v>5.1459016393442631</v>
      </c>
      <c r="DF39" s="2">
        <f t="shared" si="12"/>
        <v>3.077450980392157</v>
      </c>
      <c r="DG39" s="2">
        <f t="shared" si="13"/>
        <v>28.9</v>
      </c>
      <c r="DH39" s="2">
        <f t="shared" si="14"/>
        <v>0.1</v>
      </c>
      <c r="DI39" s="3">
        <f t="shared" si="15"/>
        <v>0.59803921568627449</v>
      </c>
      <c r="DK39" s="69"/>
      <c r="DL39" s="72"/>
      <c r="DM39" s="73"/>
      <c r="DN39" s="12" t="s">
        <v>24</v>
      </c>
      <c r="DO39" s="11" t="s">
        <v>25</v>
      </c>
      <c r="DP39" s="11" t="s">
        <v>19</v>
      </c>
      <c r="DQ39" s="11" t="s">
        <v>26</v>
      </c>
      <c r="DU39">
        <v>1948</v>
      </c>
      <c r="DV39" s="2">
        <v>120.5</v>
      </c>
      <c r="DW39" s="2">
        <v>229.79999999996701</v>
      </c>
      <c r="DX39" s="2">
        <v>68.799999999972798</v>
      </c>
      <c r="DY39" s="2">
        <v>64.5999999999935</v>
      </c>
      <c r="DZ39" s="2">
        <v>36.499999999979501</v>
      </c>
      <c r="EA39" s="2">
        <v>64.399999999967307</v>
      </c>
      <c r="EB39" s="2">
        <v>98.199999999989799</v>
      </c>
      <c r="EC39" s="2">
        <v>2.8999999999978199</v>
      </c>
      <c r="ED39" s="2">
        <v>38.429999999989903</v>
      </c>
      <c r="EE39" s="2">
        <v>104.899999999982</v>
      </c>
      <c r="EF39" s="2">
        <v>68.599999999979502</v>
      </c>
      <c r="EG39" s="2">
        <v>160.69999999996901</v>
      </c>
      <c r="EI39">
        <v>1058.3299999997771</v>
      </c>
      <c r="EJ39">
        <v>1948</v>
      </c>
      <c r="EL39">
        <v>1948</v>
      </c>
      <c r="EM39">
        <v>35.5</v>
      </c>
      <c r="EN39">
        <v>49.2</v>
      </c>
      <c r="EO39">
        <v>14</v>
      </c>
      <c r="EP39">
        <v>18.5</v>
      </c>
      <c r="EQ39">
        <v>9.6999999999999993</v>
      </c>
      <c r="ER39">
        <v>22.6</v>
      </c>
      <c r="ES39">
        <v>1.1000000000000001</v>
      </c>
      <c r="ET39">
        <v>2.9</v>
      </c>
      <c r="EU39">
        <v>26.9</v>
      </c>
      <c r="EV39">
        <v>39</v>
      </c>
      <c r="EW39">
        <v>22.4</v>
      </c>
      <c r="EX39">
        <v>35.5</v>
      </c>
      <c r="EZ39">
        <v>49.2</v>
      </c>
      <c r="FA39">
        <v>1948</v>
      </c>
      <c r="FE39">
        <v>1948</v>
      </c>
      <c r="FF39">
        <v>10</v>
      </c>
      <c r="FG39">
        <v>21</v>
      </c>
      <c r="FH39">
        <v>17</v>
      </c>
      <c r="FI39">
        <v>11</v>
      </c>
      <c r="FJ39">
        <v>9</v>
      </c>
      <c r="FK39">
        <v>10</v>
      </c>
      <c r="FL39">
        <v>6</v>
      </c>
      <c r="FM39">
        <v>1</v>
      </c>
      <c r="FN39">
        <v>5</v>
      </c>
      <c r="FO39">
        <v>9</v>
      </c>
      <c r="FP39">
        <v>12</v>
      </c>
      <c r="FQ39">
        <v>21</v>
      </c>
      <c r="FS39">
        <f t="shared" si="5"/>
        <v>132</v>
      </c>
      <c r="FT39">
        <v>1948</v>
      </c>
      <c r="FW39">
        <v>1948</v>
      </c>
      <c r="FX39">
        <v>6</v>
      </c>
      <c r="FY39">
        <v>15</v>
      </c>
      <c r="FZ39">
        <v>8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7</v>
      </c>
      <c r="GI39">
        <v>8</v>
      </c>
      <c r="GK39">
        <f t="shared" si="6"/>
        <v>44</v>
      </c>
    </row>
    <row r="40" spans="1:193">
      <c r="A40" s="17" t="s">
        <v>68</v>
      </c>
      <c r="C40">
        <v>1.8</v>
      </c>
      <c r="H40">
        <v>0.4</v>
      </c>
      <c r="I40">
        <v>6.3</v>
      </c>
      <c r="K40">
        <v>2.6</v>
      </c>
      <c r="M40">
        <v>1.4</v>
      </c>
      <c r="U40">
        <v>11.8</v>
      </c>
      <c r="V40">
        <v>3.9</v>
      </c>
      <c r="W40">
        <v>0.1</v>
      </c>
      <c r="Z40">
        <v>3.2</v>
      </c>
      <c r="AA40">
        <v>7.4</v>
      </c>
      <c r="AC40">
        <v>0.6</v>
      </c>
      <c r="AE40">
        <v>1.3</v>
      </c>
      <c r="AG40">
        <v>7.8</v>
      </c>
      <c r="AO40">
        <v>15</v>
      </c>
      <c r="AR40">
        <v>5.0999999999999996</v>
      </c>
      <c r="AS40">
        <v>4</v>
      </c>
      <c r="AT40">
        <v>0.4</v>
      </c>
      <c r="AX40">
        <v>1.8</v>
      </c>
      <c r="AY40">
        <v>6.5</v>
      </c>
      <c r="AZ40">
        <v>17.399999999999999</v>
      </c>
      <c r="BA40">
        <v>2.1</v>
      </c>
      <c r="BC40">
        <v>2.9</v>
      </c>
      <c r="BD40">
        <v>14.6</v>
      </c>
      <c r="BE40">
        <v>1.4</v>
      </c>
      <c r="BI40">
        <v>0.8</v>
      </c>
      <c r="BJ40">
        <v>3.3</v>
      </c>
      <c r="BK40">
        <v>0.6</v>
      </c>
      <c r="BL40">
        <v>0.2</v>
      </c>
      <c r="BM40">
        <v>1.6</v>
      </c>
      <c r="BN40">
        <v>1.2</v>
      </c>
      <c r="BO40">
        <v>0.2</v>
      </c>
      <c r="BP40">
        <v>0.8</v>
      </c>
      <c r="BQ40">
        <v>9</v>
      </c>
      <c r="BR40">
        <v>1.3</v>
      </c>
      <c r="BS40">
        <v>2.2000000000000002</v>
      </c>
      <c r="BU40">
        <v>28.4</v>
      </c>
      <c r="BV40">
        <v>2</v>
      </c>
      <c r="BX40">
        <v>0.7</v>
      </c>
      <c r="BY40">
        <v>1</v>
      </c>
      <c r="CC40">
        <v>0.2</v>
      </c>
      <c r="CE40">
        <v>1</v>
      </c>
      <c r="CK40">
        <v>18.5</v>
      </c>
      <c r="CL40">
        <v>0.7</v>
      </c>
      <c r="CM40">
        <v>0.2</v>
      </c>
      <c r="CP40">
        <v>0.5</v>
      </c>
      <c r="CQ40">
        <v>0.1</v>
      </c>
      <c r="CR40">
        <v>30</v>
      </c>
      <c r="CT40">
        <v>2.2999999999999998</v>
      </c>
      <c r="CZ40">
        <v>4.9000000000000004</v>
      </c>
      <c r="DA40" s="2"/>
      <c r="DD40" s="1">
        <v>40943</v>
      </c>
      <c r="DE40" s="2">
        <f t="shared" si="11"/>
        <v>4.724489795918366</v>
      </c>
      <c r="DF40" s="2">
        <f t="shared" si="12"/>
        <v>2.2696078431372544</v>
      </c>
      <c r="DG40" s="2">
        <f t="shared" si="13"/>
        <v>30</v>
      </c>
      <c r="DH40" s="2">
        <f t="shared" si="14"/>
        <v>0.1</v>
      </c>
      <c r="DI40" s="3">
        <f t="shared" si="15"/>
        <v>0.48039215686274511</v>
      </c>
      <c r="DK40" s="69"/>
      <c r="DL40" s="74" t="s">
        <v>29</v>
      </c>
      <c r="DM40" s="12" t="s">
        <v>27</v>
      </c>
      <c r="DN40" s="75"/>
      <c r="DO40" s="18">
        <v>4.5</v>
      </c>
      <c r="DP40" s="8">
        <v>3</v>
      </c>
      <c r="DQ40" s="66"/>
      <c r="DU40">
        <v>1949</v>
      </c>
      <c r="DV40" s="2">
        <v>22.6</v>
      </c>
      <c r="DW40" s="2">
        <v>67.999999999979295</v>
      </c>
      <c r="DX40" s="2">
        <v>90.399999999976899</v>
      </c>
      <c r="DY40" s="2">
        <v>110.69999999998601</v>
      </c>
      <c r="DZ40" s="2">
        <v>3.9999999999954499</v>
      </c>
      <c r="EA40" s="2">
        <v>80.799999999942102</v>
      </c>
      <c r="EB40" s="2">
        <v>17.5</v>
      </c>
      <c r="EC40" s="2">
        <v>11.6999999999971</v>
      </c>
      <c r="ED40" s="2">
        <v>222.399999999855</v>
      </c>
      <c r="EE40" s="2">
        <v>2.5999999999980901</v>
      </c>
      <c r="EF40" s="2">
        <v>96.599999999980795</v>
      </c>
      <c r="EG40" s="2">
        <v>153.03999999996401</v>
      </c>
      <c r="EI40">
        <v>880.33999999966784</v>
      </c>
      <c r="EJ40">
        <v>1949</v>
      </c>
      <c r="EL40">
        <v>1949</v>
      </c>
      <c r="EM40">
        <v>8.1999999999999993</v>
      </c>
      <c r="EN40">
        <v>17</v>
      </c>
      <c r="EO40">
        <v>13.6</v>
      </c>
      <c r="EP40">
        <v>40.5</v>
      </c>
      <c r="EQ40">
        <v>2.2000000000000002</v>
      </c>
      <c r="ER40">
        <v>14.6</v>
      </c>
      <c r="ES40">
        <v>59</v>
      </c>
      <c r="ET40">
        <v>11.7</v>
      </c>
      <c r="EU40">
        <v>80.099999999999994</v>
      </c>
      <c r="EV40">
        <v>1.3</v>
      </c>
      <c r="EW40">
        <v>34.5</v>
      </c>
      <c r="EX40">
        <v>37</v>
      </c>
      <c r="EZ40">
        <v>80.099999999999994</v>
      </c>
      <c r="FA40">
        <v>1949</v>
      </c>
      <c r="FE40">
        <v>1949</v>
      </c>
      <c r="FF40">
        <v>16</v>
      </c>
      <c r="FG40">
        <v>16</v>
      </c>
      <c r="FH40">
        <v>21</v>
      </c>
      <c r="FI40">
        <v>13</v>
      </c>
      <c r="FJ40">
        <v>4</v>
      </c>
      <c r="FK40">
        <v>12</v>
      </c>
      <c r="FL40">
        <v>1</v>
      </c>
      <c r="FM40">
        <v>1</v>
      </c>
      <c r="FN40">
        <v>13</v>
      </c>
      <c r="FO40">
        <v>9</v>
      </c>
      <c r="FP40">
        <v>9</v>
      </c>
      <c r="FQ40">
        <v>22</v>
      </c>
      <c r="FS40">
        <f t="shared" si="5"/>
        <v>137</v>
      </c>
      <c r="FT40">
        <v>1949</v>
      </c>
      <c r="FW40">
        <v>1949</v>
      </c>
      <c r="FX40">
        <v>16</v>
      </c>
      <c r="FY40">
        <v>12</v>
      </c>
      <c r="FZ40">
        <v>6</v>
      </c>
      <c r="GA40">
        <v>1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K40">
        <f t="shared" si="6"/>
        <v>35</v>
      </c>
    </row>
    <row r="41" spans="1:193">
      <c r="A41" s="17" t="s">
        <v>69</v>
      </c>
      <c r="G41">
        <v>5.3</v>
      </c>
      <c r="H41">
        <v>5.4</v>
      </c>
      <c r="I41">
        <v>5.3</v>
      </c>
      <c r="J41">
        <v>8.5</v>
      </c>
      <c r="L41">
        <v>11</v>
      </c>
      <c r="N41">
        <v>1.8</v>
      </c>
      <c r="S41">
        <v>0.3</v>
      </c>
      <c r="V41">
        <v>2.9</v>
      </c>
      <c r="AA41">
        <v>1.3</v>
      </c>
      <c r="AD41">
        <v>7.4</v>
      </c>
      <c r="AG41">
        <v>1.4</v>
      </c>
      <c r="AL41">
        <v>51</v>
      </c>
      <c r="AM41">
        <v>31</v>
      </c>
      <c r="AN41">
        <v>2.9</v>
      </c>
      <c r="AO41">
        <v>5</v>
      </c>
      <c r="AP41">
        <v>1.6</v>
      </c>
      <c r="AR41">
        <v>4.5</v>
      </c>
      <c r="AU41">
        <v>10</v>
      </c>
      <c r="AX41">
        <v>0.9</v>
      </c>
      <c r="AY41">
        <v>0.4</v>
      </c>
      <c r="AZ41">
        <v>19.2</v>
      </c>
      <c r="BA41">
        <v>2.6</v>
      </c>
      <c r="BC41">
        <v>0.7</v>
      </c>
      <c r="BF41">
        <v>4.3</v>
      </c>
      <c r="BJ41">
        <v>3.8</v>
      </c>
      <c r="BL41">
        <v>0.2</v>
      </c>
      <c r="BM41">
        <v>0.3</v>
      </c>
      <c r="BN41">
        <v>0.2</v>
      </c>
      <c r="BO41">
        <v>0.3</v>
      </c>
      <c r="BP41">
        <v>1.4</v>
      </c>
      <c r="BQ41">
        <v>0.7</v>
      </c>
      <c r="BR41">
        <v>0.4</v>
      </c>
      <c r="BS41">
        <v>0.2</v>
      </c>
      <c r="BV41">
        <v>5.6</v>
      </c>
      <c r="BW41">
        <v>0.1</v>
      </c>
      <c r="BX41">
        <v>0.8</v>
      </c>
      <c r="BY41">
        <v>1.5</v>
      </c>
      <c r="BZ41">
        <v>0.1</v>
      </c>
      <c r="CA41">
        <v>0.7</v>
      </c>
      <c r="CC41">
        <v>1.5</v>
      </c>
      <c r="CI41">
        <v>36.299999999999997</v>
      </c>
      <c r="CK41">
        <v>9</v>
      </c>
      <c r="CP41">
        <v>6.6</v>
      </c>
      <c r="CR41">
        <v>6</v>
      </c>
      <c r="CS41">
        <v>18.399999999999999</v>
      </c>
      <c r="CT41">
        <v>6.4</v>
      </c>
      <c r="DA41" s="2"/>
      <c r="DD41" s="1">
        <v>40944</v>
      </c>
      <c r="DE41" s="2">
        <f t="shared" si="11"/>
        <v>6.1999999999999984</v>
      </c>
      <c r="DF41" s="2">
        <f t="shared" si="12"/>
        <v>2.7960784313725484</v>
      </c>
      <c r="DG41" s="2">
        <f t="shared" si="13"/>
        <v>51</v>
      </c>
      <c r="DH41" s="2">
        <f t="shared" si="14"/>
        <v>0.1</v>
      </c>
      <c r="DI41" s="3">
        <f t="shared" si="15"/>
        <v>0.45098039215686275</v>
      </c>
      <c r="DK41" s="70"/>
      <c r="DL41" s="67"/>
      <c r="DM41" s="12" t="s">
        <v>28</v>
      </c>
      <c r="DN41" s="67"/>
      <c r="DO41" s="8">
        <v>1939</v>
      </c>
      <c r="DP41" s="8">
        <v>1947</v>
      </c>
      <c r="DQ41" s="67"/>
      <c r="DU41">
        <v>1950</v>
      </c>
      <c r="DV41" s="2">
        <v>131.69999999999999</v>
      </c>
      <c r="DW41" s="2">
        <v>53.199999999989998</v>
      </c>
      <c r="DX41" s="2">
        <v>127.499999999938</v>
      </c>
      <c r="DY41" s="2">
        <v>19.999999999984698</v>
      </c>
      <c r="DZ41" s="2">
        <v>27.899999999973701</v>
      </c>
      <c r="EA41" s="2">
        <v>10.599999999996699</v>
      </c>
      <c r="EB41" s="2">
        <v>171.19999999980999</v>
      </c>
      <c r="EC41" s="2">
        <v>23.399999999994201</v>
      </c>
      <c r="ED41" s="2">
        <v>27.499999999988201</v>
      </c>
      <c r="EE41" s="2">
        <v>110.29999999994</v>
      </c>
      <c r="EF41" s="2">
        <v>115.999999999951</v>
      </c>
      <c r="EG41" s="2">
        <v>77.999999999993804</v>
      </c>
      <c r="EI41">
        <v>897.29999999952724</v>
      </c>
      <c r="EJ41">
        <v>1950</v>
      </c>
      <c r="EL41">
        <v>1950</v>
      </c>
      <c r="EM41">
        <v>26</v>
      </c>
      <c r="EN41">
        <v>15</v>
      </c>
      <c r="EO41">
        <v>43.6</v>
      </c>
      <c r="EP41">
        <v>9.1</v>
      </c>
      <c r="EQ41">
        <v>9.3000000000000007</v>
      </c>
      <c r="ER41">
        <v>4.7</v>
      </c>
      <c r="ES41">
        <v>17.5</v>
      </c>
      <c r="ET41">
        <v>23.4</v>
      </c>
      <c r="EU41">
        <v>14.7</v>
      </c>
      <c r="EV41">
        <v>19.5</v>
      </c>
      <c r="EW41">
        <v>30.7</v>
      </c>
      <c r="EX41">
        <v>21.5</v>
      </c>
      <c r="EZ41">
        <v>43.6</v>
      </c>
      <c r="FA41">
        <v>1950</v>
      </c>
      <c r="FE41">
        <v>1950</v>
      </c>
      <c r="FF41">
        <v>22</v>
      </c>
      <c r="FG41">
        <v>11</v>
      </c>
      <c r="FH41">
        <v>17</v>
      </c>
      <c r="FI41">
        <v>8</v>
      </c>
      <c r="FJ41">
        <v>7</v>
      </c>
      <c r="FK41">
        <v>4</v>
      </c>
      <c r="FL41">
        <v>4</v>
      </c>
      <c r="FM41">
        <v>1</v>
      </c>
      <c r="FN41">
        <v>3</v>
      </c>
      <c r="FO41">
        <v>18</v>
      </c>
      <c r="FP41">
        <v>15</v>
      </c>
      <c r="FQ41">
        <v>9</v>
      </c>
      <c r="FS41">
        <f t="shared" si="5"/>
        <v>119</v>
      </c>
      <c r="FT41">
        <v>1950</v>
      </c>
      <c r="FW41">
        <v>1950</v>
      </c>
      <c r="FX41">
        <v>1</v>
      </c>
      <c r="FY41">
        <v>4</v>
      </c>
      <c r="FZ41">
        <v>2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1</v>
      </c>
      <c r="GK41">
        <f t="shared" si="6"/>
        <v>8</v>
      </c>
    </row>
    <row r="42" spans="1:193">
      <c r="A42" s="17" t="s">
        <v>70</v>
      </c>
      <c r="G42">
        <v>0.2</v>
      </c>
      <c r="H42">
        <v>0.5</v>
      </c>
      <c r="I42">
        <v>6.1</v>
      </c>
      <c r="J42">
        <v>18.3</v>
      </c>
      <c r="K42">
        <v>2.8</v>
      </c>
      <c r="L42">
        <v>5.6</v>
      </c>
      <c r="N42">
        <v>7.6</v>
      </c>
      <c r="O42">
        <v>1.1000000000000001</v>
      </c>
      <c r="Q42">
        <v>0.3</v>
      </c>
      <c r="R42">
        <v>13.5</v>
      </c>
      <c r="V42">
        <v>0.4</v>
      </c>
      <c r="W42">
        <v>0.6</v>
      </c>
      <c r="X42">
        <v>2</v>
      </c>
      <c r="Z42">
        <v>1.3</v>
      </c>
      <c r="AA42">
        <v>11.9</v>
      </c>
      <c r="AB42">
        <v>7.3</v>
      </c>
      <c r="AC42">
        <v>2.1</v>
      </c>
      <c r="AE42">
        <v>0.2</v>
      </c>
      <c r="AF42">
        <v>4.3</v>
      </c>
      <c r="AI42">
        <v>4.4000000000000004</v>
      </c>
      <c r="AJ42">
        <v>0.7</v>
      </c>
      <c r="AK42">
        <v>13.3</v>
      </c>
      <c r="AL42">
        <v>7.1</v>
      </c>
      <c r="AM42">
        <v>4</v>
      </c>
      <c r="AN42">
        <v>6</v>
      </c>
      <c r="AQ42">
        <v>0.4</v>
      </c>
      <c r="AR42">
        <v>7.6</v>
      </c>
      <c r="AS42">
        <v>6.6</v>
      </c>
      <c r="AU42">
        <v>15.2</v>
      </c>
      <c r="AV42">
        <v>0.1</v>
      </c>
      <c r="AY42">
        <v>0.3</v>
      </c>
      <c r="AZ42">
        <v>3</v>
      </c>
      <c r="BA42">
        <v>0.2</v>
      </c>
      <c r="BC42">
        <v>5.6</v>
      </c>
      <c r="BD42">
        <v>4.5999999999999996</v>
      </c>
      <c r="BF42">
        <v>17.899999999999999</v>
      </c>
      <c r="BG42">
        <v>0.3</v>
      </c>
      <c r="BH42">
        <v>8</v>
      </c>
      <c r="BJ42">
        <v>0.2</v>
      </c>
      <c r="BK42">
        <v>0.8</v>
      </c>
      <c r="BL42">
        <v>0.1</v>
      </c>
      <c r="BM42">
        <v>0.2</v>
      </c>
      <c r="BN42">
        <v>0.3</v>
      </c>
      <c r="BO42">
        <v>0.5</v>
      </c>
      <c r="BQ42">
        <v>8.1999999999999993</v>
      </c>
      <c r="BR42">
        <v>0.2</v>
      </c>
      <c r="BS42">
        <v>6.8</v>
      </c>
      <c r="BT42">
        <v>0.7</v>
      </c>
      <c r="BW42">
        <v>1.1000000000000001</v>
      </c>
      <c r="BY42">
        <v>1.6</v>
      </c>
      <c r="BZ42">
        <v>1.1000000000000001</v>
      </c>
      <c r="CC42">
        <v>6.2</v>
      </c>
      <c r="CE42">
        <v>0.8</v>
      </c>
      <c r="CH42">
        <v>6.5</v>
      </c>
      <c r="CI42">
        <v>9.3000000000000007</v>
      </c>
      <c r="CJ42">
        <v>2.1</v>
      </c>
      <c r="CK42">
        <v>1</v>
      </c>
      <c r="CL42">
        <v>29</v>
      </c>
      <c r="CP42">
        <v>9.5</v>
      </c>
      <c r="CR42">
        <v>20.9</v>
      </c>
      <c r="CS42">
        <v>21.7</v>
      </c>
      <c r="CY42">
        <v>9</v>
      </c>
      <c r="DA42" s="2"/>
      <c r="DD42" s="1">
        <v>40945</v>
      </c>
      <c r="DE42" s="2">
        <f t="shared" si="11"/>
        <v>5.3096774193548368</v>
      </c>
      <c r="DF42" s="2">
        <f t="shared" si="12"/>
        <v>3.2274509803921556</v>
      </c>
      <c r="DG42" s="2">
        <f t="shared" si="13"/>
        <v>29</v>
      </c>
      <c r="DH42" s="2">
        <f t="shared" si="14"/>
        <v>0.1</v>
      </c>
      <c r="DI42" s="3">
        <f t="shared" si="15"/>
        <v>0.60784313725490191</v>
      </c>
      <c r="DU42">
        <v>1951</v>
      </c>
      <c r="DV42" s="2">
        <v>126.8</v>
      </c>
      <c r="DW42" s="2">
        <v>64.999999999975898</v>
      </c>
      <c r="DX42" s="2">
        <v>69.799999999949705</v>
      </c>
      <c r="DY42" s="2">
        <v>44.199999999968</v>
      </c>
      <c r="DZ42" s="2">
        <v>42.399999999974199</v>
      </c>
      <c r="EA42" s="2">
        <v>42.899999999980501</v>
      </c>
      <c r="EB42" s="2">
        <v>13.699999999999401</v>
      </c>
      <c r="EC42" s="2">
        <v>93.599999999981705</v>
      </c>
      <c r="ED42" s="2">
        <v>15.499999999990001</v>
      </c>
      <c r="EE42" s="2">
        <v>162.799999999937</v>
      </c>
      <c r="EF42" s="2">
        <v>84.599999999944899</v>
      </c>
      <c r="EG42" s="2">
        <v>145.49999999993901</v>
      </c>
      <c r="EI42">
        <v>906.79999999958432</v>
      </c>
      <c r="EJ42">
        <v>1951</v>
      </c>
      <c r="EL42">
        <v>1951</v>
      </c>
      <c r="EM42">
        <v>33</v>
      </c>
      <c r="EN42">
        <v>20</v>
      </c>
      <c r="EO42">
        <v>21.2</v>
      </c>
      <c r="EP42">
        <v>13</v>
      </c>
      <c r="EQ42">
        <v>16.3</v>
      </c>
      <c r="ER42">
        <v>24</v>
      </c>
      <c r="ES42">
        <v>165.8</v>
      </c>
      <c r="ET42">
        <v>56</v>
      </c>
      <c r="EU42">
        <v>12.6</v>
      </c>
      <c r="EV42">
        <v>69.599999999999994</v>
      </c>
      <c r="EW42">
        <v>16.600000000000001</v>
      </c>
      <c r="EX42">
        <v>41.6</v>
      </c>
      <c r="EZ42">
        <v>165.8</v>
      </c>
      <c r="FA42">
        <v>1951</v>
      </c>
      <c r="FE42">
        <v>1951</v>
      </c>
      <c r="FF42">
        <v>19</v>
      </c>
      <c r="FG42">
        <v>14</v>
      </c>
      <c r="FH42">
        <v>14</v>
      </c>
      <c r="FI42">
        <v>11</v>
      </c>
      <c r="FJ42">
        <v>8</v>
      </c>
      <c r="FK42">
        <v>4</v>
      </c>
      <c r="FL42">
        <v>4</v>
      </c>
      <c r="FM42">
        <v>6</v>
      </c>
      <c r="FN42">
        <v>5</v>
      </c>
      <c r="FO42">
        <v>16</v>
      </c>
      <c r="FP42">
        <v>14</v>
      </c>
      <c r="FQ42">
        <v>13</v>
      </c>
      <c r="FS42">
        <f t="shared" si="5"/>
        <v>128</v>
      </c>
      <c r="FT42">
        <v>1951</v>
      </c>
      <c r="FW42">
        <v>1951</v>
      </c>
      <c r="FX42">
        <v>4</v>
      </c>
      <c r="FY42">
        <v>0</v>
      </c>
      <c r="FZ42">
        <v>1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4</v>
      </c>
      <c r="GK42">
        <f t="shared" si="6"/>
        <v>9</v>
      </c>
    </row>
    <row r="43" spans="1:193" ht="15.75" customHeight="1">
      <c r="A43" s="17" t="s">
        <v>71</v>
      </c>
      <c r="H43">
        <v>28.2</v>
      </c>
      <c r="I43">
        <v>1.8</v>
      </c>
      <c r="J43">
        <v>0.6</v>
      </c>
      <c r="K43">
        <v>0.2</v>
      </c>
      <c r="L43">
        <v>0.5</v>
      </c>
      <c r="N43">
        <v>20.2</v>
      </c>
      <c r="O43">
        <v>23.3</v>
      </c>
      <c r="R43">
        <v>2</v>
      </c>
      <c r="S43">
        <v>3.5</v>
      </c>
      <c r="U43">
        <v>2.2999999999999998</v>
      </c>
      <c r="X43">
        <v>0.3</v>
      </c>
      <c r="Z43">
        <v>7.8</v>
      </c>
      <c r="AA43">
        <v>29.4</v>
      </c>
      <c r="AB43">
        <v>10.199999999999999</v>
      </c>
      <c r="AC43">
        <v>3.8</v>
      </c>
      <c r="AE43">
        <v>0.6</v>
      </c>
      <c r="AF43">
        <v>11.2</v>
      </c>
      <c r="AH43">
        <v>3</v>
      </c>
      <c r="AI43">
        <v>0.5</v>
      </c>
      <c r="AJ43">
        <v>0.9</v>
      </c>
      <c r="AK43">
        <v>0.1</v>
      </c>
      <c r="AL43">
        <v>6.2</v>
      </c>
      <c r="AN43">
        <v>4.2</v>
      </c>
      <c r="AQ43">
        <v>1.1000000000000001</v>
      </c>
      <c r="AS43">
        <v>3</v>
      </c>
      <c r="AU43">
        <v>2</v>
      </c>
      <c r="AV43">
        <v>0.3</v>
      </c>
      <c r="AX43">
        <v>1.2</v>
      </c>
      <c r="AY43">
        <v>1.1000000000000001</v>
      </c>
      <c r="AZ43">
        <v>0.2</v>
      </c>
      <c r="BA43">
        <v>2.2000000000000002</v>
      </c>
      <c r="BB43">
        <v>0.3</v>
      </c>
      <c r="BD43">
        <v>14</v>
      </c>
      <c r="BG43">
        <v>0.3</v>
      </c>
      <c r="BH43">
        <v>8</v>
      </c>
      <c r="BI43">
        <v>2</v>
      </c>
      <c r="BJ43">
        <v>1.1000000000000001</v>
      </c>
      <c r="BK43">
        <v>0.1</v>
      </c>
      <c r="BN43">
        <v>0.1</v>
      </c>
      <c r="BO43">
        <v>3</v>
      </c>
      <c r="BP43">
        <v>3.4</v>
      </c>
      <c r="BQ43">
        <v>2.2999999999999998</v>
      </c>
      <c r="BR43">
        <v>5.6</v>
      </c>
      <c r="BT43">
        <v>2.6</v>
      </c>
      <c r="BX43">
        <v>7.1</v>
      </c>
      <c r="BZ43">
        <v>0.1</v>
      </c>
      <c r="CC43">
        <v>0.5</v>
      </c>
      <c r="CD43">
        <v>0.1</v>
      </c>
      <c r="CE43">
        <v>1</v>
      </c>
      <c r="CF43">
        <v>2.2999999999999998</v>
      </c>
      <c r="CG43">
        <v>2.1</v>
      </c>
      <c r="CI43">
        <v>6</v>
      </c>
      <c r="CJ43">
        <v>5</v>
      </c>
      <c r="CL43">
        <v>10</v>
      </c>
      <c r="CP43">
        <v>33.700000000000003</v>
      </c>
      <c r="CR43">
        <v>13.5</v>
      </c>
      <c r="CS43">
        <v>10</v>
      </c>
      <c r="CV43">
        <v>1</v>
      </c>
      <c r="CW43">
        <v>14.5</v>
      </c>
      <c r="CY43">
        <v>23.3</v>
      </c>
      <c r="CZ43">
        <v>2.9</v>
      </c>
      <c r="DA43" s="2"/>
      <c r="DD43" s="1">
        <v>40946</v>
      </c>
      <c r="DE43" s="2">
        <f t="shared" si="11"/>
        <v>5.7016393442622935</v>
      </c>
      <c r="DF43" s="2">
        <f t="shared" si="12"/>
        <v>3.4098039215686264</v>
      </c>
      <c r="DG43" s="2">
        <f t="shared" si="13"/>
        <v>33.700000000000003</v>
      </c>
      <c r="DH43" s="2">
        <f t="shared" si="14"/>
        <v>0.1</v>
      </c>
      <c r="DI43" s="3">
        <f t="shared" si="15"/>
        <v>0.59803921568627449</v>
      </c>
      <c r="DU43">
        <v>1952</v>
      </c>
      <c r="DV43" s="2">
        <v>135.1</v>
      </c>
      <c r="DW43" s="2">
        <v>126.699999999952</v>
      </c>
      <c r="DX43" s="2">
        <v>66.900000000000006</v>
      </c>
      <c r="DY43" s="2">
        <v>5.7</v>
      </c>
      <c r="DZ43" s="2">
        <v>30.799999999987499</v>
      </c>
      <c r="EA43" s="2">
        <v>33.499999999987999</v>
      </c>
      <c r="EB43" s="2">
        <v>9.9999999999908995E-2</v>
      </c>
      <c r="EC43" s="2">
        <v>2.0999999999985399</v>
      </c>
      <c r="ED43" s="2">
        <v>38.199999999979397</v>
      </c>
      <c r="EE43" s="2">
        <v>87.799999999963802</v>
      </c>
      <c r="EF43" s="2">
        <v>139.199999999966</v>
      </c>
      <c r="EG43" s="2">
        <v>92.899999999963299</v>
      </c>
      <c r="EI43">
        <v>758.99999999972147</v>
      </c>
      <c r="EJ43">
        <v>1952</v>
      </c>
      <c r="EL43">
        <v>1952</v>
      </c>
      <c r="EM43">
        <v>39.4</v>
      </c>
      <c r="EN43">
        <v>25.8</v>
      </c>
      <c r="EO43">
        <v>17.8</v>
      </c>
      <c r="EP43">
        <v>2.2999999999999998</v>
      </c>
      <c r="EQ43">
        <v>13.9</v>
      </c>
      <c r="ER43">
        <v>14.8</v>
      </c>
      <c r="ES43">
        <v>12.5</v>
      </c>
      <c r="ET43">
        <v>2.1</v>
      </c>
      <c r="EU43">
        <v>22.8</v>
      </c>
      <c r="EV43">
        <v>22.5</v>
      </c>
      <c r="EW43">
        <v>34</v>
      </c>
      <c r="EX43">
        <v>32</v>
      </c>
      <c r="EZ43">
        <v>39.4</v>
      </c>
      <c r="FA43">
        <v>1952</v>
      </c>
      <c r="FE43">
        <v>1952</v>
      </c>
      <c r="FF43">
        <v>20</v>
      </c>
      <c r="FG43">
        <v>17</v>
      </c>
      <c r="FH43">
        <v>12</v>
      </c>
      <c r="FI43">
        <v>5</v>
      </c>
      <c r="FJ43">
        <v>11</v>
      </c>
      <c r="FK43">
        <v>4</v>
      </c>
      <c r="FL43">
        <v>1</v>
      </c>
      <c r="FM43">
        <v>1</v>
      </c>
      <c r="FN43">
        <v>5</v>
      </c>
      <c r="FO43">
        <v>9</v>
      </c>
      <c r="FP43">
        <v>12</v>
      </c>
      <c r="FQ43">
        <v>12</v>
      </c>
      <c r="FS43">
        <f t="shared" si="5"/>
        <v>109</v>
      </c>
      <c r="FT43">
        <v>1952</v>
      </c>
      <c r="FW43">
        <v>1952</v>
      </c>
      <c r="FX43">
        <v>1</v>
      </c>
      <c r="FY43">
        <v>3</v>
      </c>
      <c r="FZ43">
        <v>2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K43">
        <f t="shared" si="6"/>
        <v>6</v>
      </c>
    </row>
    <row r="44" spans="1:193">
      <c r="A44" s="17" t="s">
        <v>72</v>
      </c>
      <c r="E44">
        <v>2.4</v>
      </c>
      <c r="F44">
        <v>0.2</v>
      </c>
      <c r="H44">
        <v>3.5</v>
      </c>
      <c r="J44">
        <v>12.1</v>
      </c>
      <c r="M44">
        <v>0.8</v>
      </c>
      <c r="N44">
        <v>5.0999999999999996</v>
      </c>
      <c r="R44">
        <v>1.8</v>
      </c>
      <c r="T44">
        <v>0.2</v>
      </c>
      <c r="U44">
        <v>2</v>
      </c>
      <c r="V44">
        <v>9</v>
      </c>
      <c r="Z44">
        <v>3</v>
      </c>
      <c r="AA44">
        <v>57.5</v>
      </c>
      <c r="AC44">
        <v>0.8</v>
      </c>
      <c r="AE44">
        <v>2.1</v>
      </c>
      <c r="AI44">
        <v>1</v>
      </c>
      <c r="AN44">
        <v>0.1</v>
      </c>
      <c r="AQ44">
        <v>25.8</v>
      </c>
      <c r="AR44">
        <v>26.5</v>
      </c>
      <c r="AT44">
        <v>7.2</v>
      </c>
      <c r="AU44">
        <v>30</v>
      </c>
      <c r="AV44">
        <v>0.3</v>
      </c>
      <c r="AX44">
        <v>0.2</v>
      </c>
      <c r="AZ44">
        <v>0.8</v>
      </c>
      <c r="BA44">
        <v>0.5</v>
      </c>
      <c r="BB44">
        <v>18.7</v>
      </c>
      <c r="BC44">
        <v>0.4</v>
      </c>
      <c r="BD44">
        <v>2</v>
      </c>
      <c r="BE44">
        <v>3.3</v>
      </c>
      <c r="BF44">
        <v>0.5</v>
      </c>
      <c r="BG44">
        <v>0.2</v>
      </c>
      <c r="BH44">
        <v>0.4</v>
      </c>
      <c r="BI44">
        <v>6.8</v>
      </c>
      <c r="BJ44">
        <v>0.3</v>
      </c>
      <c r="BL44">
        <v>0.1</v>
      </c>
      <c r="BM44">
        <v>14</v>
      </c>
      <c r="BN44">
        <v>14</v>
      </c>
      <c r="BO44">
        <v>4.5</v>
      </c>
      <c r="BQ44">
        <v>7.8</v>
      </c>
      <c r="BR44">
        <v>0.2</v>
      </c>
      <c r="BY44">
        <v>14.3</v>
      </c>
      <c r="BZ44">
        <v>2.6</v>
      </c>
      <c r="CE44">
        <v>8.5</v>
      </c>
      <c r="CG44">
        <v>0.3</v>
      </c>
      <c r="CI44">
        <v>9.5</v>
      </c>
      <c r="CL44">
        <v>15.5</v>
      </c>
      <c r="CP44">
        <v>4.3</v>
      </c>
      <c r="CR44">
        <v>2.8</v>
      </c>
      <c r="CS44">
        <v>2.2999999999999998</v>
      </c>
      <c r="CU44">
        <v>0.5</v>
      </c>
      <c r="CV44">
        <v>25.3</v>
      </c>
      <c r="CW44">
        <v>4.0999999999999996</v>
      </c>
      <c r="CY44">
        <v>6.2</v>
      </c>
      <c r="CZ44">
        <v>7.1</v>
      </c>
      <c r="DA44" s="2"/>
      <c r="DD44" s="1">
        <v>40947</v>
      </c>
      <c r="DE44" s="2">
        <f t="shared" si="11"/>
        <v>6.9698113207547197</v>
      </c>
      <c r="DF44" s="2">
        <f t="shared" si="12"/>
        <v>3.6215686274509817</v>
      </c>
      <c r="DG44" s="2">
        <f t="shared" si="13"/>
        <v>57.5</v>
      </c>
      <c r="DH44" s="2">
        <f t="shared" si="14"/>
        <v>0.1</v>
      </c>
      <c r="DI44" s="3">
        <f t="shared" si="15"/>
        <v>0.51960784313725494</v>
      </c>
      <c r="DK44" s="68" t="s">
        <v>9</v>
      </c>
      <c r="DL44" s="71" t="s">
        <v>4</v>
      </c>
      <c r="DM44" s="12" t="s">
        <v>27</v>
      </c>
      <c r="DN44">
        <v>84</v>
      </c>
      <c r="DO44" s="5">
        <v>166.7</v>
      </c>
      <c r="DP44" s="8">
        <v>19</v>
      </c>
      <c r="DQ44" s="8">
        <v>2</v>
      </c>
      <c r="DU44">
        <v>1953</v>
      </c>
      <c r="DV44" s="2">
        <v>168.4</v>
      </c>
      <c r="DW44" s="2">
        <v>144.39999999996601</v>
      </c>
      <c r="DX44" s="2">
        <v>113.39999999995401</v>
      </c>
      <c r="DY44" s="2">
        <v>69.499999999977703</v>
      </c>
      <c r="DZ44" s="2">
        <v>59.199999999967098</v>
      </c>
      <c r="EA44" s="2">
        <v>39.899999999969602</v>
      </c>
      <c r="EB44" s="2">
        <v>4.699999999998</v>
      </c>
      <c r="EC44" s="2">
        <v>6.9999999999945501</v>
      </c>
      <c r="ED44" s="2">
        <v>59.799999999991101</v>
      </c>
      <c r="EE44" s="2">
        <v>113.099999999912</v>
      </c>
      <c r="EF44" s="2">
        <v>50.499999999979202</v>
      </c>
      <c r="EG44" s="2">
        <v>89.599999999986096</v>
      </c>
      <c r="EI44">
        <v>919.49999999962938</v>
      </c>
      <c r="EJ44">
        <v>1953</v>
      </c>
      <c r="EL44">
        <v>1953</v>
      </c>
      <c r="EM44">
        <v>42.5</v>
      </c>
      <c r="EN44">
        <v>26.5</v>
      </c>
      <c r="EO44">
        <v>26.2</v>
      </c>
      <c r="EP44">
        <v>16.5</v>
      </c>
      <c r="EQ44">
        <v>14.3</v>
      </c>
      <c r="ER44">
        <v>28.6</v>
      </c>
      <c r="ES44">
        <v>0.1</v>
      </c>
      <c r="ET44">
        <v>2.7</v>
      </c>
      <c r="EU44">
        <v>27.5</v>
      </c>
      <c r="EV44">
        <v>70.3</v>
      </c>
      <c r="EW44">
        <v>15.9</v>
      </c>
      <c r="EX44">
        <v>14.7</v>
      </c>
      <c r="EZ44">
        <v>70.3</v>
      </c>
      <c r="FA44">
        <v>1953</v>
      </c>
      <c r="FE44">
        <v>1953</v>
      </c>
      <c r="FF44">
        <v>17</v>
      </c>
      <c r="FG44">
        <v>21</v>
      </c>
      <c r="FH44">
        <v>20</v>
      </c>
      <c r="FI44">
        <v>14</v>
      </c>
      <c r="FJ44">
        <v>15</v>
      </c>
      <c r="FK44">
        <v>8</v>
      </c>
      <c r="FL44">
        <v>2</v>
      </c>
      <c r="FM44">
        <v>4</v>
      </c>
      <c r="FN44">
        <v>4</v>
      </c>
      <c r="FO44">
        <v>9</v>
      </c>
      <c r="FP44">
        <v>15</v>
      </c>
      <c r="FQ44">
        <v>23</v>
      </c>
      <c r="FS44">
        <f t="shared" si="5"/>
        <v>152</v>
      </c>
      <c r="FT44">
        <v>1953</v>
      </c>
      <c r="FW44">
        <v>1953</v>
      </c>
      <c r="FX44">
        <v>11</v>
      </c>
      <c r="FY44">
        <v>7</v>
      </c>
      <c r="FZ44">
        <v>12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5</v>
      </c>
      <c r="GI44">
        <v>10</v>
      </c>
      <c r="GK44">
        <f t="shared" si="6"/>
        <v>45</v>
      </c>
    </row>
    <row r="45" spans="1:193">
      <c r="A45" s="17" t="s">
        <v>73</v>
      </c>
      <c r="C45">
        <v>0.2</v>
      </c>
      <c r="E45">
        <v>0.5</v>
      </c>
      <c r="F45">
        <v>3.7</v>
      </c>
      <c r="I45">
        <v>1.2</v>
      </c>
      <c r="J45">
        <v>4</v>
      </c>
      <c r="K45">
        <v>42.2</v>
      </c>
      <c r="L45">
        <v>1.5</v>
      </c>
      <c r="M45">
        <v>6.6</v>
      </c>
      <c r="N45">
        <v>16</v>
      </c>
      <c r="R45">
        <v>3</v>
      </c>
      <c r="U45">
        <v>6.4</v>
      </c>
      <c r="V45">
        <v>5.2</v>
      </c>
      <c r="W45">
        <v>4.0999999999999996</v>
      </c>
      <c r="Z45">
        <v>0.8</v>
      </c>
      <c r="AA45">
        <v>3.9</v>
      </c>
      <c r="AC45">
        <v>4.3</v>
      </c>
      <c r="AD45">
        <v>0.1</v>
      </c>
      <c r="AF45">
        <v>0.3</v>
      </c>
      <c r="AH45">
        <v>7</v>
      </c>
      <c r="AI45">
        <v>1.2</v>
      </c>
      <c r="AM45">
        <v>3.6</v>
      </c>
      <c r="AP45">
        <v>2.7</v>
      </c>
      <c r="AQ45">
        <v>5.3</v>
      </c>
      <c r="AS45">
        <v>4</v>
      </c>
      <c r="AT45">
        <v>33.5</v>
      </c>
      <c r="AU45">
        <v>19</v>
      </c>
      <c r="AZ45">
        <v>3.6</v>
      </c>
      <c r="BB45">
        <v>9.3000000000000007</v>
      </c>
      <c r="BF45">
        <v>0.9</v>
      </c>
      <c r="BH45">
        <v>1</v>
      </c>
      <c r="BI45">
        <v>0.2</v>
      </c>
      <c r="BJ45">
        <v>4.8</v>
      </c>
      <c r="BM45">
        <v>0.2</v>
      </c>
      <c r="BN45">
        <v>6.5</v>
      </c>
      <c r="BO45">
        <v>4.2</v>
      </c>
      <c r="BQ45">
        <v>3.7</v>
      </c>
      <c r="BU45">
        <v>0.2</v>
      </c>
      <c r="BW45">
        <v>4.5</v>
      </c>
      <c r="BX45">
        <v>1.6</v>
      </c>
      <c r="BY45">
        <v>5.0999999999999996</v>
      </c>
      <c r="CA45">
        <v>0.8</v>
      </c>
      <c r="CB45">
        <v>0.5</v>
      </c>
      <c r="CD45">
        <v>1</v>
      </c>
      <c r="CH45">
        <v>1.3</v>
      </c>
      <c r="CI45">
        <v>12.5</v>
      </c>
      <c r="CL45">
        <v>4</v>
      </c>
      <c r="CP45">
        <v>0.5</v>
      </c>
      <c r="CQ45">
        <v>1.1000000000000001</v>
      </c>
      <c r="CR45">
        <v>13.3</v>
      </c>
      <c r="CS45">
        <v>7</v>
      </c>
      <c r="CU45">
        <v>7.8</v>
      </c>
      <c r="CV45">
        <v>30.3</v>
      </c>
      <c r="CW45">
        <v>0.1</v>
      </c>
      <c r="CY45">
        <v>0.5</v>
      </c>
      <c r="CZ45">
        <v>6.6</v>
      </c>
      <c r="DA45" s="2"/>
      <c r="DD45" s="1">
        <v>40948</v>
      </c>
      <c r="DE45" s="2">
        <f t="shared" si="11"/>
        <v>5.6981818181818191</v>
      </c>
      <c r="DF45" s="2">
        <f t="shared" si="12"/>
        <v>3.0725490196078433</v>
      </c>
      <c r="DG45" s="2">
        <f t="shared" si="13"/>
        <v>42.2</v>
      </c>
      <c r="DH45" s="2">
        <f t="shared" si="14"/>
        <v>0.1</v>
      </c>
      <c r="DI45" s="3">
        <f t="shared" si="15"/>
        <v>0.53921568627450978</v>
      </c>
      <c r="DK45" s="69"/>
      <c r="DL45" s="67"/>
      <c r="DM45" s="12" t="s">
        <v>33</v>
      </c>
      <c r="DN45" s="13">
        <v>27160</v>
      </c>
      <c r="DO45" s="19">
        <v>1919</v>
      </c>
      <c r="DP45" s="8">
        <v>1971</v>
      </c>
      <c r="DQ45" s="8">
        <v>1913</v>
      </c>
      <c r="DU45">
        <v>1954</v>
      </c>
      <c r="DV45" s="2">
        <v>131.6</v>
      </c>
      <c r="DW45" s="2">
        <v>83.999999999990493</v>
      </c>
      <c r="DX45" s="2">
        <v>42.999999999979103</v>
      </c>
      <c r="DY45" s="2">
        <v>29.199999999984399</v>
      </c>
      <c r="DZ45" s="2">
        <v>30.199999999980498</v>
      </c>
      <c r="EA45" s="2">
        <v>8.2999999999929095</v>
      </c>
      <c r="EB45" s="2">
        <v>62.699999999986197</v>
      </c>
      <c r="EC45" s="2">
        <v>39.799999999988401</v>
      </c>
      <c r="ED45" s="2">
        <v>81.9999999999755</v>
      </c>
      <c r="EE45" s="2">
        <v>14.199999999990601</v>
      </c>
      <c r="EF45" s="2">
        <v>60.999999999979998</v>
      </c>
      <c r="EG45" s="2">
        <v>86.699999999945703</v>
      </c>
      <c r="EI45">
        <v>672.6999999997447</v>
      </c>
      <c r="EJ45">
        <v>1954</v>
      </c>
      <c r="EL45">
        <v>1954</v>
      </c>
      <c r="EM45">
        <v>22.2</v>
      </c>
      <c r="EN45">
        <v>26.4</v>
      </c>
      <c r="EO45">
        <v>7.9</v>
      </c>
      <c r="EP45">
        <v>8.3000000000000007</v>
      </c>
      <c r="EQ45">
        <v>7.3</v>
      </c>
      <c r="ER45">
        <v>6.4</v>
      </c>
      <c r="ES45">
        <v>4.0999999999999996</v>
      </c>
      <c r="ET45">
        <v>27.4</v>
      </c>
      <c r="EU45">
        <v>39</v>
      </c>
      <c r="EV45">
        <v>6.3</v>
      </c>
      <c r="EW45">
        <v>20.399999999999999</v>
      </c>
      <c r="EX45">
        <v>24.1</v>
      </c>
      <c r="EZ45">
        <v>39</v>
      </c>
      <c r="FA45">
        <v>1954</v>
      </c>
      <c r="FE45">
        <v>1954</v>
      </c>
      <c r="FF45">
        <v>26</v>
      </c>
      <c r="FG45">
        <v>18</v>
      </c>
      <c r="FH45">
        <v>12</v>
      </c>
      <c r="FI45">
        <v>9</v>
      </c>
      <c r="FJ45">
        <v>13</v>
      </c>
      <c r="FK45">
        <v>4</v>
      </c>
      <c r="FL45">
        <v>6</v>
      </c>
      <c r="FM45">
        <v>2</v>
      </c>
      <c r="FN45">
        <v>9</v>
      </c>
      <c r="FO45">
        <v>14</v>
      </c>
      <c r="FP45">
        <v>17</v>
      </c>
      <c r="FQ45">
        <v>18</v>
      </c>
      <c r="FS45">
        <f t="shared" si="5"/>
        <v>148</v>
      </c>
      <c r="FT45">
        <v>1954</v>
      </c>
      <c r="FW45">
        <v>1954</v>
      </c>
      <c r="FX45">
        <v>0</v>
      </c>
      <c r="FY45">
        <v>15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K45">
        <f t="shared" si="6"/>
        <v>15</v>
      </c>
    </row>
    <row r="46" spans="1:193">
      <c r="A46" s="17" t="s">
        <v>74</v>
      </c>
      <c r="C46">
        <v>4.5</v>
      </c>
      <c r="F46">
        <v>0.5</v>
      </c>
      <c r="J46">
        <v>3.8</v>
      </c>
      <c r="K46">
        <v>9.1</v>
      </c>
      <c r="N46">
        <v>4</v>
      </c>
      <c r="P46">
        <v>0.2</v>
      </c>
      <c r="W46">
        <v>16.5</v>
      </c>
      <c r="Z46">
        <v>45.6</v>
      </c>
      <c r="AA46">
        <v>1.2</v>
      </c>
      <c r="AB46">
        <v>20.6</v>
      </c>
      <c r="AE46">
        <v>2.8</v>
      </c>
      <c r="AG46">
        <v>0.7</v>
      </c>
      <c r="AH46">
        <v>0.7</v>
      </c>
      <c r="AI46">
        <v>20</v>
      </c>
      <c r="AK46">
        <v>9.6</v>
      </c>
      <c r="AM46">
        <v>3.1</v>
      </c>
      <c r="AO46">
        <v>9.5</v>
      </c>
      <c r="AP46">
        <v>5.7</v>
      </c>
      <c r="AQ46">
        <v>8.6999999999999993</v>
      </c>
      <c r="AS46">
        <v>1.7</v>
      </c>
      <c r="AT46">
        <v>2.4</v>
      </c>
      <c r="AV46">
        <v>3.3</v>
      </c>
      <c r="AX46">
        <v>0.4</v>
      </c>
      <c r="BB46">
        <v>0.9</v>
      </c>
      <c r="BC46">
        <v>4.5</v>
      </c>
      <c r="BD46">
        <v>25.2</v>
      </c>
      <c r="BE46">
        <v>9.4</v>
      </c>
      <c r="BF46">
        <v>10.3</v>
      </c>
      <c r="BH46">
        <v>5.6</v>
      </c>
      <c r="BJ46">
        <v>0.2</v>
      </c>
      <c r="BM46">
        <v>0.1</v>
      </c>
      <c r="BR46">
        <v>1.2</v>
      </c>
      <c r="BS46">
        <v>0.1</v>
      </c>
      <c r="BU46">
        <v>1.1000000000000001</v>
      </c>
      <c r="BW46">
        <v>5.8</v>
      </c>
      <c r="BY46">
        <v>2.5</v>
      </c>
      <c r="CB46">
        <v>2</v>
      </c>
      <c r="CH46">
        <v>17.5</v>
      </c>
      <c r="CI46">
        <v>4.3</v>
      </c>
      <c r="CM46">
        <v>0.1</v>
      </c>
      <c r="CP46">
        <v>3</v>
      </c>
      <c r="CR46">
        <v>9.6</v>
      </c>
      <c r="CS46">
        <v>31.6</v>
      </c>
      <c r="CU46">
        <v>7.8</v>
      </c>
      <c r="CV46">
        <v>5.8</v>
      </c>
      <c r="CW46">
        <v>3.1</v>
      </c>
      <c r="CY46">
        <v>0.6</v>
      </c>
      <c r="CZ46">
        <v>3.4</v>
      </c>
      <c r="DA46" s="2"/>
      <c r="DD46" s="1">
        <v>40949</v>
      </c>
      <c r="DE46" s="2">
        <f t="shared" si="11"/>
        <v>6.8812500000000014</v>
      </c>
      <c r="DF46" s="2">
        <f t="shared" si="12"/>
        <v>3.2382352941176475</v>
      </c>
      <c r="DG46" s="2">
        <f t="shared" si="13"/>
        <v>45.6</v>
      </c>
      <c r="DH46" s="2">
        <f t="shared" si="14"/>
        <v>0.1</v>
      </c>
      <c r="DI46" s="3">
        <f t="shared" si="15"/>
        <v>0.47058823529411764</v>
      </c>
      <c r="DK46" s="69"/>
      <c r="DL46" s="72"/>
      <c r="DM46" s="73"/>
      <c r="DN46" s="12" t="s">
        <v>24</v>
      </c>
      <c r="DO46" s="11" t="s">
        <v>25</v>
      </c>
      <c r="DP46" s="11" t="s">
        <v>19</v>
      </c>
      <c r="DQ46" s="11" t="s">
        <v>26</v>
      </c>
      <c r="DU46">
        <v>1955</v>
      </c>
      <c r="DV46" s="2">
        <v>86.1</v>
      </c>
      <c r="DW46" s="2">
        <v>84.199999999981102</v>
      </c>
      <c r="DX46" s="2">
        <v>80.199999999975006</v>
      </c>
      <c r="DY46" s="2">
        <v>65.999999999971294</v>
      </c>
      <c r="DZ46" s="2">
        <v>2.1999999999989099</v>
      </c>
      <c r="EA46" s="2">
        <v>19.599999999985801</v>
      </c>
      <c r="EB46" s="2">
        <v>8.3999999999978208</v>
      </c>
      <c r="EC46" s="2">
        <v>81.599999999977697</v>
      </c>
      <c r="ED46" s="2">
        <v>89.599999999943805</v>
      </c>
      <c r="EE46" s="2">
        <v>50.6999999999667</v>
      </c>
      <c r="EF46" s="2">
        <v>348.09999999985399</v>
      </c>
      <c r="EG46" s="2">
        <v>84.6999999999598</v>
      </c>
      <c r="EI46">
        <v>1001.3999999995606</v>
      </c>
      <c r="EJ46">
        <v>1955</v>
      </c>
      <c r="EL46">
        <v>1955</v>
      </c>
      <c r="EM46">
        <v>23.3</v>
      </c>
      <c r="EN46">
        <v>33.5</v>
      </c>
      <c r="EO46">
        <v>26.4</v>
      </c>
      <c r="EP46">
        <v>16.7</v>
      </c>
      <c r="EQ46">
        <v>1</v>
      </c>
      <c r="ER46">
        <v>5.9</v>
      </c>
      <c r="ES46">
        <v>24.5</v>
      </c>
      <c r="ET46">
        <v>18.5</v>
      </c>
      <c r="EU46">
        <v>40.700000000000003</v>
      </c>
      <c r="EV46">
        <v>19.899999999999999</v>
      </c>
      <c r="EW46">
        <v>94.2</v>
      </c>
      <c r="EX46">
        <v>18.2</v>
      </c>
      <c r="EZ46">
        <v>94.2</v>
      </c>
      <c r="FA46">
        <v>1955</v>
      </c>
      <c r="FE46">
        <v>1955</v>
      </c>
      <c r="FF46">
        <v>16</v>
      </c>
      <c r="FG46">
        <v>11</v>
      </c>
      <c r="FH46">
        <v>15</v>
      </c>
      <c r="FI46">
        <v>15</v>
      </c>
      <c r="FJ46">
        <v>3</v>
      </c>
      <c r="FK46">
        <v>5</v>
      </c>
      <c r="FL46">
        <v>4</v>
      </c>
      <c r="FM46">
        <v>11</v>
      </c>
      <c r="FN46">
        <v>12</v>
      </c>
      <c r="FO46">
        <v>13</v>
      </c>
      <c r="FP46">
        <v>20</v>
      </c>
      <c r="FQ46">
        <v>15</v>
      </c>
      <c r="FS46">
        <f t="shared" si="5"/>
        <v>140</v>
      </c>
      <c r="FT46">
        <v>1955</v>
      </c>
      <c r="FW46">
        <v>1955</v>
      </c>
      <c r="FX46">
        <v>4</v>
      </c>
      <c r="FY46">
        <v>0</v>
      </c>
      <c r="FZ46">
        <v>3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K46">
        <f t="shared" si="6"/>
        <v>7</v>
      </c>
    </row>
    <row r="47" spans="1:193">
      <c r="A47" s="17" t="s">
        <v>75</v>
      </c>
      <c r="J47">
        <v>3.6</v>
      </c>
      <c r="K47">
        <v>1.8</v>
      </c>
      <c r="M47">
        <v>0.3</v>
      </c>
      <c r="N47">
        <v>0.9</v>
      </c>
      <c r="O47">
        <v>1.7</v>
      </c>
      <c r="R47">
        <v>0.7</v>
      </c>
      <c r="U47">
        <v>0.2</v>
      </c>
      <c r="V47">
        <v>20.8</v>
      </c>
      <c r="W47">
        <v>26.1</v>
      </c>
      <c r="Z47">
        <v>8</v>
      </c>
      <c r="AA47">
        <v>20</v>
      </c>
      <c r="AB47">
        <v>3.5</v>
      </c>
      <c r="AE47">
        <v>17</v>
      </c>
      <c r="AG47">
        <v>0.3</v>
      </c>
      <c r="AJ47">
        <v>0.4</v>
      </c>
      <c r="AK47">
        <v>5.6</v>
      </c>
      <c r="AM47">
        <v>28</v>
      </c>
      <c r="AN47">
        <v>8.3000000000000007</v>
      </c>
      <c r="AP47">
        <v>0.6</v>
      </c>
      <c r="AS47">
        <v>1</v>
      </c>
      <c r="AT47">
        <v>4.4000000000000004</v>
      </c>
      <c r="AV47">
        <v>2</v>
      </c>
      <c r="AX47">
        <v>3.2</v>
      </c>
      <c r="AY47">
        <v>3.4</v>
      </c>
      <c r="BA47">
        <v>2</v>
      </c>
      <c r="BB47">
        <v>1.3</v>
      </c>
      <c r="BC47">
        <v>0.7</v>
      </c>
      <c r="BD47">
        <v>14.3</v>
      </c>
      <c r="BF47">
        <v>2</v>
      </c>
      <c r="BG47">
        <v>23</v>
      </c>
      <c r="BH47">
        <v>31</v>
      </c>
      <c r="BI47">
        <v>7</v>
      </c>
      <c r="BJ47">
        <v>0.8</v>
      </c>
      <c r="BL47">
        <v>8.5</v>
      </c>
      <c r="BO47">
        <v>0.3</v>
      </c>
      <c r="BR47">
        <v>2.7</v>
      </c>
      <c r="BS47">
        <v>0.1</v>
      </c>
      <c r="BU47">
        <v>2.4</v>
      </c>
      <c r="BW47">
        <v>8.8000000000000007</v>
      </c>
      <c r="BX47">
        <v>0.1</v>
      </c>
      <c r="CB47">
        <v>1</v>
      </c>
      <c r="CC47">
        <v>2.4</v>
      </c>
      <c r="CG47">
        <v>3.7</v>
      </c>
      <c r="CI47">
        <v>2.2999999999999998</v>
      </c>
      <c r="CS47">
        <v>0.3</v>
      </c>
      <c r="CU47">
        <v>2.1</v>
      </c>
      <c r="CV47">
        <v>16.2</v>
      </c>
      <c r="CW47">
        <v>2.4</v>
      </c>
      <c r="CZ47">
        <v>1.3</v>
      </c>
      <c r="DA47" s="2"/>
      <c r="DD47" s="1">
        <v>40950</v>
      </c>
      <c r="DE47" s="2">
        <f t="shared" si="11"/>
        <v>6.091836734693878</v>
      </c>
      <c r="DF47" s="2">
        <f t="shared" si="12"/>
        <v>2.9264705882352939</v>
      </c>
      <c r="DG47" s="2">
        <f t="shared" si="13"/>
        <v>31</v>
      </c>
      <c r="DH47" s="2">
        <f t="shared" si="14"/>
        <v>0.1</v>
      </c>
      <c r="DI47" s="3">
        <f t="shared" si="15"/>
        <v>0.48039215686274511</v>
      </c>
      <c r="DK47" s="69"/>
      <c r="DL47" s="74" t="s">
        <v>29</v>
      </c>
      <c r="DM47" s="12" t="s">
        <v>27</v>
      </c>
      <c r="DN47" s="75"/>
      <c r="DO47" s="18">
        <v>0</v>
      </c>
      <c r="DP47" s="8">
        <v>2</v>
      </c>
      <c r="DQ47" s="66"/>
      <c r="DU47">
        <v>1956</v>
      </c>
      <c r="DV47" s="2">
        <v>80.3</v>
      </c>
      <c r="DW47" s="2">
        <v>225.09999999996199</v>
      </c>
      <c r="DX47" s="2">
        <v>125.799999999984</v>
      </c>
      <c r="DY47" s="2">
        <v>25.699999999987099</v>
      </c>
      <c r="DZ47" s="2">
        <v>14.6999999999971</v>
      </c>
      <c r="EA47" s="2">
        <v>24.7999999999893</v>
      </c>
      <c r="EB47" s="2">
        <v>2.5999999999967298</v>
      </c>
      <c r="EC47" s="2">
        <v>5.8999999999941801</v>
      </c>
      <c r="ED47" s="2">
        <v>31.9999999999891</v>
      </c>
      <c r="EE47" s="2">
        <v>37.499999999993598</v>
      </c>
      <c r="EF47" s="2">
        <v>73.599999999976802</v>
      </c>
      <c r="EG47" s="2">
        <v>71.8999999999523</v>
      </c>
      <c r="EI47">
        <v>719.89999999979409</v>
      </c>
      <c r="EJ47">
        <v>1956</v>
      </c>
      <c r="EL47">
        <v>1956</v>
      </c>
      <c r="EM47">
        <v>22</v>
      </c>
      <c r="EN47">
        <v>35.5</v>
      </c>
      <c r="EO47">
        <v>22.4</v>
      </c>
      <c r="EP47">
        <v>12.6</v>
      </c>
      <c r="EQ47">
        <v>10.5</v>
      </c>
      <c r="ER47">
        <v>8.4</v>
      </c>
      <c r="ES47">
        <v>6</v>
      </c>
      <c r="ET47">
        <v>5.9</v>
      </c>
      <c r="EU47">
        <v>7.8</v>
      </c>
      <c r="EV47">
        <v>15</v>
      </c>
      <c r="EW47">
        <v>29.3</v>
      </c>
      <c r="EX47">
        <v>12.8</v>
      </c>
      <c r="EZ47">
        <v>35.5</v>
      </c>
      <c r="FA47">
        <v>1956</v>
      </c>
      <c r="FE47">
        <v>1956</v>
      </c>
      <c r="FF47">
        <v>14</v>
      </c>
      <c r="FG47">
        <v>19</v>
      </c>
      <c r="FH47">
        <v>22</v>
      </c>
      <c r="FI47">
        <v>9</v>
      </c>
      <c r="FJ47">
        <v>6</v>
      </c>
      <c r="FK47">
        <v>6</v>
      </c>
      <c r="FL47">
        <v>2</v>
      </c>
      <c r="FM47">
        <v>1</v>
      </c>
      <c r="FN47">
        <v>7</v>
      </c>
      <c r="FO47">
        <v>7</v>
      </c>
      <c r="FP47">
        <v>13</v>
      </c>
      <c r="FQ47">
        <v>20</v>
      </c>
      <c r="FS47">
        <f t="shared" si="5"/>
        <v>126</v>
      </c>
      <c r="FT47">
        <v>1956</v>
      </c>
      <c r="FW47">
        <v>1956</v>
      </c>
      <c r="FX47">
        <v>7</v>
      </c>
      <c r="FY47">
        <v>10</v>
      </c>
      <c r="FZ47">
        <v>10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2</v>
      </c>
      <c r="GI47">
        <v>2</v>
      </c>
      <c r="GK47">
        <f t="shared" si="6"/>
        <v>31</v>
      </c>
    </row>
    <row r="48" spans="1:193">
      <c r="A48" s="17" t="s">
        <v>76</v>
      </c>
      <c r="D48">
        <v>0.6</v>
      </c>
      <c r="K48">
        <v>6.6</v>
      </c>
      <c r="R48">
        <v>30.3</v>
      </c>
      <c r="T48">
        <v>2.8</v>
      </c>
      <c r="U48">
        <v>2.8</v>
      </c>
      <c r="V48">
        <v>19.899999999999999</v>
      </c>
      <c r="W48">
        <v>15</v>
      </c>
      <c r="X48">
        <v>12.6</v>
      </c>
      <c r="Z48">
        <v>9.3000000000000007</v>
      </c>
      <c r="AA48">
        <v>6.7</v>
      </c>
      <c r="AD48">
        <v>13.6</v>
      </c>
      <c r="AG48">
        <v>2.2000000000000002</v>
      </c>
      <c r="AH48">
        <v>1.3</v>
      </c>
      <c r="AJ48">
        <v>1.4</v>
      </c>
      <c r="AM48">
        <v>13</v>
      </c>
      <c r="AO48">
        <v>0.4</v>
      </c>
      <c r="AP48">
        <v>0.1</v>
      </c>
      <c r="AQ48">
        <v>0.2</v>
      </c>
      <c r="AR48">
        <v>3.7</v>
      </c>
      <c r="AV48">
        <v>2.1</v>
      </c>
      <c r="AX48">
        <v>5.5</v>
      </c>
      <c r="AZ48">
        <v>2</v>
      </c>
      <c r="BA48">
        <v>0.2</v>
      </c>
      <c r="BB48">
        <v>5.5</v>
      </c>
      <c r="BG48">
        <v>0.7</v>
      </c>
      <c r="BH48">
        <v>1</v>
      </c>
      <c r="BI48">
        <v>6.6</v>
      </c>
      <c r="BJ48">
        <v>0.2</v>
      </c>
      <c r="BL48">
        <v>12.4</v>
      </c>
      <c r="BM48">
        <v>0.2</v>
      </c>
      <c r="BO48">
        <v>2.2000000000000002</v>
      </c>
      <c r="BS48">
        <v>1.2</v>
      </c>
      <c r="BT48">
        <v>0.7</v>
      </c>
      <c r="BU48">
        <v>0.4</v>
      </c>
      <c r="BX48">
        <v>4.9000000000000004</v>
      </c>
      <c r="BY48">
        <v>1.1000000000000001</v>
      </c>
      <c r="CB48">
        <v>0.1</v>
      </c>
      <c r="CC48">
        <v>2.4</v>
      </c>
      <c r="CG48">
        <v>4.0999999999999996</v>
      </c>
      <c r="CH48">
        <v>1.6</v>
      </c>
      <c r="CL48">
        <v>2.5</v>
      </c>
      <c r="CM48">
        <v>0.1</v>
      </c>
      <c r="CN48">
        <v>3.2</v>
      </c>
      <c r="CP48">
        <v>10.5</v>
      </c>
      <c r="CQ48">
        <v>15.3</v>
      </c>
      <c r="CS48">
        <v>13.3</v>
      </c>
      <c r="CT48">
        <v>2.2999999999999998</v>
      </c>
      <c r="CV48">
        <v>18.8</v>
      </c>
      <c r="CW48">
        <v>6.5</v>
      </c>
      <c r="CZ48">
        <v>0.2</v>
      </c>
      <c r="DA48" s="2"/>
      <c r="DD48" s="1">
        <v>40951</v>
      </c>
      <c r="DE48" s="2">
        <f t="shared" si="11"/>
        <v>5.4059999999999979</v>
      </c>
      <c r="DF48" s="2">
        <f t="shared" si="12"/>
        <v>2.649999999999999</v>
      </c>
      <c r="DG48" s="2">
        <f t="shared" si="13"/>
        <v>30.3</v>
      </c>
      <c r="DH48" s="2">
        <f t="shared" si="14"/>
        <v>0.1</v>
      </c>
      <c r="DI48" s="3">
        <f t="shared" si="15"/>
        <v>0.49019607843137253</v>
      </c>
      <c r="DK48" s="70"/>
      <c r="DL48" s="67"/>
      <c r="DM48" s="12" t="s">
        <v>28</v>
      </c>
      <c r="DN48" s="67"/>
      <c r="DO48" s="8">
        <v>1927</v>
      </c>
      <c r="DP48" s="8">
        <v>1945</v>
      </c>
      <c r="DQ48" s="67"/>
      <c r="DU48">
        <v>1957</v>
      </c>
      <c r="DV48" s="2">
        <v>46.9</v>
      </c>
      <c r="DW48" s="2">
        <v>43.5999999999785</v>
      </c>
      <c r="DX48" s="2">
        <v>52.399999999971698</v>
      </c>
      <c r="DY48" s="2">
        <v>49.599999999976802</v>
      </c>
      <c r="DZ48" s="2">
        <v>65.719999999989298</v>
      </c>
      <c r="EA48" s="2">
        <v>3.0999999999999099</v>
      </c>
      <c r="EB48" s="2">
        <v>5.6999999999939099</v>
      </c>
      <c r="EC48" s="2">
        <v>21</v>
      </c>
      <c r="ED48" s="2">
        <v>20.399999999991401</v>
      </c>
      <c r="EE48" s="2">
        <v>42.699999999986701</v>
      </c>
      <c r="EF48" s="2">
        <v>124.399999999974</v>
      </c>
      <c r="EG48" s="2">
        <v>180.79999999995701</v>
      </c>
      <c r="EI48">
        <v>656.31999999979791</v>
      </c>
      <c r="EJ48">
        <v>1957</v>
      </c>
      <c r="EL48">
        <v>1957</v>
      </c>
      <c r="EM48">
        <v>7.7</v>
      </c>
      <c r="EN48">
        <v>11.2</v>
      </c>
      <c r="EO48">
        <v>19.2</v>
      </c>
      <c r="EP48">
        <v>21</v>
      </c>
      <c r="EQ48">
        <v>21.1</v>
      </c>
      <c r="ER48">
        <v>2.5</v>
      </c>
      <c r="ES48">
        <v>2.2000000000000002</v>
      </c>
      <c r="ET48">
        <v>21</v>
      </c>
      <c r="EU48">
        <v>7.7</v>
      </c>
      <c r="EV48">
        <v>20.8</v>
      </c>
      <c r="EW48">
        <v>22</v>
      </c>
      <c r="EX48">
        <v>51.8</v>
      </c>
      <c r="EZ48">
        <v>51.8</v>
      </c>
      <c r="FA48">
        <v>1957</v>
      </c>
      <c r="FE48">
        <v>1957</v>
      </c>
      <c r="FF48">
        <v>18</v>
      </c>
      <c r="FG48">
        <v>17</v>
      </c>
      <c r="FH48">
        <v>11</v>
      </c>
      <c r="FI48">
        <v>9</v>
      </c>
      <c r="FJ48">
        <v>11</v>
      </c>
      <c r="FK48">
        <v>3</v>
      </c>
      <c r="FL48">
        <v>2</v>
      </c>
      <c r="FM48">
        <v>1</v>
      </c>
      <c r="FN48">
        <v>12</v>
      </c>
      <c r="FO48">
        <v>8</v>
      </c>
      <c r="FP48">
        <v>17</v>
      </c>
      <c r="FQ48">
        <v>19</v>
      </c>
      <c r="FS48">
        <f t="shared" si="5"/>
        <v>128</v>
      </c>
      <c r="FT48">
        <v>1957</v>
      </c>
      <c r="FW48">
        <v>1957</v>
      </c>
      <c r="FX48">
        <v>6</v>
      </c>
      <c r="FY48">
        <v>2</v>
      </c>
      <c r="FZ48">
        <v>6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1</v>
      </c>
      <c r="GI48">
        <v>5</v>
      </c>
      <c r="GK48">
        <f t="shared" si="6"/>
        <v>20</v>
      </c>
    </row>
    <row r="49" spans="1:193">
      <c r="A49" s="17" t="s">
        <v>77</v>
      </c>
      <c r="D49">
        <v>5.8</v>
      </c>
      <c r="G49">
        <v>5.2</v>
      </c>
      <c r="H49">
        <v>5.8</v>
      </c>
      <c r="K49">
        <v>4.7</v>
      </c>
      <c r="N49">
        <v>0.3</v>
      </c>
      <c r="S49">
        <v>2.5</v>
      </c>
      <c r="T49">
        <v>0.3</v>
      </c>
      <c r="V49">
        <v>0.6</v>
      </c>
      <c r="W49">
        <v>1.7</v>
      </c>
      <c r="X49">
        <v>5.7</v>
      </c>
      <c r="Z49">
        <v>2.4</v>
      </c>
      <c r="AB49">
        <v>14.7</v>
      </c>
      <c r="AC49">
        <v>5.8</v>
      </c>
      <c r="AG49">
        <v>7.5</v>
      </c>
      <c r="AI49">
        <v>4.7</v>
      </c>
      <c r="AJ49">
        <v>0.4</v>
      </c>
      <c r="AK49">
        <v>3.7</v>
      </c>
      <c r="AM49">
        <v>4.8</v>
      </c>
      <c r="AR49">
        <v>6.9</v>
      </c>
      <c r="AT49">
        <v>0.4</v>
      </c>
      <c r="AW49">
        <v>0.3</v>
      </c>
      <c r="AX49">
        <v>5.3</v>
      </c>
      <c r="AZ49">
        <v>0.8</v>
      </c>
      <c r="BA49">
        <v>2.2000000000000002</v>
      </c>
      <c r="BB49">
        <v>17.2</v>
      </c>
      <c r="BC49">
        <v>7.1</v>
      </c>
      <c r="BD49">
        <v>1.2</v>
      </c>
      <c r="BF49">
        <v>2.9</v>
      </c>
      <c r="BH49">
        <v>0.2</v>
      </c>
      <c r="BJ49">
        <v>0.1</v>
      </c>
      <c r="BK49">
        <v>5.3</v>
      </c>
      <c r="BL49">
        <v>0.5</v>
      </c>
      <c r="BM49">
        <v>0.1</v>
      </c>
      <c r="BN49">
        <v>1</v>
      </c>
      <c r="BO49">
        <v>3.2</v>
      </c>
      <c r="BR49">
        <v>0.1</v>
      </c>
      <c r="BS49">
        <v>5.2</v>
      </c>
      <c r="BU49">
        <v>0.4</v>
      </c>
      <c r="BX49">
        <v>15.1</v>
      </c>
      <c r="BY49">
        <v>1.8</v>
      </c>
      <c r="CA49">
        <v>0.1</v>
      </c>
      <c r="CC49">
        <v>9.3000000000000007</v>
      </c>
      <c r="CD49">
        <v>4.2</v>
      </c>
      <c r="CG49">
        <v>7.6</v>
      </c>
      <c r="CK49">
        <v>1</v>
      </c>
      <c r="CL49">
        <v>4.4000000000000004</v>
      </c>
      <c r="CN49">
        <v>2</v>
      </c>
      <c r="CP49">
        <v>13.3</v>
      </c>
      <c r="CQ49">
        <v>19.100000000000001</v>
      </c>
      <c r="CR49">
        <v>0.7</v>
      </c>
      <c r="CS49">
        <v>3.2</v>
      </c>
      <c r="CT49">
        <v>0.9</v>
      </c>
      <c r="CU49">
        <v>8.1</v>
      </c>
      <c r="CV49">
        <v>17.399999999999999</v>
      </c>
      <c r="CW49">
        <v>16.8</v>
      </c>
      <c r="CY49">
        <v>6.6</v>
      </c>
      <c r="DA49" s="2"/>
      <c r="DD49" s="1">
        <v>40952</v>
      </c>
      <c r="DE49" s="2">
        <f t="shared" si="11"/>
        <v>4.7964285714285717</v>
      </c>
      <c r="DF49" s="2">
        <f t="shared" si="12"/>
        <v>2.6333333333333337</v>
      </c>
      <c r="DG49" s="2">
        <f t="shared" si="13"/>
        <v>19.100000000000001</v>
      </c>
      <c r="DH49" s="2">
        <f t="shared" si="14"/>
        <v>0.1</v>
      </c>
      <c r="DI49" s="3">
        <f t="shared" si="15"/>
        <v>0.5490196078431373</v>
      </c>
      <c r="DU49">
        <v>1958</v>
      </c>
      <c r="DV49" s="2">
        <v>140.4</v>
      </c>
      <c r="DW49" s="2">
        <v>66.999999999987693</v>
      </c>
      <c r="DX49" s="2">
        <v>188.89999999995501</v>
      </c>
      <c r="DY49" s="2">
        <v>57.399999999971499</v>
      </c>
      <c r="DZ49" s="2">
        <v>12.499999999998201</v>
      </c>
      <c r="EA49" s="2">
        <v>22.099999999994001</v>
      </c>
      <c r="EB49" s="2">
        <v>57.099999999963998</v>
      </c>
      <c r="EC49" s="2">
        <v>14.8999999999905</v>
      </c>
      <c r="ED49" s="2">
        <v>173.49999999987401</v>
      </c>
      <c r="EE49" s="2">
        <v>70.5999999999718</v>
      </c>
      <c r="EF49" s="2">
        <v>37.999999999994799</v>
      </c>
      <c r="EG49" s="2">
        <v>103.799999999972</v>
      </c>
      <c r="EI49">
        <v>946.19999999959862</v>
      </c>
      <c r="EJ49">
        <v>1958</v>
      </c>
      <c r="EL49">
        <v>1958</v>
      </c>
      <c r="EM49">
        <v>37.700000000000003</v>
      </c>
      <c r="EN49">
        <v>52.5</v>
      </c>
      <c r="EO49">
        <v>53</v>
      </c>
      <c r="EP49">
        <v>15.6</v>
      </c>
      <c r="EQ49">
        <v>8.5</v>
      </c>
      <c r="ER49">
        <v>9.1999999999999993</v>
      </c>
      <c r="ES49">
        <v>5.4</v>
      </c>
      <c r="ET49">
        <v>7.2</v>
      </c>
      <c r="EU49">
        <v>35.700000000000003</v>
      </c>
      <c r="EV49">
        <v>31.9</v>
      </c>
      <c r="EW49">
        <v>15</v>
      </c>
      <c r="EX49">
        <v>16</v>
      </c>
      <c r="EZ49">
        <v>53</v>
      </c>
      <c r="FA49">
        <v>1958</v>
      </c>
      <c r="FE49">
        <v>1958</v>
      </c>
      <c r="FF49">
        <v>22</v>
      </c>
      <c r="FG49">
        <v>6</v>
      </c>
      <c r="FH49">
        <v>21</v>
      </c>
      <c r="FI49">
        <v>14</v>
      </c>
      <c r="FJ49">
        <v>6</v>
      </c>
      <c r="FK49">
        <v>6</v>
      </c>
      <c r="FL49">
        <v>6</v>
      </c>
      <c r="FM49">
        <v>3</v>
      </c>
      <c r="FN49">
        <v>18</v>
      </c>
      <c r="FO49">
        <v>9</v>
      </c>
      <c r="FP49">
        <v>11</v>
      </c>
      <c r="FQ49">
        <v>14</v>
      </c>
      <c r="FS49">
        <f t="shared" si="5"/>
        <v>136</v>
      </c>
      <c r="FT49">
        <v>1958</v>
      </c>
      <c r="FW49">
        <v>1958</v>
      </c>
      <c r="FX49">
        <v>8</v>
      </c>
      <c r="FY49">
        <v>2</v>
      </c>
      <c r="FZ49">
        <v>5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1</v>
      </c>
      <c r="GK49">
        <f t="shared" si="6"/>
        <v>16</v>
      </c>
    </row>
    <row r="50" spans="1:193">
      <c r="A50" s="17" t="s">
        <v>78</v>
      </c>
      <c r="C50">
        <v>3</v>
      </c>
      <c r="D50">
        <v>13.5</v>
      </c>
      <c r="E50">
        <v>0.4</v>
      </c>
      <c r="H50">
        <v>1.9</v>
      </c>
      <c r="K50">
        <v>1.3</v>
      </c>
      <c r="L50">
        <v>0.5</v>
      </c>
      <c r="N50">
        <v>14.4</v>
      </c>
      <c r="O50">
        <v>16.600000000000001</v>
      </c>
      <c r="R50">
        <v>51.1</v>
      </c>
      <c r="S50">
        <v>1</v>
      </c>
      <c r="V50">
        <v>1</v>
      </c>
      <c r="AC50">
        <v>1</v>
      </c>
      <c r="AD50">
        <v>2.8</v>
      </c>
      <c r="AG50">
        <v>0.4</v>
      </c>
      <c r="AH50">
        <v>1.8</v>
      </c>
      <c r="AI50">
        <v>0.5</v>
      </c>
      <c r="AK50">
        <v>9.3000000000000007</v>
      </c>
      <c r="AL50">
        <v>4.0999999999999996</v>
      </c>
      <c r="AM50">
        <v>5.9</v>
      </c>
      <c r="AN50">
        <v>8.1999999999999993</v>
      </c>
      <c r="AP50">
        <v>5.8</v>
      </c>
      <c r="AR50">
        <v>0.2</v>
      </c>
      <c r="AT50">
        <v>15.5</v>
      </c>
      <c r="AU50">
        <v>25.7</v>
      </c>
      <c r="AV50">
        <v>3.7</v>
      </c>
      <c r="AZ50">
        <v>8.9</v>
      </c>
      <c r="BA50">
        <v>18.3</v>
      </c>
      <c r="BB50">
        <v>20.2</v>
      </c>
      <c r="BC50">
        <v>3.3</v>
      </c>
      <c r="BE50">
        <v>0.4</v>
      </c>
      <c r="BF50">
        <v>6.4</v>
      </c>
      <c r="BH50">
        <v>0.5</v>
      </c>
      <c r="BK50">
        <v>10.5</v>
      </c>
      <c r="BL50">
        <v>0.1</v>
      </c>
      <c r="BN50">
        <v>0.1</v>
      </c>
      <c r="BO50">
        <v>5.2</v>
      </c>
      <c r="BQ50">
        <v>1.7</v>
      </c>
      <c r="BR50">
        <v>8.1</v>
      </c>
      <c r="BS50">
        <v>38.5</v>
      </c>
      <c r="BT50">
        <v>8.3000000000000007</v>
      </c>
      <c r="BV50">
        <v>2.1</v>
      </c>
      <c r="BW50">
        <v>0.1</v>
      </c>
      <c r="BY50">
        <v>5.7</v>
      </c>
      <c r="CA50">
        <v>3.7</v>
      </c>
      <c r="CG50">
        <v>1.7</v>
      </c>
      <c r="CJ50">
        <v>2.5</v>
      </c>
      <c r="CK50">
        <v>0.1</v>
      </c>
      <c r="CL50">
        <v>5.5</v>
      </c>
      <c r="CN50">
        <v>5.5</v>
      </c>
      <c r="CP50">
        <v>4.7</v>
      </c>
      <c r="CQ50">
        <v>0.1</v>
      </c>
      <c r="CS50">
        <v>0.4</v>
      </c>
      <c r="CT50">
        <v>0.9</v>
      </c>
      <c r="CV50">
        <v>15.5</v>
      </c>
      <c r="CW50">
        <v>1.8</v>
      </c>
      <c r="CY50">
        <v>13.7</v>
      </c>
      <c r="CZ50">
        <v>5.8</v>
      </c>
      <c r="DA50" s="2"/>
      <c r="DD50" s="1">
        <v>40953</v>
      </c>
      <c r="DE50" s="2">
        <f t="shared" si="11"/>
        <v>6.840350877192984</v>
      </c>
      <c r="DF50" s="2">
        <f t="shared" si="12"/>
        <v>3.8225490196078442</v>
      </c>
      <c r="DG50" s="2">
        <f t="shared" si="13"/>
        <v>51.1</v>
      </c>
      <c r="DH50" s="2">
        <f t="shared" si="14"/>
        <v>0.1</v>
      </c>
      <c r="DI50" s="3">
        <f t="shared" si="15"/>
        <v>0.55882352941176472</v>
      </c>
      <c r="DU50">
        <v>1959</v>
      </c>
      <c r="DV50" s="2">
        <v>185.4</v>
      </c>
      <c r="DW50" s="2">
        <v>58.299999999980201</v>
      </c>
      <c r="DX50" s="2">
        <v>55.499999999970903</v>
      </c>
      <c r="DY50" s="2">
        <v>19.9999999999959</v>
      </c>
      <c r="DZ50" s="2">
        <v>62.099999999980803</v>
      </c>
      <c r="EA50" s="2">
        <v>58.599999999984</v>
      </c>
      <c r="EB50" s="2">
        <v>16.399999999995998</v>
      </c>
      <c r="EC50" s="2">
        <v>4.8999999999950896</v>
      </c>
      <c r="ED50" s="2">
        <v>120.799999999938</v>
      </c>
      <c r="EE50" s="2">
        <v>42.999999999970001</v>
      </c>
      <c r="EF50" s="2">
        <v>101.799999999948</v>
      </c>
      <c r="EG50" s="2">
        <v>93.699999999953405</v>
      </c>
      <c r="EI50">
        <v>820.49999999966735</v>
      </c>
      <c r="EJ50">
        <v>1959</v>
      </c>
      <c r="EL50">
        <v>1959</v>
      </c>
      <c r="EM50">
        <v>31.3</v>
      </c>
      <c r="EN50">
        <v>12</v>
      </c>
      <c r="EO50">
        <v>13.6</v>
      </c>
      <c r="EP50">
        <v>9</v>
      </c>
      <c r="EQ50">
        <v>23.7</v>
      </c>
      <c r="ER50">
        <v>25.5</v>
      </c>
      <c r="ES50">
        <v>21.4</v>
      </c>
      <c r="ET50">
        <v>4.3</v>
      </c>
      <c r="EU50">
        <v>29.6</v>
      </c>
      <c r="EV50">
        <v>31.1</v>
      </c>
      <c r="EW50">
        <v>17.899999999999999</v>
      </c>
      <c r="EX50">
        <v>22.1</v>
      </c>
      <c r="EZ50">
        <v>31.3</v>
      </c>
      <c r="FA50">
        <v>1959</v>
      </c>
      <c r="FE50">
        <v>1959</v>
      </c>
      <c r="FF50">
        <v>20</v>
      </c>
      <c r="FG50">
        <v>21</v>
      </c>
      <c r="FH50">
        <v>15</v>
      </c>
      <c r="FI50">
        <v>7</v>
      </c>
      <c r="FJ50">
        <v>5</v>
      </c>
      <c r="FK50">
        <v>6</v>
      </c>
      <c r="FL50">
        <v>6</v>
      </c>
      <c r="FM50">
        <v>2</v>
      </c>
      <c r="FN50">
        <v>15</v>
      </c>
      <c r="FO50">
        <v>10</v>
      </c>
      <c r="FP50">
        <v>13</v>
      </c>
      <c r="FQ50">
        <v>21</v>
      </c>
      <c r="FS50">
        <f t="shared" si="5"/>
        <v>141</v>
      </c>
      <c r="FT50">
        <v>1959</v>
      </c>
      <c r="FW50">
        <v>1959</v>
      </c>
      <c r="FX50">
        <v>3</v>
      </c>
      <c r="FY50">
        <v>11</v>
      </c>
      <c r="FZ50">
        <v>1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K50">
        <f t="shared" si="6"/>
        <v>15</v>
      </c>
    </row>
    <row r="51" spans="1:193">
      <c r="A51" s="17" t="s">
        <v>79</v>
      </c>
      <c r="C51">
        <v>9.6</v>
      </c>
      <c r="D51">
        <v>0.9</v>
      </c>
      <c r="E51">
        <v>0.4</v>
      </c>
      <c r="H51">
        <v>0.6</v>
      </c>
      <c r="I51">
        <v>7.3</v>
      </c>
      <c r="K51">
        <v>0.8</v>
      </c>
      <c r="L51">
        <v>1.9</v>
      </c>
      <c r="N51">
        <v>0.4</v>
      </c>
      <c r="R51">
        <v>55.1</v>
      </c>
      <c r="S51">
        <v>4.5</v>
      </c>
      <c r="X51">
        <v>18.5</v>
      </c>
      <c r="Z51">
        <v>0.4</v>
      </c>
      <c r="AD51">
        <v>8.1</v>
      </c>
      <c r="AE51">
        <v>17.600000000000001</v>
      </c>
      <c r="AF51">
        <v>2</v>
      </c>
      <c r="AI51">
        <v>10.9</v>
      </c>
      <c r="AK51">
        <v>2</v>
      </c>
      <c r="AL51">
        <v>1</v>
      </c>
      <c r="AM51">
        <v>8.1999999999999993</v>
      </c>
      <c r="AN51">
        <v>2.4</v>
      </c>
      <c r="AO51">
        <v>0.5</v>
      </c>
      <c r="AR51">
        <v>5.8</v>
      </c>
      <c r="AT51">
        <v>10.4</v>
      </c>
      <c r="AU51">
        <v>9.3000000000000007</v>
      </c>
      <c r="AV51">
        <v>0.3</v>
      </c>
      <c r="AX51">
        <v>3</v>
      </c>
      <c r="AY51">
        <v>0.8</v>
      </c>
      <c r="AZ51">
        <v>3.7</v>
      </c>
      <c r="BA51">
        <v>1.1000000000000001</v>
      </c>
      <c r="BB51">
        <v>10.7</v>
      </c>
      <c r="BF51">
        <v>11</v>
      </c>
      <c r="BJ51">
        <v>0.9</v>
      </c>
      <c r="BK51">
        <v>0.2</v>
      </c>
      <c r="BN51">
        <v>0.1</v>
      </c>
      <c r="BO51">
        <v>0.1</v>
      </c>
      <c r="BQ51">
        <v>3.2</v>
      </c>
      <c r="BR51">
        <v>0.1</v>
      </c>
      <c r="BS51">
        <v>8.6</v>
      </c>
      <c r="BT51">
        <v>2.4</v>
      </c>
      <c r="BV51">
        <v>0.2</v>
      </c>
      <c r="BW51">
        <v>1.6</v>
      </c>
      <c r="BX51">
        <v>0.4</v>
      </c>
      <c r="BZ51">
        <v>0.3</v>
      </c>
      <c r="CA51">
        <v>2.2999999999999998</v>
      </c>
      <c r="CC51">
        <v>0.2</v>
      </c>
      <c r="CD51">
        <v>10.199999999999999</v>
      </c>
      <c r="CG51">
        <v>19</v>
      </c>
      <c r="CH51">
        <v>0.6</v>
      </c>
      <c r="CK51">
        <v>2</v>
      </c>
      <c r="CM51">
        <v>9.5</v>
      </c>
      <c r="CN51">
        <v>6.6</v>
      </c>
      <c r="CP51">
        <v>0.3</v>
      </c>
      <c r="CQ51">
        <v>4.0999999999999996</v>
      </c>
      <c r="CS51">
        <v>2.2999999999999998</v>
      </c>
      <c r="CT51">
        <v>1.6</v>
      </c>
      <c r="CU51">
        <v>1.8</v>
      </c>
      <c r="CV51">
        <v>4.5</v>
      </c>
      <c r="CW51">
        <v>1.1000000000000001</v>
      </c>
      <c r="CX51">
        <v>0.2</v>
      </c>
      <c r="CY51">
        <v>4.5</v>
      </c>
      <c r="CZ51">
        <v>11</v>
      </c>
      <c r="DA51" s="2"/>
      <c r="DD51" s="1">
        <v>40954</v>
      </c>
      <c r="DE51" s="2">
        <f t="shared" si="11"/>
        <v>5.0672131147541002</v>
      </c>
      <c r="DF51" s="2">
        <f t="shared" si="12"/>
        <v>3.0303921568627463</v>
      </c>
      <c r="DG51" s="2">
        <f t="shared" si="13"/>
        <v>55.1</v>
      </c>
      <c r="DH51" s="2">
        <f t="shared" si="14"/>
        <v>0.1</v>
      </c>
      <c r="DI51" s="3">
        <f t="shared" si="15"/>
        <v>0.59803921568627449</v>
      </c>
      <c r="DK51" s="68" t="s">
        <v>10</v>
      </c>
      <c r="DL51" s="71" t="s">
        <v>4</v>
      </c>
      <c r="DM51" s="12" t="s">
        <v>27</v>
      </c>
      <c r="DN51" s="8">
        <v>91</v>
      </c>
      <c r="DO51" s="5">
        <v>179.5</v>
      </c>
      <c r="DP51" s="8">
        <v>22</v>
      </c>
      <c r="DQ51" s="66"/>
      <c r="DU51">
        <v>1960</v>
      </c>
      <c r="DV51" s="2">
        <v>135.30000000000001</v>
      </c>
      <c r="DW51" s="2">
        <v>47.299999999970403</v>
      </c>
      <c r="DX51" s="2">
        <v>62.799999999981097</v>
      </c>
      <c r="DY51" s="2">
        <v>59.899999999968799</v>
      </c>
      <c r="DZ51" s="2">
        <v>22.099999999984899</v>
      </c>
      <c r="EA51" s="2">
        <v>62.899999999987799</v>
      </c>
      <c r="EB51" s="2">
        <v>0.29999999999972699</v>
      </c>
      <c r="EC51" s="2">
        <v>45.1</v>
      </c>
      <c r="ED51" s="2">
        <v>93.299999999954494</v>
      </c>
      <c r="EE51" s="2">
        <v>57.699999999971702</v>
      </c>
      <c r="EF51" s="2">
        <v>38.999999999980403</v>
      </c>
      <c r="EG51" s="2">
        <v>117.399999999946</v>
      </c>
      <c r="EI51">
        <v>743.0999999996684</v>
      </c>
      <c r="EJ51">
        <v>1960</v>
      </c>
      <c r="EL51">
        <v>1960</v>
      </c>
      <c r="EM51">
        <v>24.1</v>
      </c>
      <c r="EN51">
        <v>8.1</v>
      </c>
      <c r="EO51">
        <v>12.5</v>
      </c>
      <c r="EP51">
        <v>13.3</v>
      </c>
      <c r="EQ51">
        <v>5.4</v>
      </c>
      <c r="ER51">
        <v>25.5</v>
      </c>
      <c r="ES51">
        <v>8.6999999999999993</v>
      </c>
      <c r="ET51">
        <v>19.5</v>
      </c>
      <c r="EU51">
        <v>23.8</v>
      </c>
      <c r="EV51">
        <v>36.799999999999997</v>
      </c>
      <c r="EW51">
        <v>13</v>
      </c>
      <c r="EX51">
        <v>26.9</v>
      </c>
      <c r="EZ51">
        <v>36.799999999999997</v>
      </c>
      <c r="FA51">
        <v>1960</v>
      </c>
      <c r="FE51">
        <v>1960</v>
      </c>
      <c r="FF51">
        <v>14</v>
      </c>
      <c r="FG51">
        <v>16</v>
      </c>
      <c r="FH51">
        <v>16</v>
      </c>
      <c r="FI51">
        <v>14</v>
      </c>
      <c r="FJ51">
        <v>9</v>
      </c>
      <c r="FK51">
        <v>8</v>
      </c>
      <c r="FL51">
        <v>1</v>
      </c>
      <c r="FM51">
        <v>5</v>
      </c>
      <c r="FN51">
        <v>15</v>
      </c>
      <c r="FO51">
        <v>5</v>
      </c>
      <c r="FP51">
        <v>10</v>
      </c>
      <c r="FQ51">
        <v>14</v>
      </c>
      <c r="FS51">
        <f t="shared" si="5"/>
        <v>127</v>
      </c>
      <c r="FT51">
        <v>1960</v>
      </c>
      <c r="FW51">
        <v>1960</v>
      </c>
      <c r="FX51">
        <v>9</v>
      </c>
      <c r="FY51">
        <v>6</v>
      </c>
      <c r="FZ51">
        <v>4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K51">
        <f t="shared" si="6"/>
        <v>19</v>
      </c>
    </row>
    <row r="52" spans="1:193" ht="15.75" customHeight="1">
      <c r="A52" s="17" t="s">
        <v>80</v>
      </c>
      <c r="C52">
        <v>5.4</v>
      </c>
      <c r="D52">
        <v>0.4</v>
      </c>
      <c r="E52">
        <v>0.3</v>
      </c>
      <c r="G52">
        <v>3.1</v>
      </c>
      <c r="I52">
        <v>7.7</v>
      </c>
      <c r="J52">
        <v>1.4</v>
      </c>
      <c r="K52">
        <v>6.4</v>
      </c>
      <c r="L52">
        <v>0.2</v>
      </c>
      <c r="M52">
        <v>18.5</v>
      </c>
      <c r="N52">
        <v>3.5</v>
      </c>
      <c r="O52">
        <v>5.4</v>
      </c>
      <c r="Q52">
        <v>0.3</v>
      </c>
      <c r="R52">
        <v>0.3</v>
      </c>
      <c r="S52">
        <v>0.3</v>
      </c>
      <c r="T52">
        <v>1</v>
      </c>
      <c r="V52">
        <v>3.5</v>
      </c>
      <c r="X52">
        <v>12</v>
      </c>
      <c r="Y52">
        <v>11.7</v>
      </c>
      <c r="AA52">
        <v>2.6</v>
      </c>
      <c r="AI52">
        <v>3</v>
      </c>
      <c r="AJ52">
        <v>0.2</v>
      </c>
      <c r="AK52">
        <v>1.8</v>
      </c>
      <c r="AL52">
        <v>6</v>
      </c>
      <c r="AM52">
        <v>3.7</v>
      </c>
      <c r="AO52">
        <v>1.8</v>
      </c>
      <c r="AQ52">
        <v>15.2</v>
      </c>
      <c r="AR52">
        <v>5.7</v>
      </c>
      <c r="AU52">
        <v>4.4000000000000004</v>
      </c>
      <c r="AX52">
        <v>1.5</v>
      </c>
      <c r="AY52">
        <v>5.3</v>
      </c>
      <c r="BA52">
        <v>5.4</v>
      </c>
      <c r="BB52">
        <v>2.7</v>
      </c>
      <c r="BC52">
        <v>0.9</v>
      </c>
      <c r="BD52">
        <v>5.0999999999999996</v>
      </c>
      <c r="BE52">
        <v>0.3</v>
      </c>
      <c r="BG52">
        <v>8.3000000000000007</v>
      </c>
      <c r="BI52">
        <v>6</v>
      </c>
      <c r="BJ52">
        <v>5.0999999999999996</v>
      </c>
      <c r="BK52">
        <v>4.9000000000000004</v>
      </c>
      <c r="BN52">
        <v>7.1</v>
      </c>
      <c r="BP52">
        <v>0.6</v>
      </c>
      <c r="BR52">
        <v>0.1</v>
      </c>
      <c r="BS52">
        <v>22</v>
      </c>
      <c r="BT52">
        <v>86.9</v>
      </c>
      <c r="BV52">
        <v>2.7</v>
      </c>
      <c r="BW52">
        <v>3</v>
      </c>
      <c r="BX52">
        <v>8.3000000000000007</v>
      </c>
      <c r="BY52">
        <v>0.6</v>
      </c>
      <c r="CA52">
        <v>0.4</v>
      </c>
      <c r="CC52">
        <v>11.5</v>
      </c>
      <c r="CD52">
        <v>0.1</v>
      </c>
      <c r="CG52">
        <v>0.2</v>
      </c>
      <c r="CJ52">
        <v>18.5</v>
      </c>
      <c r="CK52">
        <v>0.5</v>
      </c>
      <c r="CR52">
        <v>9.4</v>
      </c>
      <c r="CT52">
        <v>0.2</v>
      </c>
      <c r="CU52">
        <v>18.100000000000001</v>
      </c>
      <c r="CV52">
        <v>3.5</v>
      </c>
      <c r="CY52">
        <v>8</v>
      </c>
      <c r="CZ52">
        <v>0.2</v>
      </c>
      <c r="DA52" s="2"/>
      <c r="DD52" s="1">
        <v>40955</v>
      </c>
      <c r="DE52" s="2">
        <f t="shared" si="11"/>
        <v>6.22</v>
      </c>
      <c r="DF52" s="2">
        <f t="shared" si="12"/>
        <v>3.6588235294117646</v>
      </c>
      <c r="DG52" s="2">
        <f t="shared" si="13"/>
        <v>86.9</v>
      </c>
      <c r="DH52" s="2">
        <f t="shared" si="14"/>
        <v>0.1</v>
      </c>
      <c r="DI52" s="3">
        <f t="shared" si="15"/>
        <v>0.58823529411764708</v>
      </c>
      <c r="DK52" s="69"/>
      <c r="DL52" s="67"/>
      <c r="DM52" s="12" t="s">
        <v>33</v>
      </c>
      <c r="DN52" s="13">
        <v>8938</v>
      </c>
      <c r="DO52" s="19">
        <v>2010</v>
      </c>
      <c r="DP52" s="8">
        <v>1914</v>
      </c>
      <c r="DQ52" s="79"/>
      <c r="DU52">
        <v>1961</v>
      </c>
      <c r="DV52" s="2">
        <v>106</v>
      </c>
      <c r="DW52" s="2">
        <v>86.899999999957799</v>
      </c>
      <c r="DX52" s="2">
        <v>53.999999999973198</v>
      </c>
      <c r="DY52" s="2">
        <v>29.199999999986201</v>
      </c>
      <c r="DZ52" s="2">
        <v>70.199999999986204</v>
      </c>
      <c r="EA52" s="2">
        <v>55.199999999973002</v>
      </c>
      <c r="EB52" s="2">
        <v>38.599999999976802</v>
      </c>
      <c r="EC52" s="2">
        <v>1.89999999999827</v>
      </c>
      <c r="ED52" s="2">
        <v>399.39999999974202</v>
      </c>
      <c r="EE52" s="2">
        <v>138.19999999996301</v>
      </c>
      <c r="EF52" s="2">
        <v>53.199999999982602</v>
      </c>
      <c r="EG52" s="2">
        <v>144.699999999959</v>
      </c>
      <c r="EI52">
        <v>1177.4999999994711</v>
      </c>
      <c r="EJ52">
        <v>1961</v>
      </c>
      <c r="EL52">
        <v>1961</v>
      </c>
      <c r="EM52">
        <v>14</v>
      </c>
      <c r="EN52">
        <v>19.2</v>
      </c>
      <c r="EO52">
        <v>27.7</v>
      </c>
      <c r="EP52">
        <v>9.1999999999999993</v>
      </c>
      <c r="EQ52">
        <v>22</v>
      </c>
      <c r="ER52">
        <v>25.6</v>
      </c>
      <c r="ES52">
        <v>0.3</v>
      </c>
      <c r="ET52">
        <v>0.6</v>
      </c>
      <c r="EU52">
        <v>123</v>
      </c>
      <c r="EV52">
        <v>43.5</v>
      </c>
      <c r="EW52">
        <v>14.2</v>
      </c>
      <c r="EX52">
        <v>27.3</v>
      </c>
      <c r="EZ52">
        <v>123</v>
      </c>
      <c r="FA52">
        <v>1961</v>
      </c>
      <c r="FE52">
        <v>1961</v>
      </c>
      <c r="FF52">
        <v>20</v>
      </c>
      <c r="FG52">
        <v>21</v>
      </c>
      <c r="FH52">
        <v>13</v>
      </c>
      <c r="FI52">
        <v>7</v>
      </c>
      <c r="FJ52">
        <v>13</v>
      </c>
      <c r="FK52">
        <v>8</v>
      </c>
      <c r="FL52">
        <v>3</v>
      </c>
      <c r="FM52">
        <v>4</v>
      </c>
      <c r="FN52">
        <v>14</v>
      </c>
      <c r="FO52">
        <v>13</v>
      </c>
      <c r="FP52">
        <v>6</v>
      </c>
      <c r="FQ52">
        <v>18</v>
      </c>
      <c r="FS52">
        <f t="shared" si="5"/>
        <v>140</v>
      </c>
      <c r="FT52">
        <v>1961</v>
      </c>
      <c r="FW52">
        <v>1961</v>
      </c>
      <c r="FX52">
        <v>2</v>
      </c>
      <c r="FY52">
        <v>3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2</v>
      </c>
      <c r="GI52">
        <v>5</v>
      </c>
      <c r="GK52">
        <f t="shared" si="6"/>
        <v>12</v>
      </c>
    </row>
    <row r="53" spans="1:193">
      <c r="A53" s="17" t="s">
        <v>81</v>
      </c>
      <c r="D53">
        <v>20.3</v>
      </c>
      <c r="I53">
        <v>4.9000000000000004</v>
      </c>
      <c r="K53">
        <v>7.4</v>
      </c>
      <c r="M53">
        <v>8.1</v>
      </c>
      <c r="N53">
        <v>0.7</v>
      </c>
      <c r="Q53">
        <v>2</v>
      </c>
      <c r="V53">
        <v>1.7</v>
      </c>
      <c r="W53">
        <v>16.7</v>
      </c>
      <c r="X53">
        <v>24.5</v>
      </c>
      <c r="AA53">
        <v>2.8</v>
      </c>
      <c r="AE53">
        <v>15</v>
      </c>
      <c r="AF53">
        <v>2</v>
      </c>
      <c r="AG53">
        <v>2.5</v>
      </c>
      <c r="AI53">
        <v>5</v>
      </c>
      <c r="AL53">
        <v>11.2</v>
      </c>
      <c r="AM53">
        <v>3.8</v>
      </c>
      <c r="AN53">
        <v>0.2</v>
      </c>
      <c r="AO53">
        <v>0.2</v>
      </c>
      <c r="AQ53">
        <v>24.8</v>
      </c>
      <c r="AR53">
        <v>8.6</v>
      </c>
      <c r="AS53">
        <v>13</v>
      </c>
      <c r="AU53">
        <v>21</v>
      </c>
      <c r="AX53">
        <v>3.8</v>
      </c>
      <c r="AZ53">
        <v>1.8</v>
      </c>
      <c r="BA53">
        <v>2.5</v>
      </c>
      <c r="BB53">
        <v>0.4</v>
      </c>
      <c r="BD53">
        <v>7.4</v>
      </c>
      <c r="BG53">
        <v>0.1</v>
      </c>
      <c r="BH53">
        <v>10.6</v>
      </c>
      <c r="BI53">
        <v>13.3</v>
      </c>
      <c r="BJ53">
        <v>5</v>
      </c>
      <c r="BK53">
        <v>0.1</v>
      </c>
      <c r="BL53">
        <v>12.6</v>
      </c>
      <c r="BN53">
        <v>16</v>
      </c>
      <c r="BP53">
        <v>3.1</v>
      </c>
      <c r="BS53">
        <v>1</v>
      </c>
      <c r="BT53">
        <v>2.2999999999999998</v>
      </c>
      <c r="BV53">
        <v>4.4000000000000004</v>
      </c>
      <c r="BW53">
        <v>0.3</v>
      </c>
      <c r="BX53">
        <v>0.9</v>
      </c>
      <c r="BZ53">
        <v>2.5</v>
      </c>
      <c r="CD53">
        <v>19.5</v>
      </c>
      <c r="CE53">
        <v>12.5</v>
      </c>
      <c r="CJ53">
        <v>4.5</v>
      </c>
      <c r="CK53">
        <v>12</v>
      </c>
      <c r="CP53">
        <v>2.6</v>
      </c>
      <c r="CR53">
        <v>2.2999999999999998</v>
      </c>
      <c r="CT53">
        <v>5.5</v>
      </c>
      <c r="CU53">
        <v>29.6</v>
      </c>
      <c r="CW53">
        <v>1.3</v>
      </c>
      <c r="CX53">
        <v>2</v>
      </c>
      <c r="CY53">
        <v>1</v>
      </c>
      <c r="DA53" s="2"/>
      <c r="DD53" s="1">
        <v>40956</v>
      </c>
      <c r="DE53" s="2">
        <f t="shared" si="11"/>
        <v>7.2557692307692321</v>
      </c>
      <c r="DF53" s="2">
        <f t="shared" si="12"/>
        <v>3.6990196078431379</v>
      </c>
      <c r="DG53" s="2">
        <f t="shared" si="13"/>
        <v>29.6</v>
      </c>
      <c r="DH53" s="2">
        <f t="shared" si="14"/>
        <v>0.1</v>
      </c>
      <c r="DI53" s="3">
        <f t="shared" si="15"/>
        <v>0.50980392156862742</v>
      </c>
      <c r="DK53" s="69"/>
      <c r="DL53" s="72"/>
      <c r="DM53" s="73"/>
      <c r="DN53" s="12" t="s">
        <v>24</v>
      </c>
      <c r="DO53" s="11" t="s">
        <v>25</v>
      </c>
      <c r="DP53" s="11" t="s">
        <v>19</v>
      </c>
      <c r="DQ53" s="79"/>
      <c r="DU53">
        <v>1962</v>
      </c>
      <c r="DV53" s="2">
        <v>83.9</v>
      </c>
      <c r="DW53" s="2">
        <v>99.099999999939001</v>
      </c>
      <c r="DX53" s="2">
        <v>162.299999999927</v>
      </c>
      <c r="DY53" s="2">
        <v>46.199999999979397</v>
      </c>
      <c r="DZ53" s="2">
        <v>5.1999999999970896</v>
      </c>
      <c r="EA53" s="2">
        <v>33.299999999982901</v>
      </c>
      <c r="EB53" s="2">
        <v>16.399999999994201</v>
      </c>
      <c r="EC53" s="2">
        <v>1.69999999999937</v>
      </c>
      <c r="ED53" s="2">
        <v>125.099999999963</v>
      </c>
      <c r="EE53" s="2">
        <v>135.89999999992699</v>
      </c>
      <c r="EF53" s="2">
        <v>112.099999999978</v>
      </c>
      <c r="EG53" s="2">
        <v>292.79999999982198</v>
      </c>
      <c r="EI53">
        <v>1113.9999999994757</v>
      </c>
      <c r="EJ53">
        <v>1962</v>
      </c>
      <c r="EL53">
        <v>1962</v>
      </c>
      <c r="EM53">
        <v>21</v>
      </c>
      <c r="EN53">
        <v>42.6</v>
      </c>
      <c r="EO53">
        <v>30.6</v>
      </c>
      <c r="EP53">
        <v>9.8000000000000007</v>
      </c>
      <c r="EQ53">
        <v>2.7</v>
      </c>
      <c r="ER53">
        <v>15.9</v>
      </c>
      <c r="ES53">
        <v>25.8</v>
      </c>
      <c r="ET53">
        <v>1.4</v>
      </c>
      <c r="EU53">
        <v>45.8</v>
      </c>
      <c r="EV53">
        <v>21.4</v>
      </c>
      <c r="EW53">
        <v>44.5</v>
      </c>
      <c r="EX53">
        <v>36.200000000000003</v>
      </c>
      <c r="EZ53">
        <v>45.8</v>
      </c>
      <c r="FA53">
        <v>1962</v>
      </c>
      <c r="FE53">
        <v>1962</v>
      </c>
      <c r="FF53">
        <v>13</v>
      </c>
      <c r="FG53">
        <v>23</v>
      </c>
      <c r="FH53">
        <v>16</v>
      </c>
      <c r="FI53">
        <v>12</v>
      </c>
      <c r="FJ53">
        <v>2</v>
      </c>
      <c r="FK53">
        <v>6</v>
      </c>
      <c r="FL53">
        <v>4</v>
      </c>
      <c r="FM53">
        <v>2</v>
      </c>
      <c r="FN53">
        <v>13</v>
      </c>
      <c r="FO53">
        <v>12</v>
      </c>
      <c r="FP53">
        <v>19</v>
      </c>
      <c r="FQ53">
        <v>25</v>
      </c>
      <c r="FS53">
        <f t="shared" si="5"/>
        <v>147</v>
      </c>
      <c r="FT53">
        <v>1962</v>
      </c>
      <c r="FW53">
        <v>1962</v>
      </c>
      <c r="FX53">
        <v>13</v>
      </c>
      <c r="FY53">
        <v>3</v>
      </c>
      <c r="FZ53">
        <v>3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2</v>
      </c>
      <c r="GK53">
        <f t="shared" si="6"/>
        <v>21</v>
      </c>
    </row>
    <row r="54" spans="1:193">
      <c r="A54" s="17" t="s">
        <v>82</v>
      </c>
      <c r="D54">
        <v>7.8</v>
      </c>
      <c r="G54">
        <v>15.3</v>
      </c>
      <c r="I54">
        <v>2.4</v>
      </c>
      <c r="J54">
        <v>0.6</v>
      </c>
      <c r="M54">
        <v>0.7</v>
      </c>
      <c r="N54">
        <v>2</v>
      </c>
      <c r="R54">
        <v>2</v>
      </c>
      <c r="S54">
        <v>3.1</v>
      </c>
      <c r="T54">
        <v>4</v>
      </c>
      <c r="W54">
        <v>1.4</v>
      </c>
      <c r="X54">
        <v>13.5</v>
      </c>
      <c r="AA54">
        <v>20</v>
      </c>
      <c r="AE54">
        <v>9</v>
      </c>
      <c r="AF54">
        <v>0.3</v>
      </c>
      <c r="AG54">
        <v>8.4</v>
      </c>
      <c r="AL54">
        <v>0.1</v>
      </c>
      <c r="AM54">
        <v>19.2</v>
      </c>
      <c r="AQ54">
        <v>2.9</v>
      </c>
      <c r="AS54">
        <v>26.4</v>
      </c>
      <c r="AU54">
        <v>1.4</v>
      </c>
      <c r="AX54">
        <v>1.8</v>
      </c>
      <c r="AZ54">
        <v>1.2</v>
      </c>
      <c r="BB54">
        <v>1.4</v>
      </c>
      <c r="BC54">
        <v>2</v>
      </c>
      <c r="BG54">
        <v>2</v>
      </c>
      <c r="BH54">
        <v>4</v>
      </c>
      <c r="BJ54">
        <v>5.2</v>
      </c>
      <c r="BK54">
        <v>0.1</v>
      </c>
      <c r="BL54">
        <v>3.6</v>
      </c>
      <c r="BM54">
        <v>0.1</v>
      </c>
      <c r="BN54">
        <v>0.1</v>
      </c>
      <c r="BQ54">
        <v>2.4</v>
      </c>
      <c r="BR54">
        <v>1.5</v>
      </c>
      <c r="BS54">
        <v>0.3</v>
      </c>
      <c r="BU54">
        <v>0.1</v>
      </c>
      <c r="BV54">
        <v>13.5</v>
      </c>
      <c r="BW54">
        <v>0.4</v>
      </c>
      <c r="BX54">
        <v>19.5</v>
      </c>
      <c r="BZ54">
        <v>0.2</v>
      </c>
      <c r="CB54">
        <v>0.2</v>
      </c>
      <c r="CD54">
        <v>0.6</v>
      </c>
      <c r="CE54">
        <v>10.4</v>
      </c>
      <c r="CL54">
        <v>24.7</v>
      </c>
      <c r="CM54">
        <v>13</v>
      </c>
      <c r="CN54">
        <v>2.5</v>
      </c>
      <c r="CP54">
        <v>2.2000000000000002</v>
      </c>
      <c r="CR54">
        <v>1.8</v>
      </c>
      <c r="CS54">
        <v>1.7</v>
      </c>
      <c r="CT54">
        <v>0.3</v>
      </c>
      <c r="CU54">
        <v>3.8</v>
      </c>
      <c r="CX54">
        <v>1.7</v>
      </c>
      <c r="CZ54">
        <v>0.2</v>
      </c>
      <c r="DA54" s="2"/>
      <c r="DD54" s="1">
        <v>40957</v>
      </c>
      <c r="DE54" s="2">
        <f t="shared" si="11"/>
        <v>5.0576923076923066</v>
      </c>
      <c r="DF54" s="2">
        <f t="shared" si="12"/>
        <v>2.5784313725490189</v>
      </c>
      <c r="DG54" s="2">
        <f t="shared" si="13"/>
        <v>26.4</v>
      </c>
      <c r="DH54" s="2">
        <f t="shared" si="14"/>
        <v>0.1</v>
      </c>
      <c r="DI54" s="3">
        <f t="shared" si="15"/>
        <v>0.50980392156862742</v>
      </c>
      <c r="DK54" s="69"/>
      <c r="DL54" s="74" t="s">
        <v>29</v>
      </c>
      <c r="DM54" s="12" t="s">
        <v>27</v>
      </c>
      <c r="DN54" s="75"/>
      <c r="DO54" s="18">
        <v>0</v>
      </c>
      <c r="DP54" s="8">
        <v>0</v>
      </c>
      <c r="DQ54" s="79"/>
      <c r="DU54">
        <v>1963</v>
      </c>
      <c r="DV54" s="2">
        <v>182.7</v>
      </c>
      <c r="DW54" s="2">
        <v>137.89999999991599</v>
      </c>
      <c r="DX54" s="2">
        <v>120.39999999990999</v>
      </c>
      <c r="DY54" s="2">
        <v>38.299999999992899</v>
      </c>
      <c r="DZ54" s="2">
        <v>12.699999999993</v>
      </c>
      <c r="EA54" s="2">
        <v>7.2999999999938199</v>
      </c>
      <c r="EB54" s="2">
        <v>12.200000000000699</v>
      </c>
      <c r="EC54" s="2">
        <v>0.29999999999972699</v>
      </c>
      <c r="ED54" s="2">
        <v>62.599999999944103</v>
      </c>
      <c r="EE54" s="2">
        <v>108.499999999946</v>
      </c>
      <c r="EF54" s="2">
        <v>34.499999999984603</v>
      </c>
      <c r="EG54" s="2">
        <v>284.09999999985803</v>
      </c>
      <c r="EI54">
        <v>1001.4999999994639</v>
      </c>
      <c r="EJ54">
        <v>1963</v>
      </c>
      <c r="EL54">
        <v>1963</v>
      </c>
      <c r="EM54">
        <v>20.100000000000001</v>
      </c>
      <c r="EN54">
        <v>20.2</v>
      </c>
      <c r="EO54">
        <v>17.7</v>
      </c>
      <c r="EP54">
        <v>12.2</v>
      </c>
      <c r="EQ54">
        <v>3.4</v>
      </c>
      <c r="ER54">
        <v>6.9</v>
      </c>
      <c r="ES54">
        <v>5.6</v>
      </c>
      <c r="ET54">
        <v>0.3</v>
      </c>
      <c r="EU54">
        <v>32.9</v>
      </c>
      <c r="EV54">
        <v>32</v>
      </c>
      <c r="EW54">
        <v>23.8</v>
      </c>
      <c r="EX54">
        <v>59.3</v>
      </c>
      <c r="EZ54">
        <v>59.3</v>
      </c>
      <c r="FA54">
        <v>1963</v>
      </c>
      <c r="FE54">
        <v>1963</v>
      </c>
      <c r="FF54">
        <v>25</v>
      </c>
      <c r="FG54">
        <v>20</v>
      </c>
      <c r="FH54">
        <v>17</v>
      </c>
      <c r="FI54">
        <v>12</v>
      </c>
      <c r="FJ54">
        <v>8</v>
      </c>
      <c r="FK54">
        <v>3</v>
      </c>
      <c r="FL54">
        <v>3</v>
      </c>
      <c r="FM54">
        <v>1</v>
      </c>
      <c r="FN54">
        <v>7</v>
      </c>
      <c r="FO54">
        <v>18</v>
      </c>
      <c r="FP54">
        <v>7</v>
      </c>
      <c r="FQ54">
        <v>20</v>
      </c>
      <c r="FS54">
        <f t="shared" si="5"/>
        <v>141</v>
      </c>
      <c r="FT54">
        <v>1963</v>
      </c>
      <c r="FW54">
        <v>1963</v>
      </c>
      <c r="FX54">
        <v>9</v>
      </c>
      <c r="FY54">
        <v>0</v>
      </c>
      <c r="FZ54">
        <v>8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4</v>
      </c>
      <c r="GK54">
        <f t="shared" si="6"/>
        <v>21</v>
      </c>
    </row>
    <row r="55" spans="1:193">
      <c r="A55" s="17" t="s">
        <v>83</v>
      </c>
      <c r="D55">
        <v>4.0999999999999996</v>
      </c>
      <c r="G55">
        <v>1.2</v>
      </c>
      <c r="I55">
        <v>2</v>
      </c>
      <c r="J55">
        <v>19</v>
      </c>
      <c r="K55">
        <v>0.2</v>
      </c>
      <c r="L55">
        <v>1.7</v>
      </c>
      <c r="N55">
        <v>1</v>
      </c>
      <c r="O55">
        <v>0.7</v>
      </c>
      <c r="Q55">
        <v>1.5</v>
      </c>
      <c r="R55">
        <v>1.6</v>
      </c>
      <c r="W55">
        <v>4.3</v>
      </c>
      <c r="X55">
        <v>1</v>
      </c>
      <c r="AA55">
        <v>0.8</v>
      </c>
      <c r="AC55">
        <v>0.1</v>
      </c>
      <c r="AE55">
        <v>6.7</v>
      </c>
      <c r="AF55">
        <v>7.6</v>
      </c>
      <c r="AG55">
        <v>12.8</v>
      </c>
      <c r="AJ55">
        <v>19.100000000000001</v>
      </c>
      <c r="AL55">
        <v>5.6</v>
      </c>
      <c r="AM55">
        <v>4.8</v>
      </c>
      <c r="AR55">
        <v>0.3</v>
      </c>
      <c r="AS55">
        <v>0.4</v>
      </c>
      <c r="AX55">
        <v>1.6</v>
      </c>
      <c r="BA55">
        <v>1.2</v>
      </c>
      <c r="BC55">
        <v>3.7</v>
      </c>
      <c r="BD55">
        <v>11.6</v>
      </c>
      <c r="BG55">
        <v>1</v>
      </c>
      <c r="BH55">
        <v>0.1</v>
      </c>
      <c r="BQ55">
        <v>0.1</v>
      </c>
      <c r="BR55">
        <v>13.7</v>
      </c>
      <c r="BT55">
        <v>1.1000000000000001</v>
      </c>
      <c r="BV55">
        <v>4.2</v>
      </c>
      <c r="BW55">
        <v>3.7</v>
      </c>
      <c r="BX55">
        <v>0.3</v>
      </c>
      <c r="BZ55">
        <v>0.1</v>
      </c>
      <c r="CA55">
        <v>1.1000000000000001</v>
      </c>
      <c r="CH55">
        <v>2.2000000000000002</v>
      </c>
      <c r="CJ55">
        <v>1.5</v>
      </c>
      <c r="CL55">
        <v>4.4000000000000004</v>
      </c>
      <c r="CM55">
        <v>0.3</v>
      </c>
      <c r="CN55">
        <v>2</v>
      </c>
      <c r="CO55">
        <v>1.6</v>
      </c>
      <c r="CP55">
        <v>16</v>
      </c>
      <c r="CS55">
        <v>0.4</v>
      </c>
      <c r="CU55">
        <v>0.2</v>
      </c>
      <c r="CV55">
        <v>5.8</v>
      </c>
      <c r="CX55">
        <v>3</v>
      </c>
      <c r="CZ55">
        <v>3.5</v>
      </c>
      <c r="DA55" s="2"/>
      <c r="DD55" s="1">
        <v>40958</v>
      </c>
      <c r="DE55" s="2">
        <f t="shared" si="11"/>
        <v>3.7687499999999989</v>
      </c>
      <c r="DF55" s="2">
        <f t="shared" si="12"/>
        <v>1.7735294117647054</v>
      </c>
      <c r="DG55" s="2">
        <f t="shared" si="13"/>
        <v>19.100000000000001</v>
      </c>
      <c r="DH55" s="2">
        <f t="shared" si="14"/>
        <v>0.1</v>
      </c>
      <c r="DI55" s="3">
        <f t="shared" si="15"/>
        <v>0.47058823529411764</v>
      </c>
      <c r="DK55" s="70"/>
      <c r="DL55" s="67"/>
      <c r="DM55" s="12" t="s">
        <v>28</v>
      </c>
      <c r="DN55" s="67"/>
      <c r="DO55" s="8">
        <v>1927</v>
      </c>
      <c r="DP55" s="8">
        <v>1927</v>
      </c>
      <c r="DQ55" s="80"/>
      <c r="DU55">
        <v>1964</v>
      </c>
      <c r="DV55" s="2">
        <v>68.099999999994907</v>
      </c>
      <c r="DW55" s="2">
        <v>93.400000000006798</v>
      </c>
      <c r="DX55" s="2">
        <v>45.399999999984097</v>
      </c>
      <c r="DY55" s="2">
        <v>36.799999999991996</v>
      </c>
      <c r="DZ55" s="2">
        <v>46.699999999992798</v>
      </c>
      <c r="EA55" s="2">
        <v>3.9999999999993201</v>
      </c>
      <c r="EB55" s="2">
        <v>46.599999999998502</v>
      </c>
      <c r="EC55" s="2">
        <v>54.100000000023996</v>
      </c>
      <c r="ED55" s="2">
        <v>234.09999999997399</v>
      </c>
      <c r="EE55" s="2">
        <v>4.7000000000018698</v>
      </c>
      <c r="EF55" s="2">
        <v>96.100000000009004</v>
      </c>
      <c r="EG55" s="2">
        <v>190.100000000042</v>
      </c>
      <c r="EI55">
        <v>920.10000000001924</v>
      </c>
      <c r="EJ55">
        <v>1964</v>
      </c>
      <c r="EL55">
        <v>1964</v>
      </c>
      <c r="EM55">
        <v>20.399999999999999</v>
      </c>
      <c r="EN55">
        <v>17.600000000000001</v>
      </c>
      <c r="EO55">
        <v>15.4</v>
      </c>
      <c r="EP55">
        <v>14.2</v>
      </c>
      <c r="EQ55">
        <v>18.899999999999999</v>
      </c>
      <c r="ER55">
        <v>3.3</v>
      </c>
      <c r="ES55">
        <v>5.7</v>
      </c>
      <c r="ET55">
        <v>38.9</v>
      </c>
      <c r="EU55">
        <v>50.8</v>
      </c>
      <c r="EV55">
        <v>2.7</v>
      </c>
      <c r="EW55">
        <v>26.8</v>
      </c>
      <c r="EX55">
        <v>29.2</v>
      </c>
      <c r="EZ55">
        <v>50.8</v>
      </c>
      <c r="FA55">
        <v>1964</v>
      </c>
      <c r="FE55">
        <v>1964</v>
      </c>
      <c r="FF55">
        <v>16</v>
      </c>
      <c r="FG55">
        <v>24</v>
      </c>
      <c r="FH55">
        <v>14</v>
      </c>
      <c r="FI55">
        <v>5</v>
      </c>
      <c r="FJ55">
        <v>7</v>
      </c>
      <c r="FK55">
        <v>3</v>
      </c>
      <c r="FL55">
        <v>5</v>
      </c>
      <c r="FM55">
        <v>5</v>
      </c>
      <c r="FN55">
        <v>22</v>
      </c>
      <c r="FO55">
        <v>4</v>
      </c>
      <c r="FP55">
        <v>13</v>
      </c>
      <c r="FQ55">
        <v>18</v>
      </c>
      <c r="FS55">
        <f t="shared" si="5"/>
        <v>136</v>
      </c>
      <c r="FT55">
        <v>1964</v>
      </c>
      <c r="FW55">
        <v>1964</v>
      </c>
      <c r="FX55">
        <v>5</v>
      </c>
      <c r="FY55">
        <v>10</v>
      </c>
      <c r="FZ55">
        <v>3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3</v>
      </c>
      <c r="GI55">
        <v>0</v>
      </c>
      <c r="GK55">
        <f t="shared" si="6"/>
        <v>21</v>
      </c>
    </row>
    <row r="56" spans="1:193">
      <c r="A56" s="17" t="s">
        <v>84</v>
      </c>
      <c r="D56">
        <v>2</v>
      </c>
      <c r="I56">
        <v>6.6</v>
      </c>
      <c r="L56">
        <v>1.4</v>
      </c>
      <c r="N56">
        <v>0.8</v>
      </c>
      <c r="O56">
        <v>0.7</v>
      </c>
      <c r="R56">
        <v>12.5</v>
      </c>
      <c r="U56">
        <v>1</v>
      </c>
      <c r="AA56">
        <v>10.8</v>
      </c>
      <c r="AC56">
        <v>0.5</v>
      </c>
      <c r="AE56">
        <v>0.2</v>
      </c>
      <c r="AG56">
        <v>17.2</v>
      </c>
      <c r="AI56">
        <v>11</v>
      </c>
      <c r="AJ56">
        <v>13</v>
      </c>
      <c r="AL56">
        <v>10</v>
      </c>
      <c r="AM56">
        <v>18.899999999999999</v>
      </c>
      <c r="AP56">
        <v>20</v>
      </c>
      <c r="AQ56">
        <v>0.1</v>
      </c>
      <c r="AR56">
        <v>0.2</v>
      </c>
      <c r="AS56">
        <v>2.8</v>
      </c>
      <c r="AU56">
        <v>2.5</v>
      </c>
      <c r="AW56">
        <v>52.5</v>
      </c>
      <c r="AY56">
        <v>8.1</v>
      </c>
      <c r="BB56">
        <v>15.7</v>
      </c>
      <c r="BC56">
        <v>13.8</v>
      </c>
      <c r="BD56">
        <v>9.3000000000000007</v>
      </c>
      <c r="BG56">
        <v>1.6</v>
      </c>
      <c r="BI56">
        <v>11.7</v>
      </c>
      <c r="BJ56">
        <v>1</v>
      </c>
      <c r="BL56">
        <v>0.1</v>
      </c>
      <c r="BM56">
        <v>0.5</v>
      </c>
      <c r="BN56">
        <v>1.5</v>
      </c>
      <c r="BQ56">
        <v>28.6</v>
      </c>
      <c r="BR56">
        <v>10</v>
      </c>
      <c r="BS56">
        <v>0.3</v>
      </c>
      <c r="BU56">
        <v>0.8</v>
      </c>
      <c r="BW56">
        <v>0.1</v>
      </c>
      <c r="BX56">
        <v>2.4</v>
      </c>
      <c r="BY56">
        <v>6.4</v>
      </c>
      <c r="CA56">
        <v>0.1</v>
      </c>
      <c r="CC56">
        <v>0.2</v>
      </c>
      <c r="CG56">
        <v>0.5</v>
      </c>
      <c r="CH56">
        <v>2.5</v>
      </c>
      <c r="CJ56">
        <v>7.5</v>
      </c>
      <c r="CL56">
        <v>0.3</v>
      </c>
      <c r="CM56">
        <v>40.5</v>
      </c>
      <c r="CN56">
        <v>0.1</v>
      </c>
      <c r="CO56">
        <v>13.4</v>
      </c>
      <c r="CP56">
        <v>2</v>
      </c>
      <c r="CQ56">
        <v>5.8</v>
      </c>
      <c r="CR56">
        <v>0.8</v>
      </c>
      <c r="CV56">
        <v>1.5</v>
      </c>
      <c r="CX56">
        <v>2</v>
      </c>
      <c r="CZ56">
        <v>0.7</v>
      </c>
      <c r="DA56" s="2"/>
      <c r="DD56" s="1">
        <v>40959</v>
      </c>
      <c r="DE56" s="2">
        <f t="shared" si="11"/>
        <v>7.0660377358490569</v>
      </c>
      <c r="DF56" s="2">
        <f t="shared" si="12"/>
        <v>3.6715686274509802</v>
      </c>
      <c r="DG56" s="2">
        <f t="shared" si="13"/>
        <v>52.5</v>
      </c>
      <c r="DH56" s="2">
        <f t="shared" si="14"/>
        <v>0.1</v>
      </c>
      <c r="DI56" s="3">
        <f t="shared" si="15"/>
        <v>0.51960784313725494</v>
      </c>
      <c r="DU56">
        <v>1965</v>
      </c>
      <c r="DV56" s="2">
        <v>50.799999999989502</v>
      </c>
      <c r="DW56" s="2">
        <v>196.400000000056</v>
      </c>
      <c r="DX56" s="2">
        <v>81.400000000007793</v>
      </c>
      <c r="DY56" s="2">
        <v>161.300000000003</v>
      </c>
      <c r="DZ56" s="2">
        <v>26.9000000000051</v>
      </c>
      <c r="EA56" s="2">
        <v>3.1999999999989002</v>
      </c>
      <c r="EB56" s="2">
        <v>0.69999999999981799</v>
      </c>
      <c r="EC56" s="2">
        <v>10.1999999999971</v>
      </c>
      <c r="ED56" s="2">
        <v>62.5999999999785</v>
      </c>
      <c r="EE56" s="2">
        <v>83.699999999989501</v>
      </c>
      <c r="EF56" s="2">
        <v>214.79999999995701</v>
      </c>
      <c r="EG56" s="2">
        <v>164.09999999993701</v>
      </c>
      <c r="EI56">
        <v>1056.0999999999192</v>
      </c>
      <c r="EJ56">
        <v>1965</v>
      </c>
      <c r="EL56">
        <v>1965</v>
      </c>
      <c r="EM56">
        <v>17.8</v>
      </c>
      <c r="EN56">
        <v>32.4</v>
      </c>
      <c r="EO56">
        <v>16.7</v>
      </c>
      <c r="EP56">
        <v>35.4</v>
      </c>
      <c r="EQ56">
        <v>7</v>
      </c>
      <c r="ER56">
        <v>2.6</v>
      </c>
      <c r="ES56">
        <v>15.5</v>
      </c>
      <c r="ET56">
        <v>5</v>
      </c>
      <c r="EU56">
        <v>37.5</v>
      </c>
      <c r="EV56">
        <v>35.6</v>
      </c>
      <c r="EW56">
        <v>61</v>
      </c>
      <c r="EX56">
        <v>55.1</v>
      </c>
      <c r="EZ56">
        <v>61</v>
      </c>
      <c r="FA56">
        <v>1965</v>
      </c>
      <c r="FE56">
        <v>1965</v>
      </c>
      <c r="FF56">
        <v>17</v>
      </c>
      <c r="FG56">
        <v>23</v>
      </c>
      <c r="FH56">
        <v>13</v>
      </c>
      <c r="FI56">
        <v>22</v>
      </c>
      <c r="FJ56">
        <v>9</v>
      </c>
      <c r="FK56">
        <v>2</v>
      </c>
      <c r="FL56">
        <v>1</v>
      </c>
      <c r="FM56">
        <v>6</v>
      </c>
      <c r="FN56">
        <v>5</v>
      </c>
      <c r="FO56">
        <v>13</v>
      </c>
      <c r="FP56">
        <v>14</v>
      </c>
      <c r="FQ56">
        <v>19</v>
      </c>
      <c r="FS56">
        <f t="shared" si="5"/>
        <v>144</v>
      </c>
      <c r="FT56">
        <v>1965</v>
      </c>
      <c r="FW56">
        <v>1965</v>
      </c>
      <c r="FX56">
        <v>3</v>
      </c>
      <c r="FY56">
        <v>15</v>
      </c>
      <c r="FZ56">
        <v>3</v>
      </c>
      <c r="GA56">
        <v>2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K56">
        <f t="shared" si="6"/>
        <v>23</v>
      </c>
    </row>
    <row r="57" spans="1:193">
      <c r="A57" s="17" t="s">
        <v>85</v>
      </c>
      <c r="C57">
        <v>1.5</v>
      </c>
      <c r="G57">
        <v>7.4</v>
      </c>
      <c r="H57">
        <v>3.9</v>
      </c>
      <c r="L57">
        <v>0.6</v>
      </c>
      <c r="R57">
        <v>13.4</v>
      </c>
      <c r="S57">
        <v>2.6</v>
      </c>
      <c r="T57">
        <v>0.7</v>
      </c>
      <c r="W57">
        <v>2.4</v>
      </c>
      <c r="X57">
        <v>0.5</v>
      </c>
      <c r="AA57">
        <v>2.2999999999999998</v>
      </c>
      <c r="AE57">
        <v>10.3</v>
      </c>
      <c r="AF57">
        <v>4</v>
      </c>
      <c r="AG57">
        <v>1</v>
      </c>
      <c r="AH57">
        <v>2</v>
      </c>
      <c r="AI57">
        <v>11.2</v>
      </c>
      <c r="AJ57">
        <v>3.9</v>
      </c>
      <c r="AK57">
        <v>1.6</v>
      </c>
      <c r="AL57">
        <v>0.2</v>
      </c>
      <c r="AN57">
        <v>0.1</v>
      </c>
      <c r="AQ57">
        <v>5.5</v>
      </c>
      <c r="AS57">
        <v>1.4</v>
      </c>
      <c r="AT57">
        <v>7.4</v>
      </c>
      <c r="AU57">
        <v>8</v>
      </c>
      <c r="AV57">
        <v>0.6</v>
      </c>
      <c r="AW57">
        <v>0.4</v>
      </c>
      <c r="AY57">
        <v>1.6</v>
      </c>
      <c r="BA57">
        <v>1.6</v>
      </c>
      <c r="BC57">
        <v>4.8</v>
      </c>
      <c r="BD57">
        <v>0.2</v>
      </c>
      <c r="BF57">
        <v>3.1</v>
      </c>
      <c r="BH57">
        <v>7.4</v>
      </c>
      <c r="BI57">
        <v>6.5</v>
      </c>
      <c r="BJ57">
        <v>0.7</v>
      </c>
      <c r="BK57">
        <v>0.1</v>
      </c>
      <c r="BL57">
        <v>0.6</v>
      </c>
      <c r="BM57">
        <v>0.2</v>
      </c>
      <c r="BN57">
        <v>0.3</v>
      </c>
      <c r="BO57">
        <v>0.2</v>
      </c>
      <c r="BQ57">
        <v>0.2</v>
      </c>
      <c r="BR57">
        <v>5.5</v>
      </c>
      <c r="BU57">
        <v>0.1</v>
      </c>
      <c r="BX57">
        <v>5.2</v>
      </c>
      <c r="CA57">
        <v>6.5</v>
      </c>
      <c r="CE57">
        <v>11.7</v>
      </c>
      <c r="CF57">
        <v>2.2999999999999998</v>
      </c>
      <c r="CG57">
        <v>1.9</v>
      </c>
      <c r="CL57">
        <v>4.5</v>
      </c>
      <c r="CM57">
        <v>8.5</v>
      </c>
      <c r="CN57">
        <v>4.5</v>
      </c>
      <c r="CP57">
        <v>4.5</v>
      </c>
      <c r="CQ57">
        <v>4.5</v>
      </c>
      <c r="CR57">
        <v>0.9</v>
      </c>
      <c r="CU57">
        <v>0.2</v>
      </c>
      <c r="CV57">
        <v>11.3</v>
      </c>
      <c r="CW57">
        <v>2.2000000000000002</v>
      </c>
      <c r="CZ57">
        <v>1.8</v>
      </c>
      <c r="DA57" s="2"/>
      <c r="DD57" s="1">
        <v>40960</v>
      </c>
      <c r="DE57" s="2">
        <f t="shared" si="11"/>
        <v>3.5089285714285716</v>
      </c>
      <c r="DF57" s="2">
        <f t="shared" si="12"/>
        <v>1.9264705882352942</v>
      </c>
      <c r="DG57" s="2">
        <f t="shared" si="13"/>
        <v>13.4</v>
      </c>
      <c r="DH57" s="2">
        <f t="shared" si="14"/>
        <v>0.1</v>
      </c>
      <c r="DI57" s="3">
        <f t="shared" si="15"/>
        <v>0.5490196078431373</v>
      </c>
      <c r="DU57">
        <v>1966</v>
      </c>
      <c r="DV57" s="2">
        <v>173.70000000000201</v>
      </c>
      <c r="DW57" s="2">
        <v>15.2999999999934</v>
      </c>
      <c r="DX57" s="2">
        <v>130.599999999983</v>
      </c>
      <c r="DY57" s="2">
        <v>40.800000000006499</v>
      </c>
      <c r="DZ57" s="2">
        <v>9.2999999999978993</v>
      </c>
      <c r="EA57" s="2">
        <v>7.1000000000031003</v>
      </c>
      <c r="EB57" s="2">
        <v>3.9000000000014601</v>
      </c>
      <c r="EC57" s="2">
        <v>45.100000000008798</v>
      </c>
      <c r="ED57" s="2">
        <v>158.39999999990599</v>
      </c>
      <c r="EE57" s="2">
        <v>8.7000000000025501</v>
      </c>
      <c r="EF57" s="2">
        <v>121.200000000008</v>
      </c>
      <c r="EG57" s="2">
        <v>190.29999999998199</v>
      </c>
      <c r="EI57">
        <v>904.3999999998947</v>
      </c>
      <c r="EJ57">
        <v>1966</v>
      </c>
      <c r="EL57">
        <v>1966</v>
      </c>
      <c r="EM57">
        <v>32.299999999999997</v>
      </c>
      <c r="EN57">
        <v>9.4</v>
      </c>
      <c r="EO57">
        <v>39.299999999999997</v>
      </c>
      <c r="EP57">
        <v>17.2</v>
      </c>
      <c r="EQ57">
        <v>4</v>
      </c>
      <c r="ER57">
        <v>3.9</v>
      </c>
      <c r="ES57">
        <v>0.7</v>
      </c>
      <c r="ET57">
        <v>31.1</v>
      </c>
      <c r="EU57">
        <v>76.400000000000006</v>
      </c>
      <c r="EV57">
        <v>5.3</v>
      </c>
      <c r="EW57">
        <v>34.700000000000003</v>
      </c>
      <c r="EX57">
        <v>50.6</v>
      </c>
      <c r="EZ57">
        <v>76.400000000000006</v>
      </c>
      <c r="FA57">
        <v>1966</v>
      </c>
      <c r="FE57">
        <v>1966</v>
      </c>
      <c r="FF57">
        <v>22</v>
      </c>
      <c r="FG57">
        <v>6</v>
      </c>
      <c r="FH57">
        <v>18</v>
      </c>
      <c r="FI57">
        <v>13</v>
      </c>
      <c r="FJ57">
        <v>5</v>
      </c>
      <c r="FK57">
        <v>3</v>
      </c>
      <c r="FL57">
        <v>2</v>
      </c>
      <c r="FM57">
        <v>4</v>
      </c>
      <c r="FN57">
        <v>8</v>
      </c>
      <c r="FO57">
        <v>4</v>
      </c>
      <c r="FP57">
        <v>17</v>
      </c>
      <c r="FQ57">
        <v>21</v>
      </c>
      <c r="FS57">
        <f t="shared" si="5"/>
        <v>123</v>
      </c>
      <c r="FT57">
        <v>1966</v>
      </c>
      <c r="FW57">
        <v>1966</v>
      </c>
      <c r="FX57">
        <v>12</v>
      </c>
      <c r="FY57">
        <v>0</v>
      </c>
      <c r="FZ57">
        <v>4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3</v>
      </c>
      <c r="GK57">
        <f t="shared" si="6"/>
        <v>19</v>
      </c>
    </row>
    <row r="58" spans="1:193">
      <c r="A58" s="17" t="s">
        <v>86</v>
      </c>
      <c r="C58">
        <v>0.8</v>
      </c>
      <c r="D58">
        <v>14.6</v>
      </c>
      <c r="F58">
        <v>3.3</v>
      </c>
      <c r="H58">
        <v>4.2</v>
      </c>
      <c r="L58">
        <v>2.5</v>
      </c>
      <c r="N58">
        <v>1</v>
      </c>
      <c r="Q58">
        <v>0.2</v>
      </c>
      <c r="R58">
        <v>1.8</v>
      </c>
      <c r="U58">
        <v>22.8</v>
      </c>
      <c r="V58">
        <v>0.7</v>
      </c>
      <c r="X58">
        <v>1.9</v>
      </c>
      <c r="Y58">
        <v>8.6999999999999993</v>
      </c>
      <c r="AA58">
        <v>0.5</v>
      </c>
      <c r="AB58">
        <v>3.4</v>
      </c>
      <c r="AC58">
        <v>2.5</v>
      </c>
      <c r="AE58">
        <v>11.7</v>
      </c>
      <c r="AH58">
        <v>0.7</v>
      </c>
      <c r="AI58">
        <v>3.7</v>
      </c>
      <c r="AJ58">
        <v>7.9</v>
      </c>
      <c r="AK58">
        <v>5.2</v>
      </c>
      <c r="AN58">
        <v>5.7</v>
      </c>
      <c r="AO58">
        <v>10</v>
      </c>
      <c r="AP58">
        <v>13.9</v>
      </c>
      <c r="AU58">
        <v>0.5</v>
      </c>
      <c r="AV58">
        <v>11.2</v>
      </c>
      <c r="AW58">
        <v>1.5</v>
      </c>
      <c r="AX58">
        <v>1.2</v>
      </c>
      <c r="AY58">
        <v>5.4</v>
      </c>
      <c r="AZ58">
        <v>1.2</v>
      </c>
      <c r="BA58">
        <v>1.4</v>
      </c>
      <c r="BB58">
        <v>1.1000000000000001</v>
      </c>
      <c r="BC58">
        <v>3.5</v>
      </c>
      <c r="BD58">
        <v>1.3</v>
      </c>
      <c r="BF58">
        <v>1.9</v>
      </c>
      <c r="BH58">
        <v>2.2000000000000002</v>
      </c>
      <c r="BI58">
        <v>2.7</v>
      </c>
      <c r="BJ58">
        <v>0.9</v>
      </c>
      <c r="BK58">
        <v>0.1</v>
      </c>
      <c r="BN58">
        <v>0.2</v>
      </c>
      <c r="BO58">
        <v>0.4</v>
      </c>
      <c r="BR58">
        <v>9</v>
      </c>
      <c r="BS58">
        <v>0.1</v>
      </c>
      <c r="BV58">
        <v>20.7</v>
      </c>
      <c r="BX58">
        <v>0.5</v>
      </c>
      <c r="BY58">
        <v>0.5</v>
      </c>
      <c r="CA58">
        <v>0.5</v>
      </c>
      <c r="CB58">
        <v>0.8</v>
      </c>
      <c r="CE58">
        <v>3</v>
      </c>
      <c r="CF58">
        <v>1.6</v>
      </c>
      <c r="CG58">
        <v>0.2</v>
      </c>
      <c r="CJ58">
        <v>3.3</v>
      </c>
      <c r="CL58">
        <v>0.5</v>
      </c>
      <c r="CM58">
        <v>0.5</v>
      </c>
      <c r="CN58">
        <v>2.5</v>
      </c>
      <c r="CP58">
        <v>13.6</v>
      </c>
      <c r="CQ58">
        <v>0.1</v>
      </c>
      <c r="CV58">
        <v>6.3</v>
      </c>
      <c r="CX58">
        <v>5.7</v>
      </c>
      <c r="CZ58">
        <v>1.5</v>
      </c>
      <c r="DA58" s="2"/>
      <c r="DD58" s="1">
        <v>40961</v>
      </c>
      <c r="DE58" s="2">
        <f t="shared" si="11"/>
        <v>3.9881355932203388</v>
      </c>
      <c r="DF58" s="2">
        <f t="shared" si="12"/>
        <v>2.306862745098039</v>
      </c>
      <c r="DG58" s="2">
        <f t="shared" si="13"/>
        <v>22.8</v>
      </c>
      <c r="DH58" s="2">
        <f t="shared" si="14"/>
        <v>0.1</v>
      </c>
      <c r="DI58" s="3">
        <f t="shared" si="15"/>
        <v>0.57843137254901966</v>
      </c>
      <c r="DK58" s="68" t="s">
        <v>11</v>
      </c>
      <c r="DL58" s="71" t="s">
        <v>4</v>
      </c>
      <c r="DM58" s="12" t="s">
        <v>27</v>
      </c>
      <c r="DN58" s="4">
        <v>165.8</v>
      </c>
      <c r="DO58" s="5">
        <v>171.2</v>
      </c>
      <c r="DP58" s="8">
        <v>18</v>
      </c>
      <c r="DQ58" s="76"/>
      <c r="DU58">
        <v>1967</v>
      </c>
      <c r="DV58" s="2">
        <v>154.50000000003001</v>
      </c>
      <c r="DW58" s="2">
        <v>63.899999999999501</v>
      </c>
      <c r="DX58" s="2">
        <v>67.399999999993298</v>
      </c>
      <c r="DY58" s="2">
        <v>50.099999999996498</v>
      </c>
      <c r="DZ58" s="2">
        <v>32.700000000005403</v>
      </c>
      <c r="EA58" s="2">
        <v>24.599999999999401</v>
      </c>
      <c r="EB58" s="2">
        <v>1.99999999999966</v>
      </c>
      <c r="EC58" s="2">
        <v>3.2000000000007298</v>
      </c>
      <c r="ED58" s="2">
        <v>50.299999999983498</v>
      </c>
      <c r="EE58" s="2">
        <v>63.699999999994098</v>
      </c>
      <c r="EF58" s="2">
        <v>60.499999999995602</v>
      </c>
      <c r="EG58" s="2">
        <v>120.000000000009</v>
      </c>
      <c r="EI58">
        <v>692.90000000000668</v>
      </c>
      <c r="EJ58">
        <v>1967</v>
      </c>
      <c r="EL58">
        <v>1967</v>
      </c>
      <c r="EM58">
        <v>27.2</v>
      </c>
      <c r="EN58">
        <v>17.899999999999999</v>
      </c>
      <c r="EO58">
        <v>20.9</v>
      </c>
      <c r="EP58">
        <v>15.7</v>
      </c>
      <c r="EQ58">
        <v>12.5</v>
      </c>
      <c r="ER58">
        <v>8.1999999999999993</v>
      </c>
      <c r="ES58">
        <v>2.4</v>
      </c>
      <c r="ET58">
        <v>3.2</v>
      </c>
      <c r="EU58">
        <v>18.3</v>
      </c>
      <c r="EV58">
        <v>22.4</v>
      </c>
      <c r="EW58">
        <v>16.399999999999999</v>
      </c>
      <c r="EX58">
        <v>22</v>
      </c>
      <c r="EZ58">
        <v>27.2</v>
      </c>
      <c r="FA58">
        <v>1967</v>
      </c>
      <c r="FE58">
        <v>1967</v>
      </c>
      <c r="FF58">
        <v>22</v>
      </c>
      <c r="FG58">
        <v>16</v>
      </c>
      <c r="FH58">
        <v>14</v>
      </c>
      <c r="FI58">
        <v>12</v>
      </c>
      <c r="FJ58">
        <v>10</v>
      </c>
      <c r="FK58">
        <v>6</v>
      </c>
      <c r="FL58">
        <v>2</v>
      </c>
      <c r="FM58">
        <v>1</v>
      </c>
      <c r="FN58">
        <v>10</v>
      </c>
      <c r="FO58">
        <v>8</v>
      </c>
      <c r="FP58">
        <v>17</v>
      </c>
      <c r="FQ58">
        <v>19</v>
      </c>
      <c r="FS58">
        <f t="shared" si="5"/>
        <v>137</v>
      </c>
      <c r="FT58">
        <v>1967</v>
      </c>
      <c r="FW58">
        <v>1967</v>
      </c>
      <c r="FX58">
        <v>13</v>
      </c>
      <c r="FY58">
        <v>7</v>
      </c>
      <c r="FZ58">
        <v>1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2</v>
      </c>
      <c r="GI58">
        <v>4</v>
      </c>
      <c r="GK58">
        <f t="shared" si="6"/>
        <v>27</v>
      </c>
    </row>
    <row r="59" spans="1:193">
      <c r="A59" s="17" t="s">
        <v>87</v>
      </c>
      <c r="C59">
        <v>0.2</v>
      </c>
      <c r="D59">
        <v>19.100000000000001</v>
      </c>
      <c r="F59">
        <v>18.2</v>
      </c>
      <c r="G59">
        <v>0.3</v>
      </c>
      <c r="I59">
        <v>1.3</v>
      </c>
      <c r="J59">
        <v>0.4</v>
      </c>
      <c r="L59">
        <v>2</v>
      </c>
      <c r="N59">
        <v>2.7</v>
      </c>
      <c r="O59">
        <v>14.3</v>
      </c>
      <c r="S59">
        <v>15.1</v>
      </c>
      <c r="V59">
        <v>4.9000000000000004</v>
      </c>
      <c r="AD59">
        <v>0.7</v>
      </c>
      <c r="AE59">
        <v>4.5999999999999996</v>
      </c>
      <c r="AI59">
        <v>0.4</v>
      </c>
      <c r="AJ59">
        <v>1</v>
      </c>
      <c r="AK59">
        <v>22.8</v>
      </c>
      <c r="AN59">
        <v>4.9000000000000004</v>
      </c>
      <c r="AO59">
        <v>8.1</v>
      </c>
      <c r="AP59">
        <v>0.7</v>
      </c>
      <c r="AR59">
        <v>1.9</v>
      </c>
      <c r="AS59">
        <v>10</v>
      </c>
      <c r="AV59">
        <v>1.2</v>
      </c>
      <c r="AW59">
        <v>12.3</v>
      </c>
      <c r="AX59">
        <v>12</v>
      </c>
      <c r="AZ59">
        <v>2.2999999999999998</v>
      </c>
      <c r="BA59">
        <v>3.7</v>
      </c>
      <c r="BB59">
        <v>13.4</v>
      </c>
      <c r="BC59">
        <v>3.3</v>
      </c>
      <c r="BH59">
        <v>0.1</v>
      </c>
      <c r="BJ59">
        <v>1.5</v>
      </c>
      <c r="BK59">
        <v>4.8</v>
      </c>
      <c r="BL59">
        <v>8.5</v>
      </c>
      <c r="BN59">
        <v>0.5</v>
      </c>
      <c r="BO59">
        <v>2.2999999999999998</v>
      </c>
      <c r="BQ59">
        <v>1</v>
      </c>
      <c r="BR59">
        <v>2</v>
      </c>
      <c r="BS59">
        <v>1.8</v>
      </c>
      <c r="BV59">
        <v>5.3</v>
      </c>
      <c r="BW59">
        <v>1.7</v>
      </c>
      <c r="BX59">
        <v>3.3</v>
      </c>
      <c r="BY59">
        <v>5.5</v>
      </c>
      <c r="CA59">
        <v>0.1</v>
      </c>
      <c r="CD59">
        <v>0.3</v>
      </c>
      <c r="CE59">
        <v>4.9000000000000004</v>
      </c>
      <c r="CF59">
        <v>8.5</v>
      </c>
      <c r="CI59">
        <v>3.9</v>
      </c>
      <c r="CJ59">
        <v>2.7</v>
      </c>
      <c r="CL59">
        <v>10.5</v>
      </c>
      <c r="CM59">
        <v>0.2</v>
      </c>
      <c r="CN59">
        <v>5.5</v>
      </c>
      <c r="CP59">
        <v>14.1</v>
      </c>
      <c r="CQ59">
        <v>0.1</v>
      </c>
      <c r="CR59">
        <v>3.5</v>
      </c>
      <c r="CT59">
        <v>1.6</v>
      </c>
      <c r="CV59">
        <v>9.3000000000000007</v>
      </c>
      <c r="CW59">
        <v>5.2</v>
      </c>
      <c r="CX59">
        <v>5.6</v>
      </c>
      <c r="CZ59">
        <v>0.2</v>
      </c>
      <c r="DA59" s="2"/>
      <c r="DD59" s="1">
        <v>40962</v>
      </c>
      <c r="DE59" s="2">
        <f t="shared" si="11"/>
        <v>5.1086206896551749</v>
      </c>
      <c r="DF59" s="2">
        <f t="shared" si="12"/>
        <v>2.904901960784315</v>
      </c>
      <c r="DG59" s="2">
        <f t="shared" si="13"/>
        <v>22.8</v>
      </c>
      <c r="DH59" s="2">
        <f t="shared" si="14"/>
        <v>0.1</v>
      </c>
      <c r="DI59" s="3">
        <f t="shared" si="15"/>
        <v>0.56862745098039214</v>
      </c>
      <c r="DK59" s="69"/>
      <c r="DL59" s="67"/>
      <c r="DM59" s="12" t="s">
        <v>33</v>
      </c>
      <c r="DN59" s="13">
        <v>18829</v>
      </c>
      <c r="DO59" s="19">
        <v>1950</v>
      </c>
      <c r="DP59" s="8">
        <v>1981</v>
      </c>
      <c r="DQ59" s="77"/>
      <c r="DU59">
        <v>1968</v>
      </c>
      <c r="DV59" s="2">
        <v>272.39999999999998</v>
      </c>
      <c r="DW59" s="2">
        <v>83.899999999997704</v>
      </c>
      <c r="DX59" s="2">
        <v>68.600000000008507</v>
      </c>
      <c r="DY59" s="2">
        <v>47.900000000000801</v>
      </c>
      <c r="DZ59" s="2">
        <v>18.0999999999995</v>
      </c>
      <c r="EA59" s="2">
        <v>29.5000000000067</v>
      </c>
      <c r="EB59" s="2">
        <v>25.700000000005801</v>
      </c>
      <c r="EC59" s="2">
        <v>48.699999999994603</v>
      </c>
      <c r="ED59" s="2">
        <v>81.000000000004704</v>
      </c>
      <c r="EE59" s="2">
        <v>54.100000000007199</v>
      </c>
      <c r="EF59" s="2">
        <v>145.30000000002499</v>
      </c>
      <c r="EG59" s="2">
        <v>183.69999999998601</v>
      </c>
      <c r="EI59">
        <v>1058.9000000000485</v>
      </c>
      <c r="EJ59">
        <v>1968</v>
      </c>
      <c r="EL59">
        <v>1968</v>
      </c>
      <c r="EM59">
        <v>35</v>
      </c>
      <c r="EN59">
        <v>25.9</v>
      </c>
      <c r="EO59">
        <v>27.6</v>
      </c>
      <c r="EP59">
        <v>22</v>
      </c>
      <c r="EQ59">
        <v>7.1</v>
      </c>
      <c r="ER59">
        <v>8.8000000000000007</v>
      </c>
      <c r="ES59">
        <v>1.9</v>
      </c>
      <c r="ET59">
        <v>26.5</v>
      </c>
      <c r="EU59">
        <v>18.100000000000001</v>
      </c>
      <c r="EV59">
        <v>18.600000000000001</v>
      </c>
      <c r="EW59">
        <v>27.3</v>
      </c>
      <c r="EX59">
        <v>36.799999999999997</v>
      </c>
      <c r="EZ59">
        <v>36.799999999999997</v>
      </c>
      <c r="FA59">
        <v>1968</v>
      </c>
      <c r="FE59">
        <v>1968</v>
      </c>
      <c r="FF59">
        <v>22</v>
      </c>
      <c r="FG59">
        <v>13</v>
      </c>
      <c r="FH59">
        <v>14</v>
      </c>
      <c r="FI59">
        <v>11</v>
      </c>
      <c r="FJ59">
        <v>6</v>
      </c>
      <c r="FK59">
        <v>9</v>
      </c>
      <c r="FL59">
        <v>4</v>
      </c>
      <c r="FM59">
        <v>11</v>
      </c>
      <c r="FN59">
        <v>16</v>
      </c>
      <c r="FO59">
        <v>18</v>
      </c>
      <c r="FP59">
        <v>19</v>
      </c>
      <c r="FQ59">
        <v>25</v>
      </c>
      <c r="FS59">
        <f t="shared" si="5"/>
        <v>168</v>
      </c>
      <c r="FT59">
        <v>1968</v>
      </c>
      <c r="FW59">
        <v>1968</v>
      </c>
      <c r="FX59">
        <v>13</v>
      </c>
      <c r="FY59">
        <v>4</v>
      </c>
      <c r="FZ59">
        <v>4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2</v>
      </c>
      <c r="GK59">
        <f t="shared" si="6"/>
        <v>23</v>
      </c>
    </row>
    <row r="60" spans="1:193">
      <c r="A60" s="17" t="s">
        <v>88</v>
      </c>
      <c r="D60">
        <v>11.5</v>
      </c>
      <c r="F60">
        <v>1.1000000000000001</v>
      </c>
      <c r="G60">
        <v>1.3</v>
      </c>
      <c r="H60">
        <v>1.3</v>
      </c>
      <c r="I60">
        <v>2.2999999999999998</v>
      </c>
      <c r="K60">
        <v>0.6</v>
      </c>
      <c r="L60">
        <v>1.6</v>
      </c>
      <c r="N60">
        <v>8.6</v>
      </c>
      <c r="O60">
        <v>3.3</v>
      </c>
      <c r="P60">
        <v>2</v>
      </c>
      <c r="S60">
        <v>12</v>
      </c>
      <c r="U60">
        <v>2.2999999999999998</v>
      </c>
      <c r="V60">
        <v>15.5</v>
      </c>
      <c r="X60">
        <v>1.8</v>
      </c>
      <c r="Z60">
        <v>2.7</v>
      </c>
      <c r="AA60">
        <v>1</v>
      </c>
      <c r="AB60">
        <v>18.600000000000001</v>
      </c>
      <c r="AC60">
        <v>5.2</v>
      </c>
      <c r="AD60">
        <v>2.8</v>
      </c>
      <c r="AF60">
        <v>1.1000000000000001</v>
      </c>
      <c r="AH60">
        <v>0.6</v>
      </c>
      <c r="AK60">
        <v>3.4</v>
      </c>
      <c r="AM60">
        <v>49.2</v>
      </c>
      <c r="AV60">
        <v>0.4</v>
      </c>
      <c r="AY60">
        <v>3.7</v>
      </c>
      <c r="AZ60">
        <v>7.2</v>
      </c>
      <c r="BA60">
        <v>42.6</v>
      </c>
      <c r="BB60">
        <v>15</v>
      </c>
      <c r="BC60">
        <v>0.3</v>
      </c>
      <c r="BD60">
        <v>0.5</v>
      </c>
      <c r="BE60">
        <v>0.5</v>
      </c>
      <c r="BF60">
        <v>2.4</v>
      </c>
      <c r="BI60">
        <v>14</v>
      </c>
      <c r="BJ60">
        <v>0.2</v>
      </c>
      <c r="BL60">
        <v>16.8</v>
      </c>
      <c r="BM60">
        <v>29.5</v>
      </c>
      <c r="BN60">
        <v>0.2</v>
      </c>
      <c r="BO60">
        <v>9</v>
      </c>
      <c r="BS60">
        <v>0.8</v>
      </c>
      <c r="BT60">
        <v>1.8</v>
      </c>
      <c r="BU60">
        <v>0.4</v>
      </c>
      <c r="BV60">
        <v>1.1000000000000001</v>
      </c>
      <c r="BX60">
        <v>2</v>
      </c>
      <c r="BY60">
        <v>0.5</v>
      </c>
      <c r="BZ60">
        <v>19.3</v>
      </c>
      <c r="CD60">
        <v>1.1000000000000001</v>
      </c>
      <c r="CE60">
        <v>2.5</v>
      </c>
      <c r="CF60">
        <v>17</v>
      </c>
      <c r="CM60">
        <v>0.1</v>
      </c>
      <c r="CN60">
        <v>2.2000000000000002</v>
      </c>
      <c r="CO60">
        <v>16.600000000000001</v>
      </c>
      <c r="CP60">
        <v>8.3000000000000007</v>
      </c>
      <c r="CQ60">
        <v>2.6</v>
      </c>
      <c r="CS60">
        <v>11.9</v>
      </c>
      <c r="CT60">
        <v>0.1</v>
      </c>
      <c r="CV60">
        <v>1.5</v>
      </c>
      <c r="CW60">
        <v>1.3</v>
      </c>
      <c r="CX60">
        <v>6.5</v>
      </c>
      <c r="DA60" s="2"/>
      <c r="DD60" s="1">
        <v>40963</v>
      </c>
      <c r="DE60" s="2">
        <f t="shared" si="11"/>
        <v>6.7189655172413811</v>
      </c>
      <c r="DF60" s="2">
        <f t="shared" si="12"/>
        <v>3.8205882352941187</v>
      </c>
      <c r="DG60" s="2">
        <f t="shared" si="13"/>
        <v>49.2</v>
      </c>
      <c r="DH60" s="2">
        <f t="shared" si="14"/>
        <v>0.1</v>
      </c>
      <c r="DI60" s="3">
        <f t="shared" si="15"/>
        <v>0.56862745098039214</v>
      </c>
      <c r="DK60" s="69"/>
      <c r="DL60" s="72"/>
      <c r="DM60" s="73"/>
      <c r="DN60" s="12" t="s">
        <v>24</v>
      </c>
      <c r="DO60" s="11" t="s">
        <v>25</v>
      </c>
      <c r="DP60" s="11" t="s">
        <v>19</v>
      </c>
      <c r="DQ60" s="77"/>
      <c r="DU60">
        <v>1969</v>
      </c>
      <c r="DV60" s="2">
        <v>206.19999999997501</v>
      </c>
      <c r="DW60" s="2">
        <v>89.000000000005997</v>
      </c>
      <c r="DX60" s="2">
        <v>66.7</v>
      </c>
      <c r="DY60" s="2">
        <v>102.40000000002399</v>
      </c>
      <c r="DZ60" s="2">
        <v>16.200000000000198</v>
      </c>
      <c r="EA60" s="2">
        <v>53.599999999996697</v>
      </c>
      <c r="EB60" s="2">
        <v>4.7999999999992697</v>
      </c>
      <c r="EC60" s="2">
        <v>0.90000000000020397</v>
      </c>
      <c r="ED60" s="2">
        <v>47.6999999999857</v>
      </c>
      <c r="EE60" s="2">
        <v>30.7999999999865</v>
      </c>
      <c r="EF60" s="2">
        <v>50.000000000005102</v>
      </c>
      <c r="EG60" s="2">
        <v>175.099999999977</v>
      </c>
      <c r="EI60">
        <v>843.39999999995575</v>
      </c>
      <c r="EJ60">
        <v>1969</v>
      </c>
      <c r="EL60">
        <v>1969</v>
      </c>
      <c r="EM60">
        <v>27.3</v>
      </c>
      <c r="EN60">
        <v>31</v>
      </c>
      <c r="EO60">
        <v>13.5</v>
      </c>
      <c r="EP60">
        <v>26.7</v>
      </c>
      <c r="EQ60">
        <v>15.5</v>
      </c>
      <c r="ER60">
        <v>24.4</v>
      </c>
      <c r="ES60">
        <v>13.5</v>
      </c>
      <c r="ET60">
        <v>0.2</v>
      </c>
      <c r="EU60">
        <v>25.4</v>
      </c>
      <c r="EV60">
        <v>18.3</v>
      </c>
      <c r="EW60">
        <v>20.100000000000001</v>
      </c>
      <c r="EX60">
        <v>27</v>
      </c>
      <c r="EZ60">
        <v>31</v>
      </c>
      <c r="FA60">
        <v>1969</v>
      </c>
      <c r="FE60">
        <v>1969</v>
      </c>
      <c r="FF60">
        <v>27</v>
      </c>
      <c r="FG60">
        <v>18</v>
      </c>
      <c r="FH60">
        <v>20</v>
      </c>
      <c r="FI60">
        <v>16</v>
      </c>
      <c r="FJ60">
        <v>7</v>
      </c>
      <c r="FK60">
        <v>10</v>
      </c>
      <c r="FL60">
        <v>13</v>
      </c>
      <c r="FM60">
        <v>6</v>
      </c>
      <c r="FN60">
        <v>13</v>
      </c>
      <c r="FO60">
        <v>15</v>
      </c>
      <c r="FP60">
        <v>21</v>
      </c>
      <c r="FQ60">
        <v>29</v>
      </c>
      <c r="FS60">
        <f t="shared" si="5"/>
        <v>195</v>
      </c>
      <c r="FT60">
        <v>1969</v>
      </c>
      <c r="FW60">
        <v>1969</v>
      </c>
      <c r="FX60">
        <v>6</v>
      </c>
      <c r="FY60">
        <v>7</v>
      </c>
      <c r="FZ60">
        <v>1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K60">
        <f t="shared" si="6"/>
        <v>14</v>
      </c>
    </row>
    <row r="61" spans="1:193" ht="15.75" customHeight="1">
      <c r="A61" s="17" t="s">
        <v>89</v>
      </c>
      <c r="F61">
        <v>12.7</v>
      </c>
      <c r="G61">
        <v>8.6999999999999993</v>
      </c>
      <c r="J61">
        <v>0.8</v>
      </c>
      <c r="K61">
        <v>0.3</v>
      </c>
      <c r="L61">
        <v>1.7</v>
      </c>
      <c r="M61">
        <v>3</v>
      </c>
      <c r="O61">
        <v>0.7</v>
      </c>
      <c r="U61">
        <v>0.8</v>
      </c>
      <c r="V61">
        <v>21.6</v>
      </c>
      <c r="W61">
        <v>7.5</v>
      </c>
      <c r="X61">
        <v>1</v>
      </c>
      <c r="Y61">
        <v>0.3</v>
      </c>
      <c r="Z61">
        <v>0.2</v>
      </c>
      <c r="AA61">
        <v>4.5</v>
      </c>
      <c r="AD61">
        <v>0.4</v>
      </c>
      <c r="AF61">
        <v>4.3</v>
      </c>
      <c r="AH61">
        <v>0.1</v>
      </c>
      <c r="AJ61">
        <v>14.7</v>
      </c>
      <c r="AM61">
        <v>7.7</v>
      </c>
      <c r="AQ61">
        <v>1.7</v>
      </c>
      <c r="AR61">
        <v>0.6</v>
      </c>
      <c r="AS61">
        <v>1</v>
      </c>
      <c r="AV61">
        <v>1.7</v>
      </c>
      <c r="AX61">
        <v>4.9000000000000004</v>
      </c>
      <c r="BA61">
        <v>1.4</v>
      </c>
      <c r="BB61">
        <v>1.6</v>
      </c>
      <c r="BD61">
        <v>20.100000000000001</v>
      </c>
      <c r="BH61">
        <v>5</v>
      </c>
      <c r="BI61">
        <v>4.2</v>
      </c>
      <c r="BJ61">
        <v>13.7</v>
      </c>
      <c r="BK61">
        <v>0.4</v>
      </c>
      <c r="BL61">
        <v>7.6</v>
      </c>
      <c r="BM61">
        <v>2.8</v>
      </c>
      <c r="BN61">
        <v>5.7</v>
      </c>
      <c r="BO61">
        <v>12.4</v>
      </c>
      <c r="BS61">
        <v>0.9</v>
      </c>
      <c r="BT61">
        <v>9.6999999999999993</v>
      </c>
      <c r="BU61">
        <v>1.5</v>
      </c>
      <c r="BV61">
        <v>0.8</v>
      </c>
      <c r="BX61">
        <v>1.9</v>
      </c>
      <c r="BY61">
        <v>20.100000000000001</v>
      </c>
      <c r="BZ61">
        <v>0.1</v>
      </c>
      <c r="CA61">
        <v>0.8</v>
      </c>
      <c r="CD61">
        <v>1.9</v>
      </c>
      <c r="CE61">
        <v>4.8</v>
      </c>
      <c r="CF61">
        <v>24</v>
      </c>
      <c r="CG61">
        <v>10.1</v>
      </c>
      <c r="CI61">
        <v>26.3</v>
      </c>
      <c r="CO61">
        <v>13.2</v>
      </c>
      <c r="CP61">
        <v>4.0999999999999996</v>
      </c>
      <c r="CQ61">
        <v>1</v>
      </c>
      <c r="CR61">
        <v>0.3</v>
      </c>
      <c r="CS61">
        <v>8</v>
      </c>
      <c r="CV61">
        <v>6.8</v>
      </c>
      <c r="CW61">
        <v>3</v>
      </c>
      <c r="CX61">
        <v>9</v>
      </c>
      <c r="CY61">
        <v>0.1</v>
      </c>
      <c r="DA61" s="2"/>
      <c r="DD61" s="1">
        <v>40964</v>
      </c>
      <c r="DE61" s="2">
        <f t="shared" si="11"/>
        <v>5.6877192982456144</v>
      </c>
      <c r="DF61" s="2">
        <f t="shared" si="12"/>
        <v>3.1784313725490199</v>
      </c>
      <c r="DG61" s="2">
        <f t="shared" si="13"/>
        <v>26.3</v>
      </c>
      <c r="DH61" s="2">
        <f t="shared" si="14"/>
        <v>0.1</v>
      </c>
      <c r="DI61" s="3">
        <f t="shared" si="15"/>
        <v>0.55882352941176472</v>
      </c>
      <c r="DK61" s="69"/>
      <c r="DL61" s="74" t="s">
        <v>29</v>
      </c>
      <c r="DM61" s="12" t="s">
        <v>27</v>
      </c>
      <c r="DN61" s="75"/>
      <c r="DO61" s="18">
        <v>0</v>
      </c>
      <c r="DP61" s="8">
        <v>0</v>
      </c>
      <c r="DQ61" s="77"/>
      <c r="DU61">
        <v>1970</v>
      </c>
      <c r="DV61" s="2">
        <v>135.70000000000101</v>
      </c>
      <c r="DW61" s="2">
        <v>146.899999999991</v>
      </c>
      <c r="DX61" s="2">
        <v>75.000000000006693</v>
      </c>
      <c r="DY61" s="2">
        <v>103.49999999999601</v>
      </c>
      <c r="DZ61" s="2">
        <v>51.500000000014197</v>
      </c>
      <c r="EA61" s="2">
        <v>11.4999999999962</v>
      </c>
      <c r="EB61" s="2">
        <v>1.9000000000000901</v>
      </c>
      <c r="EC61" s="2">
        <v>5.8000000000015497</v>
      </c>
      <c r="ED61" s="2">
        <v>107.100000000017</v>
      </c>
      <c r="EE61" s="2">
        <v>113.59999999999</v>
      </c>
      <c r="EF61" s="2">
        <v>93.699999999978999</v>
      </c>
      <c r="EG61" s="2">
        <v>116.799999999989</v>
      </c>
      <c r="EI61">
        <v>962.99999999998181</v>
      </c>
      <c r="EJ61">
        <v>1970</v>
      </c>
      <c r="EL61">
        <v>1970</v>
      </c>
      <c r="EM61">
        <v>20.5</v>
      </c>
      <c r="EN61">
        <v>31</v>
      </c>
      <c r="EO61">
        <v>18.600000000000001</v>
      </c>
      <c r="EP61">
        <v>40.799999999999997</v>
      </c>
      <c r="EQ61">
        <v>16.100000000000001</v>
      </c>
      <c r="ER61">
        <v>5.2</v>
      </c>
      <c r="ES61">
        <v>3.1</v>
      </c>
      <c r="ET61">
        <v>2.7</v>
      </c>
      <c r="EU61">
        <v>55</v>
      </c>
      <c r="EV61">
        <v>38.5</v>
      </c>
      <c r="EW61">
        <v>19.8</v>
      </c>
      <c r="EX61">
        <v>26</v>
      </c>
      <c r="EZ61">
        <v>55</v>
      </c>
      <c r="FA61">
        <v>1970</v>
      </c>
      <c r="FE61">
        <v>1970</v>
      </c>
      <c r="FF61">
        <v>24</v>
      </c>
      <c r="FG61">
        <v>19</v>
      </c>
      <c r="FH61">
        <v>19</v>
      </c>
      <c r="FI61">
        <v>14</v>
      </c>
      <c r="FJ61">
        <v>17</v>
      </c>
      <c r="FK61">
        <v>14</v>
      </c>
      <c r="FL61">
        <v>9</v>
      </c>
      <c r="FM61">
        <v>10</v>
      </c>
      <c r="FN61">
        <v>16</v>
      </c>
      <c r="FO61">
        <v>25</v>
      </c>
      <c r="FP61">
        <v>26</v>
      </c>
      <c r="FQ61">
        <v>23</v>
      </c>
      <c r="FS61">
        <f t="shared" si="5"/>
        <v>216</v>
      </c>
      <c r="FT61">
        <v>1970</v>
      </c>
      <c r="FW61">
        <v>1970</v>
      </c>
      <c r="FX61">
        <v>0</v>
      </c>
      <c r="FY61">
        <v>1</v>
      </c>
      <c r="FZ61">
        <v>2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5</v>
      </c>
      <c r="GK61">
        <f t="shared" si="6"/>
        <v>8</v>
      </c>
    </row>
    <row r="62" spans="1:193">
      <c r="A62" s="17" t="s">
        <v>90</v>
      </c>
      <c r="C62">
        <v>1.5</v>
      </c>
      <c r="F62">
        <v>0.1</v>
      </c>
      <c r="I62">
        <v>3.9</v>
      </c>
      <c r="J62">
        <v>3.4</v>
      </c>
      <c r="L62">
        <v>3.4</v>
      </c>
      <c r="M62">
        <v>2.7</v>
      </c>
      <c r="Q62">
        <v>0.3</v>
      </c>
      <c r="R62">
        <v>0.2</v>
      </c>
      <c r="U62">
        <v>0.3</v>
      </c>
      <c r="X62">
        <v>6.4</v>
      </c>
      <c r="AA62">
        <v>1.2</v>
      </c>
      <c r="AC62">
        <v>10.8</v>
      </c>
      <c r="AG62">
        <v>1.7</v>
      </c>
      <c r="AI62">
        <v>1.3</v>
      </c>
      <c r="AK62">
        <v>0.2</v>
      </c>
      <c r="AL62">
        <v>3.5</v>
      </c>
      <c r="AM62">
        <v>9.9</v>
      </c>
      <c r="AN62">
        <v>2</v>
      </c>
      <c r="AQ62">
        <v>0.5</v>
      </c>
      <c r="AU62">
        <v>19</v>
      </c>
      <c r="AV62">
        <v>4.7</v>
      </c>
      <c r="AX62">
        <v>1.2</v>
      </c>
      <c r="AY62">
        <v>3.3</v>
      </c>
      <c r="BC62">
        <v>17.600000000000001</v>
      </c>
      <c r="BD62">
        <v>1.4</v>
      </c>
      <c r="BG62">
        <v>3.5</v>
      </c>
      <c r="BH62">
        <v>0.1</v>
      </c>
      <c r="BI62">
        <v>7.3</v>
      </c>
      <c r="BJ62">
        <v>14.3</v>
      </c>
      <c r="BK62">
        <v>6.5</v>
      </c>
      <c r="BL62">
        <v>2.1</v>
      </c>
      <c r="BM62">
        <v>3.4</v>
      </c>
      <c r="BN62">
        <v>10</v>
      </c>
      <c r="BO62">
        <v>1</v>
      </c>
      <c r="BQ62">
        <v>0.2</v>
      </c>
      <c r="BS62">
        <v>0.3</v>
      </c>
      <c r="BT62">
        <v>1.8</v>
      </c>
      <c r="BU62">
        <v>0.2</v>
      </c>
      <c r="BX62">
        <v>1.7</v>
      </c>
      <c r="BY62">
        <v>10.4</v>
      </c>
      <c r="BZ62">
        <v>0.2</v>
      </c>
      <c r="CA62">
        <v>5.2</v>
      </c>
      <c r="CB62">
        <v>0.4</v>
      </c>
      <c r="CF62">
        <v>0.7</v>
      </c>
      <c r="CI62">
        <v>9.1</v>
      </c>
      <c r="CM62">
        <v>0.3</v>
      </c>
      <c r="CP62">
        <v>2.1</v>
      </c>
      <c r="CR62">
        <v>3.7</v>
      </c>
      <c r="CS62">
        <v>13.2</v>
      </c>
      <c r="CV62">
        <v>10.9</v>
      </c>
      <c r="CW62">
        <v>1.3</v>
      </c>
      <c r="CX62">
        <v>6.5</v>
      </c>
      <c r="CY62">
        <v>5.4</v>
      </c>
      <c r="CZ62">
        <v>3.9</v>
      </c>
      <c r="DA62" s="2"/>
      <c r="DD62" s="1">
        <v>40965</v>
      </c>
      <c r="DE62" s="2">
        <f t="shared" si="11"/>
        <v>4.1888888888888891</v>
      </c>
      <c r="DF62" s="2">
        <f t="shared" si="12"/>
        <v>2.2176470588235291</v>
      </c>
      <c r="DG62" s="2">
        <f t="shared" si="13"/>
        <v>19</v>
      </c>
      <c r="DH62" s="2">
        <f t="shared" si="14"/>
        <v>0.1</v>
      </c>
      <c r="DI62" s="3">
        <f t="shared" si="15"/>
        <v>0.52941176470588236</v>
      </c>
      <c r="DK62" s="70"/>
      <c r="DL62" s="67"/>
      <c r="DM62" s="12" t="s">
        <v>28</v>
      </c>
      <c r="DN62" s="67"/>
      <c r="DO62" s="8">
        <v>1927</v>
      </c>
      <c r="DP62" s="8">
        <v>1927</v>
      </c>
      <c r="DQ62" s="78"/>
      <c r="DU62">
        <v>1971</v>
      </c>
      <c r="DV62" s="2">
        <v>90.600000000000406</v>
      </c>
      <c r="DW62" s="2">
        <v>93.300000000000097</v>
      </c>
      <c r="DX62" s="2">
        <v>169.200000000008</v>
      </c>
      <c r="DY62" s="2">
        <v>18.5999999999975</v>
      </c>
      <c r="DZ62" s="2">
        <v>24.2000000000013</v>
      </c>
      <c r="EA62" s="2">
        <v>34.999999999998998</v>
      </c>
      <c r="EB62" s="2">
        <v>64.799999999993204</v>
      </c>
      <c r="EC62" s="2">
        <v>12.4000000000005</v>
      </c>
      <c r="ED62" s="2">
        <v>62.0299999999907</v>
      </c>
      <c r="EE62" s="2">
        <v>171</v>
      </c>
      <c r="EF62" s="2">
        <v>99.800000000003607</v>
      </c>
      <c r="EG62" s="2">
        <v>133.699999999987</v>
      </c>
      <c r="EI62">
        <v>974.62999999998124</v>
      </c>
      <c r="EJ62">
        <v>1971</v>
      </c>
      <c r="EL62">
        <v>1971</v>
      </c>
      <c r="EM62">
        <v>19.7</v>
      </c>
      <c r="EN62">
        <v>14.3</v>
      </c>
      <c r="EO62">
        <v>26</v>
      </c>
      <c r="EP62">
        <v>7.7</v>
      </c>
      <c r="EQ62">
        <v>4.5999999999999996</v>
      </c>
      <c r="ER62">
        <v>10.199999999999999</v>
      </c>
      <c r="ES62">
        <v>1.5</v>
      </c>
      <c r="ET62">
        <v>6.5</v>
      </c>
      <c r="EU62">
        <v>26.9</v>
      </c>
      <c r="EV62">
        <v>64</v>
      </c>
      <c r="EW62">
        <v>37</v>
      </c>
      <c r="EX62">
        <v>37.5</v>
      </c>
      <c r="EZ62">
        <v>64</v>
      </c>
      <c r="FA62">
        <v>1971</v>
      </c>
      <c r="FE62">
        <v>1971</v>
      </c>
      <c r="FF62">
        <v>22</v>
      </c>
      <c r="FG62">
        <v>26</v>
      </c>
      <c r="FH62">
        <v>24</v>
      </c>
      <c r="FI62">
        <v>18</v>
      </c>
      <c r="FJ62">
        <v>19</v>
      </c>
      <c r="FK62">
        <v>12</v>
      </c>
      <c r="FL62">
        <v>18</v>
      </c>
      <c r="FM62">
        <v>19</v>
      </c>
      <c r="FN62">
        <v>22</v>
      </c>
      <c r="FO62">
        <v>20</v>
      </c>
      <c r="FP62">
        <v>19</v>
      </c>
      <c r="FQ62">
        <v>21</v>
      </c>
      <c r="FS62">
        <f t="shared" si="5"/>
        <v>240</v>
      </c>
      <c r="FT62">
        <v>1971</v>
      </c>
      <c r="FW62">
        <v>1971</v>
      </c>
      <c r="FX62">
        <v>8</v>
      </c>
      <c r="FY62">
        <v>6</v>
      </c>
      <c r="FZ62">
        <v>5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3</v>
      </c>
      <c r="GK62">
        <f t="shared" si="6"/>
        <v>22</v>
      </c>
    </row>
    <row r="63" spans="1:193">
      <c r="A63" s="17" t="s">
        <v>91</v>
      </c>
      <c r="C63">
        <v>0.5</v>
      </c>
      <c r="F63">
        <v>9</v>
      </c>
      <c r="G63">
        <v>6.9</v>
      </c>
      <c r="L63">
        <v>3.5</v>
      </c>
      <c r="U63">
        <v>0.3</v>
      </c>
      <c r="W63">
        <v>1.6</v>
      </c>
      <c r="X63">
        <v>1.3</v>
      </c>
      <c r="Z63">
        <v>5.3</v>
      </c>
      <c r="AC63">
        <v>3.2</v>
      </c>
      <c r="AF63">
        <v>13.1</v>
      </c>
      <c r="AG63">
        <v>1.8</v>
      </c>
      <c r="AH63">
        <v>0.2</v>
      </c>
      <c r="AJ63">
        <v>3.7</v>
      </c>
      <c r="AL63">
        <v>4.4000000000000004</v>
      </c>
      <c r="AM63">
        <v>7.5</v>
      </c>
      <c r="AP63">
        <v>2.5</v>
      </c>
      <c r="AR63">
        <v>23.8</v>
      </c>
      <c r="AU63">
        <v>1</v>
      </c>
      <c r="AY63">
        <v>0.6</v>
      </c>
      <c r="AZ63">
        <v>5</v>
      </c>
      <c r="BA63">
        <v>0.3</v>
      </c>
      <c r="BC63">
        <v>1.7</v>
      </c>
      <c r="BD63">
        <v>12.7</v>
      </c>
      <c r="BG63">
        <v>17</v>
      </c>
      <c r="BH63">
        <v>3.8</v>
      </c>
      <c r="BI63">
        <v>31</v>
      </c>
      <c r="BJ63">
        <v>4.5999999999999996</v>
      </c>
      <c r="BL63">
        <v>5</v>
      </c>
      <c r="BM63">
        <v>2.6</v>
      </c>
      <c r="BN63">
        <v>3.4</v>
      </c>
      <c r="BP63">
        <v>1.7</v>
      </c>
      <c r="BQ63">
        <v>1.9</v>
      </c>
      <c r="BS63">
        <v>0.6</v>
      </c>
      <c r="BT63">
        <v>19.8</v>
      </c>
      <c r="BU63">
        <v>0.8</v>
      </c>
      <c r="BX63">
        <v>0.3</v>
      </c>
      <c r="BY63">
        <v>6</v>
      </c>
      <c r="BZ63">
        <v>0.1</v>
      </c>
      <c r="CA63">
        <v>11.3</v>
      </c>
      <c r="CB63">
        <v>12.8</v>
      </c>
      <c r="CC63">
        <v>0.1</v>
      </c>
      <c r="CI63">
        <v>0.5</v>
      </c>
      <c r="CJ63">
        <v>2.5</v>
      </c>
      <c r="CM63">
        <v>5.0999999999999996</v>
      </c>
      <c r="CN63">
        <v>0.1</v>
      </c>
      <c r="CQ63">
        <v>15</v>
      </c>
      <c r="CR63">
        <v>7.3</v>
      </c>
      <c r="CS63">
        <v>0.4</v>
      </c>
      <c r="CT63">
        <v>0.9</v>
      </c>
      <c r="CV63">
        <v>1.2</v>
      </c>
      <c r="CW63">
        <v>1.3</v>
      </c>
      <c r="CX63">
        <v>0.2</v>
      </c>
      <c r="CY63">
        <v>25</v>
      </c>
      <c r="CZ63">
        <v>2.5</v>
      </c>
      <c r="DA63" s="2"/>
      <c r="DD63" s="1">
        <v>40966</v>
      </c>
      <c r="DE63" s="2">
        <f t="shared" si="11"/>
        <v>5.4574074074074073</v>
      </c>
      <c r="DF63" s="2">
        <f t="shared" si="12"/>
        <v>2.8892156862745098</v>
      </c>
      <c r="DG63" s="2">
        <f t="shared" si="13"/>
        <v>31</v>
      </c>
      <c r="DH63" s="2">
        <f t="shared" si="14"/>
        <v>0.1</v>
      </c>
      <c r="DI63" s="3">
        <f t="shared" si="15"/>
        <v>0.52941176470588236</v>
      </c>
      <c r="DU63">
        <v>1972</v>
      </c>
      <c r="DV63" s="2">
        <v>64.7999999999995</v>
      </c>
      <c r="DW63" s="2">
        <v>55.600000000003</v>
      </c>
      <c r="DX63" s="2">
        <v>20.100000000000001</v>
      </c>
      <c r="DY63" s="2">
        <v>50.899999999998997</v>
      </c>
      <c r="DZ63" s="2">
        <v>23.799999999995599</v>
      </c>
      <c r="EA63" s="2">
        <v>20.0999999999982</v>
      </c>
      <c r="EB63" s="2">
        <v>13.100000000005901</v>
      </c>
      <c r="EC63" s="2">
        <v>39.3999999999834</v>
      </c>
      <c r="ED63" s="2">
        <v>151.099999999902</v>
      </c>
      <c r="EE63" s="2">
        <v>152.89999999996499</v>
      </c>
      <c r="EF63" s="2">
        <v>110.899999999982</v>
      </c>
      <c r="EG63" s="2">
        <v>46.800000000009199</v>
      </c>
      <c r="EI63">
        <v>749.49999999984277</v>
      </c>
      <c r="EJ63">
        <v>1972</v>
      </c>
      <c r="EL63">
        <v>1972</v>
      </c>
      <c r="EM63">
        <v>12.1</v>
      </c>
      <c r="EN63">
        <v>13.7</v>
      </c>
      <c r="EO63">
        <v>9.6</v>
      </c>
      <c r="EP63">
        <v>11.4</v>
      </c>
      <c r="EQ63">
        <v>7</v>
      </c>
      <c r="ER63">
        <v>8</v>
      </c>
      <c r="ES63">
        <v>22.3</v>
      </c>
      <c r="ET63">
        <v>16.8</v>
      </c>
      <c r="EU63">
        <v>66.400000000000006</v>
      </c>
      <c r="EV63">
        <v>38.1</v>
      </c>
      <c r="EW63">
        <v>43</v>
      </c>
      <c r="EX63">
        <v>25</v>
      </c>
      <c r="EZ63">
        <v>66.400000000000006</v>
      </c>
      <c r="FA63">
        <v>1972</v>
      </c>
      <c r="FE63">
        <v>1972</v>
      </c>
      <c r="FF63">
        <v>21</v>
      </c>
      <c r="FG63">
        <v>17</v>
      </c>
      <c r="FH63">
        <v>14</v>
      </c>
      <c r="FI63">
        <v>13</v>
      </c>
      <c r="FJ63">
        <v>8</v>
      </c>
      <c r="FK63">
        <v>8</v>
      </c>
      <c r="FL63">
        <v>5</v>
      </c>
      <c r="FM63">
        <v>13</v>
      </c>
      <c r="FN63">
        <v>19</v>
      </c>
      <c r="FO63">
        <v>19</v>
      </c>
      <c r="FP63">
        <v>20</v>
      </c>
      <c r="FQ63">
        <v>23</v>
      </c>
      <c r="FS63">
        <f t="shared" si="5"/>
        <v>180</v>
      </c>
      <c r="FT63">
        <v>1972</v>
      </c>
      <c r="FW63">
        <v>1972</v>
      </c>
      <c r="FX63">
        <v>9</v>
      </c>
      <c r="FY63">
        <v>8</v>
      </c>
      <c r="FZ63">
        <v>2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5</v>
      </c>
      <c r="GK63">
        <f t="shared" si="6"/>
        <v>24</v>
      </c>
    </row>
    <row r="64" spans="1:193">
      <c r="A64" s="17" t="s">
        <v>92</v>
      </c>
      <c r="F64">
        <v>4</v>
      </c>
      <c r="G64">
        <v>3.7</v>
      </c>
      <c r="J64">
        <v>3.5</v>
      </c>
      <c r="K64">
        <v>1.7</v>
      </c>
      <c r="N64">
        <v>1.4</v>
      </c>
      <c r="O64">
        <v>6</v>
      </c>
      <c r="R64">
        <v>4.8</v>
      </c>
      <c r="S64">
        <v>7.5</v>
      </c>
      <c r="U64">
        <v>0.2</v>
      </c>
      <c r="Z64">
        <v>2</v>
      </c>
      <c r="AF64">
        <v>6.8</v>
      </c>
      <c r="AH64">
        <v>1.6</v>
      </c>
      <c r="AI64">
        <v>0.1</v>
      </c>
      <c r="AK64">
        <v>0.3</v>
      </c>
      <c r="AM64">
        <v>2</v>
      </c>
      <c r="AQ64">
        <v>7.5</v>
      </c>
      <c r="AR64">
        <v>11.5</v>
      </c>
      <c r="AV64">
        <v>6.8</v>
      </c>
      <c r="AX64">
        <v>1.8</v>
      </c>
      <c r="AZ64">
        <v>0.6</v>
      </c>
      <c r="BC64">
        <v>0.5</v>
      </c>
      <c r="BD64">
        <v>2.5</v>
      </c>
      <c r="BI64">
        <v>8.4</v>
      </c>
      <c r="BJ64">
        <v>4</v>
      </c>
      <c r="BL64">
        <v>9</v>
      </c>
      <c r="BM64">
        <v>3.8</v>
      </c>
      <c r="BO64">
        <v>0.1</v>
      </c>
      <c r="BQ64">
        <v>0.1</v>
      </c>
      <c r="BR64">
        <v>0.1</v>
      </c>
      <c r="BS64">
        <v>9.6999999999999993</v>
      </c>
      <c r="BU64">
        <v>17.399999999999999</v>
      </c>
      <c r="BV64">
        <v>0.1</v>
      </c>
      <c r="BW64">
        <v>5.7</v>
      </c>
      <c r="BY64">
        <v>0.1</v>
      </c>
      <c r="CC64">
        <v>22</v>
      </c>
      <c r="CD64">
        <v>0.4</v>
      </c>
      <c r="CH64">
        <v>1.6</v>
      </c>
      <c r="CI64">
        <v>2.1</v>
      </c>
      <c r="CJ64">
        <v>2.5</v>
      </c>
      <c r="CM64">
        <v>1.3</v>
      </c>
      <c r="CN64">
        <v>0.5</v>
      </c>
      <c r="CR64">
        <v>0.6</v>
      </c>
      <c r="CS64">
        <v>1.8</v>
      </c>
      <c r="CT64">
        <v>0.2</v>
      </c>
      <c r="CV64">
        <v>0.5</v>
      </c>
      <c r="CX64">
        <v>0.2</v>
      </c>
      <c r="CY64">
        <v>0.5</v>
      </c>
      <c r="CZ64">
        <v>1.1000000000000001</v>
      </c>
      <c r="DA64" s="2"/>
      <c r="DD64" s="1">
        <v>40967</v>
      </c>
      <c r="DE64" s="2">
        <f t="shared" si="11"/>
        <v>3.5541666666666654</v>
      </c>
      <c r="DF64" s="2">
        <f t="shared" si="12"/>
        <v>1.6725490196078425</v>
      </c>
      <c r="DG64" s="2">
        <f t="shared" si="13"/>
        <v>22</v>
      </c>
      <c r="DH64" s="2">
        <f t="shared" si="14"/>
        <v>0.1</v>
      </c>
      <c r="DI64" s="3">
        <f t="shared" si="15"/>
        <v>0.47058823529411764</v>
      </c>
      <c r="DU64">
        <v>1973</v>
      </c>
      <c r="DV64" s="2">
        <v>69.4999999999945</v>
      </c>
      <c r="DW64" s="2">
        <v>88.199999999984598</v>
      </c>
      <c r="DX64" s="2">
        <v>62.800000000000097</v>
      </c>
      <c r="DY64" s="2">
        <v>57.400000000010301</v>
      </c>
      <c r="DZ64" s="2">
        <v>26.999999999997701</v>
      </c>
      <c r="EA64" s="2">
        <v>33.1000000000003</v>
      </c>
      <c r="EB64" s="2">
        <v>42.200000000011698</v>
      </c>
      <c r="EC64" s="2">
        <v>22.3999999999984</v>
      </c>
      <c r="ED64" s="2">
        <v>50.999999999994998</v>
      </c>
      <c r="EE64" s="2">
        <v>177.29999999999899</v>
      </c>
      <c r="EF64" s="2">
        <v>88.400000000007196</v>
      </c>
      <c r="EG64" s="2">
        <v>71.100000000003007</v>
      </c>
      <c r="EI64">
        <v>790.4000000000018</v>
      </c>
      <c r="EJ64">
        <v>1973</v>
      </c>
      <c r="EL64">
        <v>1973</v>
      </c>
      <c r="EM64">
        <v>16.3</v>
      </c>
      <c r="EN64">
        <v>16.8</v>
      </c>
      <c r="EO64">
        <v>14.7</v>
      </c>
      <c r="EP64">
        <v>9</v>
      </c>
      <c r="EQ64">
        <v>7</v>
      </c>
      <c r="ER64">
        <v>12</v>
      </c>
      <c r="ES64">
        <v>12.6</v>
      </c>
      <c r="ET64">
        <v>13.5</v>
      </c>
      <c r="EU64">
        <v>14.7</v>
      </c>
      <c r="EV64">
        <v>35.5</v>
      </c>
      <c r="EW64">
        <v>23</v>
      </c>
      <c r="EX64">
        <v>12</v>
      </c>
      <c r="EZ64">
        <v>35.5</v>
      </c>
      <c r="FA64">
        <v>1973</v>
      </c>
      <c r="FE64">
        <v>1973</v>
      </c>
      <c r="FF64">
        <v>30</v>
      </c>
      <c r="FG64">
        <v>20</v>
      </c>
      <c r="FH64">
        <v>22</v>
      </c>
      <c r="FI64">
        <v>20</v>
      </c>
      <c r="FJ64">
        <v>16</v>
      </c>
      <c r="FK64">
        <v>13</v>
      </c>
      <c r="FL64">
        <v>11</v>
      </c>
      <c r="FM64">
        <v>9</v>
      </c>
      <c r="FN64">
        <v>12</v>
      </c>
      <c r="FO64">
        <v>12</v>
      </c>
      <c r="FP64">
        <v>19</v>
      </c>
      <c r="FQ64">
        <v>21</v>
      </c>
      <c r="FS64">
        <f t="shared" si="5"/>
        <v>205</v>
      </c>
      <c r="FT64">
        <v>1973</v>
      </c>
      <c r="FW64">
        <v>1973</v>
      </c>
      <c r="FX64">
        <v>13</v>
      </c>
      <c r="FY64">
        <v>3</v>
      </c>
      <c r="FZ64">
        <v>8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4</v>
      </c>
      <c r="GI64">
        <v>3</v>
      </c>
      <c r="GK64">
        <f t="shared" si="6"/>
        <v>31</v>
      </c>
    </row>
    <row r="65" spans="1:193">
      <c r="A65" s="17" t="s">
        <v>93</v>
      </c>
      <c r="C65">
        <v>2.8</v>
      </c>
      <c r="G65">
        <v>0.1</v>
      </c>
      <c r="K65">
        <v>0.4</v>
      </c>
      <c r="O65">
        <v>7.5</v>
      </c>
      <c r="S65">
        <v>6</v>
      </c>
      <c r="AM65">
        <v>0.5</v>
      </c>
      <c r="AQ65">
        <v>0.7</v>
      </c>
      <c r="BG65">
        <v>25.9</v>
      </c>
      <c r="BO65">
        <v>0.1</v>
      </c>
      <c r="BS65">
        <v>2.7</v>
      </c>
      <c r="BW65">
        <v>0.5</v>
      </c>
      <c r="CI65">
        <v>4.7</v>
      </c>
      <c r="CY65">
        <v>1</v>
      </c>
      <c r="DA65" s="2"/>
      <c r="DD65" s="1">
        <v>40968</v>
      </c>
      <c r="DE65" s="2">
        <f t="shared" si="11"/>
        <v>4.0692307692307699</v>
      </c>
      <c r="DF65" s="2">
        <f t="shared" si="12"/>
        <v>0.5186274509803922</v>
      </c>
      <c r="DG65" s="2">
        <f t="shared" si="13"/>
        <v>25.9</v>
      </c>
      <c r="DH65" s="2">
        <f t="shared" si="14"/>
        <v>0.1</v>
      </c>
      <c r="DI65" s="3">
        <f t="shared" si="15"/>
        <v>0.12745098039215685</v>
      </c>
      <c r="DK65" s="68" t="s">
        <v>12</v>
      </c>
      <c r="DL65" s="71" t="s">
        <v>4</v>
      </c>
      <c r="DM65" s="12" t="s">
        <v>27</v>
      </c>
      <c r="DN65" s="4">
        <v>88.7</v>
      </c>
      <c r="DO65" s="5">
        <v>177.1</v>
      </c>
      <c r="DP65" s="8">
        <v>19</v>
      </c>
      <c r="DQ65" s="66"/>
      <c r="DU65">
        <v>1974</v>
      </c>
      <c r="DV65" s="2">
        <v>118.69999999998601</v>
      </c>
      <c r="DW65" s="2">
        <v>59.7999999999994</v>
      </c>
      <c r="DX65" s="2">
        <v>64.800000000004701</v>
      </c>
      <c r="DY65" s="2">
        <v>56.6999999999979</v>
      </c>
      <c r="DZ65" s="2">
        <v>153.90000000001899</v>
      </c>
      <c r="EA65" s="2">
        <v>17.4000000000065</v>
      </c>
      <c r="EB65" s="2">
        <v>12.4000000000051</v>
      </c>
      <c r="EC65" s="2">
        <v>141.19999999998899</v>
      </c>
      <c r="ED65" s="2">
        <v>47.799999999995997</v>
      </c>
      <c r="EE65" s="2">
        <v>21.900000000000201</v>
      </c>
      <c r="EF65" s="2">
        <v>85.299999999986795</v>
      </c>
      <c r="EG65" s="2">
        <v>108.60000000000601</v>
      </c>
      <c r="EI65">
        <v>888.49999999999659</v>
      </c>
      <c r="EJ65">
        <v>1974</v>
      </c>
      <c r="EL65">
        <v>1974</v>
      </c>
      <c r="EM65">
        <v>26.5</v>
      </c>
      <c r="EN65">
        <v>29.5</v>
      </c>
      <c r="EO65">
        <v>17.5</v>
      </c>
      <c r="EP65">
        <v>23</v>
      </c>
      <c r="EQ65">
        <v>84</v>
      </c>
      <c r="ER65">
        <v>8.3000000000000007</v>
      </c>
      <c r="ES65">
        <v>23.7</v>
      </c>
      <c r="ET65">
        <v>84</v>
      </c>
      <c r="EU65">
        <v>12.8</v>
      </c>
      <c r="EV65">
        <v>9.3000000000000007</v>
      </c>
      <c r="EW65">
        <v>22.3</v>
      </c>
      <c r="EX65">
        <v>21.6</v>
      </c>
      <c r="EZ65">
        <v>84</v>
      </c>
      <c r="FA65">
        <v>1974</v>
      </c>
      <c r="FE65">
        <v>1974</v>
      </c>
      <c r="FF65">
        <v>26</v>
      </c>
      <c r="FG65">
        <v>22</v>
      </c>
      <c r="FH65">
        <v>17</v>
      </c>
      <c r="FI65">
        <v>22</v>
      </c>
      <c r="FJ65">
        <v>19</v>
      </c>
      <c r="FK65">
        <v>10</v>
      </c>
      <c r="FL65">
        <v>6</v>
      </c>
      <c r="FM65">
        <v>12</v>
      </c>
      <c r="FN65">
        <v>16</v>
      </c>
      <c r="FO65">
        <v>15</v>
      </c>
      <c r="FP65">
        <v>21</v>
      </c>
      <c r="FQ65">
        <v>25</v>
      </c>
      <c r="FS65">
        <f t="shared" si="5"/>
        <v>211</v>
      </c>
      <c r="FT65">
        <v>1974</v>
      </c>
      <c r="FW65">
        <v>1974</v>
      </c>
      <c r="FX65">
        <v>1</v>
      </c>
      <c r="FY65">
        <v>2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1</v>
      </c>
      <c r="GK65">
        <f t="shared" si="6"/>
        <v>4</v>
      </c>
    </row>
    <row r="66" spans="1:193">
      <c r="A66" s="17"/>
      <c r="B66">
        <v>1911</v>
      </c>
      <c r="C66">
        <v>1912</v>
      </c>
      <c r="D66">
        <v>1913</v>
      </c>
      <c r="E66">
        <v>1914</v>
      </c>
      <c r="F66">
        <v>1915</v>
      </c>
      <c r="G66">
        <v>1916</v>
      </c>
      <c r="H66">
        <v>1917</v>
      </c>
      <c r="I66">
        <v>1918</v>
      </c>
      <c r="J66">
        <v>1919</v>
      </c>
      <c r="K66">
        <v>1920</v>
      </c>
      <c r="L66">
        <v>1921</v>
      </c>
      <c r="M66">
        <v>1922</v>
      </c>
      <c r="N66">
        <v>1923</v>
      </c>
      <c r="O66">
        <v>1924</v>
      </c>
      <c r="P66">
        <v>1925</v>
      </c>
      <c r="Q66">
        <v>1926</v>
      </c>
      <c r="R66">
        <v>1927</v>
      </c>
      <c r="S66">
        <v>1928</v>
      </c>
      <c r="T66">
        <v>1929</v>
      </c>
      <c r="U66">
        <v>1930</v>
      </c>
      <c r="V66">
        <v>1931</v>
      </c>
      <c r="W66">
        <v>1932</v>
      </c>
      <c r="X66">
        <v>1933</v>
      </c>
      <c r="Y66">
        <v>1934</v>
      </c>
      <c r="Z66">
        <v>1935</v>
      </c>
      <c r="AA66">
        <v>1936</v>
      </c>
      <c r="AB66">
        <v>1937</v>
      </c>
      <c r="AC66">
        <v>1938</v>
      </c>
      <c r="AD66">
        <v>1939</v>
      </c>
      <c r="AE66">
        <v>1940</v>
      </c>
      <c r="AF66">
        <v>1941</v>
      </c>
      <c r="AG66">
        <v>1942</v>
      </c>
      <c r="AH66">
        <v>1943</v>
      </c>
      <c r="AI66">
        <v>1944</v>
      </c>
      <c r="AJ66">
        <v>1945</v>
      </c>
      <c r="AK66">
        <v>1946</v>
      </c>
      <c r="AL66">
        <v>1947</v>
      </c>
      <c r="AM66">
        <v>1948</v>
      </c>
      <c r="AN66">
        <v>1949</v>
      </c>
      <c r="AO66">
        <v>1950</v>
      </c>
      <c r="AP66">
        <v>1951</v>
      </c>
      <c r="AQ66">
        <v>1952</v>
      </c>
      <c r="AR66">
        <v>1953</v>
      </c>
      <c r="AS66">
        <v>1954</v>
      </c>
      <c r="AT66">
        <v>1955</v>
      </c>
      <c r="AU66">
        <v>1956</v>
      </c>
      <c r="AV66">
        <v>1957</v>
      </c>
      <c r="AW66">
        <v>1958</v>
      </c>
      <c r="AX66">
        <v>1959</v>
      </c>
      <c r="AY66">
        <v>1960</v>
      </c>
      <c r="AZ66">
        <v>1961</v>
      </c>
      <c r="BA66">
        <v>1962</v>
      </c>
      <c r="BB66">
        <v>1963</v>
      </c>
      <c r="BC66">
        <v>1964</v>
      </c>
      <c r="BD66">
        <v>1965</v>
      </c>
      <c r="BE66">
        <v>1966</v>
      </c>
      <c r="BF66">
        <v>1967</v>
      </c>
      <c r="BG66">
        <v>1968</v>
      </c>
      <c r="BH66">
        <v>1969</v>
      </c>
      <c r="BI66">
        <v>1970</v>
      </c>
      <c r="BJ66">
        <v>1971</v>
      </c>
      <c r="BK66">
        <v>1972</v>
      </c>
      <c r="BL66">
        <v>1973</v>
      </c>
      <c r="BM66">
        <v>1974</v>
      </c>
      <c r="BN66">
        <v>1975</v>
      </c>
      <c r="BO66">
        <v>1976</v>
      </c>
      <c r="BP66">
        <v>1977</v>
      </c>
      <c r="BQ66">
        <v>1978</v>
      </c>
      <c r="BR66">
        <v>1979</v>
      </c>
      <c r="BS66">
        <v>1980</v>
      </c>
      <c r="BT66">
        <v>1981</v>
      </c>
      <c r="BU66">
        <v>1982</v>
      </c>
      <c r="BV66">
        <v>1983</v>
      </c>
      <c r="BW66">
        <v>1984</v>
      </c>
      <c r="BX66">
        <v>1985</v>
      </c>
      <c r="BY66">
        <v>1986</v>
      </c>
      <c r="BZ66">
        <v>1987</v>
      </c>
      <c r="CA66">
        <v>1988</v>
      </c>
      <c r="CB66">
        <v>1989</v>
      </c>
      <c r="CC66">
        <v>1990</v>
      </c>
      <c r="CD66">
        <v>1991</v>
      </c>
      <c r="CE66">
        <v>1992</v>
      </c>
      <c r="CF66">
        <v>1993</v>
      </c>
      <c r="CG66">
        <v>1994</v>
      </c>
      <c r="CH66">
        <v>1995</v>
      </c>
      <c r="CI66">
        <v>1996</v>
      </c>
      <c r="CJ66">
        <v>1997</v>
      </c>
      <c r="CK66">
        <v>1998</v>
      </c>
      <c r="CL66">
        <v>1999</v>
      </c>
      <c r="CM66">
        <v>2000</v>
      </c>
      <c r="CN66">
        <v>2001</v>
      </c>
      <c r="CO66">
        <v>2002</v>
      </c>
      <c r="CP66">
        <v>2003</v>
      </c>
      <c r="CQ66">
        <v>2004</v>
      </c>
      <c r="CR66">
        <v>2005</v>
      </c>
      <c r="CS66">
        <v>2006</v>
      </c>
      <c r="CT66">
        <v>2007</v>
      </c>
      <c r="CU66">
        <v>2008</v>
      </c>
      <c r="CV66">
        <v>2009</v>
      </c>
      <c r="CW66">
        <v>2010</v>
      </c>
      <c r="CX66">
        <v>2011</v>
      </c>
      <c r="CY66">
        <v>2012</v>
      </c>
      <c r="CZ66">
        <v>2013</v>
      </c>
      <c r="DA66" s="2"/>
      <c r="DD66" s="1"/>
      <c r="DK66" s="69"/>
      <c r="DL66" s="67"/>
      <c r="DM66" s="12" t="s">
        <v>33</v>
      </c>
      <c r="DN66" s="13">
        <v>5327</v>
      </c>
      <c r="DO66" s="19">
        <v>1913</v>
      </c>
      <c r="DP66" s="8">
        <v>1971</v>
      </c>
      <c r="DQ66" s="79"/>
      <c r="DU66">
        <v>1975</v>
      </c>
      <c r="DV66" s="2">
        <v>131.30000000000601</v>
      </c>
      <c r="DW66" s="2">
        <v>80.299999999996999</v>
      </c>
      <c r="DX66" s="2">
        <v>90.399999999993497</v>
      </c>
      <c r="DY66" s="2">
        <v>31.500000000000099</v>
      </c>
      <c r="DZ66" s="2">
        <v>58.700000000005403</v>
      </c>
      <c r="EA66" s="2">
        <v>45.800000000000601</v>
      </c>
      <c r="EB66" s="2">
        <v>47.399999999988999</v>
      </c>
      <c r="EC66" s="2">
        <v>106.899999999998</v>
      </c>
      <c r="ED66" s="2">
        <v>33.499999999991203</v>
      </c>
      <c r="EE66" s="2">
        <v>93.900000000003402</v>
      </c>
      <c r="EF66" s="2">
        <v>74.000000000017906</v>
      </c>
      <c r="EG66" s="2">
        <v>111.199999999995</v>
      </c>
      <c r="EI66">
        <v>904.89999999999714</v>
      </c>
      <c r="EJ66">
        <v>1975</v>
      </c>
      <c r="EL66">
        <v>1975</v>
      </c>
      <c r="EM66">
        <v>39</v>
      </c>
      <c r="EN66">
        <v>16</v>
      </c>
      <c r="EO66">
        <v>19</v>
      </c>
      <c r="EP66">
        <v>10.9</v>
      </c>
      <c r="EQ66">
        <v>19.399999999999999</v>
      </c>
      <c r="ER66">
        <v>33.5</v>
      </c>
      <c r="ES66">
        <v>8.6</v>
      </c>
      <c r="ET66">
        <v>30.9</v>
      </c>
      <c r="EU66">
        <v>17.5</v>
      </c>
      <c r="EV66">
        <v>21.5</v>
      </c>
      <c r="EW66">
        <v>21.2</v>
      </c>
      <c r="EX66">
        <v>28.8</v>
      </c>
      <c r="EZ66">
        <v>39</v>
      </c>
      <c r="FA66">
        <v>1975</v>
      </c>
      <c r="FE66">
        <v>1975</v>
      </c>
      <c r="FF66">
        <v>24</v>
      </c>
      <c r="FG66">
        <v>25</v>
      </c>
      <c r="FH66">
        <v>13</v>
      </c>
      <c r="FI66">
        <v>10</v>
      </c>
      <c r="FJ66">
        <v>14</v>
      </c>
      <c r="FK66">
        <v>10</v>
      </c>
      <c r="FL66">
        <v>11</v>
      </c>
      <c r="FM66">
        <v>16</v>
      </c>
      <c r="FN66">
        <v>9</v>
      </c>
      <c r="FO66">
        <v>17</v>
      </c>
      <c r="FP66">
        <v>15</v>
      </c>
      <c r="FQ66">
        <v>18</v>
      </c>
      <c r="FS66">
        <f t="shared" si="5"/>
        <v>182</v>
      </c>
      <c r="FT66">
        <v>1975</v>
      </c>
      <c r="FW66">
        <v>1975</v>
      </c>
      <c r="FX66">
        <v>6</v>
      </c>
      <c r="FY66">
        <v>6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3</v>
      </c>
      <c r="GK66">
        <f t="shared" si="6"/>
        <v>15</v>
      </c>
    </row>
    <row r="67" spans="1:193">
      <c r="A67" s="17" t="s">
        <v>30</v>
      </c>
      <c r="C67">
        <f>SUM(C37:C65)</f>
        <v>37.799999999999997</v>
      </c>
      <c r="D67">
        <f t="shared" ref="D67:BO67" si="16">SUM(D37:D65)</f>
        <v>115.29999999999998</v>
      </c>
      <c r="E67">
        <f t="shared" si="16"/>
        <v>3.9999999999999996</v>
      </c>
      <c r="F67">
        <f t="shared" si="16"/>
        <v>87.399999999999991</v>
      </c>
      <c r="G67">
        <f t="shared" si="16"/>
        <v>58.8</v>
      </c>
      <c r="H67">
        <f t="shared" si="16"/>
        <v>69.600000000000009</v>
      </c>
      <c r="I67">
        <f t="shared" si="16"/>
        <v>66.099999999999994</v>
      </c>
      <c r="J67">
        <f t="shared" si="16"/>
        <v>89.7</v>
      </c>
      <c r="K67">
        <f t="shared" si="16"/>
        <v>94.600000000000009</v>
      </c>
      <c r="L67">
        <f t="shared" si="16"/>
        <v>39.6</v>
      </c>
      <c r="M67">
        <f t="shared" si="16"/>
        <v>64.7</v>
      </c>
      <c r="N67">
        <f t="shared" si="16"/>
        <v>93.800000000000011</v>
      </c>
      <c r="O67">
        <f t="shared" si="16"/>
        <v>86.9</v>
      </c>
      <c r="P67">
        <f t="shared" si="16"/>
        <v>11.1</v>
      </c>
      <c r="Q67">
        <f t="shared" si="16"/>
        <v>19.100000000000001</v>
      </c>
      <c r="R67">
        <f t="shared" si="16"/>
        <v>201.90000000000003</v>
      </c>
      <c r="S67">
        <f t="shared" si="16"/>
        <v>78.099999999999994</v>
      </c>
      <c r="T67">
        <f t="shared" si="16"/>
        <v>9</v>
      </c>
      <c r="U67">
        <f t="shared" si="16"/>
        <v>56.699999999999989</v>
      </c>
      <c r="V67">
        <f t="shared" si="16"/>
        <v>125</v>
      </c>
      <c r="W67">
        <f t="shared" si="16"/>
        <v>98.000000000000014</v>
      </c>
      <c r="X67">
        <f t="shared" si="16"/>
        <v>106.5</v>
      </c>
      <c r="Y67">
        <f t="shared" si="16"/>
        <v>23.8</v>
      </c>
      <c r="Z67">
        <f t="shared" si="16"/>
        <v>92.4</v>
      </c>
      <c r="AA67">
        <f t="shared" si="16"/>
        <v>185.80000000000004</v>
      </c>
      <c r="AB67">
        <f t="shared" si="16"/>
        <v>79.900000000000006</v>
      </c>
      <c r="AC67">
        <f t="shared" si="16"/>
        <v>47.000000000000014</v>
      </c>
      <c r="AD67">
        <f t="shared" si="16"/>
        <v>60.3</v>
      </c>
      <c r="AE67">
        <f t="shared" si="16"/>
        <v>106.1</v>
      </c>
      <c r="AF67">
        <f t="shared" si="16"/>
        <v>84.799999999999983</v>
      </c>
      <c r="AG67">
        <f t="shared" si="16"/>
        <v>76.599999999999994</v>
      </c>
      <c r="AH67">
        <f t="shared" si="16"/>
        <v>24.1</v>
      </c>
      <c r="AI67">
        <f t="shared" si="16"/>
        <v>78.899999999999991</v>
      </c>
      <c r="AJ67">
        <f t="shared" si="16"/>
        <v>67.5</v>
      </c>
      <c r="AK67">
        <f t="shared" si="16"/>
        <v>101.60000000000001</v>
      </c>
      <c r="AL67">
        <f t="shared" si="16"/>
        <v>110.6</v>
      </c>
      <c r="AM67">
        <f t="shared" si="16"/>
        <v>229.80000000000004</v>
      </c>
      <c r="AN67">
        <f t="shared" si="16"/>
        <v>68.000000000000014</v>
      </c>
      <c r="AO67">
        <f t="shared" si="16"/>
        <v>53.2</v>
      </c>
      <c r="AP67">
        <f t="shared" si="16"/>
        <v>65</v>
      </c>
      <c r="AQ67">
        <f t="shared" si="16"/>
        <v>126.7</v>
      </c>
      <c r="AR67">
        <f t="shared" si="16"/>
        <v>144.4</v>
      </c>
      <c r="AS67">
        <f t="shared" si="16"/>
        <v>84.000000000000014</v>
      </c>
      <c r="AT67">
        <f t="shared" si="16"/>
        <v>84.200000000000017</v>
      </c>
      <c r="AU67">
        <f t="shared" si="16"/>
        <v>225.10000000000002</v>
      </c>
      <c r="AV67">
        <f t="shared" si="16"/>
        <v>43.6</v>
      </c>
      <c r="AW67">
        <f t="shared" si="16"/>
        <v>67</v>
      </c>
      <c r="AX67">
        <f t="shared" si="16"/>
        <v>58.3</v>
      </c>
      <c r="AY67">
        <f t="shared" si="16"/>
        <v>47.300000000000004</v>
      </c>
      <c r="AZ67">
        <f t="shared" si="16"/>
        <v>86.899999999999991</v>
      </c>
      <c r="BA67">
        <f t="shared" si="16"/>
        <v>99.100000000000009</v>
      </c>
      <c r="BB67">
        <f t="shared" si="16"/>
        <v>137.9</v>
      </c>
      <c r="BC67">
        <f t="shared" si="16"/>
        <v>93.399999999999991</v>
      </c>
      <c r="BD67">
        <f t="shared" si="16"/>
        <v>196.4</v>
      </c>
      <c r="BE67">
        <f t="shared" si="16"/>
        <v>15.3</v>
      </c>
      <c r="BF67">
        <f t="shared" si="16"/>
        <v>63.9</v>
      </c>
      <c r="BG67">
        <f t="shared" si="16"/>
        <v>83.9</v>
      </c>
      <c r="BH67">
        <f t="shared" si="16"/>
        <v>88.999999999999986</v>
      </c>
      <c r="BI67">
        <f t="shared" si="16"/>
        <v>146.9</v>
      </c>
      <c r="BJ67">
        <f t="shared" si="16"/>
        <v>93.3</v>
      </c>
      <c r="BK67">
        <f t="shared" si="16"/>
        <v>55.600000000000009</v>
      </c>
      <c r="BL67">
        <f t="shared" si="16"/>
        <v>88.2</v>
      </c>
      <c r="BM67">
        <f t="shared" si="16"/>
        <v>59.8</v>
      </c>
      <c r="BN67">
        <f t="shared" si="16"/>
        <v>80.300000000000011</v>
      </c>
      <c r="BO67">
        <f t="shared" si="16"/>
        <v>52.6</v>
      </c>
      <c r="BP67">
        <f t="shared" ref="BP67:CZ67" si="17">SUM(BP37:BP65)</f>
        <v>17</v>
      </c>
      <c r="BQ67">
        <f t="shared" si="17"/>
        <v>80.100000000000023</v>
      </c>
      <c r="BR67">
        <f t="shared" si="17"/>
        <v>62.000000000000007</v>
      </c>
      <c r="BS67">
        <f t="shared" si="17"/>
        <v>119.79999999999998</v>
      </c>
      <c r="BT67">
        <f t="shared" si="17"/>
        <v>138.9</v>
      </c>
      <c r="BU67">
        <f t="shared" si="17"/>
        <v>106.70000000000002</v>
      </c>
      <c r="BV67">
        <f t="shared" si="17"/>
        <v>92.999999999999986</v>
      </c>
      <c r="BW67">
        <f t="shared" si="17"/>
        <v>37.400000000000006</v>
      </c>
      <c r="BX67">
        <f t="shared" si="17"/>
        <v>83.90000000000002</v>
      </c>
      <c r="BY67">
        <f t="shared" si="17"/>
        <v>119.9</v>
      </c>
      <c r="BZ67">
        <f t="shared" si="17"/>
        <v>32.600000000000009</v>
      </c>
      <c r="CA67">
        <f t="shared" si="17"/>
        <v>47.7</v>
      </c>
      <c r="CB67">
        <f t="shared" si="17"/>
        <v>17.8</v>
      </c>
      <c r="CC67">
        <f t="shared" si="17"/>
        <v>56.6</v>
      </c>
      <c r="CD67">
        <f t="shared" si="17"/>
        <v>49.099999999999994</v>
      </c>
      <c r="CE67">
        <f t="shared" si="17"/>
        <v>77.3</v>
      </c>
      <c r="CF67">
        <f t="shared" si="17"/>
        <v>58.300000000000004</v>
      </c>
      <c r="CG67">
        <f t="shared" si="17"/>
        <v>52.300000000000004</v>
      </c>
      <c r="CH67">
        <f t="shared" si="17"/>
        <v>43.300000000000004</v>
      </c>
      <c r="CI67">
        <f t="shared" si="17"/>
        <v>129.19999999999999</v>
      </c>
      <c r="CJ67">
        <f t="shared" si="17"/>
        <v>58.5</v>
      </c>
      <c r="CK67">
        <f t="shared" si="17"/>
        <v>65.599999999999994</v>
      </c>
      <c r="CL67">
        <f t="shared" si="17"/>
        <v>136.5</v>
      </c>
      <c r="CM67">
        <f t="shared" si="17"/>
        <v>93.699999999999974</v>
      </c>
      <c r="CN67">
        <f t="shared" si="17"/>
        <v>80.2</v>
      </c>
      <c r="CO67">
        <f t="shared" si="17"/>
        <v>44.8</v>
      </c>
      <c r="CP67">
        <f t="shared" si="17"/>
        <v>189.79999999999998</v>
      </c>
      <c r="CQ67">
        <f t="shared" si="17"/>
        <v>73.300000000000011</v>
      </c>
      <c r="CR67">
        <f t="shared" si="17"/>
        <v>146.10000000000002</v>
      </c>
      <c r="CS67">
        <f t="shared" si="17"/>
        <v>147.9</v>
      </c>
      <c r="CT67">
        <f t="shared" si="17"/>
        <v>24.1</v>
      </c>
      <c r="CU67">
        <f t="shared" si="17"/>
        <v>80.600000000000009</v>
      </c>
      <c r="CV67">
        <f t="shared" si="17"/>
        <v>194.50000000000006</v>
      </c>
      <c r="CW67">
        <f t="shared" si="17"/>
        <v>112.09999999999998</v>
      </c>
      <c r="CX67">
        <f t="shared" si="17"/>
        <v>42.600000000000009</v>
      </c>
      <c r="CY67">
        <f t="shared" si="17"/>
        <v>107.9</v>
      </c>
      <c r="CZ67">
        <f t="shared" si="17"/>
        <v>58.800000000000004</v>
      </c>
      <c r="DA67" s="2"/>
      <c r="DD67" s="1"/>
      <c r="DK67" s="69"/>
      <c r="DL67" s="72"/>
      <c r="DM67" s="73"/>
      <c r="DN67" s="12" t="s">
        <v>24</v>
      </c>
      <c r="DO67" s="11" t="s">
        <v>25</v>
      </c>
      <c r="DP67" s="11" t="s">
        <v>19</v>
      </c>
      <c r="DQ67" s="79"/>
      <c r="DU67">
        <v>1976</v>
      </c>
      <c r="DV67" s="2">
        <v>66.8</v>
      </c>
      <c r="DW67" s="2">
        <v>52.599999999989798</v>
      </c>
      <c r="DX67" s="2">
        <v>25.799999999996398</v>
      </c>
      <c r="DY67" s="2">
        <v>25.8999999999984</v>
      </c>
      <c r="DZ67" s="2">
        <v>10.899999999999901</v>
      </c>
      <c r="EA67" s="2">
        <v>21.299999999998299</v>
      </c>
      <c r="EB67" s="2">
        <v>99.100000000005807</v>
      </c>
      <c r="EC67" s="2">
        <v>42.400000000004603</v>
      </c>
      <c r="ED67" s="2">
        <v>135.39999999997499</v>
      </c>
      <c r="EE67" s="2">
        <v>84.499999999997698</v>
      </c>
      <c r="EF67" s="2">
        <v>79.100000000012699</v>
      </c>
      <c r="EG67" s="2">
        <v>142.70000000003</v>
      </c>
      <c r="EI67">
        <v>786.50000000000455</v>
      </c>
      <c r="EJ67">
        <v>1976</v>
      </c>
      <c r="EL67">
        <v>1976</v>
      </c>
      <c r="EM67">
        <v>21</v>
      </c>
      <c r="EN67">
        <v>12.4</v>
      </c>
      <c r="EO67">
        <v>6</v>
      </c>
      <c r="EP67">
        <v>15.7</v>
      </c>
      <c r="EQ67">
        <v>2.8</v>
      </c>
      <c r="ER67">
        <v>9</v>
      </c>
      <c r="ES67">
        <v>23.3</v>
      </c>
      <c r="ET67">
        <v>15</v>
      </c>
      <c r="EU67">
        <v>33</v>
      </c>
      <c r="EV67">
        <v>26.3</v>
      </c>
      <c r="EW67">
        <v>29.7</v>
      </c>
      <c r="EX67">
        <v>39.4</v>
      </c>
      <c r="EZ67">
        <v>39.4</v>
      </c>
      <c r="FA67">
        <v>1976</v>
      </c>
      <c r="FE67">
        <v>1976</v>
      </c>
      <c r="FF67">
        <v>16</v>
      </c>
      <c r="FG67">
        <v>22</v>
      </c>
      <c r="FH67">
        <v>14</v>
      </c>
      <c r="FI67">
        <v>14</v>
      </c>
      <c r="FJ67">
        <v>8</v>
      </c>
      <c r="FK67">
        <v>7</v>
      </c>
      <c r="FL67">
        <v>5</v>
      </c>
      <c r="FM67">
        <v>13</v>
      </c>
      <c r="FN67">
        <v>11</v>
      </c>
      <c r="FO67">
        <v>16</v>
      </c>
      <c r="FP67">
        <v>16</v>
      </c>
      <c r="FQ67">
        <v>17</v>
      </c>
      <c r="FS67">
        <f t="shared" ref="FS67:FS104" si="18">SUM(FF67:FQ67)</f>
        <v>159</v>
      </c>
      <c r="FT67">
        <v>1976</v>
      </c>
      <c r="FW67">
        <v>1976</v>
      </c>
      <c r="FX67">
        <v>4</v>
      </c>
      <c r="FY67">
        <v>11</v>
      </c>
      <c r="FZ67">
        <v>3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1</v>
      </c>
      <c r="GI67">
        <v>3</v>
      </c>
      <c r="GK67">
        <f t="shared" ref="GK67:GK103" si="19">SUM(FX67:GI67)</f>
        <v>22</v>
      </c>
    </row>
    <row r="68" spans="1:193">
      <c r="A68" s="17" t="s">
        <v>4</v>
      </c>
      <c r="C68">
        <f>MAX(C37:C65)</f>
        <v>9.6</v>
      </c>
      <c r="D68">
        <f t="shared" ref="D68:BO68" si="20">MAX(D37:D65)</f>
        <v>20.3</v>
      </c>
      <c r="E68">
        <f t="shared" si="20"/>
        <v>2.4</v>
      </c>
      <c r="F68">
        <f t="shared" si="20"/>
        <v>18.600000000000001</v>
      </c>
      <c r="G68">
        <f t="shared" si="20"/>
        <v>15.3</v>
      </c>
      <c r="H68">
        <f t="shared" si="20"/>
        <v>28.2</v>
      </c>
      <c r="I68">
        <f t="shared" si="20"/>
        <v>7.7</v>
      </c>
      <c r="J68">
        <f t="shared" si="20"/>
        <v>19</v>
      </c>
      <c r="K68">
        <f t="shared" si="20"/>
        <v>42.2</v>
      </c>
      <c r="L68">
        <f t="shared" si="20"/>
        <v>11</v>
      </c>
      <c r="M68">
        <f t="shared" si="20"/>
        <v>18.5</v>
      </c>
      <c r="N68">
        <f t="shared" si="20"/>
        <v>20.2</v>
      </c>
      <c r="O68">
        <f t="shared" si="20"/>
        <v>23.3</v>
      </c>
      <c r="P68">
        <f t="shared" si="20"/>
        <v>6</v>
      </c>
      <c r="Q68">
        <f t="shared" si="20"/>
        <v>14.5</v>
      </c>
      <c r="R68">
        <f t="shared" si="20"/>
        <v>55.1</v>
      </c>
      <c r="S68">
        <f t="shared" si="20"/>
        <v>15.1</v>
      </c>
      <c r="T68">
        <f t="shared" si="20"/>
        <v>4</v>
      </c>
      <c r="U68">
        <f t="shared" si="20"/>
        <v>22.8</v>
      </c>
      <c r="V68">
        <f t="shared" si="20"/>
        <v>21.6</v>
      </c>
      <c r="W68">
        <f t="shared" si="20"/>
        <v>26.1</v>
      </c>
      <c r="X68">
        <f t="shared" si="20"/>
        <v>24.5</v>
      </c>
      <c r="Y68">
        <f t="shared" si="20"/>
        <v>11.7</v>
      </c>
      <c r="Z68">
        <f t="shared" si="20"/>
        <v>45.6</v>
      </c>
      <c r="AA68">
        <f t="shared" si="20"/>
        <v>57.5</v>
      </c>
      <c r="AB68">
        <f t="shared" si="20"/>
        <v>20.6</v>
      </c>
      <c r="AC68">
        <f t="shared" si="20"/>
        <v>10.8</v>
      </c>
      <c r="AD68">
        <f t="shared" si="20"/>
        <v>24</v>
      </c>
      <c r="AE68">
        <f t="shared" si="20"/>
        <v>17.600000000000001</v>
      </c>
      <c r="AF68">
        <f t="shared" si="20"/>
        <v>20.5</v>
      </c>
      <c r="AG68">
        <f t="shared" si="20"/>
        <v>17.2</v>
      </c>
      <c r="AH68">
        <f t="shared" si="20"/>
        <v>7</v>
      </c>
      <c r="AI68">
        <f t="shared" si="20"/>
        <v>20</v>
      </c>
      <c r="AJ68">
        <f t="shared" si="20"/>
        <v>19.100000000000001</v>
      </c>
      <c r="AK68">
        <f t="shared" si="20"/>
        <v>22.8</v>
      </c>
      <c r="AL68">
        <f t="shared" si="20"/>
        <v>51</v>
      </c>
      <c r="AM68">
        <f t="shared" si="20"/>
        <v>49.2</v>
      </c>
      <c r="AN68">
        <f t="shared" si="20"/>
        <v>17</v>
      </c>
      <c r="AO68">
        <f t="shared" si="20"/>
        <v>15</v>
      </c>
      <c r="AP68">
        <f t="shared" si="20"/>
        <v>20</v>
      </c>
      <c r="AQ68">
        <f t="shared" si="20"/>
        <v>25.8</v>
      </c>
      <c r="AR68">
        <f t="shared" si="20"/>
        <v>26.5</v>
      </c>
      <c r="AS68">
        <f t="shared" si="20"/>
        <v>26.4</v>
      </c>
      <c r="AT68">
        <f t="shared" si="20"/>
        <v>33.5</v>
      </c>
      <c r="AU68">
        <f t="shared" si="20"/>
        <v>35.5</v>
      </c>
      <c r="AV68">
        <f t="shared" si="20"/>
        <v>11.2</v>
      </c>
      <c r="AW68">
        <f t="shared" si="20"/>
        <v>52.5</v>
      </c>
      <c r="AX68">
        <f t="shared" si="20"/>
        <v>12</v>
      </c>
      <c r="AY68">
        <f t="shared" si="20"/>
        <v>8.1</v>
      </c>
      <c r="AZ68">
        <f t="shared" si="20"/>
        <v>19.2</v>
      </c>
      <c r="BA68">
        <f t="shared" si="20"/>
        <v>42.6</v>
      </c>
      <c r="BB68">
        <f t="shared" si="20"/>
        <v>20.2</v>
      </c>
      <c r="BC68">
        <f t="shared" si="20"/>
        <v>17.600000000000001</v>
      </c>
      <c r="BD68">
        <f t="shared" si="20"/>
        <v>32.4</v>
      </c>
      <c r="BE68">
        <f t="shared" si="20"/>
        <v>9.4</v>
      </c>
      <c r="BF68">
        <f t="shared" si="20"/>
        <v>17.899999999999999</v>
      </c>
      <c r="BG68">
        <f t="shared" si="20"/>
        <v>25.9</v>
      </c>
      <c r="BH68">
        <f t="shared" si="20"/>
        <v>31</v>
      </c>
      <c r="BI68">
        <f t="shared" si="20"/>
        <v>31</v>
      </c>
      <c r="BJ68">
        <f t="shared" si="20"/>
        <v>14.3</v>
      </c>
      <c r="BK68">
        <f t="shared" si="20"/>
        <v>13.7</v>
      </c>
      <c r="BL68">
        <f t="shared" si="20"/>
        <v>16.8</v>
      </c>
      <c r="BM68">
        <f t="shared" si="20"/>
        <v>29.5</v>
      </c>
      <c r="BN68">
        <f t="shared" si="20"/>
        <v>16</v>
      </c>
      <c r="BO68">
        <f t="shared" si="20"/>
        <v>12.4</v>
      </c>
      <c r="BP68">
        <f t="shared" ref="BP68:CZ68" si="21">MAX(BP37:BP65)</f>
        <v>6</v>
      </c>
      <c r="BQ68">
        <f t="shared" si="21"/>
        <v>28.6</v>
      </c>
      <c r="BR68">
        <f t="shared" si="21"/>
        <v>13.7</v>
      </c>
      <c r="BS68">
        <f t="shared" si="21"/>
        <v>38.5</v>
      </c>
      <c r="BT68">
        <f t="shared" si="21"/>
        <v>86.9</v>
      </c>
      <c r="BU68">
        <f t="shared" si="21"/>
        <v>28.9</v>
      </c>
      <c r="BV68">
        <f t="shared" si="21"/>
        <v>23.9</v>
      </c>
      <c r="BW68">
        <f t="shared" si="21"/>
        <v>8.8000000000000007</v>
      </c>
      <c r="BX68">
        <f t="shared" si="21"/>
        <v>19.5</v>
      </c>
      <c r="BY68">
        <f t="shared" si="21"/>
        <v>21.2</v>
      </c>
      <c r="BZ68">
        <f t="shared" si="21"/>
        <v>19.3</v>
      </c>
      <c r="CA68">
        <f t="shared" si="21"/>
        <v>14</v>
      </c>
      <c r="CB68">
        <f t="shared" si="21"/>
        <v>12.8</v>
      </c>
      <c r="CC68">
        <f t="shared" si="21"/>
        <v>22</v>
      </c>
      <c r="CD68">
        <f t="shared" si="21"/>
        <v>19.5</v>
      </c>
      <c r="CE68">
        <f t="shared" si="21"/>
        <v>15.7</v>
      </c>
      <c r="CF68">
        <f t="shared" si="21"/>
        <v>24</v>
      </c>
      <c r="CG68">
        <f t="shared" si="21"/>
        <v>19</v>
      </c>
      <c r="CH68">
        <f t="shared" si="21"/>
        <v>17.5</v>
      </c>
      <c r="CI68">
        <f t="shared" si="21"/>
        <v>36.299999999999997</v>
      </c>
      <c r="CJ68">
        <f t="shared" si="21"/>
        <v>18.5</v>
      </c>
      <c r="CK68">
        <f t="shared" si="21"/>
        <v>18.5</v>
      </c>
      <c r="CL68">
        <f t="shared" si="21"/>
        <v>29</v>
      </c>
      <c r="CM68">
        <f t="shared" si="21"/>
        <v>40.5</v>
      </c>
      <c r="CN68">
        <f t="shared" si="21"/>
        <v>23.5</v>
      </c>
      <c r="CO68">
        <f t="shared" si="21"/>
        <v>16.600000000000001</v>
      </c>
      <c r="CP68">
        <f t="shared" si="21"/>
        <v>33.700000000000003</v>
      </c>
      <c r="CQ68">
        <f t="shared" si="21"/>
        <v>19.100000000000001</v>
      </c>
      <c r="CR68">
        <f t="shared" si="21"/>
        <v>30</v>
      </c>
      <c r="CS68">
        <f t="shared" si="21"/>
        <v>31.6</v>
      </c>
      <c r="CT68">
        <f t="shared" si="21"/>
        <v>6.4</v>
      </c>
      <c r="CU68">
        <f t="shared" si="21"/>
        <v>29.6</v>
      </c>
      <c r="CV68">
        <f t="shared" si="21"/>
        <v>30.3</v>
      </c>
      <c r="CW68">
        <f t="shared" si="21"/>
        <v>39.299999999999997</v>
      </c>
      <c r="CX68">
        <f t="shared" si="21"/>
        <v>9</v>
      </c>
      <c r="CY68">
        <f t="shared" si="21"/>
        <v>25</v>
      </c>
      <c r="CZ68">
        <f t="shared" si="21"/>
        <v>11</v>
      </c>
      <c r="DA68" s="2"/>
      <c r="DD68" s="1"/>
      <c r="DK68" s="69"/>
      <c r="DL68" s="74" t="s">
        <v>29</v>
      </c>
      <c r="DM68" s="12" t="s">
        <v>27</v>
      </c>
      <c r="DN68" s="75"/>
      <c r="DO68" s="18">
        <v>0</v>
      </c>
      <c r="DP68" s="8">
        <v>0</v>
      </c>
      <c r="DQ68" s="79"/>
      <c r="DU68">
        <v>1977</v>
      </c>
      <c r="DV68" s="2">
        <v>61.6</v>
      </c>
      <c r="DW68" s="2">
        <v>17.000000000000899</v>
      </c>
      <c r="DX68" s="2">
        <v>75.300000000002697</v>
      </c>
      <c r="DY68" s="2">
        <v>64.500000000019199</v>
      </c>
      <c r="DZ68" s="2">
        <v>9.4000000000017998</v>
      </c>
      <c r="EA68" s="2">
        <v>35.299999999993702</v>
      </c>
      <c r="EB68" s="2">
        <v>5.5999999999985501</v>
      </c>
      <c r="EC68" s="2">
        <v>4.1999999999997</v>
      </c>
      <c r="ED68" s="2">
        <v>62.599999999991198</v>
      </c>
      <c r="EE68" s="2">
        <v>44.899999999986697</v>
      </c>
      <c r="EF68" s="2">
        <v>83.500000000011894</v>
      </c>
      <c r="EG68" s="2">
        <v>178.89999999999301</v>
      </c>
      <c r="EI68">
        <v>642.80000000000632</v>
      </c>
      <c r="EJ68">
        <v>1977</v>
      </c>
      <c r="EL68">
        <v>1977</v>
      </c>
      <c r="EM68">
        <v>10</v>
      </c>
      <c r="EN68">
        <v>6</v>
      </c>
      <c r="EO68">
        <v>17.100000000000001</v>
      </c>
      <c r="EP68">
        <v>30.6</v>
      </c>
      <c r="EQ68">
        <v>3.5</v>
      </c>
      <c r="ER68">
        <v>12.8</v>
      </c>
      <c r="ES68">
        <v>71.5</v>
      </c>
      <c r="ET68">
        <v>2.8</v>
      </c>
      <c r="EU68">
        <v>11.5</v>
      </c>
      <c r="EV68">
        <v>18.8</v>
      </c>
      <c r="EW68">
        <v>20.9</v>
      </c>
      <c r="EX68">
        <v>42.4</v>
      </c>
      <c r="EZ68">
        <v>71.5</v>
      </c>
      <c r="FA68">
        <v>1977</v>
      </c>
      <c r="FE68">
        <v>1977</v>
      </c>
      <c r="FF68">
        <v>25</v>
      </c>
      <c r="FG68">
        <v>8</v>
      </c>
      <c r="FH68">
        <v>16</v>
      </c>
      <c r="FI68">
        <v>10</v>
      </c>
      <c r="FJ68">
        <v>10</v>
      </c>
      <c r="FK68">
        <v>10</v>
      </c>
      <c r="FL68">
        <v>5</v>
      </c>
      <c r="FM68">
        <v>10</v>
      </c>
      <c r="FN68">
        <v>17</v>
      </c>
      <c r="FO68">
        <v>13</v>
      </c>
      <c r="FP68">
        <v>17</v>
      </c>
      <c r="FQ68">
        <v>26</v>
      </c>
      <c r="FS68">
        <f t="shared" si="18"/>
        <v>167</v>
      </c>
      <c r="FT68">
        <v>1977</v>
      </c>
      <c r="FW68">
        <v>1977</v>
      </c>
      <c r="FX68">
        <v>4</v>
      </c>
      <c r="FY68">
        <v>1</v>
      </c>
      <c r="FZ68">
        <v>4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8</v>
      </c>
      <c r="GK68">
        <f t="shared" si="19"/>
        <v>17</v>
      </c>
    </row>
    <row r="69" spans="1:193">
      <c r="A69" s="17"/>
      <c r="DA69" s="2"/>
      <c r="DD69" s="1"/>
      <c r="DK69" s="70"/>
      <c r="DL69" s="67"/>
      <c r="DM69" s="12" t="s">
        <v>28</v>
      </c>
      <c r="DN69" s="67"/>
      <c r="DO69" s="8">
        <v>1943</v>
      </c>
      <c r="DP69" s="8">
        <v>1995</v>
      </c>
      <c r="DQ69" s="80"/>
      <c r="DU69">
        <v>1978</v>
      </c>
      <c r="DV69" s="2">
        <v>144.5</v>
      </c>
      <c r="DW69" s="2">
        <v>80.100000000008293</v>
      </c>
      <c r="DX69" s="2">
        <v>65.400000000000006</v>
      </c>
      <c r="DY69" s="2">
        <v>95.600000000010894</v>
      </c>
      <c r="DZ69" s="2">
        <v>27.0000000000054</v>
      </c>
      <c r="EA69" s="2">
        <v>5.6999999999988997</v>
      </c>
      <c r="EB69" s="2">
        <v>85.999999999980105</v>
      </c>
      <c r="EC69" s="2">
        <v>38.600000000011804</v>
      </c>
      <c r="ED69" s="2">
        <v>113.19999999999099</v>
      </c>
      <c r="EE69" s="2">
        <v>168.90000000001999</v>
      </c>
      <c r="EF69" s="2">
        <v>80.500000000019995</v>
      </c>
      <c r="EG69" s="2">
        <v>104.799999999986</v>
      </c>
      <c r="EI69">
        <v>1010.3000000000434</v>
      </c>
      <c r="EJ69">
        <v>1978</v>
      </c>
      <c r="EL69">
        <v>1978</v>
      </c>
      <c r="EM69">
        <v>25.5</v>
      </c>
      <c r="EN69">
        <v>28.6</v>
      </c>
      <c r="EO69">
        <v>22.7</v>
      </c>
      <c r="EP69">
        <v>41.2</v>
      </c>
      <c r="EQ69">
        <v>6.8</v>
      </c>
      <c r="ER69">
        <v>2.2999999999999998</v>
      </c>
      <c r="ES69">
        <v>4.0999999999999996</v>
      </c>
      <c r="ET69">
        <v>18.100000000000001</v>
      </c>
      <c r="EU69">
        <v>27.5</v>
      </c>
      <c r="EV69">
        <v>91</v>
      </c>
      <c r="EW69">
        <v>40.200000000000003</v>
      </c>
      <c r="EX69">
        <v>21.3</v>
      </c>
      <c r="EZ69">
        <v>91</v>
      </c>
      <c r="FA69">
        <v>1978</v>
      </c>
      <c r="FE69">
        <v>1978</v>
      </c>
      <c r="FF69">
        <v>24</v>
      </c>
      <c r="FG69">
        <v>19</v>
      </c>
      <c r="FH69">
        <v>18</v>
      </c>
      <c r="FI69">
        <v>15</v>
      </c>
      <c r="FJ69">
        <v>12</v>
      </c>
      <c r="FK69">
        <v>4</v>
      </c>
      <c r="FL69">
        <v>10</v>
      </c>
      <c r="FM69">
        <v>12</v>
      </c>
      <c r="FN69">
        <v>21</v>
      </c>
      <c r="FO69">
        <v>16</v>
      </c>
      <c r="FP69">
        <v>17</v>
      </c>
      <c r="FQ69">
        <v>19</v>
      </c>
      <c r="FS69">
        <f t="shared" si="18"/>
        <v>187</v>
      </c>
      <c r="FT69">
        <v>1978</v>
      </c>
      <c r="FW69">
        <v>1978</v>
      </c>
      <c r="FX69">
        <v>10</v>
      </c>
      <c r="FY69">
        <v>1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K69">
        <f t="shared" si="19"/>
        <v>11</v>
      </c>
    </row>
    <row r="70" spans="1:193" ht="15.75" customHeight="1">
      <c r="A70" s="17" t="s">
        <v>94</v>
      </c>
      <c r="C70">
        <v>6.7</v>
      </c>
      <c r="D70">
        <v>19.7</v>
      </c>
      <c r="E70">
        <v>1.5</v>
      </c>
      <c r="F70">
        <v>0.7</v>
      </c>
      <c r="G70">
        <v>0.2</v>
      </c>
      <c r="H70">
        <v>2.5</v>
      </c>
      <c r="J70">
        <v>2.9</v>
      </c>
      <c r="K70">
        <v>0.4</v>
      </c>
      <c r="L70">
        <v>0.4</v>
      </c>
      <c r="N70">
        <v>8.5</v>
      </c>
      <c r="O70">
        <v>2.2000000000000002</v>
      </c>
      <c r="Q70">
        <v>18</v>
      </c>
      <c r="V70">
        <v>0.7</v>
      </c>
      <c r="AE70">
        <v>0.8</v>
      </c>
      <c r="AF70">
        <v>1.5</v>
      </c>
      <c r="AG70">
        <v>1.8</v>
      </c>
      <c r="AK70">
        <v>3.2</v>
      </c>
      <c r="AM70">
        <v>2.4</v>
      </c>
      <c r="AN70">
        <v>11</v>
      </c>
      <c r="AO70">
        <v>0.1</v>
      </c>
      <c r="AP70">
        <v>2.6</v>
      </c>
      <c r="AR70">
        <v>18</v>
      </c>
      <c r="AT70">
        <v>2.6</v>
      </c>
      <c r="AV70">
        <v>19.2</v>
      </c>
      <c r="AX70">
        <v>0.5</v>
      </c>
      <c r="BA70">
        <v>0.4</v>
      </c>
      <c r="BB70">
        <v>7.5</v>
      </c>
      <c r="BC70">
        <v>15.4</v>
      </c>
      <c r="BG70">
        <v>5.6</v>
      </c>
      <c r="BJ70">
        <v>14.5</v>
      </c>
      <c r="BL70">
        <v>0.1</v>
      </c>
      <c r="BM70">
        <v>4.5</v>
      </c>
      <c r="BP70">
        <v>15.7</v>
      </c>
      <c r="BQ70">
        <v>3.1</v>
      </c>
      <c r="BS70">
        <v>0.2</v>
      </c>
      <c r="BT70">
        <v>8.5</v>
      </c>
      <c r="BV70">
        <v>0.1</v>
      </c>
      <c r="BW70">
        <v>1</v>
      </c>
      <c r="CA70">
        <v>2.7</v>
      </c>
      <c r="CN70">
        <v>11.5</v>
      </c>
      <c r="CR70">
        <v>13.5</v>
      </c>
      <c r="CT70">
        <v>0.2</v>
      </c>
      <c r="CU70">
        <v>6.5</v>
      </c>
      <c r="CV70">
        <v>0.1</v>
      </c>
      <c r="CX70">
        <v>0.1</v>
      </c>
      <c r="CY70">
        <v>2.7</v>
      </c>
      <c r="CZ70">
        <v>0.2</v>
      </c>
      <c r="DA70" s="2"/>
      <c r="DD70" s="1">
        <v>40969</v>
      </c>
      <c r="DE70" s="2">
        <f>AVERAGE(B70:DA70)</f>
        <v>5.1531914893616992</v>
      </c>
      <c r="DF70" s="2">
        <f t="shared" ref="DF70:DF100" si="22">SUM(C70:DA70)/(COUNTA(C70:CZ70)+COUNTBLANK(C70:CZ70))</f>
        <v>2.3745098039215673</v>
      </c>
      <c r="DG70" s="2">
        <f>MAX(B70:DA70)</f>
        <v>19.7</v>
      </c>
      <c r="DH70" s="2">
        <f>MIN(B70:DA70)</f>
        <v>0.1</v>
      </c>
      <c r="DI70" s="3">
        <f>(COUNTA(C70:CZ70)/(COUNTA(C70:CZ70)+COUNTBLANK(C70:CZ70)))</f>
        <v>0.46078431372549017</v>
      </c>
      <c r="DU70">
        <v>1979</v>
      </c>
      <c r="DV70" s="2">
        <v>147.69999999999999</v>
      </c>
      <c r="DW70" s="2">
        <v>62.000000000002501</v>
      </c>
      <c r="DX70" s="2">
        <v>14.1000000000006</v>
      </c>
      <c r="DY70" s="2">
        <v>68.799999999995805</v>
      </c>
      <c r="DZ70" s="2">
        <v>9.4000000000006594</v>
      </c>
      <c r="EA70" s="2">
        <v>13.7</v>
      </c>
      <c r="EB70" s="2">
        <v>14.8000000000026</v>
      </c>
      <c r="EC70" s="2">
        <v>111.30000000000901</v>
      </c>
      <c r="ED70" s="2">
        <v>41.700000000005701</v>
      </c>
      <c r="EE70" s="2">
        <v>100.099999999993</v>
      </c>
      <c r="EF70" s="2">
        <v>116.199999999996</v>
      </c>
      <c r="EG70" s="2">
        <v>128.60000000000599</v>
      </c>
      <c r="EI70">
        <v>828.40000000001373</v>
      </c>
      <c r="EJ70">
        <v>1979</v>
      </c>
      <c r="EL70">
        <v>1979</v>
      </c>
      <c r="EM70">
        <v>35.5</v>
      </c>
      <c r="EN70">
        <v>13.7</v>
      </c>
      <c r="EO70">
        <v>5</v>
      </c>
      <c r="EP70">
        <v>20.3</v>
      </c>
      <c r="EQ70">
        <v>3.5</v>
      </c>
      <c r="ER70">
        <v>10</v>
      </c>
      <c r="ES70">
        <v>28</v>
      </c>
      <c r="ET70">
        <v>43</v>
      </c>
      <c r="EU70">
        <v>25.2</v>
      </c>
      <c r="EV70">
        <v>25</v>
      </c>
      <c r="EW70">
        <v>47</v>
      </c>
      <c r="EX70">
        <v>43</v>
      </c>
      <c r="EZ70">
        <v>47</v>
      </c>
      <c r="FA70">
        <v>1979</v>
      </c>
      <c r="FE70">
        <v>1979</v>
      </c>
      <c r="FF70">
        <v>25</v>
      </c>
      <c r="FG70">
        <v>20</v>
      </c>
      <c r="FH70">
        <v>10</v>
      </c>
      <c r="FI70">
        <v>16</v>
      </c>
      <c r="FJ70">
        <v>9</v>
      </c>
      <c r="FK70">
        <v>5</v>
      </c>
      <c r="FL70">
        <v>6</v>
      </c>
      <c r="FM70">
        <v>12</v>
      </c>
      <c r="FN70">
        <v>11</v>
      </c>
      <c r="FO70">
        <v>21</v>
      </c>
      <c r="FP70">
        <v>22</v>
      </c>
      <c r="FQ70">
        <v>18</v>
      </c>
      <c r="FS70">
        <f t="shared" si="18"/>
        <v>175</v>
      </c>
      <c r="FT70">
        <v>1979</v>
      </c>
      <c r="FW70">
        <v>1979</v>
      </c>
      <c r="FX70">
        <v>11</v>
      </c>
      <c r="FY70">
        <v>4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5</v>
      </c>
      <c r="GK70">
        <f t="shared" si="19"/>
        <v>20</v>
      </c>
    </row>
    <row r="71" spans="1:193">
      <c r="A71" s="17" t="s">
        <v>95</v>
      </c>
      <c r="E71">
        <v>0.7</v>
      </c>
      <c r="F71">
        <v>5.8</v>
      </c>
      <c r="G71">
        <v>17.5</v>
      </c>
      <c r="H71">
        <v>3.4</v>
      </c>
      <c r="J71">
        <v>1.1000000000000001</v>
      </c>
      <c r="L71">
        <v>0.3</v>
      </c>
      <c r="N71">
        <v>0.1</v>
      </c>
      <c r="Q71">
        <v>2.5</v>
      </c>
      <c r="T71">
        <v>30</v>
      </c>
      <c r="V71">
        <v>2.2999999999999998</v>
      </c>
      <c r="W71">
        <v>5</v>
      </c>
      <c r="Z71">
        <v>9.9</v>
      </c>
      <c r="AB71">
        <v>4.0999999999999996</v>
      </c>
      <c r="AE71">
        <v>6.5</v>
      </c>
      <c r="AG71">
        <v>2.5</v>
      </c>
      <c r="AH71">
        <v>6.1</v>
      </c>
      <c r="AI71">
        <v>7.7</v>
      </c>
      <c r="AK71">
        <v>8.4</v>
      </c>
      <c r="AL71">
        <v>1.4</v>
      </c>
      <c r="AM71">
        <v>2.1</v>
      </c>
      <c r="AN71">
        <v>0.3</v>
      </c>
      <c r="AO71">
        <v>10</v>
      </c>
      <c r="AP71">
        <v>8.6</v>
      </c>
      <c r="AQ71">
        <v>0.7</v>
      </c>
      <c r="AR71">
        <v>1.1000000000000001</v>
      </c>
      <c r="AT71">
        <v>3.4</v>
      </c>
      <c r="AU71">
        <v>0.7</v>
      </c>
      <c r="AV71">
        <v>7.3</v>
      </c>
      <c r="AW71">
        <v>1.2</v>
      </c>
      <c r="AY71">
        <v>2.1</v>
      </c>
      <c r="BA71">
        <v>28.7</v>
      </c>
      <c r="BB71">
        <v>11.2</v>
      </c>
      <c r="BC71">
        <v>1.6</v>
      </c>
      <c r="BF71">
        <v>12.7</v>
      </c>
      <c r="BG71">
        <v>0.2</v>
      </c>
      <c r="BH71">
        <v>0.3</v>
      </c>
      <c r="BI71">
        <v>0.1</v>
      </c>
      <c r="BJ71">
        <v>2.4</v>
      </c>
      <c r="BM71">
        <v>0.3</v>
      </c>
      <c r="BP71">
        <v>10.9</v>
      </c>
      <c r="BQ71">
        <v>0.1</v>
      </c>
      <c r="BT71">
        <v>0.3</v>
      </c>
      <c r="BU71">
        <v>0.2</v>
      </c>
      <c r="BV71">
        <v>0.2</v>
      </c>
      <c r="BY71">
        <v>1.8</v>
      </c>
      <c r="CA71">
        <v>2</v>
      </c>
      <c r="CB71">
        <v>5.2</v>
      </c>
      <c r="CC71">
        <v>2.4</v>
      </c>
      <c r="CI71">
        <v>5.5</v>
      </c>
      <c r="CK71">
        <v>1</v>
      </c>
      <c r="CN71">
        <v>4.5</v>
      </c>
      <c r="CR71">
        <v>13.5</v>
      </c>
      <c r="CS71">
        <v>6.7</v>
      </c>
      <c r="CT71">
        <v>1.2</v>
      </c>
      <c r="CU71">
        <v>1.9</v>
      </c>
      <c r="CV71">
        <v>1.9</v>
      </c>
      <c r="CW71">
        <v>14.2</v>
      </c>
      <c r="CY71">
        <v>1.7</v>
      </c>
      <c r="DA71" s="2"/>
      <c r="DD71" s="1">
        <v>40970</v>
      </c>
      <c r="DE71" s="2">
        <f>AVERAGE(B71:DA71)</f>
        <v>4.9224137931034466</v>
      </c>
      <c r="DF71" s="2">
        <f t="shared" si="22"/>
        <v>2.7990196078431362</v>
      </c>
      <c r="DG71" s="2">
        <f>MAX(B71:DA71)</f>
        <v>30</v>
      </c>
      <c r="DH71" s="2">
        <f>MIN(B71:DA71)</f>
        <v>0.1</v>
      </c>
      <c r="DI71" s="3">
        <f>(COUNTA(C71:CZ71)/(COUNTA(C71:CZ71)+COUNTBLANK(C71:CZ71)))</f>
        <v>0.56862745098039214</v>
      </c>
      <c r="DU71">
        <v>1980</v>
      </c>
      <c r="DV71" s="2">
        <v>151.5</v>
      </c>
      <c r="DW71" s="2">
        <v>119.799999999999</v>
      </c>
      <c r="DX71" s="2">
        <v>124.50000000002299</v>
      </c>
      <c r="DY71" s="2">
        <v>43.500000000006203</v>
      </c>
      <c r="DZ71" s="2">
        <v>51.499999999996298</v>
      </c>
      <c r="EA71" s="2">
        <v>20.399999999998698</v>
      </c>
      <c r="EB71" s="2">
        <v>57.900000000016199</v>
      </c>
      <c r="EC71" s="2">
        <v>53.899999999985098</v>
      </c>
      <c r="ED71" s="2">
        <v>55.500000000009003</v>
      </c>
      <c r="EE71" s="2">
        <v>6.2999999999980201</v>
      </c>
      <c r="EF71" s="2">
        <v>158.82000000000201</v>
      </c>
      <c r="EG71" s="2">
        <v>121.00000000003401</v>
      </c>
      <c r="EI71">
        <v>964.62000000006947</v>
      </c>
      <c r="EJ71">
        <v>1980</v>
      </c>
      <c r="EL71">
        <v>1980</v>
      </c>
      <c r="EM71">
        <v>40</v>
      </c>
      <c r="EN71">
        <v>38.5</v>
      </c>
      <c r="EO71">
        <v>47.5</v>
      </c>
      <c r="EP71">
        <v>14.3</v>
      </c>
      <c r="EQ71">
        <v>22</v>
      </c>
      <c r="ER71">
        <v>6.6</v>
      </c>
      <c r="ES71">
        <v>6.4</v>
      </c>
      <c r="ET71">
        <v>43.8</v>
      </c>
      <c r="EU71">
        <v>27.7</v>
      </c>
      <c r="EV71">
        <v>3.3</v>
      </c>
      <c r="EW71">
        <v>47.5</v>
      </c>
      <c r="EX71">
        <v>36.4</v>
      </c>
      <c r="EZ71">
        <v>47.5</v>
      </c>
      <c r="FA71">
        <v>1980</v>
      </c>
      <c r="FE71">
        <v>1980</v>
      </c>
      <c r="FF71">
        <v>25</v>
      </c>
      <c r="FG71">
        <v>24</v>
      </c>
      <c r="FH71">
        <v>23</v>
      </c>
      <c r="FI71">
        <v>17</v>
      </c>
      <c r="FJ71">
        <v>10</v>
      </c>
      <c r="FK71">
        <v>11</v>
      </c>
      <c r="FL71">
        <v>9</v>
      </c>
      <c r="FM71">
        <v>4</v>
      </c>
      <c r="FN71">
        <v>16</v>
      </c>
      <c r="FO71">
        <v>5</v>
      </c>
      <c r="FP71">
        <v>14</v>
      </c>
      <c r="FQ71">
        <v>18</v>
      </c>
      <c r="FS71">
        <f t="shared" si="18"/>
        <v>176</v>
      </c>
      <c r="FT71">
        <v>1980</v>
      </c>
      <c r="FW71">
        <v>1980</v>
      </c>
      <c r="FX71">
        <v>6</v>
      </c>
      <c r="FY71">
        <v>8</v>
      </c>
      <c r="FZ71">
        <v>5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3</v>
      </c>
      <c r="GK71">
        <f t="shared" si="19"/>
        <v>22</v>
      </c>
    </row>
    <row r="72" spans="1:193">
      <c r="A72" s="17" t="s">
        <v>96</v>
      </c>
      <c r="E72">
        <v>0.4</v>
      </c>
      <c r="F72">
        <v>5</v>
      </c>
      <c r="G72">
        <v>6.6</v>
      </c>
      <c r="H72">
        <v>1.6</v>
      </c>
      <c r="J72">
        <v>12.4</v>
      </c>
      <c r="T72">
        <v>25</v>
      </c>
      <c r="V72">
        <v>3.1</v>
      </c>
      <c r="Z72">
        <v>4.5</v>
      </c>
      <c r="AB72">
        <v>6</v>
      </c>
      <c r="AD72">
        <v>0.3</v>
      </c>
      <c r="AH72">
        <v>1.3</v>
      </c>
      <c r="AJ72">
        <v>1.5</v>
      </c>
      <c r="AK72">
        <v>0.2</v>
      </c>
      <c r="AL72">
        <v>0.7</v>
      </c>
      <c r="AM72">
        <v>3.8</v>
      </c>
      <c r="AN72">
        <v>5.6</v>
      </c>
      <c r="AO72">
        <v>13.7</v>
      </c>
      <c r="AP72">
        <v>3</v>
      </c>
      <c r="AR72">
        <v>0.2</v>
      </c>
      <c r="AT72">
        <v>0.2</v>
      </c>
      <c r="AU72">
        <v>7.1</v>
      </c>
      <c r="AV72">
        <v>4.5</v>
      </c>
      <c r="AW72">
        <v>3.2</v>
      </c>
      <c r="AX72">
        <v>5</v>
      </c>
      <c r="AY72">
        <v>1.2</v>
      </c>
      <c r="AZ72">
        <v>0.2</v>
      </c>
      <c r="BC72">
        <v>0.1</v>
      </c>
      <c r="BF72">
        <v>0.9</v>
      </c>
      <c r="BG72">
        <v>5.8</v>
      </c>
      <c r="BH72">
        <v>0.1</v>
      </c>
      <c r="BJ72">
        <v>8</v>
      </c>
      <c r="BK72">
        <v>0.1</v>
      </c>
      <c r="BL72">
        <v>0.1</v>
      </c>
      <c r="BP72">
        <v>4</v>
      </c>
      <c r="BQ72">
        <v>0.1</v>
      </c>
      <c r="BV72">
        <v>0.1</v>
      </c>
      <c r="BW72">
        <v>2.2999999999999998</v>
      </c>
      <c r="BY72">
        <v>12.5</v>
      </c>
      <c r="BZ72">
        <v>20.5</v>
      </c>
      <c r="CA72">
        <v>0.2</v>
      </c>
      <c r="CB72">
        <v>0.2</v>
      </c>
      <c r="CC72">
        <v>3.6</v>
      </c>
      <c r="CD72">
        <v>5.5</v>
      </c>
      <c r="CF72">
        <v>4.5999999999999996</v>
      </c>
      <c r="CG72">
        <v>0.4</v>
      </c>
      <c r="CI72">
        <v>0.2</v>
      </c>
      <c r="CM72">
        <v>0.7</v>
      </c>
      <c r="CQ72">
        <v>12.8</v>
      </c>
      <c r="CR72">
        <v>3.8</v>
      </c>
      <c r="CS72">
        <v>0.1</v>
      </c>
      <c r="CT72">
        <v>2.9</v>
      </c>
      <c r="CV72">
        <v>0.8</v>
      </c>
      <c r="CX72">
        <v>0.3</v>
      </c>
      <c r="CY72">
        <v>3.8</v>
      </c>
      <c r="DA72" s="2"/>
      <c r="DD72" s="1">
        <v>40971</v>
      </c>
      <c r="DE72" s="2">
        <f>AVERAGE(B72:DA72)</f>
        <v>3.9037037037037035</v>
      </c>
      <c r="DF72" s="2">
        <f t="shared" si="22"/>
        <v>2.0666666666666664</v>
      </c>
      <c r="DG72" s="2">
        <f>MAX(B72:DA72)</f>
        <v>25</v>
      </c>
      <c r="DH72" s="2">
        <f>MIN(B72:DA72)</f>
        <v>0.1</v>
      </c>
      <c r="DI72" s="3">
        <f>(COUNTA(C72:CZ72)/(COUNTA(C72:CZ72)+COUNTBLANK(C72:CZ72)))</f>
        <v>0.52941176470588236</v>
      </c>
      <c r="DK72" s="68" t="s">
        <v>13</v>
      </c>
      <c r="DL72" s="71" t="s">
        <v>4</v>
      </c>
      <c r="DM72" s="12" t="s">
        <v>27</v>
      </c>
      <c r="DN72" s="4">
        <v>123</v>
      </c>
      <c r="DO72" s="5">
        <v>339.4</v>
      </c>
      <c r="DP72" s="8">
        <v>22</v>
      </c>
      <c r="DQ72" s="76"/>
      <c r="DU72">
        <v>1981</v>
      </c>
      <c r="DV72" s="2">
        <v>217.5</v>
      </c>
      <c r="DW72" s="2">
        <v>138.90000000001001</v>
      </c>
      <c r="DX72" s="2">
        <v>66.300000000010101</v>
      </c>
      <c r="DY72" s="2">
        <v>25.100000000006499</v>
      </c>
      <c r="DZ72" s="2">
        <v>75.299999999986795</v>
      </c>
      <c r="EA72" s="2">
        <v>34.599999999995397</v>
      </c>
      <c r="EB72" s="2">
        <v>61.900000000019702</v>
      </c>
      <c r="EC72" s="2">
        <v>61.599999999992697</v>
      </c>
      <c r="ED72" s="2">
        <v>168.299999999905</v>
      </c>
      <c r="EE72" s="2">
        <v>51.100000000010901</v>
      </c>
      <c r="EF72" s="2">
        <v>165.599999999999</v>
      </c>
      <c r="EG72" s="2">
        <v>227.19999999999899</v>
      </c>
      <c r="EI72">
        <v>1293.3999999998982</v>
      </c>
      <c r="EJ72">
        <v>1981</v>
      </c>
      <c r="EL72">
        <v>1981</v>
      </c>
      <c r="EM72">
        <v>32.1</v>
      </c>
      <c r="EN72">
        <v>86.9</v>
      </c>
      <c r="EO72">
        <v>24.1</v>
      </c>
      <c r="EP72">
        <v>14.6</v>
      </c>
      <c r="EQ72">
        <v>27.8</v>
      </c>
      <c r="ER72">
        <v>27.4</v>
      </c>
      <c r="ES72">
        <v>30.7</v>
      </c>
      <c r="ET72">
        <v>47</v>
      </c>
      <c r="EU72">
        <v>78.2</v>
      </c>
      <c r="EV72">
        <v>28.7</v>
      </c>
      <c r="EW72">
        <v>49.8</v>
      </c>
      <c r="EX72">
        <v>36.700000000000003</v>
      </c>
      <c r="EZ72">
        <v>86.9</v>
      </c>
      <c r="FA72">
        <v>1981</v>
      </c>
      <c r="FE72">
        <v>1981</v>
      </c>
      <c r="FF72">
        <v>28</v>
      </c>
      <c r="FG72">
        <v>17</v>
      </c>
      <c r="FH72">
        <v>20</v>
      </c>
      <c r="FI72">
        <v>10</v>
      </c>
      <c r="FJ72">
        <v>11</v>
      </c>
      <c r="FK72">
        <v>8</v>
      </c>
      <c r="FL72">
        <v>18</v>
      </c>
      <c r="FM72">
        <v>5</v>
      </c>
      <c r="FN72">
        <v>18</v>
      </c>
      <c r="FO72">
        <v>10</v>
      </c>
      <c r="FP72">
        <v>18</v>
      </c>
      <c r="FQ72">
        <v>22</v>
      </c>
      <c r="FS72">
        <f t="shared" si="18"/>
        <v>185</v>
      </c>
      <c r="FT72">
        <v>1981</v>
      </c>
      <c r="FW72">
        <v>1981</v>
      </c>
      <c r="FX72">
        <v>3</v>
      </c>
      <c r="FY72">
        <v>7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3</v>
      </c>
      <c r="GI72">
        <v>2</v>
      </c>
      <c r="GK72">
        <f t="shared" si="19"/>
        <v>15</v>
      </c>
    </row>
    <row r="73" spans="1:193">
      <c r="A73" s="17" t="s">
        <v>97</v>
      </c>
      <c r="D73">
        <v>6</v>
      </c>
      <c r="F73">
        <v>0.6</v>
      </c>
      <c r="G73">
        <v>0.1</v>
      </c>
      <c r="H73">
        <v>0.4</v>
      </c>
      <c r="J73">
        <v>4.2</v>
      </c>
      <c r="W73">
        <v>4.4000000000000004</v>
      </c>
      <c r="Y73">
        <v>5.3</v>
      </c>
      <c r="Z73">
        <v>1.5</v>
      </c>
      <c r="AD73">
        <v>0.7</v>
      </c>
      <c r="AG73">
        <v>1</v>
      </c>
      <c r="AH73">
        <v>2.6</v>
      </c>
      <c r="AI73">
        <v>0.1</v>
      </c>
      <c r="AJ73">
        <v>28.7</v>
      </c>
      <c r="AK73">
        <v>2.4</v>
      </c>
      <c r="AL73">
        <v>11.5</v>
      </c>
      <c r="AM73">
        <v>1.9</v>
      </c>
      <c r="AO73">
        <v>12</v>
      </c>
      <c r="AT73">
        <v>8.1999999999999993</v>
      </c>
      <c r="AV73">
        <v>0.4</v>
      </c>
      <c r="AX73">
        <v>1.6</v>
      </c>
      <c r="AY73">
        <v>12.5</v>
      </c>
      <c r="AZ73">
        <v>1.6</v>
      </c>
      <c r="BB73">
        <v>8.4</v>
      </c>
      <c r="BE73">
        <v>0.6</v>
      </c>
      <c r="BF73">
        <v>3.2</v>
      </c>
      <c r="BG73">
        <v>0.3</v>
      </c>
      <c r="BK73">
        <v>0.3</v>
      </c>
      <c r="BL73">
        <v>0.4</v>
      </c>
      <c r="BO73">
        <v>0.6</v>
      </c>
      <c r="BP73">
        <v>1.7</v>
      </c>
      <c r="BQ73">
        <v>0.6</v>
      </c>
      <c r="BS73">
        <v>26.7</v>
      </c>
      <c r="BT73">
        <v>0.5</v>
      </c>
      <c r="BV73">
        <v>1</v>
      </c>
      <c r="BW73">
        <v>1.5</v>
      </c>
      <c r="BY73">
        <v>1.1000000000000001</v>
      </c>
      <c r="BZ73">
        <v>20.6</v>
      </c>
      <c r="CB73">
        <v>5.2</v>
      </c>
      <c r="CC73">
        <v>0.6</v>
      </c>
      <c r="CD73">
        <v>2</v>
      </c>
      <c r="CP73">
        <v>3.1</v>
      </c>
      <c r="CQ73">
        <v>19.7</v>
      </c>
      <c r="CT73">
        <v>5.7</v>
      </c>
      <c r="CW73">
        <v>8.3000000000000007</v>
      </c>
      <c r="DA73" s="2"/>
      <c r="DD73" s="1">
        <v>40972</v>
      </c>
      <c r="DE73" s="2">
        <f>AVERAGE(B73:DA73)</f>
        <v>4.9954545454545443</v>
      </c>
      <c r="DF73" s="2">
        <f t="shared" si="22"/>
        <v>2.1549019607843132</v>
      </c>
      <c r="DG73" s="2">
        <f>MAX(B73:DA73)</f>
        <v>28.7</v>
      </c>
      <c r="DH73" s="2">
        <f>MIN(B73:DA73)</f>
        <v>0.1</v>
      </c>
      <c r="DI73" s="3">
        <f>(COUNTA(C73:CZ73)/(COUNTA(C73:CZ73)+COUNTBLANK(C73:CZ73)))</f>
        <v>0.43137254901960786</v>
      </c>
      <c r="DK73" s="69"/>
      <c r="DL73" s="67"/>
      <c r="DM73" s="12" t="s">
        <v>33</v>
      </c>
      <c r="DN73" s="13">
        <v>22534</v>
      </c>
      <c r="DO73" s="19">
        <v>1964</v>
      </c>
      <c r="DP73" s="8">
        <v>1971</v>
      </c>
      <c r="DQ73" s="77"/>
      <c r="DU73">
        <v>1982</v>
      </c>
      <c r="DV73" s="2">
        <v>106.4</v>
      </c>
      <c r="DW73" s="2">
        <v>106.69999999999099</v>
      </c>
      <c r="DX73" s="2">
        <v>40.900000000007402</v>
      </c>
      <c r="DY73" s="2">
        <v>84.5999999999827</v>
      </c>
      <c r="DZ73" s="2">
        <v>44.499999999999403</v>
      </c>
      <c r="EA73" s="2">
        <v>3.7000000000005202</v>
      </c>
      <c r="EB73" s="2">
        <v>25.4</v>
      </c>
      <c r="EC73" s="2">
        <v>30.599999999988601</v>
      </c>
      <c r="ED73" s="2">
        <v>67.999999999963407</v>
      </c>
      <c r="EE73" s="2">
        <v>20.900000000003701</v>
      </c>
      <c r="EF73" s="2">
        <v>59.9</v>
      </c>
      <c r="EG73" s="2">
        <v>131.60000000001401</v>
      </c>
      <c r="EI73">
        <v>723.19999999993763</v>
      </c>
      <c r="EJ73">
        <v>1982</v>
      </c>
      <c r="EL73">
        <v>1982</v>
      </c>
      <c r="EM73">
        <v>21.4</v>
      </c>
      <c r="EN73">
        <v>28.9</v>
      </c>
      <c r="EO73">
        <v>10.1</v>
      </c>
      <c r="EP73">
        <v>20.3</v>
      </c>
      <c r="EQ73">
        <v>16.600000000000001</v>
      </c>
      <c r="ER73">
        <v>1.5</v>
      </c>
      <c r="ES73">
        <v>20.6</v>
      </c>
      <c r="ET73">
        <v>18.3</v>
      </c>
      <c r="EU73">
        <v>29.6</v>
      </c>
      <c r="EV73">
        <v>11.3</v>
      </c>
      <c r="EW73">
        <v>16.899999999999999</v>
      </c>
      <c r="EX73">
        <v>36.700000000000003</v>
      </c>
      <c r="EZ73">
        <v>36.700000000000003</v>
      </c>
      <c r="FA73">
        <v>1982</v>
      </c>
      <c r="FE73">
        <v>1982</v>
      </c>
      <c r="FF73">
        <v>23</v>
      </c>
      <c r="FG73">
        <v>22</v>
      </c>
      <c r="FH73">
        <v>19</v>
      </c>
      <c r="FI73">
        <v>17</v>
      </c>
      <c r="FJ73">
        <v>7</v>
      </c>
      <c r="FK73">
        <v>8</v>
      </c>
      <c r="FL73">
        <v>9</v>
      </c>
      <c r="FM73">
        <v>6</v>
      </c>
      <c r="FN73">
        <v>16</v>
      </c>
      <c r="FO73">
        <v>12</v>
      </c>
      <c r="FP73">
        <v>8</v>
      </c>
      <c r="FQ73">
        <v>21</v>
      </c>
      <c r="FS73">
        <f t="shared" si="18"/>
        <v>168</v>
      </c>
      <c r="FT73">
        <v>1982</v>
      </c>
      <c r="FW73">
        <v>1982</v>
      </c>
      <c r="FX73">
        <v>6</v>
      </c>
      <c r="FY73">
        <v>8</v>
      </c>
      <c r="FZ73">
        <v>6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2</v>
      </c>
      <c r="GK73">
        <f t="shared" si="19"/>
        <v>22</v>
      </c>
    </row>
    <row r="74" spans="1:193">
      <c r="A74" s="17" t="s">
        <v>98</v>
      </c>
      <c r="C74">
        <v>2.2000000000000002</v>
      </c>
      <c r="E74">
        <v>0.7</v>
      </c>
      <c r="F74">
        <v>5.3</v>
      </c>
      <c r="P74">
        <v>2.8</v>
      </c>
      <c r="T74">
        <v>4</v>
      </c>
      <c r="V74">
        <v>15.5</v>
      </c>
      <c r="W74">
        <v>1.3</v>
      </c>
      <c r="Y74">
        <v>7.8</v>
      </c>
      <c r="Z74">
        <v>6.1</v>
      </c>
      <c r="AH74">
        <v>0.4</v>
      </c>
      <c r="AK74">
        <v>19.2</v>
      </c>
      <c r="AM74">
        <v>8.1</v>
      </c>
      <c r="AN74">
        <v>3</v>
      </c>
      <c r="AO74">
        <v>43.6</v>
      </c>
      <c r="AQ74">
        <v>0.6</v>
      </c>
      <c r="AR74">
        <v>6.8</v>
      </c>
      <c r="AT74">
        <v>11</v>
      </c>
      <c r="AU74">
        <v>7.5</v>
      </c>
      <c r="AW74">
        <v>0.2</v>
      </c>
      <c r="AY74">
        <v>2.9</v>
      </c>
      <c r="AZ74">
        <v>0.8</v>
      </c>
      <c r="BB74">
        <v>4.4000000000000004</v>
      </c>
      <c r="BC74">
        <v>2</v>
      </c>
      <c r="BF74">
        <v>2.9</v>
      </c>
      <c r="BH74">
        <v>1.3</v>
      </c>
      <c r="BJ74">
        <v>0.5</v>
      </c>
      <c r="BK74">
        <v>0.8</v>
      </c>
      <c r="BO74">
        <v>4.7</v>
      </c>
      <c r="BP74">
        <v>0.9</v>
      </c>
      <c r="BS74">
        <v>0.3</v>
      </c>
      <c r="BT74">
        <v>24.1</v>
      </c>
      <c r="BV74">
        <v>3.6</v>
      </c>
      <c r="BW74">
        <v>0.2</v>
      </c>
      <c r="BY74">
        <v>2.6</v>
      </c>
      <c r="BZ74">
        <v>15.3</v>
      </c>
      <c r="CB74">
        <v>5.0999999999999996</v>
      </c>
      <c r="CF74">
        <v>2.9</v>
      </c>
      <c r="CI74">
        <v>0.8</v>
      </c>
      <c r="CM74">
        <v>13.5</v>
      </c>
      <c r="CP74">
        <v>13.3</v>
      </c>
      <c r="CQ74">
        <v>4.8</v>
      </c>
      <c r="CR74">
        <v>9.8000000000000007</v>
      </c>
      <c r="CT74">
        <v>0.4</v>
      </c>
      <c r="CV74">
        <v>0.1</v>
      </c>
      <c r="CW74">
        <v>3.1</v>
      </c>
      <c r="DA74" s="2"/>
      <c r="DD74" s="1">
        <v>40973</v>
      </c>
      <c r="DE74" s="2">
        <f>AVERAGE(B74:DA74)</f>
        <v>5.9377777777777787</v>
      </c>
      <c r="DF74" s="2">
        <f t="shared" si="22"/>
        <v>2.6196078431372554</v>
      </c>
      <c r="DG74" s="2">
        <f>MAX(B74:DA74)</f>
        <v>43.6</v>
      </c>
      <c r="DH74" s="2">
        <f>MIN(B74:DA74)</f>
        <v>0.1</v>
      </c>
      <c r="DI74" s="3">
        <f>(COUNTA(C74:CZ74)/(COUNTA(C74:CZ74)+COUNTBLANK(C74:CZ74)))</f>
        <v>0.44117647058823528</v>
      </c>
      <c r="DK74" s="69"/>
      <c r="DL74" s="72"/>
      <c r="DM74" s="73"/>
      <c r="DN74" s="12" t="s">
        <v>24</v>
      </c>
      <c r="DO74" s="11" t="s">
        <v>25</v>
      </c>
      <c r="DP74" s="11" t="s">
        <v>19</v>
      </c>
      <c r="DQ74" s="77"/>
      <c r="DU74">
        <v>1983</v>
      </c>
      <c r="DV74" s="2">
        <v>131</v>
      </c>
      <c r="DW74" s="2">
        <v>93</v>
      </c>
      <c r="DX74" s="2">
        <v>14.7</v>
      </c>
      <c r="DY74" s="2">
        <v>34.9</v>
      </c>
      <c r="DZ74" s="2">
        <v>23.9</v>
      </c>
      <c r="EA74" s="2">
        <v>66.099999999999994</v>
      </c>
      <c r="EB74" s="2">
        <v>32.299999999970602</v>
      </c>
      <c r="EC74" s="2">
        <v>11.899999999998499</v>
      </c>
      <c r="ED74" s="2">
        <v>110.599999999979</v>
      </c>
      <c r="EE74" s="2">
        <v>88.4</v>
      </c>
      <c r="EF74" s="2">
        <v>99.4</v>
      </c>
      <c r="EG74" s="2">
        <v>39</v>
      </c>
      <c r="EI74">
        <v>745.19999999993604</v>
      </c>
      <c r="EJ74">
        <v>1983</v>
      </c>
      <c r="EL74">
        <v>1983</v>
      </c>
      <c r="EM74">
        <v>32.4</v>
      </c>
      <c r="EN74">
        <v>23.9</v>
      </c>
      <c r="EO74">
        <v>3.6</v>
      </c>
      <c r="EP74">
        <v>18</v>
      </c>
      <c r="EQ74">
        <v>6.1</v>
      </c>
      <c r="ER74">
        <v>35</v>
      </c>
      <c r="ES74">
        <v>11</v>
      </c>
      <c r="ET74">
        <v>4.3</v>
      </c>
      <c r="EU74">
        <v>52.1</v>
      </c>
      <c r="EV74">
        <v>19</v>
      </c>
      <c r="EW74">
        <v>22.5</v>
      </c>
      <c r="EX74">
        <v>14.9</v>
      </c>
      <c r="EZ74">
        <v>52.1</v>
      </c>
      <c r="FA74">
        <v>1983</v>
      </c>
      <c r="FE74">
        <v>1983</v>
      </c>
      <c r="FF74">
        <v>22</v>
      </c>
      <c r="FG74">
        <v>16</v>
      </c>
      <c r="FH74">
        <v>20</v>
      </c>
      <c r="FI74">
        <v>15</v>
      </c>
      <c r="FJ74">
        <v>11</v>
      </c>
      <c r="FK74">
        <v>13</v>
      </c>
      <c r="FL74">
        <v>5</v>
      </c>
      <c r="FM74">
        <v>10</v>
      </c>
      <c r="FN74">
        <v>14</v>
      </c>
      <c r="FO74">
        <v>16</v>
      </c>
      <c r="FP74">
        <v>19</v>
      </c>
      <c r="FQ74">
        <v>19</v>
      </c>
      <c r="FS74">
        <f t="shared" si="18"/>
        <v>180</v>
      </c>
      <c r="FT74">
        <v>1983</v>
      </c>
      <c r="FW74">
        <v>1983</v>
      </c>
      <c r="FX74">
        <v>0</v>
      </c>
      <c r="FY74">
        <v>9</v>
      </c>
      <c r="FZ74">
        <v>6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K74">
        <f t="shared" si="19"/>
        <v>15</v>
      </c>
    </row>
    <row r="75" spans="1:193">
      <c r="A75" s="17" t="s">
        <v>99</v>
      </c>
      <c r="C75">
        <v>2.2000000000000002</v>
      </c>
      <c r="E75">
        <v>10.9</v>
      </c>
      <c r="F75">
        <v>1.5</v>
      </c>
      <c r="N75">
        <v>1.3</v>
      </c>
      <c r="P75">
        <v>0.8</v>
      </c>
      <c r="Q75">
        <v>0.5</v>
      </c>
      <c r="W75">
        <v>1.3</v>
      </c>
      <c r="Y75">
        <v>0.2</v>
      </c>
      <c r="AE75">
        <v>22.7</v>
      </c>
      <c r="AF75">
        <v>4</v>
      </c>
      <c r="AG75">
        <v>0.4</v>
      </c>
      <c r="AJ75">
        <v>0.3</v>
      </c>
      <c r="AK75">
        <v>3.8</v>
      </c>
      <c r="AM75">
        <v>1</v>
      </c>
      <c r="AO75">
        <v>4.2</v>
      </c>
      <c r="AQ75">
        <v>3.6</v>
      </c>
      <c r="AR75">
        <v>1</v>
      </c>
      <c r="AU75">
        <v>22.4</v>
      </c>
      <c r="AY75">
        <v>6.2</v>
      </c>
      <c r="AZ75">
        <v>3.6</v>
      </c>
      <c r="BF75">
        <v>7.1</v>
      </c>
      <c r="BH75">
        <v>4.5</v>
      </c>
      <c r="BJ75">
        <v>2.2999999999999998</v>
      </c>
      <c r="BL75">
        <v>9.4</v>
      </c>
      <c r="BM75">
        <v>0.1</v>
      </c>
      <c r="BO75">
        <v>6</v>
      </c>
      <c r="BR75">
        <v>3.5</v>
      </c>
      <c r="BT75">
        <v>0.1</v>
      </c>
      <c r="BW75">
        <v>10.9</v>
      </c>
      <c r="BZ75">
        <v>0.4</v>
      </c>
      <c r="CB75">
        <v>2</v>
      </c>
      <c r="CD75">
        <v>5.4</v>
      </c>
      <c r="CE75">
        <v>1.2</v>
      </c>
      <c r="CF75">
        <v>21.5</v>
      </c>
      <c r="CG75">
        <v>0.1</v>
      </c>
      <c r="CH75">
        <v>0.5</v>
      </c>
      <c r="CI75">
        <v>0.6</v>
      </c>
      <c r="CK75">
        <v>5.5</v>
      </c>
      <c r="CM75">
        <v>8.1999999999999993</v>
      </c>
      <c r="CN75">
        <v>11.4</v>
      </c>
      <c r="CP75">
        <v>1.9</v>
      </c>
      <c r="CQ75">
        <v>0.1</v>
      </c>
      <c r="CR75">
        <v>2.4</v>
      </c>
      <c r="CS75">
        <v>1.5</v>
      </c>
      <c r="CV75">
        <v>4.9000000000000004</v>
      </c>
      <c r="CW75">
        <v>5</v>
      </c>
      <c r="CX75">
        <v>1.7</v>
      </c>
      <c r="DA75" s="2"/>
      <c r="DD75" s="1">
        <v>40974</v>
      </c>
      <c r="DE75" s="2">
        <f t="shared" ref="DE75:DE146" si="23">AVERAGE(B75:DA75)</f>
        <v>4.470212765957446</v>
      </c>
      <c r="DF75" s="2">
        <f t="shared" si="22"/>
        <v>2.0598039215686272</v>
      </c>
      <c r="DG75" s="2">
        <f t="shared" ref="DG75:DG146" si="24">MAX(B75:DA75)</f>
        <v>22.7</v>
      </c>
      <c r="DH75" s="2">
        <f t="shared" ref="DH75:DH146" si="25">MIN(B75:DA75)</f>
        <v>0.1</v>
      </c>
      <c r="DI75" s="3">
        <f t="shared" ref="DI75:DI146" si="26">(COUNTA(C75:CZ75)/(COUNTA(C75:CZ75)+COUNTBLANK(C75:CZ75)))</f>
        <v>0.46078431372549017</v>
      </c>
      <c r="DK75" s="69"/>
      <c r="DL75" s="74" t="s">
        <v>29</v>
      </c>
      <c r="DM75" s="12" t="s">
        <v>27</v>
      </c>
      <c r="DN75" s="75"/>
      <c r="DO75" s="18">
        <v>0</v>
      </c>
      <c r="DP75" s="8">
        <v>0</v>
      </c>
      <c r="DQ75" s="77"/>
      <c r="DU75">
        <v>1984</v>
      </c>
      <c r="DV75" s="2">
        <v>103.7</v>
      </c>
      <c r="DW75" s="2">
        <v>130.39999999997301</v>
      </c>
      <c r="DX75" s="2">
        <v>93</v>
      </c>
      <c r="DY75" s="2">
        <v>55.999999999983103</v>
      </c>
      <c r="DZ75" s="2">
        <v>21.699999999990599</v>
      </c>
      <c r="EA75" s="2">
        <v>21.8999999999956</v>
      </c>
      <c r="EB75" s="2">
        <v>47.4</v>
      </c>
      <c r="EC75" s="2">
        <v>40.8999999999754</v>
      </c>
      <c r="ED75" s="2">
        <v>211.49999999992201</v>
      </c>
      <c r="EE75" s="2">
        <v>75.499999999964501</v>
      </c>
      <c r="EF75" s="2">
        <v>85.999999999968196</v>
      </c>
      <c r="EG75" s="2">
        <v>38.499999999981803</v>
      </c>
      <c r="EI75">
        <v>926.49999999975421</v>
      </c>
      <c r="EJ75">
        <v>1984</v>
      </c>
      <c r="EL75">
        <v>1984</v>
      </c>
      <c r="EM75">
        <v>25.8</v>
      </c>
      <c r="EN75">
        <v>8.8000000000000007</v>
      </c>
      <c r="EO75">
        <v>18.100000000000001</v>
      </c>
      <c r="EP75">
        <v>12.1</v>
      </c>
      <c r="EQ75">
        <v>8.1999999999999993</v>
      </c>
      <c r="ER75">
        <v>10.7</v>
      </c>
      <c r="ES75">
        <v>18.2</v>
      </c>
      <c r="ET75">
        <v>18.100000000000001</v>
      </c>
      <c r="EU75">
        <v>123</v>
      </c>
      <c r="EV75">
        <v>29.4</v>
      </c>
      <c r="EW75">
        <v>31</v>
      </c>
      <c r="EX75">
        <v>13.5</v>
      </c>
      <c r="EZ75">
        <v>123</v>
      </c>
      <c r="FA75">
        <v>1984</v>
      </c>
      <c r="FE75">
        <v>1984</v>
      </c>
      <c r="FF75">
        <v>19</v>
      </c>
      <c r="FG75">
        <v>17</v>
      </c>
      <c r="FH75">
        <v>23</v>
      </c>
      <c r="FI75">
        <v>19</v>
      </c>
      <c r="FJ75">
        <v>9</v>
      </c>
      <c r="FK75">
        <v>8</v>
      </c>
      <c r="FL75">
        <v>4</v>
      </c>
      <c r="FM75">
        <v>12</v>
      </c>
      <c r="FN75">
        <v>13</v>
      </c>
      <c r="FO75">
        <v>9</v>
      </c>
      <c r="FP75">
        <v>20</v>
      </c>
      <c r="FQ75">
        <v>19</v>
      </c>
      <c r="FS75">
        <f t="shared" si="18"/>
        <v>172</v>
      </c>
      <c r="FT75">
        <v>1984</v>
      </c>
      <c r="FW75">
        <v>1984</v>
      </c>
      <c r="FX75">
        <v>4</v>
      </c>
      <c r="FY75">
        <v>2</v>
      </c>
      <c r="FZ75">
        <v>6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2</v>
      </c>
      <c r="GK75">
        <f t="shared" si="19"/>
        <v>14</v>
      </c>
    </row>
    <row r="76" spans="1:193">
      <c r="A76" s="17" t="s">
        <v>100</v>
      </c>
      <c r="E76">
        <v>0.2</v>
      </c>
      <c r="F76">
        <v>15.1</v>
      </c>
      <c r="I76">
        <v>0.7</v>
      </c>
      <c r="N76">
        <v>7.7</v>
      </c>
      <c r="P76">
        <v>0.2</v>
      </c>
      <c r="Q76">
        <v>8.3000000000000007</v>
      </c>
      <c r="T76">
        <v>43.8</v>
      </c>
      <c r="AA76">
        <v>1.3</v>
      </c>
      <c r="AE76">
        <v>39.299999999999997</v>
      </c>
      <c r="AI76">
        <v>1.5</v>
      </c>
      <c r="AJ76">
        <v>13.6</v>
      </c>
      <c r="AN76">
        <v>3.4</v>
      </c>
      <c r="AO76">
        <v>0.3</v>
      </c>
      <c r="AP76">
        <v>0.6</v>
      </c>
      <c r="AQ76">
        <v>7.1</v>
      </c>
      <c r="AU76">
        <v>2.2000000000000002</v>
      </c>
      <c r="AV76">
        <v>0.4</v>
      </c>
      <c r="AY76">
        <v>7.3</v>
      </c>
      <c r="BA76">
        <v>30.6</v>
      </c>
      <c r="BC76">
        <v>5.0999999999999996</v>
      </c>
      <c r="BF76">
        <v>1.3</v>
      </c>
      <c r="BH76">
        <v>2.2000000000000002</v>
      </c>
      <c r="BI76">
        <v>0.2</v>
      </c>
      <c r="BK76">
        <v>0.1</v>
      </c>
      <c r="BL76">
        <v>0.8</v>
      </c>
      <c r="BM76">
        <v>4.7</v>
      </c>
      <c r="BO76">
        <v>1.1000000000000001</v>
      </c>
      <c r="BQ76">
        <v>2.2000000000000002</v>
      </c>
      <c r="BR76">
        <v>0.4</v>
      </c>
      <c r="BS76">
        <v>0.3</v>
      </c>
      <c r="BV76">
        <v>0.4</v>
      </c>
      <c r="BW76">
        <v>5.3</v>
      </c>
      <c r="BZ76">
        <v>22.8</v>
      </c>
      <c r="CA76">
        <v>1.8</v>
      </c>
      <c r="CB76">
        <v>1.4</v>
      </c>
      <c r="CD76">
        <v>1</v>
      </c>
      <c r="CE76">
        <v>0.5</v>
      </c>
      <c r="CF76">
        <v>5</v>
      </c>
      <c r="CH76">
        <v>6.5</v>
      </c>
      <c r="CI76">
        <v>0.2</v>
      </c>
      <c r="CP76">
        <v>0.5</v>
      </c>
      <c r="CR76">
        <v>3.1</v>
      </c>
      <c r="CS76">
        <v>29.1</v>
      </c>
      <c r="CV76">
        <v>11.3</v>
      </c>
      <c r="CW76">
        <v>4.5</v>
      </c>
      <c r="CX76">
        <v>2</v>
      </c>
      <c r="DA76" s="2"/>
      <c r="DD76" s="1">
        <v>40975</v>
      </c>
      <c r="DE76" s="2">
        <f t="shared" si="23"/>
        <v>6.4652173913043489</v>
      </c>
      <c r="DF76" s="2">
        <f t="shared" si="22"/>
        <v>2.9156862745098042</v>
      </c>
      <c r="DG76" s="2">
        <f t="shared" si="24"/>
        <v>43.8</v>
      </c>
      <c r="DH76" s="2">
        <f t="shared" si="25"/>
        <v>0.1</v>
      </c>
      <c r="DI76" s="3">
        <f t="shared" si="26"/>
        <v>0.45098039215686275</v>
      </c>
      <c r="DK76" s="70"/>
      <c r="DL76" s="67"/>
      <c r="DM76" s="12" t="s">
        <v>28</v>
      </c>
      <c r="DN76" s="67"/>
      <c r="DO76" s="8">
        <v>1925</v>
      </c>
      <c r="DP76" s="8">
        <v>1925</v>
      </c>
      <c r="DQ76" s="78"/>
      <c r="DU76">
        <v>1985</v>
      </c>
      <c r="DV76" s="2">
        <v>200.6</v>
      </c>
      <c r="DW76" s="2">
        <v>83.9</v>
      </c>
      <c r="DX76" s="2">
        <v>38.700000000000003</v>
      </c>
      <c r="DY76" s="2">
        <v>25.8</v>
      </c>
      <c r="DZ76" s="2">
        <v>5.9</v>
      </c>
      <c r="EA76" s="2">
        <v>16.399999999999999</v>
      </c>
      <c r="EB76" s="2">
        <v>2.9</v>
      </c>
      <c r="EC76" s="2">
        <v>2.4</v>
      </c>
      <c r="ED76" s="2">
        <v>14.7</v>
      </c>
      <c r="EE76" s="2">
        <v>296.10000000000002</v>
      </c>
      <c r="EF76" s="2">
        <v>177</v>
      </c>
      <c r="EG76" s="2">
        <v>75.400000000000006</v>
      </c>
      <c r="EI76">
        <v>939.79999999999984</v>
      </c>
      <c r="EJ76">
        <v>1985</v>
      </c>
      <c r="EL76">
        <v>1985</v>
      </c>
      <c r="EM76">
        <v>37.4</v>
      </c>
      <c r="EN76">
        <v>19.5</v>
      </c>
      <c r="EO76">
        <v>12.1</v>
      </c>
      <c r="EP76">
        <v>7.5</v>
      </c>
      <c r="EQ76">
        <v>1.7</v>
      </c>
      <c r="ER76">
        <v>7</v>
      </c>
      <c r="ES76">
        <v>47.3</v>
      </c>
      <c r="ET76">
        <v>2.2999999999999998</v>
      </c>
      <c r="EU76">
        <v>11.4</v>
      </c>
      <c r="EV76">
        <v>111.8</v>
      </c>
      <c r="EW76">
        <v>51.5</v>
      </c>
      <c r="EX76">
        <v>36</v>
      </c>
      <c r="EZ76">
        <v>111.8</v>
      </c>
      <c r="FA76">
        <v>1985</v>
      </c>
      <c r="FE76">
        <v>1985</v>
      </c>
      <c r="FF76">
        <v>24</v>
      </c>
      <c r="FG76">
        <v>25</v>
      </c>
      <c r="FH76">
        <v>14</v>
      </c>
      <c r="FI76">
        <v>13</v>
      </c>
      <c r="FJ76">
        <v>9</v>
      </c>
      <c r="FK76">
        <v>9</v>
      </c>
      <c r="FL76">
        <v>1</v>
      </c>
      <c r="FM76">
        <v>3</v>
      </c>
      <c r="FN76">
        <v>7</v>
      </c>
      <c r="FO76">
        <v>15</v>
      </c>
      <c r="FP76">
        <v>18</v>
      </c>
      <c r="FQ76">
        <v>17</v>
      </c>
      <c r="FS76">
        <f t="shared" si="18"/>
        <v>155</v>
      </c>
      <c r="FT76">
        <v>1985</v>
      </c>
      <c r="FW76">
        <v>1985</v>
      </c>
      <c r="FX76">
        <v>2</v>
      </c>
      <c r="FY76">
        <v>17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K76">
        <f t="shared" si="19"/>
        <v>19</v>
      </c>
    </row>
    <row r="77" spans="1:193">
      <c r="A77" s="17" t="s">
        <v>101</v>
      </c>
      <c r="F77">
        <v>2.5</v>
      </c>
      <c r="J77">
        <v>3.8</v>
      </c>
      <c r="L77">
        <v>2.6</v>
      </c>
      <c r="Q77">
        <v>11.3</v>
      </c>
      <c r="W77">
        <v>7.5</v>
      </c>
      <c r="X77">
        <v>0.8</v>
      </c>
      <c r="Z77">
        <v>4.8</v>
      </c>
      <c r="AC77">
        <v>1</v>
      </c>
      <c r="AD77">
        <v>14.5</v>
      </c>
      <c r="AE77">
        <v>4.5</v>
      </c>
      <c r="AG77">
        <v>1.5</v>
      </c>
      <c r="AJ77">
        <v>5.2</v>
      </c>
      <c r="AL77">
        <v>0.8</v>
      </c>
      <c r="AN77">
        <v>13.6</v>
      </c>
      <c r="AP77">
        <v>2.1</v>
      </c>
      <c r="AQ77">
        <v>11.6</v>
      </c>
      <c r="AV77">
        <v>12.6</v>
      </c>
      <c r="AX77">
        <v>0.1</v>
      </c>
      <c r="BA77">
        <v>20</v>
      </c>
      <c r="BC77">
        <v>4.7</v>
      </c>
      <c r="BE77">
        <v>0.4</v>
      </c>
      <c r="BG77">
        <v>0.4</v>
      </c>
      <c r="BI77">
        <v>1.4</v>
      </c>
      <c r="BJ77">
        <v>16.2</v>
      </c>
      <c r="BM77">
        <v>5.8</v>
      </c>
      <c r="BO77">
        <v>1</v>
      </c>
      <c r="BP77">
        <v>2.8</v>
      </c>
      <c r="BQ77">
        <v>1.7</v>
      </c>
      <c r="BR77">
        <v>0.2</v>
      </c>
      <c r="BS77">
        <v>0.9</v>
      </c>
      <c r="BU77">
        <v>1</v>
      </c>
      <c r="BW77">
        <v>0.3</v>
      </c>
      <c r="BY77">
        <v>1</v>
      </c>
      <c r="BZ77">
        <v>6</v>
      </c>
      <c r="CA77">
        <v>0.8</v>
      </c>
      <c r="CE77">
        <v>0.2</v>
      </c>
      <c r="CH77">
        <v>3.6</v>
      </c>
      <c r="CI77">
        <v>0.3</v>
      </c>
      <c r="CL77">
        <v>8.6999999999999993</v>
      </c>
      <c r="CR77">
        <v>5.8</v>
      </c>
      <c r="CS77">
        <v>17</v>
      </c>
      <c r="CT77">
        <v>0.2</v>
      </c>
      <c r="CV77">
        <v>1.7</v>
      </c>
      <c r="CW77">
        <v>2.7</v>
      </c>
      <c r="CX77">
        <v>8.5</v>
      </c>
      <c r="CY77">
        <v>0.3</v>
      </c>
      <c r="CZ77">
        <v>1.2</v>
      </c>
      <c r="DA77" s="2"/>
      <c r="DD77" s="1">
        <v>40976</v>
      </c>
      <c r="DE77" s="2">
        <f t="shared" si="23"/>
        <v>4.5872340425531917</v>
      </c>
      <c r="DF77" s="2">
        <f t="shared" si="22"/>
        <v>2.1137254901960785</v>
      </c>
      <c r="DG77" s="2">
        <f t="shared" si="24"/>
        <v>20</v>
      </c>
      <c r="DH77" s="2">
        <f t="shared" si="25"/>
        <v>0.1</v>
      </c>
      <c r="DI77" s="3">
        <f t="shared" si="26"/>
        <v>0.46078431372549017</v>
      </c>
      <c r="DU77">
        <v>1986</v>
      </c>
      <c r="DV77" s="2">
        <v>172.3</v>
      </c>
      <c r="DW77" s="2">
        <v>119.9</v>
      </c>
      <c r="DX77" s="2">
        <v>22.5</v>
      </c>
      <c r="DY77" s="2">
        <v>38.1</v>
      </c>
      <c r="DZ77" s="2">
        <v>0.1</v>
      </c>
      <c r="EA77" s="2">
        <v>71.400000000000006</v>
      </c>
      <c r="EB77" s="2">
        <v>101.3</v>
      </c>
      <c r="EC77" s="2">
        <v>0.1</v>
      </c>
      <c r="ED77" s="2">
        <v>27.7</v>
      </c>
      <c r="EE77" s="2">
        <v>130.19999999999999</v>
      </c>
      <c r="EF77" s="2">
        <v>48.4</v>
      </c>
      <c r="EG77" s="2">
        <v>112.3</v>
      </c>
      <c r="EI77">
        <v>844.30000000000007</v>
      </c>
      <c r="EJ77">
        <v>1986</v>
      </c>
      <c r="EL77">
        <v>1986</v>
      </c>
      <c r="EM77">
        <v>37.6</v>
      </c>
      <c r="EN77">
        <v>21.2</v>
      </c>
      <c r="EO77">
        <v>12.5</v>
      </c>
      <c r="EP77">
        <v>19.8</v>
      </c>
      <c r="EQ77">
        <v>0.1</v>
      </c>
      <c r="ER77">
        <v>48.6</v>
      </c>
      <c r="ES77">
        <v>2.9</v>
      </c>
      <c r="ET77">
        <v>0.1</v>
      </c>
      <c r="EU77">
        <v>16.899999999999999</v>
      </c>
      <c r="EV77">
        <v>25.6</v>
      </c>
      <c r="EW77">
        <v>15.2</v>
      </c>
      <c r="EX77">
        <v>19.8</v>
      </c>
      <c r="EZ77">
        <v>48.6</v>
      </c>
      <c r="FA77">
        <v>1986</v>
      </c>
      <c r="FE77">
        <v>1986</v>
      </c>
      <c r="FF77">
        <v>22</v>
      </c>
      <c r="FG77">
        <v>23</v>
      </c>
      <c r="FH77">
        <v>20</v>
      </c>
      <c r="FI77">
        <v>10</v>
      </c>
      <c r="FJ77">
        <v>5</v>
      </c>
      <c r="FK77">
        <v>11</v>
      </c>
      <c r="FL77">
        <v>4</v>
      </c>
      <c r="FM77">
        <v>1</v>
      </c>
      <c r="FN77">
        <v>6</v>
      </c>
      <c r="FO77">
        <v>17</v>
      </c>
      <c r="FP77">
        <v>13</v>
      </c>
      <c r="FQ77">
        <v>17</v>
      </c>
      <c r="FS77">
        <f t="shared" si="18"/>
        <v>149</v>
      </c>
      <c r="FT77">
        <v>1986</v>
      </c>
      <c r="FW77">
        <v>1986</v>
      </c>
      <c r="FX77">
        <v>9</v>
      </c>
      <c r="FY77">
        <v>4</v>
      </c>
      <c r="FZ77">
        <v>2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2</v>
      </c>
      <c r="GK77">
        <f t="shared" si="19"/>
        <v>17</v>
      </c>
    </row>
    <row r="78" spans="1:193">
      <c r="A78" s="17" t="s">
        <v>102</v>
      </c>
      <c r="C78">
        <v>3.7</v>
      </c>
      <c r="G78">
        <v>1.1000000000000001</v>
      </c>
      <c r="I78">
        <v>1.9</v>
      </c>
      <c r="L78">
        <v>6.1</v>
      </c>
      <c r="N78">
        <v>0.5</v>
      </c>
      <c r="Q78">
        <v>1</v>
      </c>
      <c r="Z78">
        <v>7.4</v>
      </c>
      <c r="AD78">
        <v>7.3</v>
      </c>
      <c r="AG78">
        <v>0.2</v>
      </c>
      <c r="AI78">
        <v>3.3</v>
      </c>
      <c r="AJ78">
        <v>1.5</v>
      </c>
      <c r="AK78">
        <v>2.6</v>
      </c>
      <c r="AL78">
        <v>2.7</v>
      </c>
      <c r="AN78">
        <v>1.2</v>
      </c>
      <c r="AO78">
        <v>6.6</v>
      </c>
      <c r="AQ78">
        <v>5.8</v>
      </c>
      <c r="AS78">
        <v>3.5</v>
      </c>
      <c r="AT78">
        <v>26.4</v>
      </c>
      <c r="AU78">
        <v>7</v>
      </c>
      <c r="AV78">
        <v>4</v>
      </c>
      <c r="AW78">
        <v>9.6</v>
      </c>
      <c r="AX78">
        <v>1.6</v>
      </c>
      <c r="AY78">
        <v>0.7</v>
      </c>
      <c r="BA78">
        <v>11</v>
      </c>
      <c r="BC78">
        <v>0.1</v>
      </c>
      <c r="BD78">
        <v>11.9</v>
      </c>
      <c r="BI78">
        <v>0.6</v>
      </c>
      <c r="BJ78">
        <v>8.4</v>
      </c>
      <c r="BK78">
        <v>0.3</v>
      </c>
      <c r="BL78">
        <v>0.2</v>
      </c>
      <c r="BM78">
        <v>13</v>
      </c>
      <c r="BO78">
        <v>0.1</v>
      </c>
      <c r="BQ78">
        <v>0.1</v>
      </c>
      <c r="BR78">
        <v>0.1</v>
      </c>
      <c r="BS78">
        <v>17.600000000000001</v>
      </c>
      <c r="BU78">
        <v>0.8</v>
      </c>
      <c r="BW78">
        <v>18.100000000000001</v>
      </c>
      <c r="BY78">
        <v>0.3</v>
      </c>
      <c r="BZ78">
        <v>2.8</v>
      </c>
      <c r="CA78">
        <v>7.7</v>
      </c>
      <c r="CE78">
        <v>0.2</v>
      </c>
      <c r="CH78">
        <v>1.1000000000000001</v>
      </c>
      <c r="CI78">
        <v>8.1</v>
      </c>
      <c r="CK78">
        <v>9</v>
      </c>
      <c r="CQ78">
        <v>8.4</v>
      </c>
      <c r="CT78">
        <v>0.2</v>
      </c>
      <c r="CV78">
        <v>0.3</v>
      </c>
      <c r="CW78">
        <v>5.3</v>
      </c>
      <c r="CX78">
        <v>5.5</v>
      </c>
      <c r="CZ78">
        <v>1.2</v>
      </c>
      <c r="DA78" s="2"/>
      <c r="DD78" s="1">
        <v>40977</v>
      </c>
      <c r="DE78" s="2">
        <f t="shared" si="23"/>
        <v>4.7619999999999996</v>
      </c>
      <c r="DF78" s="2">
        <f t="shared" si="22"/>
        <v>2.3343137254901958</v>
      </c>
      <c r="DG78" s="2">
        <f t="shared" si="24"/>
        <v>26.4</v>
      </c>
      <c r="DH78" s="2">
        <f t="shared" si="25"/>
        <v>0.1</v>
      </c>
      <c r="DI78" s="3">
        <f t="shared" si="26"/>
        <v>0.49019607843137253</v>
      </c>
      <c r="DU78">
        <v>1987</v>
      </c>
      <c r="DV78" s="2">
        <v>141.69999999999999</v>
      </c>
      <c r="DW78" s="2">
        <v>32.6</v>
      </c>
      <c r="DX78" s="2">
        <v>160.9</v>
      </c>
      <c r="DY78" s="2">
        <v>45.4</v>
      </c>
      <c r="DZ78" s="2">
        <v>17.5</v>
      </c>
      <c r="EA78" s="2">
        <v>59.4</v>
      </c>
      <c r="EB78" s="2">
        <v>32.6</v>
      </c>
      <c r="EC78" s="2">
        <v>106.2</v>
      </c>
      <c r="ED78" s="2">
        <v>2.6</v>
      </c>
      <c r="EE78" s="2">
        <v>159.1</v>
      </c>
      <c r="EF78" s="2">
        <v>98.1</v>
      </c>
      <c r="EG78" s="2">
        <v>193.4</v>
      </c>
      <c r="EI78">
        <v>1049.5</v>
      </c>
      <c r="EJ78">
        <v>1987</v>
      </c>
      <c r="EL78">
        <v>1987</v>
      </c>
      <c r="EM78">
        <v>33.5</v>
      </c>
      <c r="EN78">
        <v>19.3</v>
      </c>
      <c r="EO78">
        <v>22.8</v>
      </c>
      <c r="EP78">
        <v>24</v>
      </c>
      <c r="EQ78">
        <v>5.5</v>
      </c>
      <c r="ER78">
        <v>57</v>
      </c>
      <c r="ES78">
        <v>100.5</v>
      </c>
      <c r="ET78">
        <v>27.4</v>
      </c>
      <c r="EU78">
        <v>2.1</v>
      </c>
      <c r="EV78">
        <v>31</v>
      </c>
      <c r="EW78">
        <v>22.8</v>
      </c>
      <c r="EX78">
        <v>58.5</v>
      </c>
      <c r="EZ78">
        <v>100.5</v>
      </c>
      <c r="FA78">
        <v>1987</v>
      </c>
      <c r="FE78">
        <v>1987</v>
      </c>
      <c r="FF78">
        <v>22</v>
      </c>
      <c r="FG78">
        <v>15</v>
      </c>
      <c r="FH78">
        <v>17</v>
      </c>
      <c r="FI78">
        <v>15</v>
      </c>
      <c r="FJ78">
        <v>11</v>
      </c>
      <c r="FK78">
        <v>7</v>
      </c>
      <c r="FL78">
        <v>5</v>
      </c>
      <c r="FM78">
        <v>9</v>
      </c>
      <c r="FN78">
        <v>2</v>
      </c>
      <c r="FO78">
        <v>20</v>
      </c>
      <c r="FP78">
        <v>16</v>
      </c>
      <c r="FQ78">
        <v>21</v>
      </c>
      <c r="FS78">
        <f t="shared" si="18"/>
        <v>160</v>
      </c>
      <c r="FT78">
        <v>1987</v>
      </c>
      <c r="FW78">
        <v>1987</v>
      </c>
      <c r="FX78">
        <v>2</v>
      </c>
      <c r="FY78">
        <v>3</v>
      </c>
      <c r="FZ78">
        <v>15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2</v>
      </c>
      <c r="GK78">
        <f t="shared" si="19"/>
        <v>22</v>
      </c>
    </row>
    <row r="79" spans="1:193" ht="15.75" customHeight="1">
      <c r="A79" s="17" t="s">
        <v>103</v>
      </c>
      <c r="F79">
        <v>1.5</v>
      </c>
      <c r="G79">
        <v>4.5</v>
      </c>
      <c r="H79">
        <v>9.4</v>
      </c>
      <c r="L79">
        <v>4.3</v>
      </c>
      <c r="N79">
        <v>2.2999999999999998</v>
      </c>
      <c r="P79">
        <v>6.8</v>
      </c>
      <c r="R79">
        <v>2.7</v>
      </c>
      <c r="U79">
        <v>33.5</v>
      </c>
      <c r="Z79">
        <v>0.5</v>
      </c>
      <c r="AB79">
        <v>1.8</v>
      </c>
      <c r="AD79">
        <v>3.8</v>
      </c>
      <c r="AF79">
        <v>0.5</v>
      </c>
      <c r="AI79">
        <v>8.3000000000000007</v>
      </c>
      <c r="AJ79">
        <v>0.6</v>
      </c>
      <c r="AK79">
        <v>0.1</v>
      </c>
      <c r="AL79">
        <v>13.5</v>
      </c>
      <c r="AP79">
        <v>21.2</v>
      </c>
      <c r="AR79">
        <v>12.4</v>
      </c>
      <c r="AS79">
        <v>0.2</v>
      </c>
      <c r="AT79">
        <v>4.5</v>
      </c>
      <c r="AU79">
        <v>12.3</v>
      </c>
      <c r="AV79">
        <v>0.4</v>
      </c>
      <c r="AW79">
        <v>8.9</v>
      </c>
      <c r="AY79">
        <v>0.9</v>
      </c>
      <c r="BD79">
        <v>8.3000000000000007</v>
      </c>
      <c r="BE79">
        <v>1.4</v>
      </c>
      <c r="BF79">
        <v>0.7</v>
      </c>
      <c r="BI79">
        <v>0.6</v>
      </c>
      <c r="BJ79">
        <v>16.399999999999999</v>
      </c>
      <c r="BL79">
        <v>7.7</v>
      </c>
      <c r="BN79">
        <v>6.5</v>
      </c>
      <c r="BP79">
        <v>0.1</v>
      </c>
      <c r="BS79">
        <v>12.3</v>
      </c>
      <c r="BU79">
        <v>0.7</v>
      </c>
      <c r="BW79">
        <v>9.9</v>
      </c>
      <c r="BY79">
        <v>0.1</v>
      </c>
      <c r="BZ79">
        <v>17</v>
      </c>
      <c r="CA79">
        <v>3.2</v>
      </c>
      <c r="CC79">
        <v>1.8</v>
      </c>
      <c r="CF79">
        <v>1</v>
      </c>
      <c r="CI79">
        <v>8.1999999999999993</v>
      </c>
      <c r="CJ79">
        <v>5.5</v>
      </c>
      <c r="CK79">
        <v>22.5</v>
      </c>
      <c r="CM79">
        <v>9.8000000000000007</v>
      </c>
      <c r="CN79">
        <v>0.2</v>
      </c>
      <c r="CO79">
        <v>0.2</v>
      </c>
      <c r="CQ79">
        <v>3.8</v>
      </c>
      <c r="CR79">
        <v>2.1</v>
      </c>
      <c r="CT79">
        <v>0.2</v>
      </c>
      <c r="CV79">
        <v>16.3</v>
      </c>
      <c r="CW79">
        <v>0.1</v>
      </c>
      <c r="CX79">
        <v>0.7</v>
      </c>
      <c r="CZ79">
        <v>0.2</v>
      </c>
      <c r="DA79" s="2"/>
      <c r="DD79" s="1">
        <v>40978</v>
      </c>
      <c r="DE79" s="2">
        <f t="shared" si="23"/>
        <v>5.8943396226415086</v>
      </c>
      <c r="DF79" s="2">
        <f t="shared" si="22"/>
        <v>3.0627450980392155</v>
      </c>
      <c r="DG79" s="2">
        <f t="shared" si="24"/>
        <v>33.5</v>
      </c>
      <c r="DH79" s="2">
        <f t="shared" si="25"/>
        <v>0.1</v>
      </c>
      <c r="DI79" s="3">
        <f t="shared" si="26"/>
        <v>0.51960784313725494</v>
      </c>
      <c r="DK79" s="68" t="s">
        <v>14</v>
      </c>
      <c r="DL79" s="71" t="s">
        <v>4</v>
      </c>
      <c r="DM79" s="12" t="s">
        <v>27</v>
      </c>
      <c r="DN79" s="4">
        <v>131.30000000000001</v>
      </c>
      <c r="DO79" s="5">
        <v>316</v>
      </c>
      <c r="DP79" s="8">
        <v>25</v>
      </c>
      <c r="DQ79" s="76"/>
      <c r="DU79">
        <v>1988</v>
      </c>
      <c r="DV79" s="2">
        <v>25.2</v>
      </c>
      <c r="DW79" s="2">
        <v>47.7</v>
      </c>
      <c r="DX79" s="2">
        <v>52.3</v>
      </c>
      <c r="DY79" s="2">
        <v>60.4</v>
      </c>
      <c r="DZ79" s="2">
        <v>27.2</v>
      </c>
      <c r="EA79" s="2">
        <v>67.400000000000006</v>
      </c>
      <c r="EB79" s="2">
        <v>3.3</v>
      </c>
      <c r="EC79" s="2">
        <v>1.1000000000000001</v>
      </c>
      <c r="ED79" s="2">
        <v>25.3</v>
      </c>
      <c r="EE79" s="2">
        <v>100.6</v>
      </c>
      <c r="EF79" s="2">
        <v>222.7</v>
      </c>
      <c r="EG79" s="2">
        <v>183.8</v>
      </c>
      <c r="EI79">
        <v>817</v>
      </c>
      <c r="EJ79">
        <v>1988</v>
      </c>
      <c r="EL79">
        <v>1988</v>
      </c>
      <c r="EM79">
        <v>5.2</v>
      </c>
      <c r="EN79">
        <v>14</v>
      </c>
      <c r="EO79">
        <v>15.2</v>
      </c>
      <c r="EP79">
        <v>21.8</v>
      </c>
      <c r="EQ79">
        <v>22.7</v>
      </c>
      <c r="ER79">
        <v>36</v>
      </c>
      <c r="ES79">
        <v>22.2</v>
      </c>
      <c r="ET79">
        <v>1.1000000000000001</v>
      </c>
      <c r="EU79">
        <v>15.8</v>
      </c>
      <c r="EV79">
        <v>20.8</v>
      </c>
      <c r="EW79">
        <v>36.299999999999997</v>
      </c>
      <c r="EX79">
        <v>67</v>
      </c>
      <c r="EZ79">
        <v>67</v>
      </c>
      <c r="FA79">
        <v>1988</v>
      </c>
      <c r="FE79">
        <v>1988</v>
      </c>
      <c r="FF79">
        <v>13</v>
      </c>
      <c r="FG79">
        <v>17</v>
      </c>
      <c r="FH79">
        <v>15</v>
      </c>
      <c r="FI79">
        <v>11</v>
      </c>
      <c r="FJ79">
        <v>8</v>
      </c>
      <c r="FK79">
        <v>9</v>
      </c>
      <c r="FL79">
        <v>3</v>
      </c>
      <c r="FM79">
        <v>1</v>
      </c>
      <c r="FN79">
        <v>7</v>
      </c>
      <c r="FO79">
        <v>18</v>
      </c>
      <c r="FP79">
        <v>19</v>
      </c>
      <c r="FQ79">
        <v>18</v>
      </c>
      <c r="FS79">
        <f t="shared" si="18"/>
        <v>139</v>
      </c>
      <c r="FT79">
        <v>1988</v>
      </c>
      <c r="FW79">
        <v>1988</v>
      </c>
      <c r="FX79">
        <v>5</v>
      </c>
      <c r="FY79">
        <v>4</v>
      </c>
      <c r="FZ79">
        <v>1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3</v>
      </c>
      <c r="GI79">
        <v>3</v>
      </c>
      <c r="GK79">
        <f t="shared" si="19"/>
        <v>16</v>
      </c>
    </row>
    <row r="80" spans="1:193">
      <c r="A80" s="17" t="s">
        <v>104</v>
      </c>
      <c r="F80">
        <v>16.5</v>
      </c>
      <c r="G80">
        <v>0.2</v>
      </c>
      <c r="H80">
        <v>1</v>
      </c>
      <c r="J80">
        <v>2.5</v>
      </c>
      <c r="N80">
        <v>3.6</v>
      </c>
      <c r="O80">
        <v>6.2</v>
      </c>
      <c r="P80">
        <v>13</v>
      </c>
      <c r="Q80">
        <v>8.9</v>
      </c>
      <c r="S80">
        <v>1.7</v>
      </c>
      <c r="X80">
        <v>1.6</v>
      </c>
      <c r="AB80">
        <v>0.3</v>
      </c>
      <c r="AC80">
        <v>7.1</v>
      </c>
      <c r="AD80">
        <v>19.2</v>
      </c>
      <c r="AJ80">
        <v>1.7</v>
      </c>
      <c r="AK80">
        <v>2</v>
      </c>
      <c r="AM80">
        <v>0.3</v>
      </c>
      <c r="AN80">
        <v>2</v>
      </c>
      <c r="AO80">
        <v>2.2000000000000002</v>
      </c>
      <c r="AR80">
        <v>26.2</v>
      </c>
      <c r="AT80">
        <v>15.4</v>
      </c>
      <c r="AU80">
        <v>13</v>
      </c>
      <c r="AV80">
        <v>2.2999999999999998</v>
      </c>
      <c r="AW80">
        <v>0.2</v>
      </c>
      <c r="AX80">
        <v>0.6</v>
      </c>
      <c r="BB80">
        <v>8.4</v>
      </c>
      <c r="BD80">
        <v>0.6</v>
      </c>
      <c r="BE80">
        <v>7.3</v>
      </c>
      <c r="BG80">
        <v>27.6</v>
      </c>
      <c r="BI80">
        <v>0.7</v>
      </c>
      <c r="BJ80">
        <v>0.2</v>
      </c>
      <c r="BK80">
        <v>9.6</v>
      </c>
      <c r="BL80">
        <v>13.2</v>
      </c>
      <c r="BM80">
        <v>0.1</v>
      </c>
      <c r="BN80">
        <v>6.6</v>
      </c>
      <c r="BQ80">
        <v>0.3</v>
      </c>
      <c r="BR80">
        <v>0.1</v>
      </c>
      <c r="BS80">
        <v>1</v>
      </c>
      <c r="BT80">
        <v>0.3</v>
      </c>
      <c r="BW80">
        <v>2.6</v>
      </c>
      <c r="BZ80">
        <v>6.6</v>
      </c>
      <c r="CE80">
        <v>0.2</v>
      </c>
      <c r="CG80">
        <v>0.5</v>
      </c>
      <c r="CI80">
        <v>1.7</v>
      </c>
      <c r="CK80">
        <v>22</v>
      </c>
      <c r="CO80">
        <v>1.2</v>
      </c>
      <c r="CQ80">
        <v>2.8</v>
      </c>
      <c r="CR80">
        <v>0.9</v>
      </c>
      <c r="CS80">
        <v>8.5</v>
      </c>
      <c r="CT80">
        <v>0.5</v>
      </c>
      <c r="CY80">
        <v>14.3</v>
      </c>
      <c r="CZ80">
        <v>1.3</v>
      </c>
      <c r="DA80" s="2"/>
      <c r="DD80" s="1">
        <v>40979</v>
      </c>
      <c r="DE80" s="2">
        <f t="shared" si="23"/>
        <v>5.6235294117647046</v>
      </c>
      <c r="DF80" s="2">
        <f t="shared" si="22"/>
        <v>2.8117647058823523</v>
      </c>
      <c r="DG80" s="2">
        <f t="shared" si="24"/>
        <v>27.6</v>
      </c>
      <c r="DH80" s="2">
        <f t="shared" si="25"/>
        <v>0.1</v>
      </c>
      <c r="DI80" s="3">
        <f t="shared" si="26"/>
        <v>0.5</v>
      </c>
      <c r="DK80" s="69"/>
      <c r="DL80" s="67"/>
      <c r="DM80" s="12" t="s">
        <v>33</v>
      </c>
      <c r="DN80" s="13">
        <v>15617</v>
      </c>
      <c r="DO80" s="19">
        <v>1997</v>
      </c>
      <c r="DP80" s="8">
        <v>1970</v>
      </c>
      <c r="DQ80" s="77"/>
      <c r="DU80">
        <v>1989</v>
      </c>
      <c r="DV80" s="2">
        <v>38.799999999999997</v>
      </c>
      <c r="DW80" s="2">
        <v>17.8</v>
      </c>
      <c r="DX80" s="2">
        <v>30.1</v>
      </c>
      <c r="DY80" s="2">
        <v>11.6</v>
      </c>
      <c r="DZ80" s="2">
        <v>60.9</v>
      </c>
      <c r="EA80" s="2">
        <v>23.1</v>
      </c>
      <c r="EB80" s="2">
        <v>5.0999999999999996</v>
      </c>
      <c r="EC80" s="2">
        <v>17.5</v>
      </c>
      <c r="ED80" s="2">
        <v>11.2</v>
      </c>
      <c r="EE80" s="2">
        <v>126.3</v>
      </c>
      <c r="EF80" s="2">
        <v>132.69999999999999</v>
      </c>
      <c r="EG80" s="2">
        <v>82.8</v>
      </c>
      <c r="EI80">
        <v>557.9</v>
      </c>
      <c r="EJ80">
        <v>1989</v>
      </c>
      <c r="EL80">
        <v>1989</v>
      </c>
      <c r="EM80">
        <v>11.2</v>
      </c>
      <c r="EN80">
        <v>12.8</v>
      </c>
      <c r="EO80">
        <v>6.5</v>
      </c>
      <c r="EP80">
        <v>9.5</v>
      </c>
      <c r="EQ80">
        <v>14.7</v>
      </c>
      <c r="ER80">
        <v>9.1</v>
      </c>
      <c r="ES80">
        <v>1.8</v>
      </c>
      <c r="ET80">
        <v>8.5</v>
      </c>
      <c r="EU80">
        <v>4.3</v>
      </c>
      <c r="EV80">
        <v>51.5</v>
      </c>
      <c r="EW80">
        <v>33.4</v>
      </c>
      <c r="EX80">
        <v>27.4</v>
      </c>
      <c r="EZ80">
        <v>51.5</v>
      </c>
      <c r="FA80">
        <v>1989</v>
      </c>
      <c r="FE80">
        <v>1989</v>
      </c>
      <c r="FF80">
        <v>12</v>
      </c>
      <c r="FG80">
        <v>8</v>
      </c>
      <c r="FH80">
        <v>12</v>
      </c>
      <c r="FI80">
        <v>6</v>
      </c>
      <c r="FJ80">
        <v>17</v>
      </c>
      <c r="FK80">
        <v>9</v>
      </c>
      <c r="FL80">
        <v>3</v>
      </c>
      <c r="FM80">
        <v>3</v>
      </c>
      <c r="FN80">
        <v>9</v>
      </c>
      <c r="FO80">
        <v>12</v>
      </c>
      <c r="FP80">
        <v>17</v>
      </c>
      <c r="FQ80">
        <v>16</v>
      </c>
      <c r="FS80">
        <f t="shared" si="18"/>
        <v>124</v>
      </c>
      <c r="FT80">
        <v>1989</v>
      </c>
      <c r="FW80">
        <v>1989</v>
      </c>
      <c r="FX80">
        <v>3</v>
      </c>
      <c r="FY80">
        <v>1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2</v>
      </c>
      <c r="GI80">
        <v>4</v>
      </c>
      <c r="GK80">
        <f t="shared" si="19"/>
        <v>10</v>
      </c>
    </row>
    <row r="81" spans="1:193">
      <c r="A81" s="17" t="s">
        <v>105</v>
      </c>
      <c r="F81">
        <v>5.4</v>
      </c>
      <c r="G81">
        <v>0.2</v>
      </c>
      <c r="K81">
        <v>0.9</v>
      </c>
      <c r="O81">
        <v>1.2</v>
      </c>
      <c r="P81">
        <v>0.3</v>
      </c>
      <c r="S81">
        <v>2.7</v>
      </c>
      <c r="U81">
        <v>5.3</v>
      </c>
      <c r="AC81">
        <v>24.5</v>
      </c>
      <c r="AD81">
        <v>31</v>
      </c>
      <c r="AF81">
        <v>1.8</v>
      </c>
      <c r="AI81">
        <v>3.6</v>
      </c>
      <c r="AK81">
        <v>3.2</v>
      </c>
      <c r="AL81">
        <v>5.2</v>
      </c>
      <c r="AN81">
        <v>5</v>
      </c>
      <c r="AO81">
        <v>1.8</v>
      </c>
      <c r="AR81">
        <v>1.1000000000000001</v>
      </c>
      <c r="AT81">
        <v>4.8</v>
      </c>
      <c r="AU81">
        <v>20.399999999999999</v>
      </c>
      <c r="AV81">
        <v>0.3</v>
      </c>
      <c r="AW81">
        <v>2</v>
      </c>
      <c r="AX81">
        <v>10</v>
      </c>
      <c r="BA81">
        <v>0.6</v>
      </c>
      <c r="BF81">
        <v>2.2999999999999998</v>
      </c>
      <c r="BG81">
        <v>21.9</v>
      </c>
      <c r="BI81">
        <v>0.2</v>
      </c>
      <c r="BJ81">
        <v>14</v>
      </c>
      <c r="BK81">
        <v>4</v>
      </c>
      <c r="BL81">
        <v>0.8</v>
      </c>
      <c r="BM81">
        <v>8.8000000000000007</v>
      </c>
      <c r="BO81">
        <v>2</v>
      </c>
      <c r="BS81">
        <v>0.6</v>
      </c>
      <c r="BT81">
        <v>4.4000000000000004</v>
      </c>
      <c r="BU81">
        <v>1.2</v>
      </c>
      <c r="BV81">
        <v>2.6</v>
      </c>
      <c r="BY81">
        <v>0.1</v>
      </c>
      <c r="BZ81">
        <v>10.8</v>
      </c>
      <c r="CD81">
        <v>3.8</v>
      </c>
      <c r="CE81">
        <v>0.5</v>
      </c>
      <c r="CH81">
        <v>0.5</v>
      </c>
      <c r="CK81">
        <v>3.5</v>
      </c>
      <c r="CO81">
        <v>0.1</v>
      </c>
      <c r="CS81">
        <v>0.3</v>
      </c>
      <c r="CT81">
        <v>0.5</v>
      </c>
      <c r="CV81">
        <v>25.8</v>
      </c>
      <c r="CW81">
        <v>0.5</v>
      </c>
      <c r="CY81">
        <v>10.1</v>
      </c>
      <c r="CZ81">
        <v>0.1</v>
      </c>
      <c r="DA81" s="2"/>
      <c r="DD81" s="1">
        <v>40980</v>
      </c>
      <c r="DE81" s="2">
        <f t="shared" si="23"/>
        <v>5.3340425531914901</v>
      </c>
      <c r="DF81" s="2">
        <f t="shared" si="22"/>
        <v>2.4578431372549021</v>
      </c>
      <c r="DG81" s="2">
        <f t="shared" si="24"/>
        <v>31</v>
      </c>
      <c r="DH81" s="2">
        <f t="shared" si="25"/>
        <v>0.1</v>
      </c>
      <c r="DI81" s="3">
        <f t="shared" si="26"/>
        <v>0.46078431372549017</v>
      </c>
      <c r="DK81" s="69"/>
      <c r="DL81" s="72"/>
      <c r="DM81" s="73"/>
      <c r="DN81" s="12" t="s">
        <v>24</v>
      </c>
      <c r="DO81" s="11" t="s">
        <v>25</v>
      </c>
      <c r="DP81" s="11" t="s">
        <v>19</v>
      </c>
      <c r="DQ81" s="77"/>
      <c r="DU81">
        <v>1990</v>
      </c>
      <c r="DV81" s="2">
        <v>39.700000000000003</v>
      </c>
      <c r="DW81" s="2">
        <v>56.6</v>
      </c>
      <c r="DX81" s="2">
        <v>9.9</v>
      </c>
      <c r="DY81" s="2">
        <v>43</v>
      </c>
      <c r="DZ81" s="2">
        <v>67.400000000000006</v>
      </c>
      <c r="EA81" s="2">
        <v>69</v>
      </c>
      <c r="EB81" s="2">
        <v>62.1</v>
      </c>
      <c r="EC81" s="2">
        <v>80.5</v>
      </c>
      <c r="ED81" s="2">
        <v>98</v>
      </c>
      <c r="EE81" s="2">
        <v>81.400000000000006</v>
      </c>
      <c r="EF81" s="2">
        <v>145.19999999999999</v>
      </c>
      <c r="EG81" s="2">
        <v>173.5</v>
      </c>
      <c r="EI81">
        <v>926.3</v>
      </c>
      <c r="EJ81">
        <v>1990</v>
      </c>
      <c r="EL81">
        <v>1990</v>
      </c>
      <c r="EM81">
        <v>16</v>
      </c>
      <c r="EN81">
        <v>22</v>
      </c>
      <c r="EO81">
        <v>3.6</v>
      </c>
      <c r="EP81">
        <v>11.5</v>
      </c>
      <c r="EQ81">
        <v>25.7</v>
      </c>
      <c r="ER81">
        <v>48</v>
      </c>
      <c r="ES81">
        <v>4.5</v>
      </c>
      <c r="ET81">
        <v>77.5</v>
      </c>
      <c r="EU81">
        <v>30.7</v>
      </c>
      <c r="EV81">
        <v>18</v>
      </c>
      <c r="EW81">
        <v>39.5</v>
      </c>
      <c r="EX81">
        <v>23.8</v>
      </c>
      <c r="EZ81">
        <v>77.5</v>
      </c>
      <c r="FA81">
        <v>1990</v>
      </c>
      <c r="FE81">
        <v>1990</v>
      </c>
      <c r="FF81">
        <v>10</v>
      </c>
      <c r="FG81">
        <v>13</v>
      </c>
      <c r="FH81">
        <v>5</v>
      </c>
      <c r="FI81">
        <v>17</v>
      </c>
      <c r="FJ81">
        <v>9</v>
      </c>
      <c r="FK81">
        <v>7</v>
      </c>
      <c r="FL81">
        <v>5</v>
      </c>
      <c r="FM81">
        <v>6</v>
      </c>
      <c r="FN81">
        <v>11</v>
      </c>
      <c r="FO81">
        <v>9</v>
      </c>
      <c r="FP81">
        <v>13</v>
      </c>
      <c r="FQ81">
        <v>19</v>
      </c>
      <c r="FS81">
        <f t="shared" si="18"/>
        <v>124</v>
      </c>
      <c r="FT81">
        <v>1990</v>
      </c>
      <c r="FW81">
        <v>1990</v>
      </c>
      <c r="FX81">
        <v>9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2</v>
      </c>
      <c r="GK81">
        <f t="shared" si="19"/>
        <v>11</v>
      </c>
    </row>
    <row r="82" spans="1:193">
      <c r="A82" s="17" t="s">
        <v>106</v>
      </c>
      <c r="D82">
        <v>1.5</v>
      </c>
      <c r="K82">
        <v>0.5</v>
      </c>
      <c r="O82">
        <v>7.6</v>
      </c>
      <c r="P82">
        <v>5</v>
      </c>
      <c r="S82">
        <v>3.8</v>
      </c>
      <c r="U82">
        <v>12.3</v>
      </c>
      <c r="AC82">
        <v>3.5</v>
      </c>
      <c r="AD82">
        <v>0.1</v>
      </c>
      <c r="AF82">
        <v>8.1</v>
      </c>
      <c r="AG82">
        <v>5.0999999999999996</v>
      </c>
      <c r="AH82">
        <v>5.6</v>
      </c>
      <c r="AL82">
        <v>1.1000000000000001</v>
      </c>
      <c r="AM82">
        <v>0.8</v>
      </c>
      <c r="AR82">
        <v>1.5</v>
      </c>
      <c r="AU82">
        <v>4</v>
      </c>
      <c r="AW82">
        <v>4.8</v>
      </c>
      <c r="AX82">
        <v>0.1</v>
      </c>
      <c r="AZ82">
        <v>7.8</v>
      </c>
      <c r="BA82">
        <v>3.6</v>
      </c>
      <c r="BB82">
        <v>5.7</v>
      </c>
      <c r="BG82">
        <v>0.3</v>
      </c>
      <c r="BI82">
        <v>8</v>
      </c>
      <c r="BJ82">
        <v>2</v>
      </c>
      <c r="BK82">
        <v>1</v>
      </c>
      <c r="BL82">
        <v>0.7</v>
      </c>
      <c r="BM82">
        <v>2.4</v>
      </c>
      <c r="BO82">
        <v>3</v>
      </c>
      <c r="BQ82">
        <v>0.8</v>
      </c>
      <c r="BS82">
        <v>0.1</v>
      </c>
      <c r="BT82">
        <v>13.8</v>
      </c>
      <c r="BU82">
        <v>2.8</v>
      </c>
      <c r="BV82">
        <v>1.6</v>
      </c>
      <c r="BW82">
        <v>11.5</v>
      </c>
      <c r="BZ82">
        <v>0.8</v>
      </c>
      <c r="CB82">
        <v>0.8</v>
      </c>
      <c r="CC82">
        <v>1.5</v>
      </c>
      <c r="CD82">
        <v>0.2</v>
      </c>
      <c r="CH82">
        <v>1.2</v>
      </c>
      <c r="CP82">
        <v>11.3</v>
      </c>
      <c r="CR82">
        <v>4.5999999999999996</v>
      </c>
      <c r="CS82">
        <v>8.4</v>
      </c>
      <c r="CT82">
        <v>10.3</v>
      </c>
      <c r="CU82">
        <v>16.899999999999999</v>
      </c>
      <c r="CV82">
        <v>1.2</v>
      </c>
      <c r="CY82">
        <v>0.2</v>
      </c>
      <c r="DA82" s="2"/>
      <c r="DD82" s="1">
        <v>40981</v>
      </c>
      <c r="DE82" s="2">
        <f t="shared" si="23"/>
        <v>4.1755555555555555</v>
      </c>
      <c r="DF82" s="2">
        <f t="shared" si="22"/>
        <v>1.8421568627450982</v>
      </c>
      <c r="DG82" s="2">
        <f t="shared" si="24"/>
        <v>16.899999999999999</v>
      </c>
      <c r="DH82" s="2">
        <f t="shared" si="25"/>
        <v>0.1</v>
      </c>
      <c r="DI82" s="3">
        <f t="shared" si="26"/>
        <v>0.44117647058823528</v>
      </c>
      <c r="DK82" s="69"/>
      <c r="DL82" s="74" t="s">
        <v>29</v>
      </c>
      <c r="DM82" s="12" t="s">
        <v>27</v>
      </c>
      <c r="DN82" s="75"/>
      <c r="DO82" s="18">
        <v>2.6</v>
      </c>
      <c r="DP82" s="8">
        <v>4</v>
      </c>
      <c r="DQ82" s="77"/>
      <c r="DU82">
        <v>1991</v>
      </c>
      <c r="DV82" s="2">
        <v>57.7</v>
      </c>
      <c r="DW82" s="2">
        <v>49.1</v>
      </c>
      <c r="DX82" s="2">
        <v>41.3</v>
      </c>
      <c r="DY82" s="2">
        <v>132.5</v>
      </c>
      <c r="DZ82" s="2">
        <v>86.3</v>
      </c>
      <c r="EA82" s="2">
        <v>8.8000000000000007</v>
      </c>
      <c r="EB82" s="2">
        <v>67.7</v>
      </c>
      <c r="EC82" s="2">
        <v>29.8</v>
      </c>
      <c r="ED82" s="2">
        <v>84.3</v>
      </c>
      <c r="EE82" s="2">
        <v>67.5</v>
      </c>
      <c r="EF82" s="2">
        <v>63.7</v>
      </c>
      <c r="EG82" s="2">
        <v>189.6</v>
      </c>
      <c r="EI82">
        <v>878.30000000000007</v>
      </c>
      <c r="EJ82">
        <v>1991</v>
      </c>
      <c r="EL82">
        <v>1991</v>
      </c>
      <c r="EM82">
        <v>12.1</v>
      </c>
      <c r="EN82">
        <v>19.5</v>
      </c>
      <c r="EO82">
        <v>7.5</v>
      </c>
      <c r="EP82">
        <v>45</v>
      </c>
      <c r="EQ82">
        <v>24</v>
      </c>
      <c r="ER82">
        <v>5.5</v>
      </c>
      <c r="ES82">
        <v>45</v>
      </c>
      <c r="ET82">
        <v>29</v>
      </c>
      <c r="EU82">
        <v>35.5</v>
      </c>
      <c r="EV82">
        <v>16.5</v>
      </c>
      <c r="EW82">
        <v>12.4</v>
      </c>
      <c r="EX82">
        <v>66</v>
      </c>
      <c r="EZ82">
        <v>66</v>
      </c>
      <c r="FA82">
        <v>1991</v>
      </c>
      <c r="FE82">
        <v>1991</v>
      </c>
      <c r="FF82">
        <v>19</v>
      </c>
      <c r="FG82">
        <v>16</v>
      </c>
      <c r="FH82">
        <v>16</v>
      </c>
      <c r="FI82">
        <v>17</v>
      </c>
      <c r="FJ82">
        <v>16</v>
      </c>
      <c r="FK82">
        <v>6</v>
      </c>
      <c r="FL82">
        <v>11</v>
      </c>
      <c r="FM82">
        <v>6</v>
      </c>
      <c r="FN82">
        <v>8</v>
      </c>
      <c r="FO82">
        <v>14</v>
      </c>
      <c r="FP82">
        <v>14</v>
      </c>
      <c r="FQ82">
        <v>23</v>
      </c>
      <c r="FS82">
        <f t="shared" si="18"/>
        <v>166</v>
      </c>
      <c r="FT82">
        <v>1991</v>
      </c>
      <c r="FW82">
        <v>1991</v>
      </c>
      <c r="FX82">
        <v>3</v>
      </c>
      <c r="FY82">
        <v>4</v>
      </c>
      <c r="FZ82">
        <v>2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11</v>
      </c>
      <c r="GK82">
        <f t="shared" si="19"/>
        <v>20</v>
      </c>
    </row>
    <row r="83" spans="1:193">
      <c r="A83" s="17" t="s">
        <v>107</v>
      </c>
      <c r="C83">
        <v>6.3</v>
      </c>
      <c r="H83">
        <v>1.2</v>
      </c>
      <c r="J83">
        <v>0.1</v>
      </c>
      <c r="N83">
        <v>0.8</v>
      </c>
      <c r="P83">
        <v>1.5</v>
      </c>
      <c r="Q83">
        <v>0.3</v>
      </c>
      <c r="S83">
        <v>0.8</v>
      </c>
      <c r="W83">
        <v>1.5</v>
      </c>
      <c r="Z83">
        <v>0.7</v>
      </c>
      <c r="AA83">
        <v>1.7</v>
      </c>
      <c r="AC83">
        <v>3</v>
      </c>
      <c r="AD83">
        <v>4.8</v>
      </c>
      <c r="AE83">
        <v>0.4</v>
      </c>
      <c r="AF83">
        <v>1.6</v>
      </c>
      <c r="AH83">
        <v>0.8</v>
      </c>
      <c r="AI83">
        <v>0.5</v>
      </c>
      <c r="AM83">
        <v>2.6</v>
      </c>
      <c r="AQ83">
        <v>16.3</v>
      </c>
      <c r="AR83">
        <v>2.5</v>
      </c>
      <c r="AU83">
        <v>5</v>
      </c>
      <c r="AW83">
        <v>2.7</v>
      </c>
      <c r="AX83">
        <v>4.3</v>
      </c>
      <c r="AY83">
        <v>1</v>
      </c>
      <c r="AZ83">
        <v>0.5</v>
      </c>
      <c r="BB83">
        <v>5.0999999999999996</v>
      </c>
      <c r="BE83">
        <v>21.4</v>
      </c>
      <c r="BF83">
        <v>1.6</v>
      </c>
      <c r="BI83">
        <v>0.6</v>
      </c>
      <c r="BL83">
        <v>14.7</v>
      </c>
      <c r="BM83">
        <v>2.2000000000000002</v>
      </c>
      <c r="BP83">
        <v>0.4</v>
      </c>
      <c r="BT83">
        <v>11.5</v>
      </c>
      <c r="BU83">
        <v>10.1</v>
      </c>
      <c r="BV83">
        <v>0.2</v>
      </c>
      <c r="BW83">
        <v>2.9</v>
      </c>
      <c r="BX83">
        <v>0.5</v>
      </c>
      <c r="BY83">
        <v>0.1</v>
      </c>
      <c r="BZ83">
        <v>0.2</v>
      </c>
      <c r="CG83">
        <v>0.2</v>
      </c>
      <c r="CH83">
        <v>9.6</v>
      </c>
      <c r="CL83">
        <v>0.2</v>
      </c>
      <c r="CN83">
        <v>2.5</v>
      </c>
      <c r="CP83">
        <v>3.6</v>
      </c>
      <c r="CR83">
        <v>2.4</v>
      </c>
      <c r="CS83">
        <v>11.3</v>
      </c>
      <c r="CT83">
        <v>7</v>
      </c>
      <c r="CV83">
        <v>10.5</v>
      </c>
      <c r="CY83">
        <v>0.1</v>
      </c>
      <c r="CZ83">
        <v>6.8</v>
      </c>
      <c r="DA83" s="2"/>
      <c r="DD83" s="1">
        <v>40982</v>
      </c>
      <c r="DE83" s="2">
        <f t="shared" si="23"/>
        <v>3.8081632653061219</v>
      </c>
      <c r="DF83" s="2">
        <f t="shared" si="22"/>
        <v>1.8294117647058821</v>
      </c>
      <c r="DG83" s="2">
        <f t="shared" si="24"/>
        <v>21.4</v>
      </c>
      <c r="DH83" s="2">
        <f t="shared" si="25"/>
        <v>0.1</v>
      </c>
      <c r="DI83" s="3">
        <f t="shared" si="26"/>
        <v>0.48039215686274511</v>
      </c>
      <c r="DK83" s="70"/>
      <c r="DL83" s="67"/>
      <c r="DM83" s="12" t="s">
        <v>28</v>
      </c>
      <c r="DN83" s="67"/>
      <c r="DO83" s="8">
        <v>1949</v>
      </c>
      <c r="DP83" s="8">
        <v>1932</v>
      </c>
      <c r="DQ83" s="78"/>
      <c r="DU83">
        <v>1992</v>
      </c>
      <c r="DV83" s="2">
        <v>21.4</v>
      </c>
      <c r="DW83" s="2">
        <v>77.3</v>
      </c>
      <c r="DX83" s="2">
        <v>129.6</v>
      </c>
      <c r="DY83" s="2">
        <v>55.2</v>
      </c>
      <c r="DZ83" s="2">
        <v>35.700000000000003</v>
      </c>
      <c r="EA83" s="2">
        <v>61.3</v>
      </c>
      <c r="EB83" s="2">
        <v>6.9</v>
      </c>
      <c r="EC83" s="2"/>
      <c r="ED83" s="2">
        <v>12.2</v>
      </c>
      <c r="EE83" s="2">
        <v>85</v>
      </c>
      <c r="EF83" s="2">
        <v>108.3</v>
      </c>
      <c r="EG83" s="2">
        <v>101.4</v>
      </c>
      <c r="EI83">
        <v>694.3</v>
      </c>
      <c r="EJ83">
        <v>1992</v>
      </c>
      <c r="EL83">
        <v>1992</v>
      </c>
      <c r="EM83">
        <v>4.8</v>
      </c>
      <c r="EN83">
        <v>15.7</v>
      </c>
      <c r="EO83">
        <v>41.3</v>
      </c>
      <c r="EP83">
        <v>14.1</v>
      </c>
      <c r="EQ83">
        <v>27</v>
      </c>
      <c r="ER83">
        <v>21.5</v>
      </c>
      <c r="ES83">
        <v>20.7</v>
      </c>
      <c r="ET83">
        <v>0</v>
      </c>
      <c r="EU83">
        <v>7.5</v>
      </c>
      <c r="EV83">
        <v>26.5</v>
      </c>
      <c r="EW83">
        <v>25.7</v>
      </c>
      <c r="EX83">
        <v>30</v>
      </c>
      <c r="EZ83">
        <v>41.3</v>
      </c>
      <c r="FA83">
        <v>1992</v>
      </c>
      <c r="FE83">
        <v>1992</v>
      </c>
      <c r="FF83">
        <v>12</v>
      </c>
      <c r="FG83">
        <v>15</v>
      </c>
      <c r="FH83">
        <v>16</v>
      </c>
      <c r="FI83">
        <v>9</v>
      </c>
      <c r="FJ83">
        <v>7</v>
      </c>
      <c r="FK83">
        <v>12</v>
      </c>
      <c r="FL83">
        <v>3</v>
      </c>
      <c r="FM83">
        <v>0</v>
      </c>
      <c r="FN83">
        <v>4</v>
      </c>
      <c r="FO83">
        <v>11</v>
      </c>
      <c r="FP83">
        <v>13</v>
      </c>
      <c r="FQ83">
        <v>21</v>
      </c>
      <c r="FS83">
        <f t="shared" si="18"/>
        <v>123</v>
      </c>
      <c r="FT83">
        <v>1992</v>
      </c>
      <c r="FW83">
        <v>1992</v>
      </c>
      <c r="FX83">
        <v>6</v>
      </c>
      <c r="FY83">
        <v>12</v>
      </c>
      <c r="FZ83">
        <v>2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9</v>
      </c>
      <c r="GK83">
        <f t="shared" si="19"/>
        <v>29</v>
      </c>
    </row>
    <row r="84" spans="1:193">
      <c r="A84" s="17" t="s">
        <v>108</v>
      </c>
      <c r="C84">
        <v>7.2</v>
      </c>
      <c r="H84">
        <v>0.3</v>
      </c>
      <c r="I84">
        <v>0.4</v>
      </c>
      <c r="M84">
        <v>0.7</v>
      </c>
      <c r="P84">
        <v>1</v>
      </c>
      <c r="R84">
        <v>6.5</v>
      </c>
      <c r="S84">
        <v>0.1</v>
      </c>
      <c r="Z84">
        <v>0.8</v>
      </c>
      <c r="AC84">
        <v>1.8</v>
      </c>
      <c r="AD84">
        <v>1.8</v>
      </c>
      <c r="AE84">
        <v>12.1</v>
      </c>
      <c r="AF84">
        <v>1.1000000000000001</v>
      </c>
      <c r="AH84">
        <v>1</v>
      </c>
      <c r="AI84">
        <v>4.8</v>
      </c>
      <c r="AL84">
        <v>12.1</v>
      </c>
      <c r="AM84">
        <v>1</v>
      </c>
      <c r="AQ84">
        <v>17.8</v>
      </c>
      <c r="AR84">
        <v>3.2</v>
      </c>
      <c r="AT84">
        <v>0.2</v>
      </c>
      <c r="AU84">
        <v>7.6</v>
      </c>
      <c r="AW84">
        <v>13.7</v>
      </c>
      <c r="AX84">
        <v>13.6</v>
      </c>
      <c r="AZ84">
        <v>3.3</v>
      </c>
      <c r="BA84">
        <v>10.7</v>
      </c>
      <c r="BB84">
        <v>7.4</v>
      </c>
      <c r="BE84">
        <v>39.299999999999997</v>
      </c>
      <c r="BF84">
        <v>20.9</v>
      </c>
      <c r="BH84">
        <v>0.1</v>
      </c>
      <c r="BJ84">
        <v>0.7</v>
      </c>
      <c r="BL84">
        <v>0.4</v>
      </c>
      <c r="BM84">
        <v>17.5</v>
      </c>
      <c r="BO84">
        <v>2.1</v>
      </c>
      <c r="BP84">
        <v>4.3</v>
      </c>
      <c r="BU84">
        <v>7</v>
      </c>
      <c r="BV84">
        <v>0.6</v>
      </c>
      <c r="BW84">
        <v>1.9</v>
      </c>
      <c r="BX84">
        <v>3.5</v>
      </c>
      <c r="BY84">
        <v>0.5</v>
      </c>
      <c r="BZ84">
        <v>0.2</v>
      </c>
      <c r="CH84">
        <v>0.9</v>
      </c>
      <c r="CK84">
        <v>0.1</v>
      </c>
      <c r="CP84">
        <v>0.6</v>
      </c>
      <c r="CT84">
        <v>0.1</v>
      </c>
      <c r="CV84">
        <v>0.1</v>
      </c>
      <c r="CY84">
        <v>3.4</v>
      </c>
      <c r="CZ84">
        <v>13.7</v>
      </c>
      <c r="DA84" s="2"/>
      <c r="DD84" s="1">
        <v>40983</v>
      </c>
      <c r="DE84" s="2">
        <f t="shared" si="23"/>
        <v>5.3934782608695642</v>
      </c>
      <c r="DF84" s="2">
        <f t="shared" si="22"/>
        <v>2.4323529411764704</v>
      </c>
      <c r="DG84" s="2">
        <f t="shared" si="24"/>
        <v>39.299999999999997</v>
      </c>
      <c r="DH84" s="2">
        <f t="shared" si="25"/>
        <v>0.1</v>
      </c>
      <c r="DI84" s="3">
        <f t="shared" si="26"/>
        <v>0.45098039215686275</v>
      </c>
      <c r="DU84">
        <v>1993</v>
      </c>
      <c r="DV84" s="2">
        <v>79</v>
      </c>
      <c r="DW84" s="2">
        <v>58</v>
      </c>
      <c r="DX84" s="2">
        <v>40.4</v>
      </c>
      <c r="DY84" s="2">
        <v>27</v>
      </c>
      <c r="DZ84" s="2">
        <v>52.1</v>
      </c>
      <c r="EA84" s="2">
        <v>34.799999999999997</v>
      </c>
      <c r="EB84" s="2">
        <v>28.8</v>
      </c>
      <c r="EC84" s="2">
        <v>8.6</v>
      </c>
      <c r="ED84" s="2">
        <v>96.600000000017403</v>
      </c>
      <c r="EE84" s="2">
        <v>9.8000000000000007</v>
      </c>
      <c r="EF84" s="2">
        <v>185.3</v>
      </c>
      <c r="EG84" s="2">
        <v>59.9</v>
      </c>
      <c r="EI84">
        <v>680.30000000001746</v>
      </c>
      <c r="EJ84">
        <v>1993</v>
      </c>
      <c r="EL84">
        <v>1993</v>
      </c>
      <c r="EM84">
        <v>17.899999999999999</v>
      </c>
      <c r="EN84">
        <v>24</v>
      </c>
      <c r="EO84">
        <v>21.5</v>
      </c>
      <c r="EP84">
        <v>12</v>
      </c>
      <c r="EQ84">
        <v>11.6</v>
      </c>
      <c r="ER84">
        <v>30.5</v>
      </c>
      <c r="ES84">
        <v>3.5</v>
      </c>
      <c r="ET84">
        <v>4.4000000000000004</v>
      </c>
      <c r="EU84">
        <v>20.2</v>
      </c>
      <c r="EV84">
        <v>7.4</v>
      </c>
      <c r="EW84">
        <v>68.099999999999994</v>
      </c>
      <c r="EX84">
        <v>29.5</v>
      </c>
      <c r="EZ84">
        <v>68.099999999999994</v>
      </c>
      <c r="FA84">
        <v>1993</v>
      </c>
      <c r="FE84">
        <v>1993</v>
      </c>
      <c r="FF84">
        <v>13</v>
      </c>
      <c r="FG84">
        <v>10</v>
      </c>
      <c r="FH84">
        <v>12</v>
      </c>
      <c r="FI84">
        <v>8</v>
      </c>
      <c r="FJ84">
        <v>16</v>
      </c>
      <c r="FK84">
        <v>5</v>
      </c>
      <c r="FL84">
        <v>4</v>
      </c>
      <c r="FM84">
        <v>4</v>
      </c>
      <c r="FN84">
        <v>17</v>
      </c>
      <c r="FO84">
        <v>4</v>
      </c>
      <c r="FP84">
        <v>23</v>
      </c>
      <c r="FQ84">
        <v>11</v>
      </c>
      <c r="FS84">
        <f t="shared" si="18"/>
        <v>127</v>
      </c>
      <c r="FT84">
        <v>1993</v>
      </c>
      <c r="FW84">
        <v>1993</v>
      </c>
      <c r="FX84">
        <v>1</v>
      </c>
      <c r="FY84">
        <v>3</v>
      </c>
      <c r="FZ84">
        <v>3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2</v>
      </c>
      <c r="GI84">
        <v>1</v>
      </c>
      <c r="GK84">
        <f t="shared" si="19"/>
        <v>10</v>
      </c>
    </row>
    <row r="85" spans="1:193">
      <c r="A85" s="17" t="s">
        <v>109</v>
      </c>
      <c r="H85">
        <v>32.1</v>
      </c>
      <c r="I85">
        <v>0.7</v>
      </c>
      <c r="J85">
        <v>2.7</v>
      </c>
      <c r="M85">
        <v>5.4</v>
      </c>
      <c r="N85">
        <v>0.1</v>
      </c>
      <c r="P85">
        <v>0.2</v>
      </c>
      <c r="Q85">
        <v>1</v>
      </c>
      <c r="R85">
        <v>1.6</v>
      </c>
      <c r="S85">
        <v>0.1</v>
      </c>
      <c r="T85">
        <v>1.5</v>
      </c>
      <c r="Z85">
        <v>0.2</v>
      </c>
      <c r="AD85">
        <v>20</v>
      </c>
      <c r="AE85">
        <v>37</v>
      </c>
      <c r="AH85">
        <v>0.3</v>
      </c>
      <c r="AI85">
        <v>4</v>
      </c>
      <c r="AK85">
        <v>1.5</v>
      </c>
      <c r="AL85">
        <v>7.6</v>
      </c>
      <c r="AN85">
        <v>2.6</v>
      </c>
      <c r="AP85">
        <v>6.2</v>
      </c>
      <c r="AQ85">
        <v>2</v>
      </c>
      <c r="AR85">
        <v>4.2</v>
      </c>
      <c r="AS85">
        <v>4.2</v>
      </c>
      <c r="AT85">
        <v>0.3</v>
      </c>
      <c r="AX85">
        <v>9.1</v>
      </c>
      <c r="BA85">
        <v>5.4</v>
      </c>
      <c r="BB85">
        <v>0.2</v>
      </c>
      <c r="BC85">
        <v>2.5</v>
      </c>
      <c r="BE85">
        <v>14.9</v>
      </c>
      <c r="BF85">
        <v>2.5</v>
      </c>
      <c r="BG85">
        <v>0.3</v>
      </c>
      <c r="BH85">
        <v>0.2</v>
      </c>
      <c r="BI85">
        <v>11</v>
      </c>
      <c r="BJ85">
        <v>1.6</v>
      </c>
      <c r="BL85">
        <v>2.7</v>
      </c>
      <c r="BM85">
        <v>2.5</v>
      </c>
      <c r="BN85">
        <v>4</v>
      </c>
      <c r="BO85">
        <v>0.1</v>
      </c>
      <c r="BP85">
        <v>5.5</v>
      </c>
      <c r="BQ85">
        <v>3.7</v>
      </c>
      <c r="BT85">
        <v>1.4</v>
      </c>
      <c r="BU85">
        <v>7.4</v>
      </c>
      <c r="BY85">
        <v>1.6</v>
      </c>
      <c r="CD85">
        <v>7.5</v>
      </c>
      <c r="CE85">
        <v>20.2</v>
      </c>
      <c r="CI85">
        <v>5.6</v>
      </c>
      <c r="CK85">
        <v>6</v>
      </c>
      <c r="CL85">
        <v>0.5</v>
      </c>
      <c r="CM85">
        <v>39.5</v>
      </c>
      <c r="CP85">
        <v>3.1</v>
      </c>
      <c r="CS85">
        <v>2.6</v>
      </c>
      <c r="CT85">
        <v>0.2</v>
      </c>
      <c r="CZ85">
        <v>13.2</v>
      </c>
      <c r="DA85" s="2"/>
      <c r="DD85" s="1">
        <v>40984</v>
      </c>
      <c r="DE85" s="2">
        <f t="shared" si="23"/>
        <v>5.9711538461538458</v>
      </c>
      <c r="DF85" s="2">
        <f t="shared" si="22"/>
        <v>3.0441176470588234</v>
      </c>
      <c r="DG85" s="2">
        <f t="shared" si="24"/>
        <v>39.5</v>
      </c>
      <c r="DH85" s="2">
        <f t="shared" si="25"/>
        <v>0.1</v>
      </c>
      <c r="DI85" s="3">
        <f t="shared" si="26"/>
        <v>0.50980392156862742</v>
      </c>
      <c r="DU85">
        <v>1994</v>
      </c>
      <c r="DV85" s="2">
        <v>70.5</v>
      </c>
      <c r="DW85" s="2">
        <v>50.4</v>
      </c>
      <c r="DX85" s="2">
        <v>29.9</v>
      </c>
      <c r="DY85" s="2">
        <v>31.9</v>
      </c>
      <c r="DZ85" s="2">
        <v>42.7</v>
      </c>
      <c r="EA85" s="2">
        <v>90.5</v>
      </c>
      <c r="EB85" s="2">
        <v>88.8</v>
      </c>
      <c r="EC85" s="2">
        <v>24.2</v>
      </c>
      <c r="ED85" s="2">
        <v>1.3</v>
      </c>
      <c r="EE85" s="2">
        <v>126.1</v>
      </c>
      <c r="EF85" s="2">
        <v>111.9</v>
      </c>
      <c r="EG85" s="2">
        <v>148</v>
      </c>
      <c r="EI85">
        <v>816.2</v>
      </c>
      <c r="EJ85">
        <v>1994</v>
      </c>
      <c r="EL85">
        <v>1994</v>
      </c>
      <c r="EM85">
        <v>36</v>
      </c>
      <c r="EN85">
        <v>19</v>
      </c>
      <c r="EO85">
        <v>25</v>
      </c>
      <c r="EP85">
        <v>13.9</v>
      </c>
      <c r="EQ85">
        <v>16.7</v>
      </c>
      <c r="ER85">
        <v>32.5</v>
      </c>
      <c r="ES85">
        <v>13.7</v>
      </c>
      <c r="ET85">
        <v>7.9</v>
      </c>
      <c r="EU85">
        <v>8</v>
      </c>
      <c r="EV85">
        <v>47.9</v>
      </c>
      <c r="EW85">
        <v>32.1</v>
      </c>
      <c r="EX85">
        <v>28.5</v>
      </c>
      <c r="EZ85">
        <v>47.9</v>
      </c>
      <c r="FA85">
        <v>1994</v>
      </c>
      <c r="FE85">
        <v>1994</v>
      </c>
      <c r="FF85">
        <v>18</v>
      </c>
      <c r="FG85">
        <v>13</v>
      </c>
      <c r="FH85">
        <v>8</v>
      </c>
      <c r="FI85">
        <v>7</v>
      </c>
      <c r="FJ85">
        <v>8</v>
      </c>
      <c r="FK85">
        <v>4</v>
      </c>
      <c r="FL85">
        <v>4</v>
      </c>
      <c r="FM85">
        <v>5</v>
      </c>
      <c r="FN85">
        <v>18</v>
      </c>
      <c r="FO85">
        <v>15</v>
      </c>
      <c r="FP85">
        <v>18</v>
      </c>
      <c r="FQ85">
        <v>20</v>
      </c>
      <c r="FS85">
        <f t="shared" si="18"/>
        <v>138</v>
      </c>
      <c r="FT85">
        <v>1994</v>
      </c>
      <c r="FW85">
        <v>1994</v>
      </c>
      <c r="FX85">
        <v>5</v>
      </c>
      <c r="FY85">
        <v>5</v>
      </c>
      <c r="FZ85">
        <v>1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2</v>
      </c>
      <c r="GI85">
        <v>8</v>
      </c>
      <c r="GK85">
        <f t="shared" si="19"/>
        <v>21</v>
      </c>
    </row>
    <row r="86" spans="1:193">
      <c r="A86" s="17" t="s">
        <v>110</v>
      </c>
      <c r="H86">
        <v>2.2000000000000002</v>
      </c>
      <c r="J86">
        <v>2</v>
      </c>
      <c r="M86">
        <v>18.600000000000001</v>
      </c>
      <c r="P86">
        <v>23.5</v>
      </c>
      <c r="Q86">
        <v>3.3</v>
      </c>
      <c r="S86">
        <v>0.7</v>
      </c>
      <c r="V86">
        <v>2.4</v>
      </c>
      <c r="AA86">
        <v>0.4</v>
      </c>
      <c r="AD86">
        <v>13.5</v>
      </c>
      <c r="AE86">
        <v>16.5</v>
      </c>
      <c r="AF86">
        <v>3.4</v>
      </c>
      <c r="AH86">
        <v>3.4</v>
      </c>
      <c r="AI86">
        <v>13</v>
      </c>
      <c r="AJ86">
        <v>5.2</v>
      </c>
      <c r="AK86">
        <v>1.5</v>
      </c>
      <c r="AM86">
        <v>14</v>
      </c>
      <c r="AN86">
        <v>1.2</v>
      </c>
      <c r="AR86">
        <v>8.9</v>
      </c>
      <c r="AS86">
        <v>0.2</v>
      </c>
      <c r="AU86">
        <v>5</v>
      </c>
      <c r="AV86">
        <v>1</v>
      </c>
      <c r="AW86">
        <v>5.3</v>
      </c>
      <c r="AX86">
        <v>2.4</v>
      </c>
      <c r="AZ86">
        <v>5.5</v>
      </c>
      <c r="BB86">
        <v>3.2</v>
      </c>
      <c r="BC86">
        <v>4</v>
      </c>
      <c r="BE86">
        <v>4</v>
      </c>
      <c r="BH86">
        <v>1.1000000000000001</v>
      </c>
      <c r="BI86">
        <v>14.5</v>
      </c>
      <c r="BJ86">
        <v>10.6</v>
      </c>
      <c r="BL86">
        <v>2</v>
      </c>
      <c r="BM86">
        <v>2.2999999999999998</v>
      </c>
      <c r="BN86">
        <v>1.6</v>
      </c>
      <c r="BP86">
        <v>17.100000000000001</v>
      </c>
      <c r="BS86">
        <v>0.2</v>
      </c>
      <c r="BU86">
        <v>3.7</v>
      </c>
      <c r="BW86">
        <v>0.1</v>
      </c>
      <c r="BY86">
        <v>0.5</v>
      </c>
      <c r="BZ86">
        <v>3</v>
      </c>
      <c r="CA86">
        <v>2.8</v>
      </c>
      <c r="CD86">
        <v>6.5</v>
      </c>
      <c r="CE86">
        <v>41.3</v>
      </c>
      <c r="CI86">
        <v>20.6</v>
      </c>
      <c r="CJ86">
        <v>7.6</v>
      </c>
      <c r="CK86">
        <v>3</v>
      </c>
      <c r="CL86">
        <v>9.5</v>
      </c>
      <c r="CM86">
        <v>4.5</v>
      </c>
      <c r="CP86">
        <v>1.3</v>
      </c>
      <c r="CQ86">
        <v>0.9</v>
      </c>
      <c r="CU86">
        <v>3.4</v>
      </c>
      <c r="CV86">
        <v>0.6</v>
      </c>
      <c r="CW86">
        <v>1.5</v>
      </c>
      <c r="CX86">
        <v>1</v>
      </c>
      <c r="CZ86">
        <v>1.3</v>
      </c>
      <c r="DA86" s="2"/>
      <c r="DD86" s="1">
        <v>40985</v>
      </c>
      <c r="DE86" s="2">
        <f t="shared" si="23"/>
        <v>6.0518518518518523</v>
      </c>
      <c r="DF86" s="2">
        <f t="shared" si="22"/>
        <v>3.2039215686274511</v>
      </c>
      <c r="DG86" s="2">
        <f t="shared" si="24"/>
        <v>41.3</v>
      </c>
      <c r="DH86" s="2">
        <f t="shared" si="25"/>
        <v>0.1</v>
      </c>
      <c r="DI86" s="3">
        <f t="shared" si="26"/>
        <v>0.52941176470588236</v>
      </c>
      <c r="DK86" s="68" t="s">
        <v>15</v>
      </c>
      <c r="DL86" s="71" t="s">
        <v>4</v>
      </c>
      <c r="DM86" s="12" t="s">
        <v>27</v>
      </c>
      <c r="DN86" s="4">
        <v>94.2</v>
      </c>
      <c r="DO86" s="5">
        <v>348.1</v>
      </c>
      <c r="DP86" s="8">
        <v>26</v>
      </c>
      <c r="DQ86" s="8">
        <v>7</v>
      </c>
      <c r="DU86">
        <v>1995</v>
      </c>
      <c r="DV86" s="2">
        <v>152</v>
      </c>
      <c r="DW86" s="2">
        <v>43.3</v>
      </c>
      <c r="DX86" s="2">
        <v>85.2</v>
      </c>
      <c r="DY86" s="2">
        <v>45</v>
      </c>
      <c r="DZ86" s="2">
        <v>7.6</v>
      </c>
      <c r="EA86" s="2">
        <v>23.1</v>
      </c>
      <c r="EB86" s="2"/>
      <c r="EC86" s="2">
        <v>54.7</v>
      </c>
      <c r="ED86" s="2">
        <v>99.400000000011502</v>
      </c>
      <c r="EE86" s="2">
        <v>46.6</v>
      </c>
      <c r="EF86" s="2">
        <v>134.5</v>
      </c>
      <c r="EG86" s="2">
        <v>90.2</v>
      </c>
      <c r="EI86">
        <v>781.60000000001162</v>
      </c>
      <c r="EJ86">
        <v>1995</v>
      </c>
      <c r="EL86">
        <v>1995</v>
      </c>
      <c r="EM86">
        <v>25.5</v>
      </c>
      <c r="EN86">
        <v>17.5</v>
      </c>
      <c r="EO86">
        <v>19.5</v>
      </c>
      <c r="EP86">
        <v>14.8</v>
      </c>
      <c r="EQ86">
        <v>5.5</v>
      </c>
      <c r="ER86">
        <v>8.5</v>
      </c>
      <c r="ES86">
        <v>67.5</v>
      </c>
      <c r="ET86">
        <v>23.4</v>
      </c>
      <c r="EU86">
        <v>25.2</v>
      </c>
      <c r="EV86">
        <v>16.8</v>
      </c>
      <c r="EW86">
        <v>42.6</v>
      </c>
      <c r="EX86">
        <v>25.3</v>
      </c>
      <c r="EZ86">
        <v>67.5</v>
      </c>
      <c r="FA86">
        <v>1995</v>
      </c>
      <c r="FE86">
        <v>1995</v>
      </c>
      <c r="FF86">
        <v>24</v>
      </c>
      <c r="FG86">
        <v>10</v>
      </c>
      <c r="FH86">
        <v>13</v>
      </c>
      <c r="FI86">
        <v>10</v>
      </c>
      <c r="FJ86">
        <v>8</v>
      </c>
      <c r="FK86">
        <v>11</v>
      </c>
      <c r="FL86">
        <v>0</v>
      </c>
      <c r="FM86">
        <v>9</v>
      </c>
      <c r="FN86">
        <v>22</v>
      </c>
      <c r="FO86">
        <v>11</v>
      </c>
      <c r="FP86">
        <v>18</v>
      </c>
      <c r="FQ86">
        <v>17</v>
      </c>
      <c r="FS86">
        <f t="shared" si="18"/>
        <v>153</v>
      </c>
      <c r="FT86">
        <v>1995</v>
      </c>
      <c r="FW86">
        <v>1995</v>
      </c>
      <c r="FX86">
        <v>7</v>
      </c>
      <c r="FY86">
        <v>2</v>
      </c>
      <c r="FZ86">
        <v>2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3</v>
      </c>
      <c r="GI86">
        <v>0</v>
      </c>
      <c r="GK86">
        <f t="shared" si="19"/>
        <v>14</v>
      </c>
    </row>
    <row r="87" spans="1:193">
      <c r="A87" s="17" t="s">
        <v>111</v>
      </c>
      <c r="E87">
        <v>5.6</v>
      </c>
      <c r="G87">
        <v>2.2000000000000002</v>
      </c>
      <c r="J87">
        <v>4.5</v>
      </c>
      <c r="M87">
        <v>0.6</v>
      </c>
      <c r="N87">
        <v>0.9</v>
      </c>
      <c r="P87">
        <v>12.2</v>
      </c>
      <c r="V87">
        <v>2.5</v>
      </c>
      <c r="AA87">
        <v>16.5</v>
      </c>
      <c r="AE87">
        <v>1.8</v>
      </c>
      <c r="AF87">
        <v>5.8</v>
      </c>
      <c r="AH87">
        <v>0.7</v>
      </c>
      <c r="AI87">
        <v>0.5</v>
      </c>
      <c r="AJ87">
        <v>1.1000000000000001</v>
      </c>
      <c r="AK87">
        <v>0.6</v>
      </c>
      <c r="AN87">
        <v>12.5</v>
      </c>
      <c r="AR87">
        <v>10</v>
      </c>
      <c r="AU87">
        <v>2</v>
      </c>
      <c r="AW87">
        <v>53</v>
      </c>
      <c r="AX87">
        <v>4.5999999999999996</v>
      </c>
      <c r="AY87">
        <v>1.5</v>
      </c>
      <c r="BA87">
        <v>4.5</v>
      </c>
      <c r="BC87">
        <v>0.1</v>
      </c>
      <c r="BE87">
        <v>0.3</v>
      </c>
      <c r="BH87">
        <v>0.2</v>
      </c>
      <c r="BI87">
        <v>0.3</v>
      </c>
      <c r="BJ87">
        <v>3</v>
      </c>
      <c r="BL87">
        <v>2.5</v>
      </c>
      <c r="BM87">
        <v>0.2</v>
      </c>
      <c r="BN87">
        <v>0.1</v>
      </c>
      <c r="BP87">
        <v>7.3</v>
      </c>
      <c r="BS87">
        <v>0.1</v>
      </c>
      <c r="BV87">
        <v>0.3</v>
      </c>
      <c r="BY87">
        <v>0.2</v>
      </c>
      <c r="BZ87">
        <v>3.9</v>
      </c>
      <c r="CA87">
        <v>0.8</v>
      </c>
      <c r="CD87">
        <v>6.2</v>
      </c>
      <c r="CE87">
        <v>11.8</v>
      </c>
      <c r="CG87">
        <v>0.4</v>
      </c>
      <c r="CI87">
        <v>1</v>
      </c>
      <c r="CK87">
        <v>7.5</v>
      </c>
      <c r="CL87">
        <v>13</v>
      </c>
      <c r="CM87">
        <v>4</v>
      </c>
      <c r="CS87">
        <v>0.1</v>
      </c>
      <c r="CU87">
        <v>5.6</v>
      </c>
      <c r="CV87">
        <v>6.5</v>
      </c>
      <c r="CX87">
        <v>8.6999999999999993</v>
      </c>
      <c r="CZ87">
        <v>0.4</v>
      </c>
      <c r="DA87" s="2"/>
      <c r="DD87" s="1">
        <v>40986</v>
      </c>
      <c r="DE87" s="2">
        <f t="shared" si="23"/>
        <v>4.8531914893617021</v>
      </c>
      <c r="DF87" s="2">
        <f t="shared" si="22"/>
        <v>2.2362745098039216</v>
      </c>
      <c r="DG87" s="2">
        <f t="shared" si="24"/>
        <v>53</v>
      </c>
      <c r="DH87" s="2">
        <f t="shared" si="25"/>
        <v>0.1</v>
      </c>
      <c r="DI87" s="3">
        <f t="shared" si="26"/>
        <v>0.46078431372549017</v>
      </c>
      <c r="DK87" s="69"/>
      <c r="DL87" s="67"/>
      <c r="DM87" s="12" t="s">
        <v>33</v>
      </c>
      <c r="DN87" s="13">
        <v>20409</v>
      </c>
      <c r="DO87" s="19">
        <v>1955</v>
      </c>
      <c r="DP87" s="8">
        <v>1970</v>
      </c>
      <c r="DQ87" s="8">
        <v>1949</v>
      </c>
      <c r="DU87">
        <v>1996</v>
      </c>
      <c r="DV87" s="2">
        <v>88.6</v>
      </c>
      <c r="DW87" s="2">
        <v>129.19999999999999</v>
      </c>
      <c r="DX87" s="2">
        <v>104.7</v>
      </c>
      <c r="DY87" s="2">
        <v>72.3</v>
      </c>
      <c r="DZ87" s="2">
        <v>37.6</v>
      </c>
      <c r="EA87" s="2">
        <v>13.8</v>
      </c>
      <c r="EB87" s="2">
        <v>78.5</v>
      </c>
      <c r="EC87" s="2">
        <v>18.100000000000001</v>
      </c>
      <c r="ED87" s="2">
        <v>104.4</v>
      </c>
      <c r="EE87" s="2">
        <v>76.599999999999994</v>
      </c>
      <c r="EF87" s="2">
        <v>42.8</v>
      </c>
      <c r="EG87" s="2">
        <v>186.6</v>
      </c>
      <c r="EI87">
        <v>953.2</v>
      </c>
      <c r="EJ87">
        <v>1996</v>
      </c>
      <c r="EL87">
        <v>1996</v>
      </c>
      <c r="EM87">
        <v>31.4</v>
      </c>
      <c r="EN87">
        <v>36.299999999999997</v>
      </c>
      <c r="EO87">
        <v>20.6</v>
      </c>
      <c r="EP87">
        <v>13.4</v>
      </c>
      <c r="EQ87">
        <v>25.2</v>
      </c>
      <c r="ER87">
        <v>12.3</v>
      </c>
      <c r="ES87">
        <v>0</v>
      </c>
      <c r="ET87">
        <v>6.6</v>
      </c>
      <c r="EU87">
        <v>20.2</v>
      </c>
      <c r="EV87">
        <v>26.9</v>
      </c>
      <c r="EW87">
        <v>13.5</v>
      </c>
      <c r="EX87">
        <v>41.3</v>
      </c>
      <c r="EZ87">
        <v>41.3</v>
      </c>
      <c r="FA87">
        <v>1996</v>
      </c>
      <c r="FE87">
        <v>1996</v>
      </c>
      <c r="FF87">
        <v>18</v>
      </c>
      <c r="FG87">
        <v>14</v>
      </c>
      <c r="FH87">
        <v>22</v>
      </c>
      <c r="FI87">
        <v>14</v>
      </c>
      <c r="FJ87">
        <v>7</v>
      </c>
      <c r="FK87">
        <v>2</v>
      </c>
      <c r="FL87">
        <v>7</v>
      </c>
      <c r="FM87">
        <v>7</v>
      </c>
      <c r="FN87">
        <v>15</v>
      </c>
      <c r="FO87">
        <v>17</v>
      </c>
      <c r="FP87">
        <v>5</v>
      </c>
      <c r="FQ87">
        <v>22</v>
      </c>
      <c r="FS87">
        <f t="shared" si="18"/>
        <v>150</v>
      </c>
      <c r="FT87">
        <v>1996</v>
      </c>
      <c r="FW87">
        <v>1996</v>
      </c>
      <c r="FX87">
        <v>1</v>
      </c>
      <c r="FY87">
        <v>4</v>
      </c>
      <c r="FZ87">
        <v>8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K87">
        <f t="shared" si="19"/>
        <v>13</v>
      </c>
    </row>
    <row r="88" spans="1:193" ht="15.75" customHeight="1">
      <c r="A88" s="17" t="s">
        <v>112</v>
      </c>
      <c r="E88">
        <v>2.4</v>
      </c>
      <c r="G88">
        <v>0.5</v>
      </c>
      <c r="J88">
        <v>1.5</v>
      </c>
      <c r="N88">
        <v>0.2</v>
      </c>
      <c r="P88">
        <v>3</v>
      </c>
      <c r="S88">
        <v>3</v>
      </c>
      <c r="X88">
        <v>2.1</v>
      </c>
      <c r="Y88">
        <v>6.9</v>
      </c>
      <c r="AA88">
        <v>0.5</v>
      </c>
      <c r="AH88">
        <v>0.3</v>
      </c>
      <c r="AI88">
        <v>1.8</v>
      </c>
      <c r="AK88">
        <v>1.5</v>
      </c>
      <c r="AM88">
        <v>5.7</v>
      </c>
      <c r="AN88">
        <v>1.8</v>
      </c>
      <c r="AO88">
        <v>1.8</v>
      </c>
      <c r="AP88">
        <v>0.5</v>
      </c>
      <c r="AR88">
        <v>1.5</v>
      </c>
      <c r="AU88">
        <v>4.2</v>
      </c>
      <c r="AW88">
        <v>19.8</v>
      </c>
      <c r="AX88">
        <v>1.5</v>
      </c>
      <c r="AY88">
        <v>0.2</v>
      </c>
      <c r="BA88">
        <v>15.2</v>
      </c>
      <c r="BC88">
        <v>0.9</v>
      </c>
      <c r="BE88">
        <v>8.5</v>
      </c>
      <c r="BG88">
        <v>1.7</v>
      </c>
      <c r="BH88">
        <v>4.3</v>
      </c>
      <c r="BJ88">
        <v>0.1</v>
      </c>
      <c r="BL88">
        <v>1.6</v>
      </c>
      <c r="BN88">
        <v>0.1</v>
      </c>
      <c r="BP88">
        <v>4.5</v>
      </c>
      <c r="BQ88">
        <v>1</v>
      </c>
      <c r="BR88">
        <v>0.6</v>
      </c>
      <c r="BS88">
        <v>0.1</v>
      </c>
      <c r="BT88">
        <v>0.3</v>
      </c>
      <c r="BW88">
        <v>8.9</v>
      </c>
      <c r="BX88">
        <v>6.2</v>
      </c>
      <c r="CB88">
        <v>0.1</v>
      </c>
      <c r="CE88">
        <v>0.5</v>
      </c>
      <c r="CF88">
        <v>0.2</v>
      </c>
      <c r="CK88">
        <v>0.5</v>
      </c>
      <c r="CL88">
        <v>10.3</v>
      </c>
      <c r="CM88">
        <v>4</v>
      </c>
      <c r="CP88">
        <v>0.2</v>
      </c>
      <c r="CR88">
        <v>0.5</v>
      </c>
      <c r="CU88">
        <v>25.2</v>
      </c>
      <c r="CV88">
        <v>7.6</v>
      </c>
      <c r="CX88">
        <v>3</v>
      </c>
      <c r="CZ88">
        <v>0.2</v>
      </c>
      <c r="DA88" s="2"/>
      <c r="DD88" s="1">
        <v>40987</v>
      </c>
      <c r="DE88" s="2">
        <f t="shared" si="23"/>
        <v>3.4791666666666656</v>
      </c>
      <c r="DF88" s="2">
        <f t="shared" si="22"/>
        <v>1.6372549019607838</v>
      </c>
      <c r="DG88" s="2">
        <f t="shared" si="24"/>
        <v>25.2</v>
      </c>
      <c r="DH88" s="2">
        <f t="shared" si="25"/>
        <v>0.1</v>
      </c>
      <c r="DI88" s="3">
        <f t="shared" si="26"/>
        <v>0.47058823529411764</v>
      </c>
      <c r="DK88" s="69"/>
      <c r="DL88" s="72"/>
      <c r="DM88" s="73"/>
      <c r="DN88" s="12" t="s">
        <v>24</v>
      </c>
      <c r="DO88" s="11" t="s">
        <v>25</v>
      </c>
      <c r="DP88" s="11" t="s">
        <v>19</v>
      </c>
      <c r="DQ88" s="11" t="s">
        <v>26</v>
      </c>
      <c r="DU88">
        <v>1997</v>
      </c>
      <c r="DV88" s="2">
        <v>48.7</v>
      </c>
      <c r="DW88" s="2">
        <v>58.5</v>
      </c>
      <c r="DX88" s="2">
        <v>74.5</v>
      </c>
      <c r="DY88" s="2">
        <v>109.6</v>
      </c>
      <c r="DZ88" s="2">
        <v>30.2</v>
      </c>
      <c r="EA88" s="2">
        <v>52.7</v>
      </c>
      <c r="EB88" s="2">
        <v>37.4</v>
      </c>
      <c r="EC88" s="2">
        <v>134.5</v>
      </c>
      <c r="ED88" s="2">
        <v>8.5</v>
      </c>
      <c r="EE88" s="2">
        <v>316</v>
      </c>
      <c r="EF88" s="2">
        <v>36.299999999999997</v>
      </c>
      <c r="EG88" s="2">
        <v>221.7</v>
      </c>
      <c r="EI88">
        <v>1128.5999999999999</v>
      </c>
      <c r="EJ88">
        <v>1997</v>
      </c>
      <c r="EL88">
        <v>1997</v>
      </c>
      <c r="EM88">
        <v>13.9</v>
      </c>
      <c r="EN88">
        <v>18.5</v>
      </c>
      <c r="EO88">
        <v>25.2</v>
      </c>
      <c r="EP88">
        <v>30.9</v>
      </c>
      <c r="EQ88">
        <v>17.8</v>
      </c>
      <c r="ER88">
        <v>18</v>
      </c>
      <c r="ES88">
        <v>33.6</v>
      </c>
      <c r="ET88">
        <v>46</v>
      </c>
      <c r="EU88">
        <v>5.5</v>
      </c>
      <c r="EV88">
        <v>117</v>
      </c>
      <c r="EW88">
        <v>11.5</v>
      </c>
      <c r="EX88">
        <v>46</v>
      </c>
      <c r="EZ88">
        <v>117</v>
      </c>
      <c r="FA88">
        <v>1997</v>
      </c>
      <c r="FE88">
        <v>1997</v>
      </c>
      <c r="FF88">
        <v>11</v>
      </c>
      <c r="FG88">
        <v>14</v>
      </c>
      <c r="FH88">
        <v>11</v>
      </c>
      <c r="FI88">
        <v>16</v>
      </c>
      <c r="FJ88">
        <v>7</v>
      </c>
      <c r="FK88">
        <v>9</v>
      </c>
      <c r="FL88">
        <v>3</v>
      </c>
      <c r="FM88">
        <v>13</v>
      </c>
      <c r="FN88">
        <v>5</v>
      </c>
      <c r="FO88">
        <v>15</v>
      </c>
      <c r="FP88">
        <v>11</v>
      </c>
      <c r="FQ88">
        <v>20</v>
      </c>
      <c r="FS88">
        <f t="shared" si="18"/>
        <v>135</v>
      </c>
      <c r="FT88">
        <v>1997</v>
      </c>
      <c r="FW88">
        <v>1997</v>
      </c>
      <c r="FX88">
        <v>4</v>
      </c>
      <c r="FY88">
        <v>2</v>
      </c>
      <c r="FZ88">
        <v>5</v>
      </c>
      <c r="GA88">
        <v>3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2</v>
      </c>
      <c r="GK88">
        <f t="shared" si="19"/>
        <v>16</v>
      </c>
    </row>
    <row r="89" spans="1:193">
      <c r="A89" s="17" t="s">
        <v>113</v>
      </c>
      <c r="E89">
        <v>0.2</v>
      </c>
      <c r="J89">
        <v>1.7</v>
      </c>
      <c r="K89">
        <v>10.4</v>
      </c>
      <c r="N89">
        <v>0.1</v>
      </c>
      <c r="P89">
        <v>6.7</v>
      </c>
      <c r="Q89">
        <v>0.1</v>
      </c>
      <c r="S89">
        <v>0.9</v>
      </c>
      <c r="X89">
        <v>0.4</v>
      </c>
      <c r="AG89">
        <v>4.9000000000000004</v>
      </c>
      <c r="AH89">
        <v>0.8</v>
      </c>
      <c r="AK89">
        <v>0.1</v>
      </c>
      <c r="AN89">
        <v>0.3</v>
      </c>
      <c r="AO89">
        <v>6.5</v>
      </c>
      <c r="AP89">
        <v>7.4</v>
      </c>
      <c r="AR89">
        <v>0.2</v>
      </c>
      <c r="AS89">
        <v>0.2</v>
      </c>
      <c r="AU89">
        <v>0.6</v>
      </c>
      <c r="AW89">
        <v>3</v>
      </c>
      <c r="AX89">
        <v>0.5</v>
      </c>
      <c r="AY89">
        <v>9.4</v>
      </c>
      <c r="BD89">
        <v>0.8</v>
      </c>
      <c r="BE89">
        <v>0.9</v>
      </c>
      <c r="BH89">
        <v>13.5</v>
      </c>
      <c r="BI89">
        <v>9</v>
      </c>
      <c r="BL89">
        <v>3</v>
      </c>
      <c r="BN89">
        <v>6</v>
      </c>
      <c r="BR89">
        <v>5</v>
      </c>
      <c r="BT89">
        <v>0.9</v>
      </c>
      <c r="BU89">
        <v>4.5999999999999996</v>
      </c>
      <c r="BV89">
        <v>1.1000000000000001</v>
      </c>
      <c r="BW89">
        <v>0.1</v>
      </c>
      <c r="BX89">
        <v>0.1</v>
      </c>
      <c r="CE89">
        <v>22.3</v>
      </c>
      <c r="CF89">
        <v>0.1</v>
      </c>
      <c r="CJ89">
        <v>25.2</v>
      </c>
      <c r="CK89">
        <v>1</v>
      </c>
      <c r="CL89">
        <v>0.9</v>
      </c>
      <c r="CM89">
        <v>2</v>
      </c>
      <c r="CO89">
        <v>9.8000000000000007</v>
      </c>
      <c r="CP89">
        <v>2</v>
      </c>
      <c r="CU89">
        <v>16.5</v>
      </c>
      <c r="CX89">
        <v>3.7</v>
      </c>
      <c r="CZ89">
        <v>0.2</v>
      </c>
      <c r="DA89" s="2"/>
      <c r="DD89" s="1">
        <v>40988</v>
      </c>
      <c r="DE89" s="2">
        <f t="shared" si="23"/>
        <v>4.2581395348837203</v>
      </c>
      <c r="DF89" s="2">
        <f t="shared" si="22"/>
        <v>1.7950980392156859</v>
      </c>
      <c r="DG89" s="2">
        <f t="shared" si="24"/>
        <v>25.2</v>
      </c>
      <c r="DH89" s="2">
        <f t="shared" si="25"/>
        <v>0.1</v>
      </c>
      <c r="DI89" s="3">
        <f t="shared" si="26"/>
        <v>0.42156862745098039</v>
      </c>
      <c r="DK89" s="69"/>
      <c r="DL89" s="74" t="s">
        <v>29</v>
      </c>
      <c r="DM89" s="12" t="s">
        <v>27</v>
      </c>
      <c r="DN89" s="75"/>
      <c r="DO89" s="18">
        <v>0.2</v>
      </c>
      <c r="DP89" s="8">
        <v>1</v>
      </c>
      <c r="DQ89" s="66"/>
      <c r="DU89">
        <v>1998</v>
      </c>
      <c r="DV89" s="2">
        <v>54.7</v>
      </c>
      <c r="DW89" s="2">
        <v>65.599999999999994</v>
      </c>
      <c r="DX89" s="2">
        <v>145.1</v>
      </c>
      <c r="DY89" s="2">
        <v>40.4</v>
      </c>
      <c r="DZ89" s="2">
        <v>103.1</v>
      </c>
      <c r="EA89" s="2">
        <v>9.1</v>
      </c>
      <c r="EB89" s="2">
        <v>29.7</v>
      </c>
      <c r="EC89" s="2">
        <v>0.1</v>
      </c>
      <c r="ED89" s="2">
        <v>48.3</v>
      </c>
      <c r="EE89" s="2">
        <v>124.9</v>
      </c>
      <c r="EF89" s="2">
        <v>94.4</v>
      </c>
      <c r="EG89" s="2">
        <v>154.69999999999999</v>
      </c>
      <c r="EI89">
        <v>870.09999999999991</v>
      </c>
      <c r="EJ89">
        <v>1998</v>
      </c>
      <c r="EL89">
        <v>1998</v>
      </c>
      <c r="EM89">
        <v>9.6999999999999993</v>
      </c>
      <c r="EN89">
        <v>18.5</v>
      </c>
      <c r="EO89">
        <v>22.5</v>
      </c>
      <c r="EP89">
        <v>15.7</v>
      </c>
      <c r="EQ89">
        <v>18</v>
      </c>
      <c r="ER89">
        <v>4.5</v>
      </c>
      <c r="ES89">
        <v>21.9</v>
      </c>
      <c r="ET89">
        <v>0.1</v>
      </c>
      <c r="EU89">
        <v>19.5</v>
      </c>
      <c r="EV89">
        <v>59.5</v>
      </c>
      <c r="EW89">
        <v>24.1</v>
      </c>
      <c r="EX89">
        <v>39</v>
      </c>
      <c r="EZ89">
        <v>59.5</v>
      </c>
      <c r="FA89">
        <v>1998</v>
      </c>
      <c r="FE89">
        <v>1998</v>
      </c>
      <c r="FF89">
        <v>17</v>
      </c>
      <c r="FG89">
        <v>12</v>
      </c>
      <c r="FH89">
        <v>20</v>
      </c>
      <c r="FI89">
        <v>8</v>
      </c>
      <c r="FJ89">
        <v>18</v>
      </c>
      <c r="FK89">
        <v>4</v>
      </c>
      <c r="FL89">
        <v>4</v>
      </c>
      <c r="FM89">
        <v>1</v>
      </c>
      <c r="FN89">
        <v>10</v>
      </c>
      <c r="FO89">
        <v>9</v>
      </c>
      <c r="FP89">
        <v>17</v>
      </c>
      <c r="FQ89">
        <v>17</v>
      </c>
      <c r="FS89">
        <f t="shared" si="18"/>
        <v>137</v>
      </c>
      <c r="FT89">
        <v>1998</v>
      </c>
      <c r="FW89">
        <v>1998</v>
      </c>
      <c r="FX89">
        <v>1</v>
      </c>
      <c r="FY89">
        <v>0</v>
      </c>
      <c r="FZ89">
        <v>9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2</v>
      </c>
      <c r="GK89">
        <f t="shared" si="19"/>
        <v>12</v>
      </c>
    </row>
    <row r="90" spans="1:193">
      <c r="A90" s="17" t="s">
        <v>114</v>
      </c>
      <c r="C90">
        <v>1.2</v>
      </c>
      <c r="F90">
        <v>15</v>
      </c>
      <c r="K90">
        <v>1.4</v>
      </c>
      <c r="Q90">
        <v>11.7</v>
      </c>
      <c r="W90">
        <v>1.5</v>
      </c>
      <c r="AD90">
        <v>0.3</v>
      </c>
      <c r="AG90">
        <v>2.5</v>
      </c>
      <c r="AJ90">
        <v>3.6</v>
      </c>
      <c r="AN90">
        <v>3.8</v>
      </c>
      <c r="AO90">
        <v>2.4</v>
      </c>
      <c r="AP90">
        <v>8</v>
      </c>
      <c r="AR90">
        <v>10</v>
      </c>
      <c r="AS90">
        <v>7.9</v>
      </c>
      <c r="AU90">
        <v>0.4</v>
      </c>
      <c r="AW90">
        <v>4</v>
      </c>
      <c r="AY90">
        <v>12.4</v>
      </c>
      <c r="BD90">
        <v>4.5</v>
      </c>
      <c r="BH90">
        <v>8.1999999999999993</v>
      </c>
      <c r="BI90">
        <v>4.3</v>
      </c>
      <c r="BL90">
        <v>0.5</v>
      </c>
      <c r="BN90">
        <v>18.5</v>
      </c>
      <c r="BO90">
        <v>0.1</v>
      </c>
      <c r="BQ90">
        <v>6.5</v>
      </c>
      <c r="BR90">
        <v>0.2</v>
      </c>
      <c r="BS90">
        <v>0.1</v>
      </c>
      <c r="BV90">
        <v>0.3</v>
      </c>
      <c r="CE90">
        <v>14.3</v>
      </c>
      <c r="CH90">
        <v>7.2</v>
      </c>
      <c r="CJ90">
        <v>25</v>
      </c>
      <c r="CK90">
        <v>1.8</v>
      </c>
      <c r="CO90">
        <v>1.1000000000000001</v>
      </c>
      <c r="CP90">
        <v>3.1</v>
      </c>
      <c r="CT90">
        <v>0.1</v>
      </c>
      <c r="CU90">
        <v>0.6</v>
      </c>
      <c r="CV90">
        <v>4.7</v>
      </c>
      <c r="CX90">
        <v>0.6</v>
      </c>
      <c r="CZ90">
        <v>0.8</v>
      </c>
      <c r="DA90" s="2"/>
      <c r="DD90" s="1">
        <v>40989</v>
      </c>
      <c r="DE90" s="2">
        <f t="shared" si="23"/>
        <v>5.0972972972972963</v>
      </c>
      <c r="DF90" s="2">
        <f t="shared" si="22"/>
        <v>1.8490196078431369</v>
      </c>
      <c r="DG90" s="2">
        <f t="shared" si="24"/>
        <v>25</v>
      </c>
      <c r="DH90" s="2">
        <f t="shared" si="25"/>
        <v>0.1</v>
      </c>
      <c r="DI90" s="3">
        <f t="shared" si="26"/>
        <v>0.36274509803921567</v>
      </c>
      <c r="DK90" s="70"/>
      <c r="DL90" s="67"/>
      <c r="DM90" s="12" t="s">
        <v>28</v>
      </c>
      <c r="DN90" s="67"/>
      <c r="DO90" s="8">
        <v>1926</v>
      </c>
      <c r="DP90" s="8">
        <v>1926</v>
      </c>
      <c r="DQ90" s="67"/>
      <c r="DU90">
        <v>1999</v>
      </c>
      <c r="DV90" s="2">
        <v>57.7</v>
      </c>
      <c r="DW90" s="2">
        <v>136.5</v>
      </c>
      <c r="DX90" s="2">
        <v>72</v>
      </c>
      <c r="DY90" s="2">
        <v>12.1</v>
      </c>
      <c r="DZ90" s="2">
        <v>9.3000000000000007</v>
      </c>
      <c r="EA90" s="2">
        <v>70.8</v>
      </c>
      <c r="EB90" s="2">
        <v>7.5</v>
      </c>
      <c r="EC90" s="2">
        <v>76.2</v>
      </c>
      <c r="ED90" s="2">
        <v>27.2</v>
      </c>
      <c r="EE90" s="2">
        <v>33</v>
      </c>
      <c r="EF90" s="2">
        <v>132.69999999999999</v>
      </c>
      <c r="EG90" s="2">
        <v>144.30000000000001</v>
      </c>
      <c r="EI90">
        <v>779.3</v>
      </c>
      <c r="EJ90">
        <v>1999</v>
      </c>
      <c r="EL90">
        <v>1999</v>
      </c>
      <c r="EM90">
        <v>13</v>
      </c>
      <c r="EN90">
        <v>29</v>
      </c>
      <c r="EO90">
        <v>13</v>
      </c>
      <c r="EP90">
        <v>7.5</v>
      </c>
      <c r="EQ90">
        <v>4.2</v>
      </c>
      <c r="ER90">
        <v>24</v>
      </c>
      <c r="ES90">
        <v>17.5</v>
      </c>
      <c r="ET90">
        <v>33.700000000000003</v>
      </c>
      <c r="EU90">
        <v>14</v>
      </c>
      <c r="EV90">
        <v>9.5</v>
      </c>
      <c r="EW90">
        <v>45</v>
      </c>
      <c r="EX90">
        <v>50.1</v>
      </c>
      <c r="EZ90">
        <v>50.1</v>
      </c>
      <c r="FA90">
        <v>1999</v>
      </c>
      <c r="FE90">
        <v>1999</v>
      </c>
      <c r="FF90">
        <v>12</v>
      </c>
      <c r="FG90">
        <v>16</v>
      </c>
      <c r="FH90">
        <v>12</v>
      </c>
      <c r="FI90">
        <v>7</v>
      </c>
      <c r="FJ90">
        <v>5</v>
      </c>
      <c r="FK90">
        <v>11</v>
      </c>
      <c r="FL90">
        <v>2</v>
      </c>
      <c r="FM90">
        <v>5</v>
      </c>
      <c r="FN90">
        <v>4</v>
      </c>
      <c r="FO90">
        <v>13</v>
      </c>
      <c r="FP90">
        <v>14</v>
      </c>
      <c r="FQ90">
        <v>14</v>
      </c>
      <c r="FS90">
        <f t="shared" si="18"/>
        <v>115</v>
      </c>
      <c r="FT90">
        <v>1999</v>
      </c>
      <c r="FW90">
        <v>1999</v>
      </c>
      <c r="FX90">
        <v>10</v>
      </c>
      <c r="FY90">
        <v>4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K90">
        <f t="shared" si="19"/>
        <v>14</v>
      </c>
    </row>
    <row r="91" spans="1:193">
      <c r="A91" s="17" t="s">
        <v>115</v>
      </c>
      <c r="C91">
        <v>2.6</v>
      </c>
      <c r="E91">
        <v>1.9</v>
      </c>
      <c r="F91">
        <v>0.5</v>
      </c>
      <c r="G91">
        <v>5.4</v>
      </c>
      <c r="K91">
        <v>2.7</v>
      </c>
      <c r="P91">
        <v>0.3</v>
      </c>
      <c r="Q91">
        <v>3.8</v>
      </c>
      <c r="W91">
        <v>2.5</v>
      </c>
      <c r="X91">
        <v>11.5</v>
      </c>
      <c r="AD91">
        <v>6.2</v>
      </c>
      <c r="AG91">
        <v>0.2</v>
      </c>
      <c r="AI91">
        <v>5.8</v>
      </c>
      <c r="AN91">
        <v>11.5</v>
      </c>
      <c r="AP91">
        <v>4.4000000000000004</v>
      </c>
      <c r="AR91">
        <v>3.4</v>
      </c>
      <c r="AS91">
        <v>6.8</v>
      </c>
      <c r="AU91">
        <v>1.6</v>
      </c>
      <c r="AW91">
        <v>31</v>
      </c>
      <c r="AY91">
        <v>1.7</v>
      </c>
      <c r="AZ91">
        <v>1.5</v>
      </c>
      <c r="BB91">
        <v>15.6</v>
      </c>
      <c r="BD91">
        <v>5.5</v>
      </c>
      <c r="BH91">
        <v>1.6</v>
      </c>
      <c r="BI91">
        <v>0.1</v>
      </c>
      <c r="BL91">
        <v>0.1</v>
      </c>
      <c r="BM91">
        <v>0.1</v>
      </c>
      <c r="BN91">
        <v>5</v>
      </c>
      <c r="BO91">
        <v>3.2</v>
      </c>
      <c r="BP91">
        <v>0.1</v>
      </c>
      <c r="BQ91">
        <v>22.7</v>
      </c>
      <c r="BS91">
        <v>0.1</v>
      </c>
      <c r="BW91">
        <v>4.5</v>
      </c>
      <c r="BX91">
        <v>0.6</v>
      </c>
      <c r="CB91">
        <v>0.1</v>
      </c>
      <c r="CG91">
        <v>1.5</v>
      </c>
      <c r="CH91">
        <v>9.1999999999999993</v>
      </c>
      <c r="CI91">
        <v>1.9</v>
      </c>
      <c r="CJ91">
        <v>2.8</v>
      </c>
      <c r="CK91">
        <v>12.4</v>
      </c>
      <c r="CN91">
        <v>4.0999999999999996</v>
      </c>
      <c r="CO91">
        <v>4.9000000000000004</v>
      </c>
      <c r="CT91">
        <v>7</v>
      </c>
      <c r="CV91">
        <v>10.199999999999999</v>
      </c>
      <c r="CZ91">
        <v>9.8000000000000007</v>
      </c>
      <c r="DA91" s="2"/>
      <c r="DD91" s="1">
        <v>40990</v>
      </c>
      <c r="DE91" s="2">
        <f t="shared" si="23"/>
        <v>5.1909090909090896</v>
      </c>
      <c r="DF91" s="2">
        <f t="shared" si="22"/>
        <v>2.2392156862745094</v>
      </c>
      <c r="DG91" s="2">
        <f t="shared" si="24"/>
        <v>31</v>
      </c>
      <c r="DH91" s="2">
        <f t="shared" si="25"/>
        <v>0.1</v>
      </c>
      <c r="DI91" s="3">
        <f t="shared" si="26"/>
        <v>0.43137254901960786</v>
      </c>
      <c r="DU91">
        <v>2000</v>
      </c>
      <c r="DV91" s="2">
        <v>139.1</v>
      </c>
      <c r="DW91" s="2">
        <v>93.7</v>
      </c>
      <c r="DX91" s="2">
        <v>86.3</v>
      </c>
      <c r="DY91" s="2">
        <v>78.400000000000006</v>
      </c>
      <c r="DZ91" s="2">
        <v>43.8</v>
      </c>
      <c r="EA91" s="2">
        <v>26.6</v>
      </c>
      <c r="EB91" s="2">
        <v>12.3</v>
      </c>
      <c r="EC91" s="2">
        <v>45.8</v>
      </c>
      <c r="ED91" s="2">
        <v>56.6</v>
      </c>
      <c r="EE91" s="2">
        <v>99.2</v>
      </c>
      <c r="EF91" s="2">
        <v>45</v>
      </c>
      <c r="EG91" s="2">
        <v>87.7</v>
      </c>
      <c r="EI91">
        <v>814.50000000000011</v>
      </c>
      <c r="EJ91">
        <v>2000</v>
      </c>
      <c r="EL91">
        <v>2000</v>
      </c>
      <c r="EM91">
        <v>30.2</v>
      </c>
      <c r="EN91">
        <v>40.5</v>
      </c>
      <c r="EO91">
        <v>39.5</v>
      </c>
      <c r="EP91">
        <v>19</v>
      </c>
      <c r="EQ91">
        <v>15</v>
      </c>
      <c r="ER91">
        <v>14.5</v>
      </c>
      <c r="ES91">
        <v>6.5</v>
      </c>
      <c r="ET91">
        <v>24.2</v>
      </c>
      <c r="EU91">
        <v>19.600000000000001</v>
      </c>
      <c r="EV91">
        <v>34.5</v>
      </c>
      <c r="EW91">
        <v>25.6</v>
      </c>
      <c r="EX91">
        <v>18.5</v>
      </c>
      <c r="EZ91">
        <v>40.5</v>
      </c>
      <c r="FA91">
        <v>2000</v>
      </c>
      <c r="FE91">
        <v>2000</v>
      </c>
      <c r="FF91">
        <v>23</v>
      </c>
      <c r="FG91">
        <v>16</v>
      </c>
      <c r="FH91">
        <v>11</v>
      </c>
      <c r="FI91">
        <v>16</v>
      </c>
      <c r="FJ91">
        <v>5</v>
      </c>
      <c r="FK91">
        <v>7</v>
      </c>
      <c r="FL91">
        <v>1</v>
      </c>
      <c r="FM91">
        <v>5</v>
      </c>
      <c r="FN91">
        <v>9</v>
      </c>
      <c r="FO91">
        <v>8</v>
      </c>
      <c r="FP91">
        <v>6</v>
      </c>
      <c r="FQ91">
        <v>14</v>
      </c>
      <c r="FS91">
        <f t="shared" si="18"/>
        <v>121</v>
      </c>
      <c r="FT91">
        <v>2000</v>
      </c>
      <c r="FW91">
        <v>2000</v>
      </c>
      <c r="FX91">
        <v>0</v>
      </c>
      <c r="FY91">
        <v>5</v>
      </c>
      <c r="FZ91">
        <v>2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2</v>
      </c>
      <c r="GK91">
        <f t="shared" si="19"/>
        <v>9</v>
      </c>
    </row>
    <row r="92" spans="1:193">
      <c r="A92" s="17" t="s">
        <v>116</v>
      </c>
      <c r="E92">
        <v>0.6</v>
      </c>
      <c r="K92">
        <v>11.2</v>
      </c>
      <c r="P92">
        <v>0.2</v>
      </c>
      <c r="W92">
        <v>5.9</v>
      </c>
      <c r="X92">
        <v>2</v>
      </c>
      <c r="AD92">
        <v>15.1</v>
      </c>
      <c r="AI92">
        <v>8.5</v>
      </c>
      <c r="AN92">
        <v>7</v>
      </c>
      <c r="AP92">
        <v>2.7</v>
      </c>
      <c r="AS92">
        <v>5</v>
      </c>
      <c r="AW92">
        <v>10.5</v>
      </c>
      <c r="AY92">
        <v>2.8</v>
      </c>
      <c r="AZ92">
        <v>27.7</v>
      </c>
      <c r="BA92">
        <v>5.9</v>
      </c>
      <c r="BB92">
        <v>17.7</v>
      </c>
      <c r="BC92">
        <v>8.9</v>
      </c>
      <c r="BG92">
        <v>1.5</v>
      </c>
      <c r="BI92">
        <v>0.1</v>
      </c>
      <c r="BJ92">
        <v>1.1000000000000001</v>
      </c>
      <c r="BL92">
        <v>0.1</v>
      </c>
      <c r="BM92">
        <v>0.2</v>
      </c>
      <c r="BN92">
        <v>19</v>
      </c>
      <c r="BQ92">
        <v>0.8</v>
      </c>
      <c r="BS92">
        <v>0.1</v>
      </c>
      <c r="BW92">
        <v>2</v>
      </c>
      <c r="BX92">
        <v>12.1</v>
      </c>
      <c r="BZ92">
        <v>16.3</v>
      </c>
      <c r="CA92">
        <v>0.8</v>
      </c>
      <c r="CB92">
        <v>3.3</v>
      </c>
      <c r="CH92">
        <v>9.3000000000000007</v>
      </c>
      <c r="CI92">
        <v>0.7</v>
      </c>
      <c r="CK92">
        <v>9</v>
      </c>
      <c r="CN92">
        <v>8.4</v>
      </c>
      <c r="CO92">
        <v>8.1</v>
      </c>
      <c r="CP92">
        <v>1</v>
      </c>
      <c r="CS92">
        <v>5</v>
      </c>
      <c r="CT92">
        <v>5.9</v>
      </c>
      <c r="CV92">
        <v>0.8</v>
      </c>
      <c r="CZ92">
        <v>0.3</v>
      </c>
      <c r="DA92" s="2"/>
      <c r="DD92" s="1">
        <v>40991</v>
      </c>
      <c r="DE92" s="2">
        <f t="shared" si="23"/>
        <v>6.0923076923076938</v>
      </c>
      <c r="DF92" s="2">
        <f t="shared" si="22"/>
        <v>2.329411764705883</v>
      </c>
      <c r="DG92" s="2">
        <f t="shared" si="24"/>
        <v>27.7</v>
      </c>
      <c r="DH92" s="2">
        <f t="shared" si="25"/>
        <v>0.1</v>
      </c>
      <c r="DI92" s="3">
        <f t="shared" si="26"/>
        <v>0.38235294117647056</v>
      </c>
      <c r="DU92">
        <v>2001</v>
      </c>
      <c r="DV92" s="2">
        <v>58.6</v>
      </c>
      <c r="DW92" s="2">
        <v>80.2</v>
      </c>
      <c r="DX92" s="2">
        <v>45.1</v>
      </c>
      <c r="DY92" s="2">
        <v>60.6</v>
      </c>
      <c r="DZ92" s="2">
        <v>37.5</v>
      </c>
      <c r="EA92" s="2">
        <v>5.2</v>
      </c>
      <c r="EB92" s="2">
        <v>20.8</v>
      </c>
      <c r="EC92" s="2">
        <v>46.6</v>
      </c>
      <c r="ED92" s="2">
        <v>42.5</v>
      </c>
      <c r="EE92" s="2">
        <v>18.3</v>
      </c>
      <c r="EF92" s="2">
        <v>210.7</v>
      </c>
      <c r="EG92" s="2">
        <v>432.2</v>
      </c>
      <c r="EI92">
        <v>1058.3</v>
      </c>
      <c r="EJ92">
        <v>2001</v>
      </c>
      <c r="EL92">
        <v>2001</v>
      </c>
      <c r="EM92">
        <v>17</v>
      </c>
      <c r="EN92">
        <v>23.5</v>
      </c>
      <c r="EO92">
        <v>11.5</v>
      </c>
      <c r="EP92">
        <v>16.5</v>
      </c>
      <c r="EQ92">
        <v>18.5</v>
      </c>
      <c r="ER92">
        <v>2.5</v>
      </c>
      <c r="ES92">
        <v>12.3</v>
      </c>
      <c r="ET92">
        <v>21</v>
      </c>
      <c r="EU92">
        <v>19.5</v>
      </c>
      <c r="EV92">
        <v>11</v>
      </c>
      <c r="EW92">
        <v>32.5</v>
      </c>
      <c r="EX92">
        <v>38.4</v>
      </c>
      <c r="EZ92">
        <v>38.4</v>
      </c>
      <c r="FA92">
        <v>2001</v>
      </c>
      <c r="FE92">
        <v>2001</v>
      </c>
      <c r="FF92">
        <v>14</v>
      </c>
      <c r="FG92">
        <v>17</v>
      </c>
      <c r="FH92">
        <v>8</v>
      </c>
      <c r="FI92">
        <v>11</v>
      </c>
      <c r="FJ92">
        <v>9</v>
      </c>
      <c r="FK92">
        <v>3</v>
      </c>
      <c r="FL92">
        <v>5</v>
      </c>
      <c r="FM92">
        <v>7</v>
      </c>
      <c r="FN92">
        <v>5</v>
      </c>
      <c r="FO92">
        <v>6</v>
      </c>
      <c r="FP92">
        <v>19</v>
      </c>
      <c r="FQ92">
        <v>27</v>
      </c>
      <c r="FS92">
        <f t="shared" si="18"/>
        <v>131</v>
      </c>
      <c r="FT92">
        <v>2001</v>
      </c>
      <c r="FW92">
        <v>2001</v>
      </c>
      <c r="FX92">
        <v>8</v>
      </c>
      <c r="FY92">
        <v>3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4</v>
      </c>
      <c r="GI92">
        <v>9</v>
      </c>
      <c r="GK92">
        <f t="shared" si="19"/>
        <v>24</v>
      </c>
    </row>
    <row r="93" spans="1:193">
      <c r="A93" s="17" t="s">
        <v>117</v>
      </c>
      <c r="C93">
        <v>2.8</v>
      </c>
      <c r="I93">
        <v>1.4</v>
      </c>
      <c r="K93">
        <v>1.1000000000000001</v>
      </c>
      <c r="P93">
        <v>1.3</v>
      </c>
      <c r="Q93">
        <v>1</v>
      </c>
      <c r="T93">
        <v>2.5</v>
      </c>
      <c r="X93">
        <v>0.8</v>
      </c>
      <c r="AD93">
        <v>1.8</v>
      </c>
      <c r="AE93">
        <v>0.5</v>
      </c>
      <c r="AF93">
        <v>0.6</v>
      </c>
      <c r="AG93">
        <v>2.2000000000000002</v>
      </c>
      <c r="AH93">
        <v>2.9</v>
      </c>
      <c r="AI93">
        <v>17</v>
      </c>
      <c r="AJ93">
        <v>0.9</v>
      </c>
      <c r="AM93">
        <v>1.2</v>
      </c>
      <c r="AN93">
        <v>1.2</v>
      </c>
      <c r="AO93">
        <v>1.3</v>
      </c>
      <c r="AZ93">
        <v>0.5</v>
      </c>
      <c r="BB93">
        <v>7.4</v>
      </c>
      <c r="BE93">
        <v>1.8</v>
      </c>
      <c r="BF93">
        <v>7.8</v>
      </c>
      <c r="BG93">
        <v>1.6</v>
      </c>
      <c r="BH93">
        <v>8.6999999999999993</v>
      </c>
      <c r="BJ93">
        <v>21.7</v>
      </c>
      <c r="BK93">
        <v>3.8</v>
      </c>
      <c r="BN93">
        <v>13</v>
      </c>
      <c r="BS93">
        <v>0.1</v>
      </c>
      <c r="BU93">
        <v>0.1</v>
      </c>
      <c r="BW93">
        <v>0.9</v>
      </c>
      <c r="BX93">
        <v>0.5</v>
      </c>
      <c r="BZ93">
        <v>13.7</v>
      </c>
      <c r="CA93">
        <v>2.6</v>
      </c>
      <c r="CB93">
        <v>6.5</v>
      </c>
      <c r="CD93">
        <v>0.3</v>
      </c>
      <c r="CH93">
        <v>1.6</v>
      </c>
      <c r="CI93">
        <v>1</v>
      </c>
      <c r="CJ93">
        <v>2.8</v>
      </c>
      <c r="CL93">
        <v>3</v>
      </c>
      <c r="CO93">
        <v>5</v>
      </c>
      <c r="CP93">
        <v>2.2000000000000002</v>
      </c>
      <c r="CS93">
        <v>2.5</v>
      </c>
      <c r="CT93">
        <v>1</v>
      </c>
      <c r="CW93">
        <v>0.4</v>
      </c>
      <c r="CX93">
        <v>0.1</v>
      </c>
      <c r="DA93" s="2"/>
      <c r="DD93" s="1">
        <v>40992</v>
      </c>
      <c r="DE93" s="2">
        <f t="shared" si="23"/>
        <v>3.4340909090909091</v>
      </c>
      <c r="DF93" s="2">
        <f t="shared" si="22"/>
        <v>1.4813725490196077</v>
      </c>
      <c r="DG93" s="2">
        <f t="shared" si="24"/>
        <v>21.7</v>
      </c>
      <c r="DH93" s="2">
        <f t="shared" si="25"/>
        <v>0.1</v>
      </c>
      <c r="DI93" s="3">
        <f t="shared" si="26"/>
        <v>0.43137254901960786</v>
      </c>
      <c r="DK93" s="68" t="s">
        <v>16</v>
      </c>
      <c r="DL93" s="71" t="s">
        <v>4</v>
      </c>
      <c r="DM93" s="12" t="s">
        <v>27</v>
      </c>
      <c r="DN93" s="4">
        <v>68</v>
      </c>
      <c r="DO93" s="5">
        <v>432.2</v>
      </c>
      <c r="DP93" s="8">
        <v>29</v>
      </c>
      <c r="DQ93" s="8">
        <v>11</v>
      </c>
      <c r="DU93">
        <v>2002</v>
      </c>
      <c r="DV93" s="2">
        <v>90.3</v>
      </c>
      <c r="DW93" s="2">
        <v>44.8</v>
      </c>
      <c r="DX93" s="2">
        <v>69.7</v>
      </c>
      <c r="DY93" s="2">
        <v>45.6</v>
      </c>
      <c r="DZ93" s="2">
        <v>19.100000000000001</v>
      </c>
      <c r="EA93" s="2">
        <v>26</v>
      </c>
      <c r="EB93" s="2">
        <v>5</v>
      </c>
      <c r="EC93" s="2">
        <v>164.7</v>
      </c>
      <c r="ED93" s="2">
        <v>117.2</v>
      </c>
      <c r="EE93" s="2">
        <v>59.4</v>
      </c>
      <c r="EF93" s="2">
        <v>99.7</v>
      </c>
      <c r="EG93" s="2">
        <v>88.7</v>
      </c>
      <c r="EI93">
        <v>830.2</v>
      </c>
      <c r="EJ93">
        <v>2002</v>
      </c>
      <c r="EL93">
        <v>2002</v>
      </c>
      <c r="EM93">
        <v>26.6</v>
      </c>
      <c r="EN93">
        <v>16.600000000000001</v>
      </c>
      <c r="EO93">
        <v>13.8</v>
      </c>
      <c r="EP93">
        <v>24.2</v>
      </c>
      <c r="EQ93">
        <v>5.7</v>
      </c>
      <c r="ER93">
        <v>11.3</v>
      </c>
      <c r="ES93">
        <v>14</v>
      </c>
      <c r="ET93">
        <v>56.3</v>
      </c>
      <c r="EU93">
        <v>37.799999999999997</v>
      </c>
      <c r="EV93">
        <v>22.1</v>
      </c>
      <c r="EW93">
        <v>25.5</v>
      </c>
      <c r="EX93">
        <v>22</v>
      </c>
      <c r="EZ93">
        <v>56.3</v>
      </c>
      <c r="FA93">
        <v>2002</v>
      </c>
      <c r="FE93">
        <v>2002</v>
      </c>
      <c r="FF93">
        <v>14</v>
      </c>
      <c r="FG93">
        <v>4</v>
      </c>
      <c r="FH93">
        <v>15</v>
      </c>
      <c r="FI93">
        <v>15</v>
      </c>
      <c r="FJ93">
        <v>7</v>
      </c>
      <c r="FK93">
        <v>8</v>
      </c>
      <c r="FL93">
        <v>2</v>
      </c>
      <c r="FM93">
        <v>10</v>
      </c>
      <c r="FN93">
        <v>13</v>
      </c>
      <c r="FO93">
        <v>12</v>
      </c>
      <c r="FP93">
        <v>8</v>
      </c>
      <c r="FQ93">
        <v>16</v>
      </c>
      <c r="FS93">
        <f t="shared" si="18"/>
        <v>124</v>
      </c>
      <c r="FT93">
        <v>2002</v>
      </c>
      <c r="FW93">
        <v>2002</v>
      </c>
      <c r="FX93">
        <v>2</v>
      </c>
      <c r="FY93">
        <v>2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8</v>
      </c>
      <c r="GK93">
        <f t="shared" si="19"/>
        <v>12</v>
      </c>
    </row>
    <row r="94" spans="1:193">
      <c r="A94" s="17" t="s">
        <v>118</v>
      </c>
      <c r="C94">
        <v>4</v>
      </c>
      <c r="K94">
        <v>0.8</v>
      </c>
      <c r="Q94">
        <v>1</v>
      </c>
      <c r="W94">
        <v>8.5</v>
      </c>
      <c r="X94">
        <v>1.6</v>
      </c>
      <c r="AF94">
        <v>0.9</v>
      </c>
      <c r="AI94">
        <v>0.8</v>
      </c>
      <c r="AJ94">
        <v>4</v>
      </c>
      <c r="AO94">
        <v>19.600000000000001</v>
      </c>
      <c r="AQ94">
        <v>1.1000000000000001</v>
      </c>
      <c r="AR94">
        <v>0.1</v>
      </c>
      <c r="AS94">
        <v>1.8</v>
      </c>
      <c r="AW94">
        <v>3.5</v>
      </c>
      <c r="BD94">
        <v>2</v>
      </c>
      <c r="BE94">
        <v>0.1</v>
      </c>
      <c r="BF94">
        <v>2</v>
      </c>
      <c r="BG94">
        <v>0.7</v>
      </c>
      <c r="BH94">
        <v>0.1</v>
      </c>
      <c r="BJ94">
        <v>26</v>
      </c>
      <c r="BK94">
        <v>0.1</v>
      </c>
      <c r="BN94">
        <v>8.9</v>
      </c>
      <c r="BQ94">
        <v>18</v>
      </c>
      <c r="BS94">
        <v>2.5</v>
      </c>
      <c r="BW94">
        <v>0.1</v>
      </c>
      <c r="BX94">
        <v>1.2</v>
      </c>
      <c r="CA94">
        <v>1</v>
      </c>
      <c r="CB94">
        <v>0.2</v>
      </c>
      <c r="CD94">
        <v>0.1</v>
      </c>
      <c r="CO94">
        <v>13.8</v>
      </c>
      <c r="CS94">
        <v>0.5</v>
      </c>
      <c r="CU94">
        <v>4.9000000000000004</v>
      </c>
      <c r="CV94">
        <v>14.2</v>
      </c>
      <c r="DA94" s="2"/>
      <c r="DD94" s="1">
        <v>40993</v>
      </c>
      <c r="DE94" s="2">
        <f t="shared" si="23"/>
        <v>4.5031249999999998</v>
      </c>
      <c r="DF94" s="2">
        <f t="shared" si="22"/>
        <v>1.4127450980392156</v>
      </c>
      <c r="DG94" s="2">
        <f t="shared" si="24"/>
        <v>26</v>
      </c>
      <c r="DH94" s="2">
        <f t="shared" si="25"/>
        <v>0.1</v>
      </c>
      <c r="DI94" s="3">
        <f t="shared" si="26"/>
        <v>0.31372549019607843</v>
      </c>
      <c r="DK94" s="69"/>
      <c r="DL94" s="67"/>
      <c r="DM94" s="12" t="s">
        <v>33</v>
      </c>
      <c r="DN94" s="13">
        <v>5109</v>
      </c>
      <c r="DO94" s="19">
        <v>2001</v>
      </c>
      <c r="DP94" s="8">
        <v>1969</v>
      </c>
      <c r="DQ94" s="8">
        <v>1992</v>
      </c>
      <c r="DU94">
        <v>2003</v>
      </c>
      <c r="DV94" s="2">
        <v>83</v>
      </c>
      <c r="DW94" s="2">
        <v>189.8</v>
      </c>
      <c r="DX94" s="2">
        <v>47.2</v>
      </c>
      <c r="DY94" s="2">
        <v>88</v>
      </c>
      <c r="DZ94" s="2">
        <v>1.3</v>
      </c>
      <c r="EA94" s="2">
        <v>2</v>
      </c>
      <c r="EB94" s="2">
        <v>25.8</v>
      </c>
      <c r="EC94" s="2"/>
      <c r="ED94" s="2">
        <v>52.1</v>
      </c>
      <c r="EE94" s="2">
        <v>122.8</v>
      </c>
      <c r="EF94" s="2">
        <v>110.2</v>
      </c>
      <c r="EG94" s="2">
        <v>127.7</v>
      </c>
      <c r="EI94">
        <v>849.90000000000009</v>
      </c>
      <c r="EJ94">
        <v>2003</v>
      </c>
      <c r="EL94">
        <v>2003</v>
      </c>
      <c r="EM94">
        <v>20.2</v>
      </c>
      <c r="EN94">
        <v>33.700000000000003</v>
      </c>
      <c r="EO94">
        <v>13.3</v>
      </c>
      <c r="EP94">
        <v>18.100000000000001</v>
      </c>
      <c r="EQ94">
        <v>1.2</v>
      </c>
      <c r="ER94">
        <v>2</v>
      </c>
      <c r="ES94">
        <v>4.9000000000000004</v>
      </c>
      <c r="ET94">
        <v>0</v>
      </c>
      <c r="EU94">
        <v>19.7</v>
      </c>
      <c r="EV94">
        <v>24.5</v>
      </c>
      <c r="EW94">
        <v>30.5</v>
      </c>
      <c r="EX94">
        <v>25.1</v>
      </c>
      <c r="EZ94">
        <v>33.700000000000003</v>
      </c>
      <c r="FA94">
        <v>2003</v>
      </c>
      <c r="FE94">
        <v>2003</v>
      </c>
      <c r="FF94">
        <v>21</v>
      </c>
      <c r="FG94">
        <v>25</v>
      </c>
      <c r="FH94">
        <v>14</v>
      </c>
      <c r="FI94">
        <v>14</v>
      </c>
      <c r="FJ94">
        <v>3</v>
      </c>
      <c r="FK94">
        <v>1</v>
      </c>
      <c r="FL94">
        <v>3</v>
      </c>
      <c r="FM94">
        <v>1</v>
      </c>
      <c r="FN94">
        <v>14</v>
      </c>
      <c r="FO94">
        <v>17</v>
      </c>
      <c r="FP94">
        <v>11</v>
      </c>
      <c r="FQ94">
        <v>14</v>
      </c>
      <c r="FS94">
        <f t="shared" si="18"/>
        <v>138</v>
      </c>
      <c r="FT94">
        <v>2003</v>
      </c>
      <c r="FW94">
        <v>2003</v>
      </c>
      <c r="FX94">
        <v>9</v>
      </c>
      <c r="FY94">
        <v>21</v>
      </c>
      <c r="FZ94">
        <v>3</v>
      </c>
      <c r="GA94">
        <v>1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2</v>
      </c>
      <c r="GK94">
        <f t="shared" si="19"/>
        <v>36</v>
      </c>
    </row>
    <row r="95" spans="1:193">
      <c r="A95" s="17" t="s">
        <v>119</v>
      </c>
      <c r="C95">
        <v>4.4000000000000004</v>
      </c>
      <c r="D95">
        <v>1</v>
      </c>
      <c r="Q95">
        <v>3.5</v>
      </c>
      <c r="V95">
        <v>3.1</v>
      </c>
      <c r="X95">
        <v>0.7</v>
      </c>
      <c r="AB95">
        <v>0.3</v>
      </c>
      <c r="AD95">
        <v>4.2</v>
      </c>
      <c r="AG95">
        <v>0.1</v>
      </c>
      <c r="AI95">
        <v>2</v>
      </c>
      <c r="AK95">
        <v>0.4</v>
      </c>
      <c r="AM95">
        <v>2.7</v>
      </c>
      <c r="AO95">
        <v>1</v>
      </c>
      <c r="AP95">
        <v>0.3</v>
      </c>
      <c r="AQ95">
        <v>0.3</v>
      </c>
      <c r="AS95">
        <v>7.4</v>
      </c>
      <c r="AT95">
        <v>0.2</v>
      </c>
      <c r="AW95">
        <v>0.3</v>
      </c>
      <c r="BA95">
        <v>15.1</v>
      </c>
      <c r="BD95">
        <v>1</v>
      </c>
      <c r="BE95">
        <v>9</v>
      </c>
      <c r="BF95">
        <v>1.5</v>
      </c>
      <c r="BG95">
        <v>0.7</v>
      </c>
      <c r="BH95">
        <v>8.4</v>
      </c>
      <c r="BJ95">
        <v>1.2</v>
      </c>
      <c r="BM95">
        <v>0.1</v>
      </c>
      <c r="BN95">
        <v>1.1000000000000001</v>
      </c>
      <c r="BO95">
        <v>1.3</v>
      </c>
      <c r="BQ95">
        <v>1.5</v>
      </c>
      <c r="BS95">
        <v>2.8</v>
      </c>
      <c r="BT95">
        <v>0.1</v>
      </c>
      <c r="BU95">
        <v>0.1</v>
      </c>
      <c r="BV95">
        <v>1.2</v>
      </c>
      <c r="CI95">
        <v>0.5</v>
      </c>
      <c r="CK95">
        <v>12</v>
      </c>
      <c r="CO95">
        <v>9</v>
      </c>
      <c r="CV95">
        <v>4.0999999999999996</v>
      </c>
      <c r="CY95">
        <v>0.2</v>
      </c>
      <c r="CZ95">
        <v>7</v>
      </c>
      <c r="DA95" s="2"/>
      <c r="DD95" s="1">
        <v>40994</v>
      </c>
      <c r="DE95" s="2">
        <f t="shared" si="23"/>
        <v>2.8894736842105258</v>
      </c>
      <c r="DF95" s="2">
        <f t="shared" si="22"/>
        <v>1.0764705882352938</v>
      </c>
      <c r="DG95" s="2">
        <f t="shared" si="24"/>
        <v>15.1</v>
      </c>
      <c r="DH95" s="2">
        <f t="shared" si="25"/>
        <v>0.1</v>
      </c>
      <c r="DI95" s="3">
        <f t="shared" si="26"/>
        <v>0.37254901960784315</v>
      </c>
      <c r="DK95" s="69"/>
      <c r="DL95" s="72"/>
      <c r="DM95" s="73"/>
      <c r="DN95" s="12" t="s">
        <v>24</v>
      </c>
      <c r="DO95" s="11" t="s">
        <v>25</v>
      </c>
      <c r="DP95" s="11" t="s">
        <v>19</v>
      </c>
      <c r="DQ95" s="11" t="s">
        <v>26</v>
      </c>
      <c r="DU95">
        <v>2004</v>
      </c>
      <c r="DV95" s="2">
        <v>195.5</v>
      </c>
      <c r="DW95" s="2">
        <v>73.3</v>
      </c>
      <c r="DX95" s="2">
        <v>71.400000000000006</v>
      </c>
      <c r="DY95" s="2">
        <v>22</v>
      </c>
      <c r="DZ95" s="2">
        <v>45.6</v>
      </c>
      <c r="EA95" s="2">
        <v>22</v>
      </c>
      <c r="EB95" s="2">
        <v>29.9</v>
      </c>
      <c r="EC95" s="2">
        <v>96.4</v>
      </c>
      <c r="ED95" s="2">
        <v>12.1</v>
      </c>
      <c r="EE95" s="2">
        <v>218.7</v>
      </c>
      <c r="EF95" s="2">
        <v>110.7</v>
      </c>
      <c r="EG95" s="2">
        <v>56.5</v>
      </c>
      <c r="EI95">
        <v>954.10000000000014</v>
      </c>
      <c r="EJ95">
        <v>2004</v>
      </c>
      <c r="EL95">
        <v>2004</v>
      </c>
      <c r="EM95">
        <v>50.5</v>
      </c>
      <c r="EN95">
        <v>19.100000000000001</v>
      </c>
      <c r="EO95">
        <v>19.7</v>
      </c>
      <c r="EP95">
        <v>7.6</v>
      </c>
      <c r="EQ95">
        <v>15.8</v>
      </c>
      <c r="ER95">
        <v>8.8000000000000007</v>
      </c>
      <c r="ES95">
        <v>22.4</v>
      </c>
      <c r="ET95">
        <v>41.6</v>
      </c>
      <c r="EU95">
        <v>4.0999999999999996</v>
      </c>
      <c r="EV95">
        <v>120.5</v>
      </c>
      <c r="EW95">
        <v>24.7</v>
      </c>
      <c r="EX95">
        <v>14.8</v>
      </c>
      <c r="EZ95">
        <v>120.5</v>
      </c>
      <c r="FA95">
        <v>2004</v>
      </c>
      <c r="FE95">
        <v>2004</v>
      </c>
      <c r="FF95">
        <v>21</v>
      </c>
      <c r="FG95">
        <v>14</v>
      </c>
      <c r="FH95">
        <v>11</v>
      </c>
      <c r="FI95">
        <v>11</v>
      </c>
      <c r="FJ95">
        <v>8</v>
      </c>
      <c r="FK95">
        <v>9</v>
      </c>
      <c r="FL95">
        <v>4</v>
      </c>
      <c r="FM95">
        <v>7</v>
      </c>
      <c r="FN95">
        <v>7</v>
      </c>
      <c r="FO95">
        <v>10</v>
      </c>
      <c r="FP95">
        <v>15</v>
      </c>
      <c r="FQ95">
        <v>13</v>
      </c>
      <c r="FS95">
        <f t="shared" si="18"/>
        <v>130</v>
      </c>
      <c r="FT95">
        <v>2004</v>
      </c>
      <c r="FW95">
        <v>2004</v>
      </c>
      <c r="FX95">
        <v>0</v>
      </c>
      <c r="FY95">
        <v>7</v>
      </c>
      <c r="FZ95">
        <v>4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3</v>
      </c>
      <c r="GI95">
        <v>0</v>
      </c>
      <c r="GK95">
        <f t="shared" si="19"/>
        <v>14</v>
      </c>
    </row>
    <row r="96" spans="1:193">
      <c r="A96" s="17" t="s">
        <v>120</v>
      </c>
      <c r="C96">
        <v>0.4</v>
      </c>
      <c r="E96">
        <v>14.4</v>
      </c>
      <c r="G96">
        <v>6.3</v>
      </c>
      <c r="I96">
        <v>7.6</v>
      </c>
      <c r="O96">
        <v>0.3</v>
      </c>
      <c r="P96">
        <v>0.2</v>
      </c>
      <c r="U96">
        <v>2.9</v>
      </c>
      <c r="V96">
        <v>11.9</v>
      </c>
      <c r="AC96">
        <v>14</v>
      </c>
      <c r="AI96">
        <v>46.4</v>
      </c>
      <c r="AK96">
        <v>0.1</v>
      </c>
      <c r="AM96">
        <v>5.6</v>
      </c>
      <c r="AN96">
        <v>0.6</v>
      </c>
      <c r="AP96">
        <v>2.2000000000000002</v>
      </c>
      <c r="AW96">
        <v>2</v>
      </c>
      <c r="BA96">
        <v>0.8</v>
      </c>
      <c r="BD96">
        <v>10.1</v>
      </c>
      <c r="BE96">
        <v>3.9</v>
      </c>
      <c r="BH96">
        <v>0.4</v>
      </c>
      <c r="BO96">
        <v>0.5</v>
      </c>
      <c r="BS96">
        <v>47.5</v>
      </c>
      <c r="BU96">
        <v>1.2</v>
      </c>
      <c r="BW96">
        <v>5.4</v>
      </c>
      <c r="BX96">
        <v>2.2000000000000002</v>
      </c>
      <c r="CA96">
        <v>15.2</v>
      </c>
      <c r="CE96">
        <v>6.5</v>
      </c>
      <c r="CI96">
        <v>0.8</v>
      </c>
      <c r="CK96">
        <v>16</v>
      </c>
      <c r="CM96">
        <v>0.1</v>
      </c>
      <c r="CO96">
        <v>4.4000000000000004</v>
      </c>
      <c r="CQ96">
        <v>0.3</v>
      </c>
      <c r="CR96">
        <v>0.4</v>
      </c>
      <c r="CU96">
        <v>0.1</v>
      </c>
      <c r="CX96">
        <v>5.2</v>
      </c>
      <c r="CZ96">
        <v>10.7</v>
      </c>
      <c r="DA96" s="2"/>
      <c r="DD96" s="1">
        <v>40995</v>
      </c>
      <c r="DE96" s="2">
        <f t="shared" si="23"/>
        <v>7.0457142857142845</v>
      </c>
      <c r="DF96" s="2">
        <f t="shared" si="22"/>
        <v>2.4176470588235293</v>
      </c>
      <c r="DG96" s="2">
        <f t="shared" si="24"/>
        <v>47.5</v>
      </c>
      <c r="DH96" s="2">
        <f t="shared" si="25"/>
        <v>0.1</v>
      </c>
      <c r="DI96" s="3">
        <f t="shared" si="26"/>
        <v>0.34313725490196079</v>
      </c>
      <c r="DK96" s="69"/>
      <c r="DL96" s="74" t="s">
        <v>29</v>
      </c>
      <c r="DM96" s="12" t="s">
        <v>27</v>
      </c>
      <c r="DN96" s="75"/>
      <c r="DO96" s="18">
        <v>19.899999999999999</v>
      </c>
      <c r="DP96" s="8">
        <v>9</v>
      </c>
      <c r="DQ96" s="66"/>
      <c r="DU96">
        <v>2005</v>
      </c>
      <c r="DV96" s="2">
        <v>173.6</v>
      </c>
      <c r="DW96" s="2">
        <v>146.1</v>
      </c>
      <c r="DX96" s="2">
        <v>63.4</v>
      </c>
      <c r="DY96" s="2">
        <v>26.3</v>
      </c>
      <c r="DZ96" s="2">
        <v>11.8</v>
      </c>
      <c r="EA96" s="2">
        <v>22.9</v>
      </c>
      <c r="EB96" s="2">
        <v>1.4</v>
      </c>
      <c r="EC96" s="2">
        <v>10.6</v>
      </c>
      <c r="ED96" s="2">
        <v>56.6</v>
      </c>
      <c r="EE96" s="2">
        <v>100</v>
      </c>
      <c r="EF96" s="2">
        <v>118.7</v>
      </c>
      <c r="EG96" s="2">
        <v>129.6</v>
      </c>
      <c r="EI96">
        <v>861</v>
      </c>
      <c r="EJ96">
        <v>2005</v>
      </c>
      <c r="EL96">
        <v>2005</v>
      </c>
      <c r="EM96">
        <v>34.1</v>
      </c>
      <c r="EN96">
        <v>30</v>
      </c>
      <c r="EO96">
        <v>13.5</v>
      </c>
      <c r="EP96">
        <v>7.8</v>
      </c>
      <c r="EQ96">
        <v>8.4</v>
      </c>
      <c r="ER96">
        <v>7.3</v>
      </c>
      <c r="ES96">
        <v>24.1</v>
      </c>
      <c r="ET96">
        <v>6.9</v>
      </c>
      <c r="EU96">
        <v>12.1</v>
      </c>
      <c r="EV96">
        <v>34</v>
      </c>
      <c r="EW96">
        <v>18.100000000000001</v>
      </c>
      <c r="EX96">
        <v>41.3</v>
      </c>
      <c r="EZ96">
        <v>41.3</v>
      </c>
      <c r="FA96">
        <v>2005</v>
      </c>
      <c r="FE96">
        <v>2005</v>
      </c>
      <c r="FF96">
        <v>23</v>
      </c>
      <c r="FG96">
        <v>22</v>
      </c>
      <c r="FH96">
        <v>15</v>
      </c>
      <c r="FI96">
        <v>10</v>
      </c>
      <c r="FJ96">
        <v>8</v>
      </c>
      <c r="FK96">
        <v>7</v>
      </c>
      <c r="FL96">
        <v>1</v>
      </c>
      <c r="FM96">
        <v>5</v>
      </c>
      <c r="FN96">
        <v>12</v>
      </c>
      <c r="FO96">
        <v>16</v>
      </c>
      <c r="FP96">
        <v>22</v>
      </c>
      <c r="FQ96">
        <v>20</v>
      </c>
      <c r="FS96">
        <f t="shared" si="18"/>
        <v>161</v>
      </c>
      <c r="FT96">
        <v>2005</v>
      </c>
      <c r="FW96">
        <v>2005</v>
      </c>
      <c r="FX96">
        <v>9</v>
      </c>
      <c r="FY96">
        <v>7</v>
      </c>
      <c r="FZ96">
        <v>5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2</v>
      </c>
      <c r="GI96">
        <v>4</v>
      </c>
      <c r="GK96">
        <f t="shared" si="19"/>
        <v>27</v>
      </c>
    </row>
    <row r="97" spans="1:193" ht="15.75" customHeight="1">
      <c r="A97" s="17" t="s">
        <v>121</v>
      </c>
      <c r="C97">
        <v>0.3</v>
      </c>
      <c r="D97">
        <v>1.8</v>
      </c>
      <c r="E97">
        <v>6.3</v>
      </c>
      <c r="G97">
        <v>2.5</v>
      </c>
      <c r="I97">
        <v>23.2</v>
      </c>
      <c r="L97">
        <v>4.8</v>
      </c>
      <c r="O97">
        <v>1.1000000000000001</v>
      </c>
      <c r="S97">
        <v>1.4</v>
      </c>
      <c r="U97">
        <v>20.5</v>
      </c>
      <c r="V97">
        <v>17.8</v>
      </c>
      <c r="W97">
        <v>7.4</v>
      </c>
      <c r="Y97">
        <v>1.6</v>
      </c>
      <c r="Z97">
        <v>1</v>
      </c>
      <c r="AA97">
        <v>0.7</v>
      </c>
      <c r="AC97">
        <v>20.399999999999999</v>
      </c>
      <c r="AD97">
        <v>0.6</v>
      </c>
      <c r="AG97">
        <v>0.2</v>
      </c>
      <c r="AI97">
        <v>6.7</v>
      </c>
      <c r="AK97">
        <v>1.7</v>
      </c>
      <c r="AL97">
        <v>3</v>
      </c>
      <c r="AM97">
        <v>4.7</v>
      </c>
      <c r="AO97">
        <v>0.4</v>
      </c>
      <c r="AR97">
        <v>1.1000000000000001</v>
      </c>
      <c r="AT97">
        <v>0.9</v>
      </c>
      <c r="AU97">
        <v>0.5</v>
      </c>
      <c r="AZ97">
        <v>0.7</v>
      </c>
      <c r="BA97">
        <v>0.6</v>
      </c>
      <c r="BB97">
        <v>1.2</v>
      </c>
      <c r="BD97">
        <v>16.7</v>
      </c>
      <c r="BH97">
        <v>2.9</v>
      </c>
      <c r="BJ97">
        <v>0.6</v>
      </c>
      <c r="BR97">
        <v>4</v>
      </c>
      <c r="BS97">
        <v>10.8</v>
      </c>
      <c r="CA97">
        <v>9.9</v>
      </c>
      <c r="CD97">
        <v>0.4</v>
      </c>
      <c r="CE97">
        <v>3.7</v>
      </c>
      <c r="CF97">
        <v>0.1</v>
      </c>
      <c r="CG97">
        <v>25</v>
      </c>
      <c r="CI97">
        <v>17</v>
      </c>
      <c r="CK97">
        <v>3.8</v>
      </c>
      <c r="CL97">
        <v>9.4</v>
      </c>
      <c r="CN97">
        <v>2.5</v>
      </c>
      <c r="CO97">
        <v>5.6</v>
      </c>
      <c r="CQ97">
        <v>17.399999999999999</v>
      </c>
      <c r="CR97">
        <v>0.4</v>
      </c>
      <c r="CT97">
        <v>0.1</v>
      </c>
      <c r="CW97">
        <v>14.4</v>
      </c>
      <c r="CZ97">
        <v>0.1</v>
      </c>
      <c r="DA97" s="2"/>
      <c r="DD97" s="1">
        <v>40996</v>
      </c>
      <c r="DE97" s="2">
        <f t="shared" si="23"/>
        <v>5.7895833333333329</v>
      </c>
      <c r="DF97" s="2">
        <f t="shared" si="22"/>
        <v>2.7245098039215683</v>
      </c>
      <c r="DG97" s="2">
        <f t="shared" si="24"/>
        <v>25</v>
      </c>
      <c r="DH97" s="2">
        <f t="shared" si="25"/>
        <v>0.1</v>
      </c>
      <c r="DI97" s="3">
        <f t="shared" si="26"/>
        <v>0.47058823529411764</v>
      </c>
      <c r="DK97" s="70"/>
      <c r="DL97" s="67"/>
      <c r="DM97" s="12" t="s">
        <v>28</v>
      </c>
      <c r="DN97" s="67"/>
      <c r="DO97" s="8">
        <v>1942</v>
      </c>
      <c r="DP97" s="8">
        <v>1950</v>
      </c>
      <c r="DQ97" s="67"/>
      <c r="DU97">
        <v>2006</v>
      </c>
      <c r="DV97" s="2">
        <v>143.4</v>
      </c>
      <c r="DW97" s="2">
        <v>147.9</v>
      </c>
      <c r="DX97" s="2">
        <v>104.6</v>
      </c>
      <c r="DY97" s="2">
        <v>18.7</v>
      </c>
      <c r="DZ97" s="2">
        <v>9.8000000000000007</v>
      </c>
      <c r="EA97" s="2">
        <v>54.6</v>
      </c>
      <c r="EB97" s="2">
        <v>11.9</v>
      </c>
      <c r="EC97" s="2">
        <v>9.5</v>
      </c>
      <c r="ED97" s="2">
        <v>118.4</v>
      </c>
      <c r="EE97" s="2">
        <v>128.30000000000001</v>
      </c>
      <c r="EF97" s="2">
        <v>74.3</v>
      </c>
      <c r="EG97" s="2">
        <v>29.3</v>
      </c>
      <c r="EI97">
        <v>850.69999999999982</v>
      </c>
      <c r="EJ97">
        <v>2006</v>
      </c>
      <c r="EL97">
        <v>2006</v>
      </c>
      <c r="EM97">
        <v>32.4</v>
      </c>
      <c r="EN97">
        <v>31.6</v>
      </c>
      <c r="EO97">
        <v>29.1</v>
      </c>
      <c r="EP97">
        <v>10.6</v>
      </c>
      <c r="EQ97">
        <v>7.8</v>
      </c>
      <c r="ER97">
        <v>30.9</v>
      </c>
      <c r="ES97">
        <v>1.4</v>
      </c>
      <c r="ET97">
        <v>8.5</v>
      </c>
      <c r="EU97">
        <v>47.6</v>
      </c>
      <c r="EV97">
        <v>39.700000000000003</v>
      </c>
      <c r="EW97">
        <v>18.8</v>
      </c>
      <c r="EX97">
        <v>21.1</v>
      </c>
      <c r="EZ97">
        <v>47.6</v>
      </c>
      <c r="FA97">
        <v>2006</v>
      </c>
      <c r="FE97">
        <v>2006</v>
      </c>
      <c r="FF97">
        <v>22</v>
      </c>
      <c r="FG97">
        <v>18</v>
      </c>
      <c r="FH97">
        <v>15</v>
      </c>
      <c r="FI97">
        <v>6</v>
      </c>
      <c r="FJ97">
        <v>5</v>
      </c>
      <c r="FK97">
        <v>5</v>
      </c>
      <c r="FL97">
        <v>2</v>
      </c>
      <c r="FM97">
        <v>4</v>
      </c>
      <c r="FN97">
        <v>13</v>
      </c>
      <c r="FO97">
        <v>12</v>
      </c>
      <c r="FP97">
        <v>9</v>
      </c>
      <c r="FQ97">
        <v>10</v>
      </c>
      <c r="FS97">
        <f t="shared" si="18"/>
        <v>121</v>
      </c>
      <c r="FT97">
        <v>2006</v>
      </c>
      <c r="FW97">
        <v>2006</v>
      </c>
      <c r="FX97">
        <v>2</v>
      </c>
      <c r="FY97">
        <v>9</v>
      </c>
      <c r="FZ97">
        <v>1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2</v>
      </c>
      <c r="GK97">
        <f t="shared" si="19"/>
        <v>14</v>
      </c>
    </row>
    <row r="98" spans="1:193">
      <c r="A98" s="17" t="s">
        <v>122</v>
      </c>
      <c r="D98">
        <v>2</v>
      </c>
      <c r="E98">
        <v>4.7</v>
      </c>
      <c r="F98">
        <v>0.2</v>
      </c>
      <c r="G98">
        <v>0.1</v>
      </c>
      <c r="I98">
        <v>27.3</v>
      </c>
      <c r="K98">
        <v>4.8</v>
      </c>
      <c r="M98">
        <v>5.6</v>
      </c>
      <c r="O98">
        <v>2.5</v>
      </c>
      <c r="S98">
        <v>3.5</v>
      </c>
      <c r="U98">
        <v>1.4</v>
      </c>
      <c r="V98">
        <v>5.5</v>
      </c>
      <c r="X98">
        <v>0.8</v>
      </c>
      <c r="AA98">
        <v>0.2</v>
      </c>
      <c r="AD98">
        <v>2.8</v>
      </c>
      <c r="AG98">
        <v>2.5</v>
      </c>
      <c r="AM98">
        <v>10.9</v>
      </c>
      <c r="AS98">
        <v>0.8</v>
      </c>
      <c r="AT98">
        <v>2.1</v>
      </c>
      <c r="AU98">
        <v>2</v>
      </c>
      <c r="AZ98">
        <v>0.3</v>
      </c>
      <c r="BA98">
        <v>9.1999999999999993</v>
      </c>
      <c r="BB98">
        <v>16.100000000000001</v>
      </c>
      <c r="BD98">
        <v>4.4000000000000004</v>
      </c>
      <c r="BH98">
        <v>8.6</v>
      </c>
      <c r="BI98">
        <v>18.600000000000001</v>
      </c>
      <c r="BL98">
        <v>1.7</v>
      </c>
      <c r="CA98">
        <v>0.8</v>
      </c>
      <c r="CD98">
        <v>1</v>
      </c>
      <c r="CE98">
        <v>5</v>
      </c>
      <c r="CF98">
        <v>3.5</v>
      </c>
      <c r="CG98">
        <v>1.8</v>
      </c>
      <c r="CH98">
        <v>19.5</v>
      </c>
      <c r="CI98">
        <v>18.5</v>
      </c>
      <c r="CJ98">
        <v>0.1</v>
      </c>
      <c r="CK98">
        <v>7</v>
      </c>
      <c r="CL98">
        <v>9</v>
      </c>
      <c r="CO98">
        <v>3.8</v>
      </c>
      <c r="CQ98">
        <v>0.4</v>
      </c>
      <c r="CR98">
        <v>0.2</v>
      </c>
      <c r="CV98">
        <v>0.1</v>
      </c>
      <c r="CW98">
        <v>9.5</v>
      </c>
      <c r="CX98">
        <v>5.6</v>
      </c>
      <c r="CZ98">
        <v>1</v>
      </c>
      <c r="DA98" s="2"/>
      <c r="DD98" s="1">
        <v>40997</v>
      </c>
      <c r="DE98" s="2">
        <f t="shared" si="23"/>
        <v>5.2418604651162788</v>
      </c>
      <c r="DF98" s="2">
        <f t="shared" si="22"/>
        <v>2.2098039215686271</v>
      </c>
      <c r="DG98" s="2">
        <f t="shared" si="24"/>
        <v>27.3</v>
      </c>
      <c r="DH98" s="2">
        <f t="shared" si="25"/>
        <v>0.1</v>
      </c>
      <c r="DI98" s="3">
        <f t="shared" si="26"/>
        <v>0.42156862745098039</v>
      </c>
      <c r="DU98">
        <v>2007</v>
      </c>
      <c r="DV98" s="2">
        <v>32.299999999999997</v>
      </c>
      <c r="DW98" s="2">
        <v>24.1</v>
      </c>
      <c r="DX98" s="2">
        <v>51.6</v>
      </c>
      <c r="DY98" s="2">
        <v>10.199999999999999</v>
      </c>
      <c r="DZ98" s="2">
        <v>35.5</v>
      </c>
      <c r="EA98" s="2">
        <v>25.1</v>
      </c>
      <c r="EB98" s="2">
        <v>61</v>
      </c>
      <c r="EC98" s="2">
        <v>7.7</v>
      </c>
      <c r="ED98" s="2">
        <v>21.9</v>
      </c>
      <c r="EE98" s="2">
        <v>136.4</v>
      </c>
      <c r="EF98" s="2">
        <v>138.80000000000001</v>
      </c>
      <c r="EG98" s="2">
        <v>79.8</v>
      </c>
      <c r="EI98">
        <v>624.39999999999986</v>
      </c>
      <c r="EJ98">
        <v>2007</v>
      </c>
      <c r="EL98">
        <v>2007</v>
      </c>
      <c r="EM98">
        <v>13.3</v>
      </c>
      <c r="EN98">
        <v>6.4</v>
      </c>
      <c r="EO98">
        <v>10.3</v>
      </c>
      <c r="EP98">
        <v>5.8</v>
      </c>
      <c r="EQ98">
        <v>13.3</v>
      </c>
      <c r="ER98">
        <v>13.5</v>
      </c>
      <c r="ES98">
        <v>9.1999999999999993</v>
      </c>
      <c r="ET98">
        <v>6.8</v>
      </c>
      <c r="EU98">
        <v>12.3</v>
      </c>
      <c r="EV98">
        <v>97</v>
      </c>
      <c r="EW98">
        <v>32</v>
      </c>
      <c r="EX98">
        <v>27.3</v>
      </c>
      <c r="EZ98">
        <v>97</v>
      </c>
      <c r="FA98">
        <v>2007</v>
      </c>
      <c r="FE98">
        <v>2007</v>
      </c>
      <c r="FF98">
        <v>10</v>
      </c>
      <c r="FG98">
        <v>15</v>
      </c>
      <c r="FH98">
        <v>21</v>
      </c>
      <c r="FI98">
        <v>9</v>
      </c>
      <c r="FJ98">
        <v>11</v>
      </c>
      <c r="FK98">
        <v>4</v>
      </c>
      <c r="FL98">
        <v>6</v>
      </c>
      <c r="FM98">
        <v>4</v>
      </c>
      <c r="FN98">
        <v>10</v>
      </c>
      <c r="FO98">
        <v>13</v>
      </c>
      <c r="FP98">
        <v>19</v>
      </c>
      <c r="FQ98">
        <v>17</v>
      </c>
      <c r="FS98">
        <f t="shared" si="18"/>
        <v>139</v>
      </c>
      <c r="FT98">
        <v>2007</v>
      </c>
      <c r="FW98">
        <v>2007</v>
      </c>
      <c r="FX98">
        <v>6</v>
      </c>
      <c r="FY98">
        <v>6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2</v>
      </c>
      <c r="GK98">
        <f t="shared" si="19"/>
        <v>14</v>
      </c>
    </row>
    <row r="99" spans="1:193">
      <c r="A99" s="17" t="s">
        <v>123</v>
      </c>
      <c r="C99">
        <v>5.5</v>
      </c>
      <c r="G99">
        <v>0.2</v>
      </c>
      <c r="J99">
        <v>7.2</v>
      </c>
      <c r="K99">
        <v>8.6</v>
      </c>
      <c r="L99">
        <v>0.2</v>
      </c>
      <c r="O99">
        <v>0.3</v>
      </c>
      <c r="P99">
        <v>3.7</v>
      </c>
      <c r="S99">
        <v>4.5999999999999996</v>
      </c>
      <c r="U99">
        <v>0.8</v>
      </c>
      <c r="AA99">
        <v>2.4</v>
      </c>
      <c r="AE99">
        <v>10.9</v>
      </c>
      <c r="AG99">
        <v>4.5</v>
      </c>
      <c r="AN99">
        <v>0.6</v>
      </c>
      <c r="AS99">
        <v>5</v>
      </c>
      <c r="AU99">
        <v>0.3</v>
      </c>
      <c r="BD99">
        <v>10.9</v>
      </c>
      <c r="BE99">
        <v>8</v>
      </c>
      <c r="BI99">
        <v>4.7</v>
      </c>
      <c r="BJ99">
        <v>16.8</v>
      </c>
      <c r="BQ99">
        <v>2</v>
      </c>
      <c r="BX99">
        <v>3.8</v>
      </c>
      <c r="BY99">
        <v>0.1</v>
      </c>
      <c r="CD99">
        <v>0.1</v>
      </c>
      <c r="CE99">
        <v>0.2</v>
      </c>
      <c r="CF99" t="s">
        <v>1</v>
      </c>
      <c r="CH99">
        <v>14.6</v>
      </c>
      <c r="CI99">
        <v>2.2999999999999998</v>
      </c>
      <c r="CJ99">
        <v>4.5</v>
      </c>
      <c r="CK99">
        <v>1.5</v>
      </c>
      <c r="CL99">
        <v>1</v>
      </c>
      <c r="CO99">
        <v>2.2000000000000002</v>
      </c>
      <c r="CS99">
        <v>11</v>
      </c>
      <c r="CT99">
        <v>0.3</v>
      </c>
      <c r="CU99">
        <v>0.3</v>
      </c>
      <c r="CY99">
        <v>15.5</v>
      </c>
      <c r="DA99" s="2"/>
      <c r="DD99" s="1">
        <v>40998</v>
      </c>
      <c r="DE99" s="2">
        <f t="shared" si="23"/>
        <v>4.5470588235294125</v>
      </c>
      <c r="DF99" s="2">
        <f t="shared" si="22"/>
        <v>1.5156862745098041</v>
      </c>
      <c r="DG99" s="2">
        <f t="shared" si="24"/>
        <v>16.8</v>
      </c>
      <c r="DH99" s="2">
        <f t="shared" si="25"/>
        <v>0.1</v>
      </c>
      <c r="DI99" s="3">
        <f t="shared" si="26"/>
        <v>0.34313725490196079</v>
      </c>
      <c r="DU99">
        <v>2008</v>
      </c>
      <c r="DV99" s="2">
        <v>51.2</v>
      </c>
      <c r="DW99" s="2">
        <v>80.599999999999994</v>
      </c>
      <c r="DX99" s="2">
        <v>82</v>
      </c>
      <c r="DY99" s="2">
        <v>19.100000000000001</v>
      </c>
      <c r="DZ99" s="2">
        <v>14.7</v>
      </c>
      <c r="EA99" s="2">
        <v>6.7</v>
      </c>
      <c r="EB99" s="2">
        <v>37.4</v>
      </c>
      <c r="EC99" s="2">
        <v>32.299999999999997</v>
      </c>
      <c r="ED99" s="2">
        <v>107.2</v>
      </c>
      <c r="EE99" s="2">
        <v>225.4</v>
      </c>
      <c r="EF99" s="2">
        <v>100.4</v>
      </c>
      <c r="EG99" s="2">
        <v>118.6</v>
      </c>
      <c r="EI99">
        <v>875.6</v>
      </c>
      <c r="EJ99">
        <v>2008</v>
      </c>
      <c r="EL99">
        <v>2008</v>
      </c>
      <c r="EM99">
        <v>8.4</v>
      </c>
      <c r="EN99">
        <v>29.6</v>
      </c>
      <c r="EO99">
        <v>25.2</v>
      </c>
      <c r="EP99">
        <v>4.9000000000000004</v>
      </c>
      <c r="EQ99">
        <v>10.5</v>
      </c>
      <c r="ER99">
        <v>5.7</v>
      </c>
      <c r="ES99">
        <v>37.299999999999997</v>
      </c>
      <c r="ET99">
        <v>32.299999999999997</v>
      </c>
      <c r="EU99">
        <v>37.9</v>
      </c>
      <c r="EV99">
        <v>110</v>
      </c>
      <c r="EW99">
        <v>24.1</v>
      </c>
      <c r="EX99">
        <v>23.9</v>
      </c>
      <c r="EZ99">
        <v>110</v>
      </c>
      <c r="FA99">
        <v>2008</v>
      </c>
      <c r="FE99">
        <v>2008</v>
      </c>
      <c r="FF99">
        <v>16</v>
      </c>
      <c r="FG99">
        <v>12</v>
      </c>
      <c r="FH99">
        <v>12</v>
      </c>
      <c r="FI99">
        <v>11</v>
      </c>
      <c r="FJ99">
        <v>7</v>
      </c>
      <c r="FK99">
        <v>6</v>
      </c>
      <c r="FL99">
        <v>5</v>
      </c>
      <c r="FM99">
        <v>1</v>
      </c>
      <c r="FN99">
        <v>12</v>
      </c>
      <c r="FO99">
        <v>13</v>
      </c>
      <c r="FP99">
        <v>12</v>
      </c>
      <c r="FQ99">
        <v>20</v>
      </c>
      <c r="FS99">
        <f t="shared" si="18"/>
        <v>127</v>
      </c>
      <c r="FT99">
        <v>2008</v>
      </c>
      <c r="FW99">
        <v>2008</v>
      </c>
      <c r="FX99">
        <v>1</v>
      </c>
      <c r="FY99">
        <v>5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5</v>
      </c>
      <c r="GK99">
        <f t="shared" si="19"/>
        <v>11</v>
      </c>
    </row>
    <row r="100" spans="1:193">
      <c r="A100" s="17" t="s">
        <v>124</v>
      </c>
      <c r="E100">
        <v>0.7</v>
      </c>
      <c r="O100">
        <v>1.4</v>
      </c>
      <c r="P100">
        <v>14.2</v>
      </c>
      <c r="U100">
        <v>1.8</v>
      </c>
      <c r="V100">
        <v>0.6</v>
      </c>
      <c r="Y100">
        <v>0.3</v>
      </c>
      <c r="Z100">
        <v>3.1</v>
      </c>
      <c r="AG100">
        <v>7.6</v>
      </c>
      <c r="AI100">
        <v>0.1</v>
      </c>
      <c r="AN100">
        <v>2.2000000000000002</v>
      </c>
      <c r="AW100">
        <v>10</v>
      </c>
      <c r="BB100">
        <v>0.9</v>
      </c>
      <c r="BD100">
        <v>4.7</v>
      </c>
      <c r="BE100">
        <v>8.8000000000000007</v>
      </c>
      <c r="BJ100">
        <v>0.9</v>
      </c>
      <c r="BL100">
        <v>0.1</v>
      </c>
      <c r="BQ100">
        <v>0.2</v>
      </c>
      <c r="BS100">
        <v>0.1</v>
      </c>
      <c r="BT100">
        <v>0.1</v>
      </c>
      <c r="BV100">
        <v>1.4</v>
      </c>
      <c r="BW100">
        <v>2.6</v>
      </c>
      <c r="BX100">
        <v>8</v>
      </c>
      <c r="CD100">
        <v>1.3</v>
      </c>
      <c r="CF100">
        <v>1.5</v>
      </c>
      <c r="CH100">
        <v>1.8</v>
      </c>
      <c r="CI100">
        <v>9.1999999999999993</v>
      </c>
      <c r="CJ100">
        <v>1</v>
      </c>
      <c r="CL100">
        <v>6.5</v>
      </c>
      <c r="CO100">
        <v>0.5</v>
      </c>
      <c r="CT100">
        <v>7.6</v>
      </c>
      <c r="CU100">
        <v>0.1</v>
      </c>
      <c r="CX100">
        <v>0.5</v>
      </c>
      <c r="DA100" s="2"/>
      <c r="DD100" s="1">
        <v>40999</v>
      </c>
      <c r="DE100" s="2">
        <f t="shared" si="23"/>
        <v>3.1187499999999999</v>
      </c>
      <c r="DF100" s="2">
        <f t="shared" si="22"/>
        <v>0.97843137254901957</v>
      </c>
      <c r="DG100" s="2">
        <f t="shared" si="24"/>
        <v>14.2</v>
      </c>
      <c r="DH100" s="2">
        <f t="shared" si="25"/>
        <v>0.1</v>
      </c>
      <c r="DI100" s="3">
        <f t="shared" si="26"/>
        <v>0.31372549019607843</v>
      </c>
      <c r="DU100">
        <v>2009</v>
      </c>
      <c r="DV100" s="2">
        <v>93.2</v>
      </c>
      <c r="DW100" s="2">
        <v>194.5</v>
      </c>
      <c r="DX100" s="2">
        <v>123.8</v>
      </c>
      <c r="DY100" s="2">
        <v>27</v>
      </c>
      <c r="DZ100" s="2">
        <v>10.1</v>
      </c>
      <c r="EA100" s="2">
        <v>5.5</v>
      </c>
      <c r="EB100" s="2">
        <v>85.7</v>
      </c>
      <c r="EC100" s="2">
        <v>6.4</v>
      </c>
      <c r="ED100" s="2">
        <v>62.2</v>
      </c>
      <c r="EE100" s="2">
        <v>112.2</v>
      </c>
      <c r="EF100" s="2">
        <v>76</v>
      </c>
      <c r="EG100" s="2">
        <v>182.5</v>
      </c>
      <c r="EI100">
        <v>979.10000000000014</v>
      </c>
      <c r="EJ100">
        <v>2009</v>
      </c>
      <c r="EL100">
        <v>2009</v>
      </c>
      <c r="EM100">
        <v>20.399999999999999</v>
      </c>
      <c r="EN100">
        <v>30.3</v>
      </c>
      <c r="EO100">
        <v>25.8</v>
      </c>
      <c r="EP100">
        <v>9.8000000000000007</v>
      </c>
      <c r="EQ100">
        <v>8.5</v>
      </c>
      <c r="ER100">
        <v>3.7</v>
      </c>
      <c r="ES100">
        <v>19.8</v>
      </c>
      <c r="ET100">
        <v>1.8</v>
      </c>
      <c r="EU100">
        <v>28.6</v>
      </c>
      <c r="EV100">
        <v>57.5</v>
      </c>
      <c r="EW100">
        <v>13.7</v>
      </c>
      <c r="EX100">
        <v>40.6</v>
      </c>
      <c r="EZ100">
        <v>57.5</v>
      </c>
      <c r="FA100">
        <v>2009</v>
      </c>
      <c r="FE100">
        <v>2009</v>
      </c>
      <c r="FF100">
        <v>19</v>
      </c>
      <c r="FG100">
        <v>22</v>
      </c>
      <c r="FH100">
        <v>22</v>
      </c>
      <c r="FI100">
        <v>12</v>
      </c>
      <c r="FJ100">
        <v>4</v>
      </c>
      <c r="FK100">
        <v>4</v>
      </c>
      <c r="FL100">
        <v>8</v>
      </c>
      <c r="FM100">
        <v>5</v>
      </c>
      <c r="FN100">
        <v>11</v>
      </c>
      <c r="FO100">
        <v>12</v>
      </c>
      <c r="FP100">
        <v>12</v>
      </c>
      <c r="FQ100">
        <v>19</v>
      </c>
      <c r="FS100">
        <f t="shared" si="18"/>
        <v>150</v>
      </c>
      <c r="FT100">
        <v>2009</v>
      </c>
      <c r="FW100">
        <v>2009</v>
      </c>
      <c r="FX100">
        <v>10</v>
      </c>
      <c r="FY100">
        <v>4</v>
      </c>
      <c r="FZ100">
        <v>1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K100">
        <f t="shared" si="19"/>
        <v>15</v>
      </c>
    </row>
    <row r="101" spans="1:193">
      <c r="A101" s="17"/>
      <c r="B101">
        <v>1911</v>
      </c>
      <c r="C101">
        <v>1912</v>
      </c>
      <c r="D101">
        <v>1913</v>
      </c>
      <c r="E101">
        <v>1914</v>
      </c>
      <c r="F101">
        <v>1915</v>
      </c>
      <c r="G101">
        <v>1916</v>
      </c>
      <c r="H101">
        <v>1917</v>
      </c>
      <c r="I101">
        <v>1918</v>
      </c>
      <c r="J101">
        <v>1919</v>
      </c>
      <c r="K101">
        <v>1920</v>
      </c>
      <c r="L101">
        <v>1921</v>
      </c>
      <c r="M101">
        <v>1922</v>
      </c>
      <c r="N101">
        <v>1923</v>
      </c>
      <c r="O101">
        <v>1924</v>
      </c>
      <c r="P101">
        <v>1925</v>
      </c>
      <c r="Q101">
        <v>1926</v>
      </c>
      <c r="R101">
        <v>1927</v>
      </c>
      <c r="S101">
        <v>1928</v>
      </c>
      <c r="T101">
        <v>1929</v>
      </c>
      <c r="U101">
        <v>1930</v>
      </c>
      <c r="V101">
        <v>1931</v>
      </c>
      <c r="W101">
        <v>1932</v>
      </c>
      <c r="X101">
        <v>1933</v>
      </c>
      <c r="Y101">
        <v>1934</v>
      </c>
      <c r="Z101">
        <v>1935</v>
      </c>
      <c r="AA101">
        <v>1936</v>
      </c>
      <c r="AB101">
        <v>1937</v>
      </c>
      <c r="AC101">
        <v>1938</v>
      </c>
      <c r="AD101">
        <v>1939</v>
      </c>
      <c r="AE101">
        <v>1940</v>
      </c>
      <c r="AF101">
        <v>1941</v>
      </c>
      <c r="AG101">
        <v>1942</v>
      </c>
      <c r="AH101">
        <v>1943</v>
      </c>
      <c r="AI101">
        <v>1944</v>
      </c>
      <c r="AJ101">
        <v>1945</v>
      </c>
      <c r="AK101">
        <v>1946</v>
      </c>
      <c r="AL101">
        <v>1947</v>
      </c>
      <c r="AM101">
        <v>1948</v>
      </c>
      <c r="AN101">
        <v>1949</v>
      </c>
      <c r="AO101">
        <v>1950</v>
      </c>
      <c r="AP101">
        <v>1951</v>
      </c>
      <c r="AQ101">
        <v>1952</v>
      </c>
      <c r="AR101">
        <v>1953</v>
      </c>
      <c r="AS101">
        <v>1954</v>
      </c>
      <c r="AT101">
        <v>1955</v>
      </c>
      <c r="AU101">
        <v>1956</v>
      </c>
      <c r="AV101">
        <v>1957</v>
      </c>
      <c r="AW101">
        <v>1958</v>
      </c>
      <c r="AX101">
        <v>1959</v>
      </c>
      <c r="AY101">
        <v>1960</v>
      </c>
      <c r="AZ101">
        <v>1961</v>
      </c>
      <c r="BA101">
        <v>1962</v>
      </c>
      <c r="BB101">
        <v>1963</v>
      </c>
      <c r="BC101">
        <v>1964</v>
      </c>
      <c r="BD101">
        <v>1965</v>
      </c>
      <c r="BE101">
        <v>1966</v>
      </c>
      <c r="BF101">
        <v>1967</v>
      </c>
      <c r="BG101">
        <v>1968</v>
      </c>
      <c r="BH101">
        <v>1969</v>
      </c>
      <c r="BI101">
        <v>1970</v>
      </c>
      <c r="BJ101">
        <v>1971</v>
      </c>
      <c r="BK101">
        <v>1972</v>
      </c>
      <c r="BL101">
        <v>1973</v>
      </c>
      <c r="BM101">
        <v>1974</v>
      </c>
      <c r="BN101">
        <v>1975</v>
      </c>
      <c r="BO101">
        <v>1976</v>
      </c>
      <c r="BP101">
        <v>1977</v>
      </c>
      <c r="BQ101">
        <v>1978</v>
      </c>
      <c r="BR101">
        <v>1979</v>
      </c>
      <c r="BS101">
        <v>1980</v>
      </c>
      <c r="BT101">
        <v>1981</v>
      </c>
      <c r="BU101">
        <v>1982</v>
      </c>
      <c r="BV101">
        <v>1983</v>
      </c>
      <c r="BW101">
        <v>1984</v>
      </c>
      <c r="BX101">
        <v>1985</v>
      </c>
      <c r="BY101">
        <v>1986</v>
      </c>
      <c r="BZ101">
        <v>1987</v>
      </c>
      <c r="CA101">
        <v>1988</v>
      </c>
      <c r="CB101">
        <v>1989</v>
      </c>
      <c r="CC101">
        <v>1990</v>
      </c>
      <c r="CD101">
        <v>1991</v>
      </c>
      <c r="CE101">
        <v>1992</v>
      </c>
      <c r="CF101">
        <v>1993</v>
      </c>
      <c r="CG101">
        <v>1994</v>
      </c>
      <c r="CH101">
        <v>1995</v>
      </c>
      <c r="CI101">
        <v>1996</v>
      </c>
      <c r="CJ101">
        <v>1997</v>
      </c>
      <c r="CK101">
        <v>1998</v>
      </c>
      <c r="CL101">
        <v>1999</v>
      </c>
      <c r="CM101">
        <v>2000</v>
      </c>
      <c r="CN101">
        <v>2001</v>
      </c>
      <c r="CO101">
        <v>2002</v>
      </c>
      <c r="CP101">
        <v>2003</v>
      </c>
      <c r="CQ101">
        <v>2004</v>
      </c>
      <c r="CR101">
        <v>2005</v>
      </c>
      <c r="CS101">
        <v>2006</v>
      </c>
      <c r="CT101">
        <v>2007</v>
      </c>
      <c r="CU101">
        <v>2008</v>
      </c>
      <c r="CV101">
        <v>2009</v>
      </c>
      <c r="CW101">
        <v>2010</v>
      </c>
      <c r="CX101">
        <v>2011</v>
      </c>
      <c r="CY101">
        <v>2012</v>
      </c>
      <c r="CZ101">
        <v>2013</v>
      </c>
      <c r="DA101" s="2"/>
      <c r="DD101" s="1"/>
      <c r="DU101">
        <v>2010</v>
      </c>
      <c r="DV101" s="2">
        <v>185.1</v>
      </c>
      <c r="DW101" s="2">
        <v>105.4</v>
      </c>
      <c r="DX101" s="2">
        <v>69.5</v>
      </c>
      <c r="DY101" s="2">
        <v>34.299999999999997</v>
      </c>
      <c r="DZ101" s="2">
        <v>25.3</v>
      </c>
      <c r="EA101" s="2">
        <v>179.5</v>
      </c>
      <c r="EB101" s="2">
        <v>13.8</v>
      </c>
      <c r="EC101" s="2">
        <v>6.3</v>
      </c>
      <c r="ED101" s="2">
        <v>59.5</v>
      </c>
      <c r="EE101" s="2">
        <v>301.10000000000002</v>
      </c>
      <c r="EF101" s="2">
        <v>9</v>
      </c>
      <c r="EG101" s="2">
        <v>131.5</v>
      </c>
      <c r="EI101">
        <v>1120.3</v>
      </c>
      <c r="EJ101">
        <v>2010</v>
      </c>
      <c r="EL101">
        <v>2010</v>
      </c>
      <c r="EM101">
        <v>48.5</v>
      </c>
      <c r="EN101">
        <v>39.299999999999997</v>
      </c>
      <c r="EO101">
        <v>14.4</v>
      </c>
      <c r="EP101">
        <v>13.6</v>
      </c>
      <c r="EQ101">
        <v>22</v>
      </c>
      <c r="ER101">
        <v>46</v>
      </c>
      <c r="ES101">
        <v>26.6</v>
      </c>
      <c r="ET101">
        <v>6</v>
      </c>
      <c r="EU101">
        <v>30.9</v>
      </c>
      <c r="EV101">
        <v>91.2</v>
      </c>
      <c r="EW101">
        <v>5.6</v>
      </c>
      <c r="EX101">
        <v>28.5</v>
      </c>
      <c r="EZ101">
        <v>91.2</v>
      </c>
      <c r="FA101">
        <v>2010</v>
      </c>
      <c r="FE101">
        <v>2010</v>
      </c>
      <c r="FF101">
        <v>25</v>
      </c>
      <c r="FG101">
        <v>18</v>
      </c>
      <c r="FH101">
        <v>13</v>
      </c>
      <c r="FI101">
        <v>9</v>
      </c>
      <c r="FJ101">
        <v>10</v>
      </c>
      <c r="FK101">
        <v>11</v>
      </c>
      <c r="FL101">
        <v>4</v>
      </c>
      <c r="FM101">
        <v>4</v>
      </c>
      <c r="FN101">
        <v>9</v>
      </c>
      <c r="FO101">
        <v>25</v>
      </c>
      <c r="FP101">
        <v>11</v>
      </c>
      <c r="FQ101">
        <v>15</v>
      </c>
      <c r="FS101">
        <f t="shared" si="18"/>
        <v>154</v>
      </c>
      <c r="FT101">
        <v>2010</v>
      </c>
      <c r="FW101">
        <v>2010</v>
      </c>
      <c r="FX101">
        <v>3</v>
      </c>
      <c r="FY101">
        <v>4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K101">
        <f t="shared" si="19"/>
        <v>7</v>
      </c>
    </row>
    <row r="102" spans="1:193">
      <c r="A102" s="17" t="s">
        <v>30</v>
      </c>
      <c r="C102">
        <f>SUM(C70:C100)</f>
        <v>49.499999999999993</v>
      </c>
      <c r="D102">
        <f t="shared" ref="D102:BO102" si="27">SUM(D70:D100)</f>
        <v>32</v>
      </c>
      <c r="E102">
        <f t="shared" si="27"/>
        <v>51.2</v>
      </c>
      <c r="F102">
        <f t="shared" si="27"/>
        <v>75.600000000000009</v>
      </c>
      <c r="G102">
        <f t="shared" si="27"/>
        <v>47.6</v>
      </c>
      <c r="H102">
        <f t="shared" si="27"/>
        <v>54.100000000000009</v>
      </c>
      <c r="I102">
        <f t="shared" si="27"/>
        <v>63.2</v>
      </c>
      <c r="J102">
        <f t="shared" si="27"/>
        <v>46.600000000000009</v>
      </c>
      <c r="K102">
        <f t="shared" si="27"/>
        <v>42.800000000000004</v>
      </c>
      <c r="L102">
        <f t="shared" si="27"/>
        <v>18.7</v>
      </c>
      <c r="M102">
        <f t="shared" si="27"/>
        <v>30.900000000000006</v>
      </c>
      <c r="N102">
        <f t="shared" si="27"/>
        <v>26.100000000000005</v>
      </c>
      <c r="O102">
        <f t="shared" si="27"/>
        <v>22.8</v>
      </c>
      <c r="P102">
        <f t="shared" si="27"/>
        <v>96.9</v>
      </c>
      <c r="Q102">
        <f t="shared" si="27"/>
        <v>76.199999999999989</v>
      </c>
      <c r="R102">
        <f t="shared" si="27"/>
        <v>10.799999999999999</v>
      </c>
      <c r="S102">
        <f t="shared" si="27"/>
        <v>23.299999999999997</v>
      </c>
      <c r="T102">
        <f t="shared" si="27"/>
        <v>106.8</v>
      </c>
      <c r="U102">
        <f t="shared" si="27"/>
        <v>78.5</v>
      </c>
      <c r="V102">
        <f t="shared" si="27"/>
        <v>65.399999999999991</v>
      </c>
      <c r="W102">
        <f t="shared" si="27"/>
        <v>46.8</v>
      </c>
      <c r="X102">
        <f t="shared" si="27"/>
        <v>22.3</v>
      </c>
      <c r="Y102">
        <f t="shared" si="27"/>
        <v>22.1</v>
      </c>
      <c r="Z102">
        <f t="shared" si="27"/>
        <v>40.500000000000007</v>
      </c>
      <c r="AA102">
        <f t="shared" si="27"/>
        <v>23.699999999999996</v>
      </c>
      <c r="AB102">
        <f t="shared" si="27"/>
        <v>12.500000000000002</v>
      </c>
      <c r="AC102">
        <f t="shared" si="27"/>
        <v>75.3</v>
      </c>
      <c r="AD102">
        <f t="shared" si="27"/>
        <v>148</v>
      </c>
      <c r="AE102">
        <f t="shared" si="27"/>
        <v>153.00000000000003</v>
      </c>
      <c r="AF102">
        <f t="shared" si="27"/>
        <v>29.3</v>
      </c>
      <c r="AG102">
        <f t="shared" si="27"/>
        <v>37.199999999999996</v>
      </c>
      <c r="AH102">
        <f t="shared" si="27"/>
        <v>26.2</v>
      </c>
      <c r="AI102">
        <f t="shared" si="27"/>
        <v>136.39999999999998</v>
      </c>
      <c r="AJ102">
        <f t="shared" si="27"/>
        <v>67.900000000000006</v>
      </c>
      <c r="AK102">
        <f t="shared" si="27"/>
        <v>52.500000000000007</v>
      </c>
      <c r="AL102">
        <f t="shared" si="27"/>
        <v>59.600000000000009</v>
      </c>
      <c r="AM102">
        <f t="shared" si="27"/>
        <v>68.800000000000011</v>
      </c>
      <c r="AN102">
        <f t="shared" si="27"/>
        <v>90.399999999999991</v>
      </c>
      <c r="AO102">
        <f t="shared" si="27"/>
        <v>127.5</v>
      </c>
      <c r="AP102">
        <f t="shared" si="27"/>
        <v>69.8</v>
      </c>
      <c r="AQ102">
        <f t="shared" si="27"/>
        <v>66.899999999999991</v>
      </c>
      <c r="AR102">
        <f t="shared" si="27"/>
        <v>113.4</v>
      </c>
      <c r="AS102">
        <f t="shared" si="27"/>
        <v>43</v>
      </c>
      <c r="AT102">
        <f t="shared" si="27"/>
        <v>80.2</v>
      </c>
      <c r="AU102">
        <f t="shared" si="27"/>
        <v>125.79999999999998</v>
      </c>
      <c r="AV102">
        <f t="shared" si="27"/>
        <v>52.399999999999991</v>
      </c>
      <c r="AW102">
        <f t="shared" si="27"/>
        <v>188.9</v>
      </c>
      <c r="AX102">
        <f t="shared" si="27"/>
        <v>55.5</v>
      </c>
      <c r="AY102">
        <f t="shared" si="27"/>
        <v>62.8</v>
      </c>
      <c r="AZ102">
        <f t="shared" si="27"/>
        <v>54</v>
      </c>
      <c r="BA102">
        <f t="shared" si="27"/>
        <v>162.29999999999998</v>
      </c>
      <c r="BB102">
        <f t="shared" si="27"/>
        <v>120.40000000000003</v>
      </c>
      <c r="BC102">
        <f t="shared" si="27"/>
        <v>45.4</v>
      </c>
      <c r="BD102">
        <f t="shared" si="27"/>
        <v>81.40000000000002</v>
      </c>
      <c r="BE102">
        <f t="shared" si="27"/>
        <v>130.6</v>
      </c>
      <c r="BF102">
        <f t="shared" si="27"/>
        <v>67.399999999999991</v>
      </c>
      <c r="BG102">
        <f t="shared" si="27"/>
        <v>68.599999999999994</v>
      </c>
      <c r="BH102">
        <f t="shared" si="27"/>
        <v>66.699999999999989</v>
      </c>
      <c r="BI102">
        <f t="shared" si="27"/>
        <v>75</v>
      </c>
      <c r="BJ102">
        <f t="shared" si="27"/>
        <v>169.2</v>
      </c>
      <c r="BK102">
        <f t="shared" si="27"/>
        <v>20.100000000000001</v>
      </c>
      <c r="BL102">
        <f t="shared" si="27"/>
        <v>62.800000000000004</v>
      </c>
      <c r="BM102">
        <f t="shared" si="27"/>
        <v>64.8</v>
      </c>
      <c r="BN102">
        <f t="shared" si="27"/>
        <v>90.4</v>
      </c>
      <c r="BO102">
        <f t="shared" si="27"/>
        <v>25.800000000000004</v>
      </c>
      <c r="BP102">
        <f t="shared" ref="BP102:CZ102" si="28">SUM(BP70:BP100)</f>
        <v>75.3</v>
      </c>
      <c r="BQ102">
        <f t="shared" si="28"/>
        <v>65.400000000000006</v>
      </c>
      <c r="BR102">
        <f t="shared" si="28"/>
        <v>14.099999999999998</v>
      </c>
      <c r="BS102">
        <f t="shared" si="28"/>
        <v>124.5</v>
      </c>
      <c r="BT102">
        <f t="shared" si="28"/>
        <v>66.3</v>
      </c>
      <c r="BU102">
        <f t="shared" si="28"/>
        <v>40.900000000000013</v>
      </c>
      <c r="BV102">
        <f t="shared" si="28"/>
        <v>14.7</v>
      </c>
      <c r="BW102">
        <f t="shared" si="28"/>
        <v>93</v>
      </c>
      <c r="BX102">
        <f t="shared" si="28"/>
        <v>38.700000000000003</v>
      </c>
      <c r="BY102">
        <f t="shared" si="28"/>
        <v>22.500000000000007</v>
      </c>
      <c r="BZ102">
        <f t="shared" si="28"/>
        <v>160.9</v>
      </c>
      <c r="CA102">
        <f t="shared" si="28"/>
        <v>52.3</v>
      </c>
      <c r="CB102">
        <f t="shared" si="28"/>
        <v>30.100000000000005</v>
      </c>
      <c r="CC102">
        <f t="shared" si="28"/>
        <v>9.9</v>
      </c>
      <c r="CD102">
        <f t="shared" si="28"/>
        <v>41.3</v>
      </c>
      <c r="CE102">
        <f t="shared" si="28"/>
        <v>128.59999999999997</v>
      </c>
      <c r="CF102">
        <f t="shared" si="28"/>
        <v>40.400000000000006</v>
      </c>
      <c r="CG102">
        <f t="shared" si="28"/>
        <v>29.900000000000002</v>
      </c>
      <c r="CH102">
        <f t="shared" si="28"/>
        <v>87.09999999999998</v>
      </c>
      <c r="CI102">
        <f t="shared" si="28"/>
        <v>104.69999999999999</v>
      </c>
      <c r="CJ102">
        <f t="shared" si="28"/>
        <v>74.499999999999986</v>
      </c>
      <c r="CK102">
        <f t="shared" si="28"/>
        <v>145.10000000000002</v>
      </c>
      <c r="CL102">
        <f t="shared" si="28"/>
        <v>72</v>
      </c>
      <c r="CM102">
        <f t="shared" si="28"/>
        <v>86.3</v>
      </c>
      <c r="CN102">
        <f t="shared" si="28"/>
        <v>45.099999999999994</v>
      </c>
      <c r="CO102">
        <f t="shared" si="28"/>
        <v>69.7</v>
      </c>
      <c r="CP102">
        <f t="shared" si="28"/>
        <v>47.20000000000001</v>
      </c>
      <c r="CQ102">
        <f t="shared" si="28"/>
        <v>71.399999999999991</v>
      </c>
      <c r="CR102">
        <f t="shared" si="28"/>
        <v>63.4</v>
      </c>
      <c r="CS102">
        <f t="shared" si="28"/>
        <v>104.6</v>
      </c>
      <c r="CT102">
        <f t="shared" si="28"/>
        <v>51.6</v>
      </c>
      <c r="CU102">
        <f t="shared" si="28"/>
        <v>81.999999999999986</v>
      </c>
      <c r="CV102">
        <f t="shared" si="28"/>
        <v>123.79999999999998</v>
      </c>
      <c r="CW102">
        <f t="shared" si="28"/>
        <v>69.5</v>
      </c>
      <c r="CX102">
        <f t="shared" si="28"/>
        <v>47.20000000000001</v>
      </c>
      <c r="CY102">
        <f t="shared" si="28"/>
        <v>52.300000000000004</v>
      </c>
      <c r="CZ102">
        <f t="shared" si="28"/>
        <v>69.699999999999989</v>
      </c>
      <c r="DA102" s="2"/>
      <c r="DD102" s="1"/>
      <c r="DU102">
        <v>2011</v>
      </c>
      <c r="DV102" s="2">
        <v>81.5</v>
      </c>
      <c r="DW102" s="2">
        <v>42.600000000000009</v>
      </c>
      <c r="DX102" s="2">
        <v>47.20000000000001</v>
      </c>
      <c r="DY102" s="2">
        <v>91.8</v>
      </c>
      <c r="DZ102" s="2">
        <v>23.600000000000005</v>
      </c>
      <c r="EA102" s="2">
        <v>21.7</v>
      </c>
      <c r="EB102" s="2">
        <v>1.2</v>
      </c>
      <c r="EC102" s="2">
        <v>14</v>
      </c>
      <c r="ED102" s="2">
        <v>27.3</v>
      </c>
      <c r="EE102" s="2">
        <v>108</v>
      </c>
      <c r="EF102" s="2">
        <v>27.9</v>
      </c>
      <c r="EG102" s="2">
        <v>116</v>
      </c>
      <c r="EI102">
        <v>602.79999999999995</v>
      </c>
      <c r="EJ102">
        <v>2011</v>
      </c>
      <c r="EL102">
        <v>2011</v>
      </c>
      <c r="EM102">
        <v>17.399999999999999</v>
      </c>
      <c r="EN102">
        <v>9</v>
      </c>
      <c r="EO102">
        <v>8.6999999999999993</v>
      </c>
      <c r="EP102">
        <v>23.2</v>
      </c>
      <c r="EQ102">
        <v>9.9</v>
      </c>
      <c r="ER102">
        <v>9.1</v>
      </c>
      <c r="ES102">
        <v>13</v>
      </c>
      <c r="ET102">
        <v>13.3</v>
      </c>
      <c r="EU102">
        <v>9.8000000000000007</v>
      </c>
      <c r="EV102">
        <v>28</v>
      </c>
      <c r="EW102">
        <v>6.1</v>
      </c>
      <c r="EX102">
        <v>36.6</v>
      </c>
      <c r="EZ102">
        <v>36.6</v>
      </c>
      <c r="FA102">
        <v>2011</v>
      </c>
      <c r="FE102">
        <v>2011</v>
      </c>
      <c r="FF102">
        <v>17</v>
      </c>
      <c r="FG102">
        <v>12</v>
      </c>
      <c r="FH102">
        <v>16</v>
      </c>
      <c r="FI102">
        <v>17</v>
      </c>
      <c r="FJ102">
        <v>11</v>
      </c>
      <c r="FK102">
        <v>9</v>
      </c>
      <c r="FL102">
        <v>2</v>
      </c>
      <c r="FM102">
        <v>3</v>
      </c>
      <c r="FN102">
        <v>3</v>
      </c>
      <c r="FO102">
        <v>13</v>
      </c>
      <c r="FP102">
        <v>15</v>
      </c>
      <c r="FQ102">
        <v>14</v>
      </c>
      <c r="FS102">
        <f t="shared" si="18"/>
        <v>132</v>
      </c>
      <c r="FT102">
        <v>2011</v>
      </c>
      <c r="FW102">
        <v>2011</v>
      </c>
      <c r="FX102">
        <v>11</v>
      </c>
      <c r="FY102">
        <v>0</v>
      </c>
      <c r="FZ102">
        <v>4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K102">
        <f t="shared" si="19"/>
        <v>15</v>
      </c>
    </row>
    <row r="103" spans="1:193">
      <c r="A103" s="17" t="s">
        <v>4</v>
      </c>
      <c r="C103">
        <f>MAX(C70:C100)</f>
        <v>7.2</v>
      </c>
      <c r="D103">
        <f t="shared" ref="D103:BO103" si="29">MAX(D70:D100)</f>
        <v>19.7</v>
      </c>
      <c r="E103">
        <f t="shared" si="29"/>
        <v>14.4</v>
      </c>
      <c r="F103">
        <f t="shared" si="29"/>
        <v>16.5</v>
      </c>
      <c r="G103">
        <f t="shared" si="29"/>
        <v>17.5</v>
      </c>
      <c r="H103">
        <f t="shared" si="29"/>
        <v>32.1</v>
      </c>
      <c r="I103">
        <f t="shared" si="29"/>
        <v>27.3</v>
      </c>
      <c r="J103">
        <f t="shared" si="29"/>
        <v>12.4</v>
      </c>
      <c r="K103">
        <f t="shared" si="29"/>
        <v>11.2</v>
      </c>
      <c r="L103">
        <f t="shared" si="29"/>
        <v>6.1</v>
      </c>
      <c r="M103">
        <f t="shared" si="29"/>
        <v>18.600000000000001</v>
      </c>
      <c r="N103">
        <f t="shared" si="29"/>
        <v>8.5</v>
      </c>
      <c r="O103">
        <f t="shared" si="29"/>
        <v>7.6</v>
      </c>
      <c r="P103">
        <f t="shared" si="29"/>
        <v>23.5</v>
      </c>
      <c r="Q103">
        <f t="shared" si="29"/>
        <v>18</v>
      </c>
      <c r="R103">
        <f t="shared" si="29"/>
        <v>6.5</v>
      </c>
      <c r="S103">
        <f t="shared" si="29"/>
        <v>4.5999999999999996</v>
      </c>
      <c r="T103">
        <f t="shared" si="29"/>
        <v>43.8</v>
      </c>
      <c r="U103">
        <f t="shared" si="29"/>
        <v>33.5</v>
      </c>
      <c r="V103">
        <f t="shared" si="29"/>
        <v>17.8</v>
      </c>
      <c r="W103">
        <f t="shared" si="29"/>
        <v>8.5</v>
      </c>
      <c r="X103">
        <f t="shared" si="29"/>
        <v>11.5</v>
      </c>
      <c r="Y103">
        <f t="shared" si="29"/>
        <v>7.8</v>
      </c>
      <c r="Z103">
        <f t="shared" si="29"/>
        <v>9.9</v>
      </c>
      <c r="AA103">
        <f t="shared" si="29"/>
        <v>16.5</v>
      </c>
      <c r="AB103">
        <f t="shared" si="29"/>
        <v>6</v>
      </c>
      <c r="AC103">
        <f t="shared" si="29"/>
        <v>24.5</v>
      </c>
      <c r="AD103">
        <f t="shared" si="29"/>
        <v>31</v>
      </c>
      <c r="AE103">
        <f t="shared" si="29"/>
        <v>39.299999999999997</v>
      </c>
      <c r="AF103">
        <f t="shared" si="29"/>
        <v>8.1</v>
      </c>
      <c r="AG103">
        <f t="shared" si="29"/>
        <v>7.6</v>
      </c>
      <c r="AH103">
        <f t="shared" si="29"/>
        <v>6.1</v>
      </c>
      <c r="AI103">
        <f t="shared" si="29"/>
        <v>46.4</v>
      </c>
      <c r="AJ103">
        <f t="shared" si="29"/>
        <v>28.7</v>
      </c>
      <c r="AK103">
        <f t="shared" si="29"/>
        <v>19.2</v>
      </c>
      <c r="AL103">
        <f t="shared" si="29"/>
        <v>13.5</v>
      </c>
      <c r="AM103">
        <f t="shared" si="29"/>
        <v>14</v>
      </c>
      <c r="AN103">
        <f t="shared" si="29"/>
        <v>13.6</v>
      </c>
      <c r="AO103">
        <f t="shared" si="29"/>
        <v>43.6</v>
      </c>
      <c r="AP103">
        <f t="shared" si="29"/>
        <v>21.2</v>
      </c>
      <c r="AQ103">
        <f t="shared" si="29"/>
        <v>17.8</v>
      </c>
      <c r="AR103">
        <f t="shared" si="29"/>
        <v>26.2</v>
      </c>
      <c r="AS103">
        <f t="shared" si="29"/>
        <v>7.9</v>
      </c>
      <c r="AT103">
        <f t="shared" si="29"/>
        <v>26.4</v>
      </c>
      <c r="AU103">
        <f t="shared" si="29"/>
        <v>22.4</v>
      </c>
      <c r="AV103">
        <f t="shared" si="29"/>
        <v>19.2</v>
      </c>
      <c r="AW103">
        <f t="shared" si="29"/>
        <v>53</v>
      </c>
      <c r="AX103">
        <f t="shared" si="29"/>
        <v>13.6</v>
      </c>
      <c r="AY103">
        <f t="shared" si="29"/>
        <v>12.5</v>
      </c>
      <c r="AZ103">
        <f t="shared" si="29"/>
        <v>27.7</v>
      </c>
      <c r="BA103">
        <f t="shared" si="29"/>
        <v>30.6</v>
      </c>
      <c r="BB103">
        <f t="shared" si="29"/>
        <v>17.7</v>
      </c>
      <c r="BC103">
        <f t="shared" si="29"/>
        <v>15.4</v>
      </c>
      <c r="BD103">
        <f t="shared" si="29"/>
        <v>16.7</v>
      </c>
      <c r="BE103">
        <f t="shared" si="29"/>
        <v>39.299999999999997</v>
      </c>
      <c r="BF103">
        <f t="shared" si="29"/>
        <v>20.9</v>
      </c>
      <c r="BG103">
        <f t="shared" si="29"/>
        <v>27.6</v>
      </c>
      <c r="BH103">
        <f t="shared" si="29"/>
        <v>13.5</v>
      </c>
      <c r="BI103">
        <f t="shared" si="29"/>
        <v>18.600000000000001</v>
      </c>
      <c r="BJ103">
        <f t="shared" si="29"/>
        <v>26</v>
      </c>
      <c r="BK103">
        <f t="shared" si="29"/>
        <v>9.6</v>
      </c>
      <c r="BL103">
        <f t="shared" si="29"/>
        <v>14.7</v>
      </c>
      <c r="BM103">
        <f t="shared" si="29"/>
        <v>17.5</v>
      </c>
      <c r="BN103">
        <f t="shared" si="29"/>
        <v>19</v>
      </c>
      <c r="BO103">
        <f t="shared" si="29"/>
        <v>6</v>
      </c>
      <c r="BP103">
        <f t="shared" ref="BP103:CZ103" si="30">MAX(BP70:BP100)</f>
        <v>17.100000000000001</v>
      </c>
      <c r="BQ103">
        <f t="shared" si="30"/>
        <v>22.7</v>
      </c>
      <c r="BR103">
        <f t="shared" si="30"/>
        <v>5</v>
      </c>
      <c r="BS103">
        <f t="shared" si="30"/>
        <v>47.5</v>
      </c>
      <c r="BT103">
        <f t="shared" si="30"/>
        <v>24.1</v>
      </c>
      <c r="BU103">
        <f t="shared" si="30"/>
        <v>10.1</v>
      </c>
      <c r="BV103">
        <f t="shared" si="30"/>
        <v>3.6</v>
      </c>
      <c r="BW103">
        <f t="shared" si="30"/>
        <v>18.100000000000001</v>
      </c>
      <c r="BX103">
        <f t="shared" si="30"/>
        <v>12.1</v>
      </c>
      <c r="BY103">
        <f t="shared" si="30"/>
        <v>12.5</v>
      </c>
      <c r="BZ103">
        <f t="shared" si="30"/>
        <v>22.8</v>
      </c>
      <c r="CA103">
        <f t="shared" si="30"/>
        <v>15.2</v>
      </c>
      <c r="CB103">
        <f t="shared" si="30"/>
        <v>6.5</v>
      </c>
      <c r="CC103">
        <f t="shared" si="30"/>
        <v>3.6</v>
      </c>
      <c r="CD103">
        <f t="shared" si="30"/>
        <v>7.5</v>
      </c>
      <c r="CE103">
        <f t="shared" si="30"/>
        <v>41.3</v>
      </c>
      <c r="CF103">
        <f t="shared" si="30"/>
        <v>21.5</v>
      </c>
      <c r="CG103">
        <f t="shared" si="30"/>
        <v>25</v>
      </c>
      <c r="CH103">
        <f t="shared" si="30"/>
        <v>19.5</v>
      </c>
      <c r="CI103">
        <f t="shared" si="30"/>
        <v>20.6</v>
      </c>
      <c r="CJ103">
        <f t="shared" si="30"/>
        <v>25.2</v>
      </c>
      <c r="CK103">
        <f t="shared" si="30"/>
        <v>22.5</v>
      </c>
      <c r="CL103">
        <f t="shared" si="30"/>
        <v>13</v>
      </c>
      <c r="CM103">
        <f t="shared" si="30"/>
        <v>39.5</v>
      </c>
      <c r="CN103">
        <f t="shared" si="30"/>
        <v>11.5</v>
      </c>
      <c r="CO103">
        <f t="shared" si="30"/>
        <v>13.8</v>
      </c>
      <c r="CP103">
        <f t="shared" si="30"/>
        <v>13.3</v>
      </c>
      <c r="CQ103">
        <f t="shared" si="30"/>
        <v>19.7</v>
      </c>
      <c r="CR103">
        <f t="shared" si="30"/>
        <v>13.5</v>
      </c>
      <c r="CS103">
        <f t="shared" si="30"/>
        <v>29.1</v>
      </c>
      <c r="CT103">
        <f t="shared" si="30"/>
        <v>10.3</v>
      </c>
      <c r="CU103">
        <f t="shared" si="30"/>
        <v>25.2</v>
      </c>
      <c r="CV103">
        <f t="shared" si="30"/>
        <v>25.8</v>
      </c>
      <c r="CW103">
        <f t="shared" si="30"/>
        <v>14.4</v>
      </c>
      <c r="CX103">
        <f t="shared" si="30"/>
        <v>8.6999999999999993</v>
      </c>
      <c r="CY103">
        <f t="shared" si="30"/>
        <v>15.5</v>
      </c>
      <c r="CZ103">
        <f t="shared" si="30"/>
        <v>13.7</v>
      </c>
      <c r="DA103" s="2"/>
      <c r="DD103" s="1"/>
      <c r="DU103">
        <v>2012</v>
      </c>
      <c r="DV103" s="2">
        <v>110.4</v>
      </c>
      <c r="DW103" s="2">
        <v>107.9</v>
      </c>
      <c r="DX103" s="2">
        <v>52.300000000000004</v>
      </c>
      <c r="DY103" s="2">
        <v>112.9</v>
      </c>
      <c r="DZ103" s="2">
        <v>55.300000000000004</v>
      </c>
      <c r="EA103" s="2">
        <v>20.100000000000001</v>
      </c>
      <c r="EB103" s="2"/>
      <c r="EC103" s="2">
        <v>45</v>
      </c>
      <c r="ED103" s="2">
        <v>13.8</v>
      </c>
      <c r="EE103" s="2">
        <v>52</v>
      </c>
      <c r="EF103" s="2">
        <v>82.6</v>
      </c>
      <c r="EG103" s="2">
        <v>156.69999999999999</v>
      </c>
      <c r="EI103">
        <v>809</v>
      </c>
      <c r="EJ103">
        <v>2012</v>
      </c>
      <c r="EL103">
        <v>2012</v>
      </c>
      <c r="EM103">
        <v>20</v>
      </c>
      <c r="EN103">
        <v>25</v>
      </c>
      <c r="EO103">
        <v>15.5</v>
      </c>
      <c r="EP103">
        <v>36.5</v>
      </c>
      <c r="EQ103">
        <v>24.6</v>
      </c>
      <c r="ER103">
        <v>17.7</v>
      </c>
      <c r="ES103">
        <v>1</v>
      </c>
      <c r="ET103">
        <v>20.7</v>
      </c>
      <c r="EU103">
        <v>6.3</v>
      </c>
      <c r="EV103">
        <v>25</v>
      </c>
      <c r="EW103">
        <v>35.299999999999997</v>
      </c>
      <c r="EX103">
        <v>21.5</v>
      </c>
      <c r="EZ103">
        <v>36.5</v>
      </c>
      <c r="FA103">
        <v>2012</v>
      </c>
      <c r="FE103">
        <v>2012</v>
      </c>
      <c r="FF103">
        <v>23</v>
      </c>
      <c r="FG103">
        <v>18</v>
      </c>
      <c r="FH103">
        <v>11</v>
      </c>
      <c r="FI103">
        <v>13</v>
      </c>
      <c r="FJ103">
        <v>15</v>
      </c>
      <c r="FK103">
        <v>4</v>
      </c>
      <c r="FL103">
        <v>0</v>
      </c>
      <c r="FM103">
        <v>9</v>
      </c>
      <c r="FN103">
        <v>6</v>
      </c>
      <c r="FO103">
        <v>7</v>
      </c>
      <c r="FP103">
        <v>16</v>
      </c>
      <c r="FQ103">
        <v>21</v>
      </c>
      <c r="FS103">
        <f t="shared" si="18"/>
        <v>143</v>
      </c>
      <c r="FT103">
        <v>2012</v>
      </c>
      <c r="FW103">
        <v>2012</v>
      </c>
      <c r="FY103">
        <v>14</v>
      </c>
      <c r="FZ103">
        <v>5</v>
      </c>
      <c r="GA103">
        <v>0</v>
      </c>
      <c r="GB103">
        <v>0</v>
      </c>
      <c r="GC103">
        <v>0</v>
      </c>
      <c r="GE103">
        <v>0</v>
      </c>
      <c r="GF103">
        <v>0</v>
      </c>
      <c r="GG103">
        <v>0</v>
      </c>
      <c r="GH103">
        <v>0</v>
      </c>
      <c r="GI103">
        <v>4</v>
      </c>
      <c r="GK103">
        <f t="shared" si="19"/>
        <v>23</v>
      </c>
    </row>
    <row r="104" spans="1:193">
      <c r="A104" s="17"/>
      <c r="DA104" s="2"/>
      <c r="DD104" s="1"/>
      <c r="DU104">
        <v>2013</v>
      </c>
      <c r="DV104" s="2">
        <v>95.8</v>
      </c>
      <c r="DW104" s="2">
        <v>58.8</v>
      </c>
      <c r="DX104" s="2">
        <v>69.7</v>
      </c>
      <c r="DY104" s="2">
        <v>34.6</v>
      </c>
      <c r="DZ104" s="2">
        <v>25.5</v>
      </c>
      <c r="EA104" s="2">
        <v>40.5</v>
      </c>
      <c r="EB104" s="2">
        <v>2.1</v>
      </c>
      <c r="EC104" s="2">
        <v>11.9</v>
      </c>
      <c r="ED104" s="2">
        <v>16</v>
      </c>
      <c r="EE104" s="2">
        <v>90.1</v>
      </c>
      <c r="EF104" s="2">
        <v>39.9</v>
      </c>
      <c r="EG104" s="2">
        <v>68.099999999999994</v>
      </c>
      <c r="EI104">
        <v>553</v>
      </c>
      <c r="EJ104">
        <v>2013</v>
      </c>
      <c r="EL104">
        <v>2013</v>
      </c>
      <c r="EM104">
        <v>15</v>
      </c>
      <c r="EN104">
        <v>11</v>
      </c>
      <c r="EO104">
        <v>13.7</v>
      </c>
      <c r="EP104">
        <v>11</v>
      </c>
      <c r="EQ104">
        <v>20.2</v>
      </c>
      <c r="ER104">
        <v>18.5</v>
      </c>
      <c r="ES104">
        <v>1.3</v>
      </c>
      <c r="ET104">
        <v>7.1</v>
      </c>
      <c r="EU104">
        <v>4</v>
      </c>
      <c r="EV104">
        <v>30.5</v>
      </c>
      <c r="EW104">
        <v>8.9</v>
      </c>
      <c r="EX104">
        <v>14</v>
      </c>
      <c r="EZ104">
        <v>30.5</v>
      </c>
      <c r="FA104">
        <v>2013</v>
      </c>
      <c r="FE104">
        <v>2013</v>
      </c>
      <c r="FF104">
        <v>20</v>
      </c>
      <c r="FG104">
        <v>19</v>
      </c>
      <c r="FH104">
        <v>20</v>
      </c>
      <c r="FI104">
        <v>15</v>
      </c>
      <c r="FJ104">
        <v>6</v>
      </c>
      <c r="FK104">
        <v>10</v>
      </c>
      <c r="FL104">
        <v>6</v>
      </c>
      <c r="FM104">
        <v>2</v>
      </c>
      <c r="FN104">
        <v>11</v>
      </c>
      <c r="FO104">
        <v>12</v>
      </c>
      <c r="FP104">
        <v>14</v>
      </c>
      <c r="FQ104">
        <v>15</v>
      </c>
      <c r="FS104">
        <f t="shared" si="18"/>
        <v>150</v>
      </c>
      <c r="FT104">
        <v>2013</v>
      </c>
      <c r="FW104">
        <v>2013</v>
      </c>
      <c r="FX104">
        <v>2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3</v>
      </c>
      <c r="GK104">
        <f>SUM(FX104:GI104)</f>
        <v>5</v>
      </c>
    </row>
    <row r="105" spans="1:193">
      <c r="A105" s="17" t="s">
        <v>125</v>
      </c>
      <c r="E105">
        <v>1.4</v>
      </c>
      <c r="F105">
        <v>1</v>
      </c>
      <c r="G105">
        <v>0.2</v>
      </c>
      <c r="P105">
        <v>4.2</v>
      </c>
      <c r="T105">
        <v>1.5</v>
      </c>
      <c r="V105">
        <v>6.8</v>
      </c>
      <c r="Y105">
        <v>12.5</v>
      </c>
      <c r="Z105">
        <v>1.3</v>
      </c>
      <c r="AC105">
        <v>0.1</v>
      </c>
      <c r="AE105">
        <v>9.1999999999999993</v>
      </c>
      <c r="AG105">
        <v>1.2</v>
      </c>
      <c r="AI105">
        <v>15.8</v>
      </c>
      <c r="AW105">
        <v>14.8</v>
      </c>
      <c r="BA105">
        <v>9.5</v>
      </c>
      <c r="BB105">
        <v>0.5</v>
      </c>
      <c r="BD105">
        <v>8.4</v>
      </c>
      <c r="BF105">
        <v>11.2</v>
      </c>
      <c r="BJ105">
        <v>0.1</v>
      </c>
      <c r="BM105">
        <v>7.9</v>
      </c>
      <c r="BR105">
        <v>0.4</v>
      </c>
      <c r="BU105">
        <v>6.1</v>
      </c>
      <c r="BV105">
        <v>1.4</v>
      </c>
      <c r="BX105">
        <v>0.1</v>
      </c>
      <c r="CD105">
        <v>7.4</v>
      </c>
      <c r="CF105">
        <v>4.8</v>
      </c>
      <c r="CI105">
        <v>0.3</v>
      </c>
      <c r="CJ105">
        <v>13</v>
      </c>
      <c r="CL105">
        <v>1</v>
      </c>
      <c r="CN105">
        <v>1.4</v>
      </c>
      <c r="CO105">
        <v>1.4</v>
      </c>
      <c r="CP105">
        <v>8.1</v>
      </c>
      <c r="CR105">
        <v>0.1</v>
      </c>
      <c r="CT105">
        <v>0.1</v>
      </c>
      <c r="CU105">
        <v>0.1</v>
      </c>
      <c r="CW105">
        <v>0.5</v>
      </c>
      <c r="CX105">
        <v>4.5999999999999996</v>
      </c>
      <c r="CY105">
        <v>21.8</v>
      </c>
      <c r="DA105" s="2"/>
      <c r="DD105" s="1">
        <v>41000</v>
      </c>
      <c r="DE105" s="2">
        <f t="shared" si="23"/>
        <v>4.8702702702702707</v>
      </c>
      <c r="DF105" s="2">
        <f t="shared" ref="DF105:DF134" si="31">SUM(C105:DA105)/(COUNTA(C105:CZ105)+COUNTBLANK(C105:CZ105))</f>
        <v>1.7666666666666668</v>
      </c>
      <c r="DG105" s="2">
        <f t="shared" si="24"/>
        <v>21.8</v>
      </c>
      <c r="DH105" s="2">
        <f t="shared" si="25"/>
        <v>0.1</v>
      </c>
      <c r="DI105" s="3">
        <f t="shared" si="26"/>
        <v>0.36274509803921567</v>
      </c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</row>
    <row r="106" spans="1:193" ht="15.75" customHeight="1">
      <c r="A106" s="17" t="s">
        <v>126</v>
      </c>
      <c r="F106">
        <v>0.7</v>
      </c>
      <c r="K106">
        <v>6.2</v>
      </c>
      <c r="N106">
        <v>7</v>
      </c>
      <c r="R106">
        <v>7</v>
      </c>
      <c r="S106">
        <v>0.2</v>
      </c>
      <c r="AB106">
        <v>3.1</v>
      </c>
      <c r="AE106">
        <v>1.6</v>
      </c>
      <c r="AH106">
        <v>20.6</v>
      </c>
      <c r="AI106">
        <v>3.1</v>
      </c>
      <c r="AX106">
        <v>9</v>
      </c>
      <c r="AY106">
        <v>2.6</v>
      </c>
      <c r="BA106">
        <v>1</v>
      </c>
      <c r="BB106">
        <v>7</v>
      </c>
      <c r="BF106">
        <v>0.3</v>
      </c>
      <c r="BJ106">
        <v>4.5</v>
      </c>
      <c r="BK106">
        <v>11.4</v>
      </c>
      <c r="BL106">
        <v>0.1</v>
      </c>
      <c r="BM106">
        <v>2.1</v>
      </c>
      <c r="BQ106">
        <v>3.4</v>
      </c>
      <c r="BR106">
        <v>3.4</v>
      </c>
      <c r="BS106">
        <v>0.2</v>
      </c>
      <c r="BU106">
        <v>3.4</v>
      </c>
      <c r="BV106">
        <v>0.2</v>
      </c>
      <c r="BZ106">
        <v>0.2</v>
      </c>
      <c r="CD106">
        <v>16.5</v>
      </c>
      <c r="CE106">
        <v>3.8</v>
      </c>
      <c r="CF106">
        <v>0.1</v>
      </c>
      <c r="CH106">
        <v>0.1</v>
      </c>
      <c r="CJ106">
        <v>1.8</v>
      </c>
      <c r="CN106">
        <v>1</v>
      </c>
      <c r="CP106">
        <v>8.9</v>
      </c>
      <c r="CQ106">
        <v>0.1</v>
      </c>
      <c r="CR106">
        <v>3.1</v>
      </c>
      <c r="CV106">
        <v>0.2</v>
      </c>
      <c r="CW106">
        <v>4</v>
      </c>
      <c r="CX106">
        <v>23.2</v>
      </c>
      <c r="CZ106">
        <v>0.1</v>
      </c>
      <c r="DA106" s="2"/>
      <c r="DD106" s="1">
        <v>41001</v>
      </c>
      <c r="DE106" s="2">
        <f t="shared" si="23"/>
        <v>4.3567567567567558</v>
      </c>
      <c r="DF106" s="2">
        <f t="shared" si="31"/>
        <v>1.5803921568627448</v>
      </c>
      <c r="DG106" s="2">
        <f t="shared" si="24"/>
        <v>23.2</v>
      </c>
      <c r="DH106" s="2">
        <f t="shared" si="25"/>
        <v>0.1</v>
      </c>
      <c r="DI106" s="3">
        <f t="shared" si="26"/>
        <v>0.36274509803921567</v>
      </c>
      <c r="DU106" t="s">
        <v>32</v>
      </c>
      <c r="DV106" s="2">
        <v>272.39999999999998</v>
      </c>
      <c r="DW106" s="2">
        <v>229.79999999996701</v>
      </c>
      <c r="DX106" s="2">
        <v>188.89999999995501</v>
      </c>
      <c r="DY106" s="2">
        <v>161.300000000003</v>
      </c>
      <c r="DZ106" s="2">
        <v>166.7</v>
      </c>
      <c r="EA106" s="2">
        <v>179.5</v>
      </c>
      <c r="EB106" s="2">
        <v>171.19999999980999</v>
      </c>
      <c r="EC106" s="2">
        <v>177.1</v>
      </c>
      <c r="ED106" s="2">
        <v>399.39999999974202</v>
      </c>
      <c r="EE106" s="2">
        <v>316</v>
      </c>
      <c r="EF106" s="2">
        <v>348.09999999985399</v>
      </c>
      <c r="EG106" s="2">
        <v>432.2</v>
      </c>
      <c r="FE106" t="s">
        <v>2</v>
      </c>
      <c r="FF106" s="2">
        <f>AVERAGE(FF2:FF104)</f>
        <v>18.911764705882351</v>
      </c>
      <c r="FG106" s="2">
        <f t="shared" ref="FG106:FQ106" si="32">AVERAGE(FG2:FG104)</f>
        <v>16.274509803921568</v>
      </c>
      <c r="FH106" s="2">
        <f t="shared" si="32"/>
        <v>14.676470588235293</v>
      </c>
      <c r="FI106" s="2">
        <f t="shared" si="32"/>
        <v>11.392156862745098</v>
      </c>
      <c r="FJ106" s="2">
        <f t="shared" si="32"/>
        <v>9.1764705882352935</v>
      </c>
      <c r="FK106" s="2">
        <f t="shared" si="32"/>
        <v>6.9313725490196081</v>
      </c>
      <c r="FL106" s="2">
        <f t="shared" si="32"/>
        <v>4.8058252427184467</v>
      </c>
      <c r="FM106" s="2">
        <f t="shared" si="32"/>
        <v>5.4174757281553401</v>
      </c>
      <c r="FN106" s="2">
        <f t="shared" si="32"/>
        <v>9.8640776699029118</v>
      </c>
      <c r="FO106" s="2">
        <f t="shared" si="32"/>
        <v>12.378640776699029</v>
      </c>
      <c r="FP106" s="2">
        <f t="shared" si="32"/>
        <v>14.78640776699029</v>
      </c>
      <c r="FQ106" s="2">
        <f t="shared" si="32"/>
        <v>18.155339805825243</v>
      </c>
      <c r="FW106" t="s">
        <v>2</v>
      </c>
      <c r="FX106" s="2">
        <f>AVERAGE(FX2:FX104)</f>
        <v>5.1782178217821784</v>
      </c>
      <c r="FY106" s="2">
        <f t="shared" ref="FY106:GI106" si="33">AVERAGE(FY2:FY104)</f>
        <v>5.1274509803921573</v>
      </c>
      <c r="FZ106" s="2">
        <f t="shared" si="33"/>
        <v>2.8823529411764706</v>
      </c>
      <c r="GA106" s="2">
        <f t="shared" si="33"/>
        <v>0.12745098039215685</v>
      </c>
      <c r="GB106" s="2">
        <f t="shared" si="33"/>
        <v>1.9607843137254902E-2</v>
      </c>
      <c r="GC106" s="2">
        <f t="shared" si="33"/>
        <v>0</v>
      </c>
      <c r="GD106" s="2">
        <f t="shared" si="33"/>
        <v>0</v>
      </c>
      <c r="GE106" s="2">
        <f t="shared" si="33"/>
        <v>0</v>
      </c>
      <c r="GF106" s="2">
        <f t="shared" si="33"/>
        <v>0</v>
      </c>
      <c r="GG106" s="2">
        <f t="shared" si="33"/>
        <v>0</v>
      </c>
      <c r="GH106" s="2">
        <f t="shared" si="33"/>
        <v>0.52427184466019416</v>
      </c>
      <c r="GI106" s="2">
        <f t="shared" si="33"/>
        <v>2.3106796116504853</v>
      </c>
    </row>
    <row r="107" spans="1:193">
      <c r="A107" s="17" t="s">
        <v>127</v>
      </c>
      <c r="C107">
        <v>1</v>
      </c>
      <c r="L107">
        <v>5.9</v>
      </c>
      <c r="M107">
        <v>4.9000000000000004</v>
      </c>
      <c r="Q107">
        <v>4.5999999999999996</v>
      </c>
      <c r="R107">
        <v>6.8</v>
      </c>
      <c r="S107">
        <v>0.6</v>
      </c>
      <c r="AE107">
        <v>3.6</v>
      </c>
      <c r="AG107">
        <v>0.2</v>
      </c>
      <c r="AH107">
        <v>5</v>
      </c>
      <c r="AO107">
        <v>2.2000000000000002</v>
      </c>
      <c r="AS107">
        <v>0.5</v>
      </c>
      <c r="AT107">
        <v>7.2</v>
      </c>
      <c r="AU107">
        <v>0.8</v>
      </c>
      <c r="AX107">
        <v>6.1</v>
      </c>
      <c r="AY107">
        <v>4.3</v>
      </c>
      <c r="BB107">
        <v>12.2</v>
      </c>
      <c r="BD107">
        <v>0.2</v>
      </c>
      <c r="BG107">
        <v>0.1</v>
      </c>
      <c r="BI107">
        <v>10.1</v>
      </c>
      <c r="BJ107">
        <v>3</v>
      </c>
      <c r="BL107">
        <v>0.1</v>
      </c>
      <c r="BM107">
        <v>0.5</v>
      </c>
      <c r="BR107">
        <v>2.9</v>
      </c>
      <c r="BS107">
        <v>0.1</v>
      </c>
      <c r="BT107">
        <v>3.1</v>
      </c>
      <c r="BU107">
        <v>1.3</v>
      </c>
      <c r="CD107">
        <v>0.7</v>
      </c>
      <c r="CH107">
        <v>2.5</v>
      </c>
      <c r="CJ107">
        <v>0.3</v>
      </c>
      <c r="CX107">
        <v>2.2999999999999998</v>
      </c>
      <c r="CZ107">
        <v>9.6</v>
      </c>
      <c r="DA107" s="2"/>
      <c r="DD107" s="1">
        <v>41002</v>
      </c>
      <c r="DE107" s="2">
        <f t="shared" si="23"/>
        <v>3.3129032258064508</v>
      </c>
      <c r="DF107" s="2">
        <f t="shared" si="31"/>
        <v>1.006862745098039</v>
      </c>
      <c r="DG107" s="2">
        <f t="shared" si="24"/>
        <v>12.2</v>
      </c>
      <c r="DH107" s="2">
        <f t="shared" si="25"/>
        <v>0.1</v>
      </c>
      <c r="DI107" s="3">
        <f t="shared" si="26"/>
        <v>0.30392156862745096</v>
      </c>
      <c r="DV107" s="2">
        <v>1968</v>
      </c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FF107" t="s">
        <v>5</v>
      </c>
      <c r="FG107" t="s">
        <v>6</v>
      </c>
      <c r="FH107" t="s">
        <v>7</v>
      </c>
      <c r="FI107" t="s">
        <v>8</v>
      </c>
      <c r="FJ107" t="s">
        <v>9</v>
      </c>
      <c r="FK107" t="s">
        <v>10</v>
      </c>
      <c r="FL107" t="s">
        <v>11</v>
      </c>
      <c r="FM107" t="s">
        <v>12</v>
      </c>
      <c r="FN107" t="s">
        <v>13</v>
      </c>
      <c r="FO107" t="s">
        <v>14</v>
      </c>
      <c r="FP107" t="s">
        <v>15</v>
      </c>
      <c r="FQ107" t="s">
        <v>16</v>
      </c>
      <c r="FX107" t="s">
        <v>5</v>
      </c>
      <c r="FY107" t="s">
        <v>6</v>
      </c>
      <c r="FZ107" t="s">
        <v>7</v>
      </c>
      <c r="GA107" t="s">
        <v>8</v>
      </c>
      <c r="GB107" t="s">
        <v>9</v>
      </c>
      <c r="GC107" t="s">
        <v>10</v>
      </c>
      <c r="GD107" t="s">
        <v>11</v>
      </c>
      <c r="GE107" t="s">
        <v>12</v>
      </c>
      <c r="GF107" t="s">
        <v>13</v>
      </c>
      <c r="GG107" t="s">
        <v>14</v>
      </c>
      <c r="GH107" t="s">
        <v>15</v>
      </c>
      <c r="GI107" t="s">
        <v>16</v>
      </c>
    </row>
    <row r="108" spans="1:193">
      <c r="A108" s="17" t="s">
        <v>128</v>
      </c>
      <c r="C108">
        <v>3</v>
      </c>
      <c r="L108">
        <v>8.6</v>
      </c>
      <c r="O108">
        <v>18.399999999999999</v>
      </c>
      <c r="Q108">
        <v>4.4000000000000004</v>
      </c>
      <c r="R108">
        <v>7.1</v>
      </c>
      <c r="S108">
        <v>5.6</v>
      </c>
      <c r="T108">
        <v>3.5</v>
      </c>
      <c r="X108">
        <v>3.2</v>
      </c>
      <c r="Y108">
        <v>2.7</v>
      </c>
      <c r="AC108">
        <v>4.8</v>
      </c>
      <c r="AH108">
        <v>1.2</v>
      </c>
      <c r="AN108">
        <v>1.9</v>
      </c>
      <c r="AO108">
        <v>0.8</v>
      </c>
      <c r="AP108">
        <v>1</v>
      </c>
      <c r="AQ108">
        <v>0.5</v>
      </c>
      <c r="AR108">
        <v>0.3</v>
      </c>
      <c r="AT108">
        <v>0.8</v>
      </c>
      <c r="AY108">
        <v>2.6</v>
      </c>
      <c r="BE108">
        <v>0.4</v>
      </c>
      <c r="BI108">
        <v>2</v>
      </c>
      <c r="BJ108">
        <v>0.1</v>
      </c>
      <c r="BL108">
        <v>0.1</v>
      </c>
      <c r="BO108">
        <v>0.1</v>
      </c>
      <c r="BQ108">
        <v>7.1</v>
      </c>
      <c r="BR108">
        <v>1.3</v>
      </c>
      <c r="BS108">
        <v>6</v>
      </c>
      <c r="BT108">
        <v>0.8</v>
      </c>
      <c r="BU108">
        <v>3</v>
      </c>
      <c r="BV108">
        <v>0.1</v>
      </c>
      <c r="CJ108">
        <v>1.5</v>
      </c>
      <c r="CL108">
        <v>0.5</v>
      </c>
      <c r="CO108">
        <v>2.2999999999999998</v>
      </c>
      <c r="CT108">
        <v>0.4</v>
      </c>
      <c r="CX108">
        <v>1.2</v>
      </c>
      <c r="DA108" s="2"/>
      <c r="DD108" s="1">
        <v>41003</v>
      </c>
      <c r="DE108" s="2">
        <f t="shared" si="23"/>
        <v>2.8617647058823521</v>
      </c>
      <c r="DF108" s="2">
        <f t="shared" si="31"/>
        <v>0.9539215686274507</v>
      </c>
      <c r="DG108" s="2">
        <f t="shared" si="24"/>
        <v>18.399999999999999</v>
      </c>
      <c r="DH108" s="2">
        <f t="shared" si="25"/>
        <v>0.1</v>
      </c>
      <c r="DI108" s="3">
        <f t="shared" si="26"/>
        <v>0.33333333333333331</v>
      </c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FE108" t="s">
        <v>4</v>
      </c>
      <c r="FF108">
        <f>MAX(FF2:FF104)</f>
        <v>30</v>
      </c>
      <c r="FG108">
        <f t="shared" ref="FG108:FQ108" si="34">MAX(FG2:FG104)</f>
        <v>26</v>
      </c>
      <c r="FH108">
        <f t="shared" si="34"/>
        <v>24</v>
      </c>
      <c r="FI108">
        <f t="shared" si="34"/>
        <v>22</v>
      </c>
      <c r="FJ108">
        <f t="shared" si="34"/>
        <v>19</v>
      </c>
      <c r="FK108">
        <f t="shared" si="34"/>
        <v>22</v>
      </c>
      <c r="FL108">
        <f t="shared" si="34"/>
        <v>18</v>
      </c>
      <c r="FM108">
        <f t="shared" si="34"/>
        <v>19</v>
      </c>
      <c r="FN108">
        <f t="shared" si="34"/>
        <v>22</v>
      </c>
      <c r="FO108">
        <f t="shared" si="34"/>
        <v>25</v>
      </c>
      <c r="FP108">
        <f t="shared" si="34"/>
        <v>26</v>
      </c>
      <c r="FQ108">
        <f t="shared" si="34"/>
        <v>29</v>
      </c>
      <c r="FW108" t="s">
        <v>4</v>
      </c>
      <c r="FX108">
        <f>MAX(FX2:FX104)</f>
        <v>17</v>
      </c>
      <c r="FY108">
        <f t="shared" ref="FY108:GI108" si="35">MAX(FY2:FY104)</f>
        <v>21</v>
      </c>
      <c r="FZ108">
        <f t="shared" si="35"/>
        <v>15</v>
      </c>
      <c r="GA108">
        <f t="shared" si="35"/>
        <v>3</v>
      </c>
      <c r="GB108">
        <f t="shared" si="35"/>
        <v>2</v>
      </c>
      <c r="GC108">
        <f t="shared" si="35"/>
        <v>0</v>
      </c>
      <c r="GD108">
        <f t="shared" si="35"/>
        <v>0</v>
      </c>
      <c r="GE108">
        <f t="shared" si="35"/>
        <v>0</v>
      </c>
      <c r="GF108">
        <f t="shared" si="35"/>
        <v>0</v>
      </c>
      <c r="GG108">
        <f t="shared" si="35"/>
        <v>0</v>
      </c>
      <c r="GH108">
        <f t="shared" si="35"/>
        <v>7</v>
      </c>
      <c r="GI108">
        <f t="shared" si="35"/>
        <v>11</v>
      </c>
    </row>
    <row r="109" spans="1:193">
      <c r="A109" s="17" t="s">
        <v>129</v>
      </c>
      <c r="E109">
        <v>4.5</v>
      </c>
      <c r="F109">
        <v>6.3</v>
      </c>
      <c r="K109">
        <v>2.9</v>
      </c>
      <c r="L109">
        <v>1.5</v>
      </c>
      <c r="M109">
        <v>1.5</v>
      </c>
      <c r="O109">
        <v>3.6</v>
      </c>
      <c r="R109">
        <v>4</v>
      </c>
      <c r="T109">
        <v>14.1</v>
      </c>
      <c r="V109">
        <v>0.2</v>
      </c>
      <c r="X109">
        <v>2.5</v>
      </c>
      <c r="Y109">
        <v>1</v>
      </c>
      <c r="AA109">
        <v>4.2</v>
      </c>
      <c r="AB109">
        <v>27.3</v>
      </c>
      <c r="AC109">
        <v>8.6</v>
      </c>
      <c r="AG109">
        <v>0.2</v>
      </c>
      <c r="AO109">
        <v>0.2</v>
      </c>
      <c r="AP109">
        <v>0.6</v>
      </c>
      <c r="AS109">
        <v>0.6</v>
      </c>
      <c r="AT109">
        <v>5.5</v>
      </c>
      <c r="BD109">
        <v>2.2999999999999998</v>
      </c>
      <c r="BE109">
        <v>5.2</v>
      </c>
      <c r="BI109">
        <v>0.9</v>
      </c>
      <c r="BM109">
        <v>0.3</v>
      </c>
      <c r="BQ109">
        <v>1.5</v>
      </c>
      <c r="BS109">
        <v>0.2</v>
      </c>
      <c r="BU109">
        <v>0.2</v>
      </c>
      <c r="BV109">
        <v>18</v>
      </c>
      <c r="CA109">
        <v>0.1</v>
      </c>
      <c r="CG109">
        <v>0.3</v>
      </c>
      <c r="CH109">
        <v>2</v>
      </c>
      <c r="CI109">
        <v>13.4</v>
      </c>
      <c r="CJ109">
        <v>30.9</v>
      </c>
      <c r="CO109">
        <v>24.2</v>
      </c>
      <c r="CP109">
        <v>8.6</v>
      </c>
      <c r="CT109">
        <v>2.4</v>
      </c>
      <c r="CU109">
        <v>0.5</v>
      </c>
      <c r="CV109">
        <v>0.9</v>
      </c>
      <c r="CX109">
        <v>1.2</v>
      </c>
      <c r="DA109" s="2"/>
      <c r="DD109" s="1">
        <v>41004</v>
      </c>
      <c r="DE109" s="2">
        <f t="shared" si="23"/>
        <v>5.3263157894736839</v>
      </c>
      <c r="DF109" s="2">
        <f t="shared" si="31"/>
        <v>1.9843137254901959</v>
      </c>
      <c r="DG109" s="2">
        <f t="shared" si="24"/>
        <v>30.9</v>
      </c>
      <c r="DH109" s="2">
        <f t="shared" si="25"/>
        <v>0.1</v>
      </c>
      <c r="DI109" s="3">
        <f t="shared" si="26"/>
        <v>0.37254901960784315</v>
      </c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FE109" t="s">
        <v>31</v>
      </c>
      <c r="FF109">
        <f>MIN(FF2:FF104)</f>
        <v>9</v>
      </c>
      <c r="FG109">
        <f t="shared" ref="FG109:FQ109" si="36">MIN(FG2:FG104)</f>
        <v>4</v>
      </c>
      <c r="FH109">
        <f t="shared" si="36"/>
        <v>3</v>
      </c>
      <c r="FI109">
        <f t="shared" si="36"/>
        <v>3</v>
      </c>
      <c r="FJ109">
        <f t="shared" si="36"/>
        <v>2</v>
      </c>
      <c r="FK109">
        <f t="shared" si="36"/>
        <v>0</v>
      </c>
      <c r="FL109">
        <f t="shared" si="36"/>
        <v>0</v>
      </c>
      <c r="FM109">
        <f t="shared" si="36"/>
        <v>0</v>
      </c>
      <c r="FN109">
        <f t="shared" si="36"/>
        <v>0</v>
      </c>
      <c r="FO109">
        <f t="shared" si="36"/>
        <v>4</v>
      </c>
      <c r="FP109">
        <f t="shared" si="36"/>
        <v>1</v>
      </c>
      <c r="FQ109">
        <f t="shared" si="36"/>
        <v>9</v>
      </c>
      <c r="FW109" t="s">
        <v>31</v>
      </c>
      <c r="FX109">
        <f>MIN(FX2:FX104)</f>
        <v>0</v>
      </c>
      <c r="FY109">
        <f t="shared" ref="FY109:GI109" si="37">MIN(FY2:FY104)</f>
        <v>0</v>
      </c>
      <c r="FZ109">
        <f t="shared" si="37"/>
        <v>0</v>
      </c>
      <c r="GA109">
        <f t="shared" si="37"/>
        <v>0</v>
      </c>
      <c r="GB109">
        <f t="shared" si="37"/>
        <v>0</v>
      </c>
      <c r="GC109">
        <f t="shared" si="37"/>
        <v>0</v>
      </c>
      <c r="GD109">
        <f t="shared" si="37"/>
        <v>0</v>
      </c>
      <c r="GE109">
        <f t="shared" si="37"/>
        <v>0</v>
      </c>
      <c r="GF109">
        <f t="shared" si="37"/>
        <v>0</v>
      </c>
      <c r="GG109">
        <f t="shared" si="37"/>
        <v>0</v>
      </c>
      <c r="GH109">
        <f t="shared" si="37"/>
        <v>0</v>
      </c>
      <c r="GI109">
        <f t="shared" si="37"/>
        <v>0</v>
      </c>
    </row>
    <row r="110" spans="1:193">
      <c r="A110" s="17" t="s">
        <v>130</v>
      </c>
      <c r="E110">
        <v>1</v>
      </c>
      <c r="F110">
        <v>17.100000000000001</v>
      </c>
      <c r="G110">
        <v>0.2</v>
      </c>
      <c r="M110">
        <v>16.100000000000001</v>
      </c>
      <c r="N110">
        <v>4.9000000000000004</v>
      </c>
      <c r="AA110">
        <v>1.8</v>
      </c>
      <c r="AB110">
        <v>3.8</v>
      </c>
      <c r="AC110">
        <v>12.3</v>
      </c>
      <c r="AE110">
        <v>2.5</v>
      </c>
      <c r="AO110">
        <v>9.1</v>
      </c>
      <c r="AP110">
        <v>0.5</v>
      </c>
      <c r="AT110">
        <v>7</v>
      </c>
      <c r="AU110">
        <v>4.5</v>
      </c>
      <c r="AW110">
        <v>0.2</v>
      </c>
      <c r="AY110">
        <v>5.5</v>
      </c>
      <c r="BA110">
        <v>1.4</v>
      </c>
      <c r="BD110">
        <v>0.4</v>
      </c>
      <c r="BE110">
        <v>1.7</v>
      </c>
      <c r="BI110">
        <v>6.9</v>
      </c>
      <c r="BJ110">
        <v>0.1</v>
      </c>
      <c r="BL110">
        <v>8.6</v>
      </c>
      <c r="BQ110">
        <v>5.2</v>
      </c>
      <c r="BS110">
        <v>14.3</v>
      </c>
      <c r="BV110">
        <v>5</v>
      </c>
      <c r="BW110">
        <v>0.6</v>
      </c>
      <c r="CG110">
        <v>0.8</v>
      </c>
      <c r="CH110">
        <v>0.8</v>
      </c>
      <c r="CI110">
        <v>9.1</v>
      </c>
      <c r="CJ110">
        <v>2.5</v>
      </c>
      <c r="CM110">
        <v>0.6</v>
      </c>
      <c r="CO110">
        <v>0.3</v>
      </c>
      <c r="CT110">
        <v>0.2</v>
      </c>
      <c r="CU110">
        <v>4.9000000000000004</v>
      </c>
      <c r="CV110">
        <v>1</v>
      </c>
      <c r="CW110">
        <v>13.6</v>
      </c>
      <c r="CX110">
        <v>0.2</v>
      </c>
      <c r="DA110" s="2"/>
      <c r="DD110" s="1">
        <v>41005</v>
      </c>
      <c r="DE110" s="2">
        <f t="shared" si="23"/>
        <v>4.5750000000000002</v>
      </c>
      <c r="DF110" s="2">
        <f t="shared" si="31"/>
        <v>1.6147058823529414</v>
      </c>
      <c r="DG110" s="2">
        <f t="shared" si="24"/>
        <v>17.100000000000001</v>
      </c>
      <c r="DH110" s="2">
        <f t="shared" si="25"/>
        <v>0.1</v>
      </c>
      <c r="DI110" s="3">
        <f t="shared" si="26"/>
        <v>0.35294117647058826</v>
      </c>
      <c r="DU110" s="10" t="s">
        <v>31</v>
      </c>
      <c r="DV110" s="2">
        <f>MIN(DV2:DV104)</f>
        <v>20.100000000000001</v>
      </c>
      <c r="DW110" s="2">
        <f t="shared" ref="DW110:EG110" si="38">MIN(DW2:DW104)</f>
        <v>4</v>
      </c>
      <c r="DX110" s="2">
        <f t="shared" si="38"/>
        <v>9.9</v>
      </c>
      <c r="DY110" s="2">
        <f t="shared" si="38"/>
        <v>4.49999999999772</v>
      </c>
      <c r="DZ110" s="2">
        <f>MIN(DZ2:DZ104)</f>
        <v>0.1</v>
      </c>
      <c r="EA110" s="2">
        <v>0</v>
      </c>
      <c r="EB110" s="2">
        <v>0</v>
      </c>
      <c r="EC110" s="2">
        <v>0</v>
      </c>
      <c r="ED110" s="2">
        <v>0</v>
      </c>
      <c r="EE110" s="2">
        <f t="shared" si="38"/>
        <v>2.5999999999980901</v>
      </c>
      <c r="EF110" s="2">
        <f t="shared" si="38"/>
        <v>0.2</v>
      </c>
      <c r="EG110" s="2">
        <f t="shared" si="38"/>
        <v>19.899999999992399</v>
      </c>
    </row>
    <row r="111" spans="1:193">
      <c r="A111" s="17" t="s">
        <v>131</v>
      </c>
      <c r="D111">
        <v>23.2</v>
      </c>
      <c r="E111">
        <v>6.3</v>
      </c>
      <c r="M111">
        <v>16.2</v>
      </c>
      <c r="O111">
        <v>1.1000000000000001</v>
      </c>
      <c r="R111">
        <v>0.2</v>
      </c>
      <c r="S111">
        <v>6.6</v>
      </c>
      <c r="X111">
        <v>2.1</v>
      </c>
      <c r="AE111">
        <v>21.1</v>
      </c>
      <c r="AF111">
        <v>0.2</v>
      </c>
      <c r="AJ111">
        <v>12</v>
      </c>
      <c r="AP111">
        <v>8.8000000000000007</v>
      </c>
      <c r="AR111">
        <v>0.2</v>
      </c>
      <c r="AT111">
        <v>3.5</v>
      </c>
      <c r="AU111">
        <v>2.2999999999999998</v>
      </c>
      <c r="AW111">
        <v>0.5</v>
      </c>
      <c r="AY111">
        <v>11.9</v>
      </c>
      <c r="BA111">
        <v>8.5</v>
      </c>
      <c r="BE111">
        <v>0.4</v>
      </c>
      <c r="BK111">
        <v>0.9</v>
      </c>
      <c r="BL111">
        <v>5.9</v>
      </c>
      <c r="BQ111">
        <v>4.3</v>
      </c>
      <c r="BR111">
        <v>0.9</v>
      </c>
      <c r="BS111">
        <v>0.3</v>
      </c>
      <c r="BV111">
        <v>0.1</v>
      </c>
      <c r="BW111">
        <v>12.1</v>
      </c>
      <c r="BX111">
        <v>2</v>
      </c>
      <c r="BZ111">
        <v>0.8</v>
      </c>
      <c r="CC111">
        <v>2.2999999999999998</v>
      </c>
      <c r="CD111">
        <v>4.2</v>
      </c>
      <c r="CE111">
        <v>7.8</v>
      </c>
      <c r="CF111">
        <v>12</v>
      </c>
      <c r="CG111">
        <v>0.7</v>
      </c>
      <c r="CI111">
        <v>5.5</v>
      </c>
      <c r="CJ111">
        <v>12.5</v>
      </c>
      <c r="CO111">
        <v>4.0999999999999996</v>
      </c>
      <c r="CP111">
        <v>14.5</v>
      </c>
      <c r="CU111">
        <v>2</v>
      </c>
      <c r="CV111">
        <v>0.3</v>
      </c>
      <c r="CW111">
        <v>2.7</v>
      </c>
      <c r="CY111">
        <v>0.2</v>
      </c>
      <c r="CZ111">
        <v>11</v>
      </c>
      <c r="DA111" s="2"/>
      <c r="DD111" s="1">
        <v>41006</v>
      </c>
      <c r="DE111" s="2">
        <f t="shared" si="23"/>
        <v>5.6634146341463429</v>
      </c>
      <c r="DF111" s="2">
        <f t="shared" si="31"/>
        <v>2.2764705882352945</v>
      </c>
      <c r="DG111" s="2">
        <f t="shared" si="24"/>
        <v>23.2</v>
      </c>
      <c r="DH111" s="2">
        <f t="shared" si="25"/>
        <v>0.1</v>
      </c>
      <c r="DI111" s="3">
        <f t="shared" si="26"/>
        <v>0.40196078431372551</v>
      </c>
      <c r="DV111" t="s">
        <v>5</v>
      </c>
      <c r="DW111" t="s">
        <v>6</v>
      </c>
      <c r="DX111" t="s">
        <v>7</v>
      </c>
      <c r="DY111" t="s">
        <v>8</v>
      </c>
      <c r="DZ111" t="s">
        <v>9</v>
      </c>
      <c r="EA111" t="s">
        <v>10</v>
      </c>
      <c r="EB111" t="s">
        <v>11</v>
      </c>
      <c r="EC111" t="s">
        <v>12</v>
      </c>
      <c r="ED111" t="s">
        <v>13</v>
      </c>
      <c r="EE111" t="s">
        <v>14</v>
      </c>
      <c r="EF111" t="s">
        <v>15</v>
      </c>
      <c r="EG111" t="s">
        <v>16</v>
      </c>
    </row>
    <row r="112" spans="1:193">
      <c r="A112" s="17" t="s">
        <v>132</v>
      </c>
      <c r="E112">
        <v>0.1</v>
      </c>
      <c r="K112">
        <v>15.3</v>
      </c>
      <c r="M112">
        <v>0.2</v>
      </c>
      <c r="N112">
        <v>5.0999999999999996</v>
      </c>
      <c r="S112">
        <v>0.2</v>
      </c>
      <c r="T112">
        <v>23</v>
      </c>
      <c r="V112">
        <v>11.7</v>
      </c>
      <c r="W112">
        <v>0.5</v>
      </c>
      <c r="Z112">
        <v>0.1</v>
      </c>
      <c r="AA112">
        <v>1.8</v>
      </c>
      <c r="AE112">
        <v>4.9000000000000004</v>
      </c>
      <c r="AH112">
        <v>3</v>
      </c>
      <c r="AQ112">
        <v>0.6</v>
      </c>
      <c r="AT112">
        <v>1.5</v>
      </c>
      <c r="AU112">
        <v>12.6</v>
      </c>
      <c r="AW112">
        <v>2.5</v>
      </c>
      <c r="AY112">
        <v>2</v>
      </c>
      <c r="BA112">
        <v>0.8</v>
      </c>
      <c r="BB112">
        <v>0.2</v>
      </c>
      <c r="BC112">
        <v>5.7</v>
      </c>
      <c r="BG112" t="s">
        <v>0</v>
      </c>
      <c r="BH112">
        <v>0.1</v>
      </c>
      <c r="BJ112">
        <v>0.7</v>
      </c>
      <c r="BO112">
        <v>0.4</v>
      </c>
      <c r="BQ112">
        <v>3.6</v>
      </c>
      <c r="BR112">
        <v>15.3</v>
      </c>
      <c r="BT112">
        <v>0.2</v>
      </c>
      <c r="BX112">
        <v>0.2</v>
      </c>
      <c r="CC112">
        <v>1.8</v>
      </c>
      <c r="CD112">
        <v>13.8</v>
      </c>
      <c r="CE112">
        <v>1.8</v>
      </c>
      <c r="CF112">
        <v>2.4</v>
      </c>
      <c r="CG112">
        <v>1.6</v>
      </c>
      <c r="CH112">
        <v>6.9</v>
      </c>
      <c r="CI112">
        <v>4.0999999999999996</v>
      </c>
      <c r="CJ112">
        <v>6</v>
      </c>
      <c r="CP112">
        <v>0.5</v>
      </c>
      <c r="CS112">
        <v>10.6</v>
      </c>
      <c r="CX112">
        <v>1.1000000000000001</v>
      </c>
      <c r="CY112">
        <v>11.2</v>
      </c>
      <c r="CZ112">
        <v>2.5</v>
      </c>
      <c r="DA112" s="2"/>
      <c r="DD112" s="1">
        <v>41007</v>
      </c>
      <c r="DE112" s="2">
        <f t="shared" si="23"/>
        <v>4.4149999999999991</v>
      </c>
      <c r="DF112" s="2">
        <f t="shared" si="31"/>
        <v>1.7313725490196075</v>
      </c>
      <c r="DG112" s="2">
        <f t="shared" si="24"/>
        <v>23</v>
      </c>
      <c r="DH112" s="2">
        <f t="shared" si="25"/>
        <v>0.1</v>
      </c>
      <c r="DI112" s="3">
        <f t="shared" si="26"/>
        <v>0.40196078431372551</v>
      </c>
      <c r="DU112" t="s">
        <v>405</v>
      </c>
      <c r="DV112" s="2">
        <f t="shared" ref="DV112:EG112" si="39">AVERAGE(DV2:DV106)</f>
        <v>106.54174757281535</v>
      </c>
      <c r="DW112" s="2">
        <f t="shared" si="39"/>
        <v>86.272135922320942</v>
      </c>
      <c r="DX112" s="2">
        <f t="shared" si="39"/>
        <v>69.19067961164167</v>
      </c>
      <c r="DY112" s="2">
        <f t="shared" si="39"/>
        <v>49.621359223295862</v>
      </c>
      <c r="DZ112" s="2">
        <f t="shared" si="39"/>
        <v>37.866213592227787</v>
      </c>
      <c r="EA112" s="2">
        <f t="shared" si="39"/>
        <v>35.785294117641968</v>
      </c>
      <c r="EB112" s="2">
        <f t="shared" si="39"/>
        <v>33.972277227715729</v>
      </c>
      <c r="EC112" s="2">
        <f t="shared" si="39"/>
        <v>39.3561224489765</v>
      </c>
      <c r="ED112" s="2">
        <f t="shared" si="39"/>
        <v>72.686990291240207</v>
      </c>
      <c r="EE112" s="2">
        <f t="shared" si="39"/>
        <v>95.251923076909875</v>
      </c>
      <c r="EF112" s="2">
        <f t="shared" si="39"/>
        <v>102.8646153846029</v>
      </c>
      <c r="EG112" s="2">
        <f t="shared" si="39"/>
        <v>131.000384615369</v>
      </c>
    </row>
    <row r="113" spans="1:121">
      <c r="A113" s="17" t="s">
        <v>133</v>
      </c>
      <c r="I113">
        <v>0.3</v>
      </c>
      <c r="K113">
        <v>0.2</v>
      </c>
      <c r="L113">
        <v>0.4</v>
      </c>
      <c r="O113">
        <v>0.8</v>
      </c>
      <c r="P113">
        <v>3.4</v>
      </c>
      <c r="T113">
        <v>1.9</v>
      </c>
      <c r="U113">
        <v>4</v>
      </c>
      <c r="V113">
        <v>16</v>
      </c>
      <c r="W113">
        <v>0.5</v>
      </c>
      <c r="X113">
        <v>6.5</v>
      </c>
      <c r="Z113">
        <v>5.0999999999999996</v>
      </c>
      <c r="AA113">
        <v>0.8</v>
      </c>
      <c r="AB113">
        <v>0.6</v>
      </c>
      <c r="AC113">
        <v>5.5</v>
      </c>
      <c r="AE113">
        <v>27.1</v>
      </c>
      <c r="AF113">
        <v>5.0999999999999996</v>
      </c>
      <c r="AG113">
        <v>4.4000000000000004</v>
      </c>
      <c r="AH113">
        <v>22</v>
      </c>
      <c r="AJ113">
        <v>3.2</v>
      </c>
      <c r="AN113">
        <v>22</v>
      </c>
      <c r="AO113">
        <v>1.8</v>
      </c>
      <c r="AQ113">
        <v>1.1000000000000001</v>
      </c>
      <c r="AU113">
        <v>1.7</v>
      </c>
      <c r="AW113">
        <v>4.8</v>
      </c>
      <c r="BC113">
        <v>14.2</v>
      </c>
      <c r="BD113">
        <v>0.3</v>
      </c>
      <c r="BG113">
        <v>10.8</v>
      </c>
      <c r="BJ113">
        <v>0.1</v>
      </c>
      <c r="BO113">
        <v>3</v>
      </c>
      <c r="BQ113">
        <v>3.3</v>
      </c>
      <c r="BR113">
        <v>3</v>
      </c>
      <c r="BS113">
        <v>0.1</v>
      </c>
      <c r="CC113">
        <v>0.1</v>
      </c>
      <c r="CD113">
        <v>45</v>
      </c>
      <c r="CG113">
        <v>9.9</v>
      </c>
      <c r="CH113">
        <v>14.8</v>
      </c>
      <c r="CI113">
        <v>3</v>
      </c>
      <c r="CS113">
        <v>0.3</v>
      </c>
      <c r="CU113">
        <v>0.3</v>
      </c>
      <c r="CV113">
        <v>9.8000000000000007</v>
      </c>
      <c r="CX113">
        <v>1.4</v>
      </c>
      <c r="CY113">
        <v>11</v>
      </c>
      <c r="CZ113">
        <v>0.5</v>
      </c>
      <c r="DA113" s="2"/>
      <c r="DD113" s="1">
        <v>41008</v>
      </c>
      <c r="DE113" s="2">
        <f t="shared" si="23"/>
        <v>6.2813953488372096</v>
      </c>
      <c r="DF113" s="2">
        <f t="shared" si="31"/>
        <v>2.6480392156862749</v>
      </c>
      <c r="DG113" s="2">
        <f t="shared" si="24"/>
        <v>45</v>
      </c>
      <c r="DH113" s="2">
        <f t="shared" si="25"/>
        <v>0.1</v>
      </c>
      <c r="DI113" s="3">
        <f t="shared" si="26"/>
        <v>0.42156862745098039</v>
      </c>
    </row>
    <row r="114" spans="1:121">
      <c r="A114" s="17" t="s">
        <v>134</v>
      </c>
      <c r="C114">
        <v>5.2</v>
      </c>
      <c r="E114">
        <v>6.7</v>
      </c>
      <c r="F114">
        <v>0.5</v>
      </c>
      <c r="J114">
        <v>0.2</v>
      </c>
      <c r="L114">
        <v>1.8</v>
      </c>
      <c r="M114">
        <v>1.3</v>
      </c>
      <c r="N114">
        <v>0.1</v>
      </c>
      <c r="O114">
        <v>1.7</v>
      </c>
      <c r="P114">
        <v>0.9</v>
      </c>
      <c r="Q114">
        <v>17.5</v>
      </c>
      <c r="U114">
        <v>7.5</v>
      </c>
      <c r="V114">
        <v>0.6</v>
      </c>
      <c r="AF114">
        <v>8.6</v>
      </c>
      <c r="AG114">
        <v>1.7</v>
      </c>
      <c r="AH114">
        <v>14.5</v>
      </c>
      <c r="AI114">
        <v>0.6</v>
      </c>
      <c r="AJ114">
        <v>3.4</v>
      </c>
      <c r="AM114">
        <v>13</v>
      </c>
      <c r="AN114">
        <v>9.6999999999999993</v>
      </c>
      <c r="AT114">
        <v>0.3</v>
      </c>
      <c r="BD114">
        <v>2.4</v>
      </c>
      <c r="BE114">
        <v>1.8</v>
      </c>
      <c r="BG114">
        <v>0.8</v>
      </c>
      <c r="BK114">
        <v>0.1</v>
      </c>
      <c r="BM114">
        <v>0.9</v>
      </c>
      <c r="BO114">
        <v>0.9</v>
      </c>
      <c r="BP114">
        <v>4.4000000000000004</v>
      </c>
      <c r="BR114">
        <v>3.8</v>
      </c>
      <c r="CB114">
        <v>0.4</v>
      </c>
      <c r="CC114">
        <v>11.5</v>
      </c>
      <c r="CD114">
        <v>5</v>
      </c>
      <c r="CH114">
        <v>10.8</v>
      </c>
      <c r="CM114">
        <v>0.1</v>
      </c>
      <c r="CO114">
        <v>0.2</v>
      </c>
      <c r="CX114">
        <v>0.2</v>
      </c>
      <c r="CY114">
        <v>6.5</v>
      </c>
      <c r="CZ114">
        <v>0.2</v>
      </c>
      <c r="DA114" s="2"/>
      <c r="DD114" s="1">
        <v>41009</v>
      </c>
      <c r="DE114" s="2">
        <f t="shared" si="23"/>
        <v>3.9405405405405403</v>
      </c>
      <c r="DF114" s="2">
        <f t="shared" si="31"/>
        <v>1.4294117647058822</v>
      </c>
      <c r="DG114" s="2">
        <f t="shared" si="24"/>
        <v>17.5</v>
      </c>
      <c r="DH114" s="2">
        <f t="shared" si="25"/>
        <v>0.1</v>
      </c>
      <c r="DI114" s="3">
        <f t="shared" si="26"/>
        <v>0.36274509803921567</v>
      </c>
    </row>
    <row r="115" spans="1:121" ht="15.75" customHeight="1">
      <c r="A115" s="17" t="s">
        <v>135</v>
      </c>
      <c r="C115">
        <v>15.2</v>
      </c>
      <c r="E115">
        <v>11.6</v>
      </c>
      <c r="F115">
        <v>5.7</v>
      </c>
      <c r="J115">
        <v>1</v>
      </c>
      <c r="L115">
        <v>6.4</v>
      </c>
      <c r="N115">
        <v>0.1</v>
      </c>
      <c r="X115">
        <v>0.2</v>
      </c>
      <c r="AA115">
        <v>3.1</v>
      </c>
      <c r="AC115">
        <v>0.5</v>
      </c>
      <c r="AD115">
        <v>0.9</v>
      </c>
      <c r="AF115">
        <v>10.5</v>
      </c>
      <c r="AG115">
        <v>4.0999999999999996</v>
      </c>
      <c r="AI115">
        <v>1.8</v>
      </c>
      <c r="AM115">
        <v>2.5</v>
      </c>
      <c r="AR115">
        <v>0.3</v>
      </c>
      <c r="AW115">
        <v>0.2</v>
      </c>
      <c r="AZ115">
        <v>0.5</v>
      </c>
      <c r="BD115">
        <v>14.4</v>
      </c>
      <c r="BE115">
        <v>0.7</v>
      </c>
      <c r="BH115">
        <v>1.4</v>
      </c>
      <c r="BJ115">
        <v>0.7</v>
      </c>
      <c r="BM115">
        <v>0.5</v>
      </c>
      <c r="BO115">
        <v>15.7</v>
      </c>
      <c r="BP115">
        <v>30.6</v>
      </c>
      <c r="BR115">
        <v>2.1</v>
      </c>
      <c r="BS115" t="s">
        <v>0</v>
      </c>
      <c r="BX115">
        <v>0.1</v>
      </c>
      <c r="BZ115">
        <v>24</v>
      </c>
      <c r="CC115">
        <v>6.1</v>
      </c>
      <c r="CD115">
        <v>0.1</v>
      </c>
      <c r="CE115">
        <v>1</v>
      </c>
      <c r="CF115">
        <v>0.1</v>
      </c>
      <c r="CH115">
        <v>0.2</v>
      </c>
      <c r="CL115">
        <v>0.1</v>
      </c>
      <c r="CM115">
        <v>1.5</v>
      </c>
      <c r="CN115">
        <v>3.5</v>
      </c>
      <c r="CT115">
        <v>5.8</v>
      </c>
      <c r="CX115">
        <v>1.8</v>
      </c>
      <c r="CY115">
        <v>0.3</v>
      </c>
      <c r="CZ115">
        <v>0.5</v>
      </c>
      <c r="DA115" s="2"/>
      <c r="DD115" s="1">
        <v>41010</v>
      </c>
      <c r="DE115" s="2">
        <f t="shared" si="23"/>
        <v>4.5076923076923077</v>
      </c>
      <c r="DF115" s="2">
        <f t="shared" si="31"/>
        <v>1.723529411764706</v>
      </c>
      <c r="DG115" s="2">
        <f t="shared" si="24"/>
        <v>30.6</v>
      </c>
      <c r="DH115" s="2">
        <f t="shared" si="25"/>
        <v>0.1</v>
      </c>
      <c r="DI115" s="3">
        <f t="shared" si="26"/>
        <v>0.39215686274509803</v>
      </c>
    </row>
    <row r="116" spans="1:121">
      <c r="A116" s="17" t="s">
        <v>136</v>
      </c>
      <c r="D116">
        <v>0.6</v>
      </c>
      <c r="F116">
        <v>3.3</v>
      </c>
      <c r="L116">
        <v>1.9</v>
      </c>
      <c r="M116">
        <v>4.2</v>
      </c>
      <c r="O116">
        <v>13.2</v>
      </c>
      <c r="U116">
        <v>8</v>
      </c>
      <c r="X116">
        <v>3.3</v>
      </c>
      <c r="AA116">
        <v>0.3</v>
      </c>
      <c r="AC116">
        <v>6.8</v>
      </c>
      <c r="AF116">
        <v>6.1</v>
      </c>
      <c r="AH116">
        <v>0.7</v>
      </c>
      <c r="AK116">
        <v>13</v>
      </c>
      <c r="AL116">
        <v>24.8</v>
      </c>
      <c r="AM116">
        <v>1.8</v>
      </c>
      <c r="AR116">
        <v>16.5</v>
      </c>
      <c r="AT116">
        <v>16.7</v>
      </c>
      <c r="AX116">
        <v>1</v>
      </c>
      <c r="BA116">
        <v>1.3</v>
      </c>
      <c r="BD116">
        <v>1</v>
      </c>
      <c r="BE116">
        <v>2.4</v>
      </c>
      <c r="BG116">
        <v>0.3</v>
      </c>
      <c r="BH116">
        <v>2.4</v>
      </c>
      <c r="BJ116">
        <v>0.3</v>
      </c>
      <c r="BL116">
        <v>8</v>
      </c>
      <c r="BM116">
        <v>0.9</v>
      </c>
      <c r="BO116">
        <v>2.2000000000000002</v>
      </c>
      <c r="BP116" t="s">
        <v>0</v>
      </c>
      <c r="BR116">
        <v>3</v>
      </c>
      <c r="BS116">
        <v>0.1</v>
      </c>
      <c r="BT116">
        <v>0.1</v>
      </c>
      <c r="BW116">
        <v>5.0999999999999996</v>
      </c>
      <c r="BX116">
        <v>0.3</v>
      </c>
      <c r="BZ116">
        <v>3.1</v>
      </c>
      <c r="CC116">
        <v>0.3</v>
      </c>
      <c r="CE116">
        <v>0.8</v>
      </c>
      <c r="CF116">
        <v>0.1</v>
      </c>
      <c r="CJ116">
        <v>13.5</v>
      </c>
      <c r="CO116">
        <v>1</v>
      </c>
      <c r="CS116">
        <v>0.1</v>
      </c>
      <c r="DA116" s="2"/>
      <c r="DD116" s="1">
        <v>41011</v>
      </c>
      <c r="DE116" s="2">
        <f t="shared" si="23"/>
        <v>4.4342105263157894</v>
      </c>
      <c r="DF116" s="2">
        <f t="shared" si="31"/>
        <v>1.6519607843137254</v>
      </c>
      <c r="DG116" s="2">
        <f t="shared" si="24"/>
        <v>24.8</v>
      </c>
      <c r="DH116" s="2">
        <f t="shared" si="25"/>
        <v>0.1</v>
      </c>
      <c r="DI116" s="3">
        <f t="shared" si="26"/>
        <v>0.38235294117647056</v>
      </c>
    </row>
    <row r="117" spans="1:121">
      <c r="A117" s="17" t="s">
        <v>137</v>
      </c>
      <c r="C117">
        <v>0.7</v>
      </c>
      <c r="F117">
        <v>9.5</v>
      </c>
      <c r="J117">
        <v>0.3</v>
      </c>
      <c r="M117">
        <v>2.2000000000000002</v>
      </c>
      <c r="X117">
        <v>5.6</v>
      </c>
      <c r="AC117">
        <v>10.8</v>
      </c>
      <c r="AH117">
        <v>1.9</v>
      </c>
      <c r="AJ117">
        <v>0.5</v>
      </c>
      <c r="AL117">
        <v>4.5</v>
      </c>
      <c r="AM117">
        <v>18.5</v>
      </c>
      <c r="AN117">
        <v>19</v>
      </c>
      <c r="AR117">
        <v>14.9</v>
      </c>
      <c r="AS117">
        <v>6</v>
      </c>
      <c r="AT117">
        <v>2</v>
      </c>
      <c r="AW117">
        <v>1.3</v>
      </c>
      <c r="AY117">
        <v>0.5</v>
      </c>
      <c r="BA117">
        <v>9.8000000000000007</v>
      </c>
      <c r="BD117">
        <v>4.3</v>
      </c>
      <c r="BG117">
        <v>7</v>
      </c>
      <c r="BL117">
        <v>2.8</v>
      </c>
      <c r="BM117">
        <v>0.1</v>
      </c>
      <c r="BO117">
        <v>0.1</v>
      </c>
      <c r="BR117">
        <v>1.1000000000000001</v>
      </c>
      <c r="BS117">
        <v>1</v>
      </c>
      <c r="BT117">
        <v>0.1</v>
      </c>
      <c r="BW117">
        <v>5.0999999999999996</v>
      </c>
      <c r="BX117">
        <v>5</v>
      </c>
      <c r="BY117">
        <v>1.5</v>
      </c>
      <c r="BZ117">
        <v>0.2</v>
      </c>
      <c r="CC117">
        <v>0.1</v>
      </c>
      <c r="CJ117">
        <v>8.5</v>
      </c>
      <c r="CM117">
        <v>1</v>
      </c>
      <c r="CN117">
        <v>16.5</v>
      </c>
      <c r="CO117">
        <v>0.8</v>
      </c>
      <c r="CP117">
        <v>18.100000000000001</v>
      </c>
      <c r="CQ117">
        <v>0.1</v>
      </c>
      <c r="CR117">
        <v>0.4</v>
      </c>
      <c r="CT117">
        <v>0.2</v>
      </c>
      <c r="CV117">
        <v>0.1</v>
      </c>
      <c r="CY117">
        <v>2</v>
      </c>
      <c r="CZ117">
        <v>0.7</v>
      </c>
      <c r="DA117" s="2"/>
      <c r="DD117" s="1">
        <v>41012</v>
      </c>
      <c r="DE117" s="2">
        <f t="shared" si="23"/>
        <v>4.5073170731707295</v>
      </c>
      <c r="DF117" s="2">
        <f t="shared" si="31"/>
        <v>1.8117647058823523</v>
      </c>
      <c r="DG117" s="2">
        <f t="shared" si="24"/>
        <v>19</v>
      </c>
      <c r="DH117" s="2">
        <f t="shared" si="25"/>
        <v>0.1</v>
      </c>
      <c r="DI117" s="3">
        <f t="shared" si="26"/>
        <v>0.40196078431372551</v>
      </c>
    </row>
    <row r="118" spans="1:121">
      <c r="A118" s="17" t="s">
        <v>138</v>
      </c>
      <c r="F118">
        <v>3.6</v>
      </c>
      <c r="G118">
        <v>0.3</v>
      </c>
      <c r="O118">
        <v>0.7</v>
      </c>
      <c r="R118">
        <v>2.8</v>
      </c>
      <c r="S118">
        <v>1.3</v>
      </c>
      <c r="U118">
        <v>5.0999999999999996</v>
      </c>
      <c r="V118">
        <v>1.4</v>
      </c>
      <c r="Z118">
        <v>4.8</v>
      </c>
      <c r="AE118">
        <v>18.7</v>
      </c>
      <c r="AH118">
        <v>0.3</v>
      </c>
      <c r="AM118">
        <v>2.2999999999999998</v>
      </c>
      <c r="AN118">
        <v>2.1</v>
      </c>
      <c r="AP118">
        <v>0.6</v>
      </c>
      <c r="AY118">
        <v>2</v>
      </c>
      <c r="BA118">
        <v>0.9</v>
      </c>
      <c r="BD118">
        <v>1.4</v>
      </c>
      <c r="BE118">
        <v>1.5</v>
      </c>
      <c r="BG118">
        <v>0.1</v>
      </c>
      <c r="BH118">
        <v>1.1000000000000001</v>
      </c>
      <c r="BL118">
        <v>0.1</v>
      </c>
      <c r="BM118">
        <v>0.1</v>
      </c>
      <c r="BQ118">
        <v>3</v>
      </c>
      <c r="BR118">
        <v>1.3</v>
      </c>
      <c r="BW118">
        <v>1.8</v>
      </c>
      <c r="BY118">
        <v>19.8</v>
      </c>
      <c r="BZ118">
        <v>0.1</v>
      </c>
      <c r="CA118">
        <v>8</v>
      </c>
      <c r="CB118">
        <v>9.5</v>
      </c>
      <c r="CD118">
        <v>1.5</v>
      </c>
      <c r="CJ118">
        <v>4</v>
      </c>
      <c r="CL118">
        <v>7.5</v>
      </c>
      <c r="CN118">
        <v>0.2</v>
      </c>
      <c r="CO118">
        <v>0.7</v>
      </c>
      <c r="CQ118">
        <v>2.5</v>
      </c>
      <c r="CS118">
        <v>1.4</v>
      </c>
      <c r="CV118">
        <v>0.1</v>
      </c>
      <c r="CX118">
        <v>10.199999999999999</v>
      </c>
      <c r="CY118">
        <v>36.5</v>
      </c>
      <c r="DA118" s="2"/>
      <c r="DD118" s="1">
        <v>41013</v>
      </c>
      <c r="DE118" s="2">
        <f t="shared" si="23"/>
        <v>4.1921052631578952</v>
      </c>
      <c r="DF118" s="2">
        <f t="shared" si="31"/>
        <v>1.5617647058823529</v>
      </c>
      <c r="DG118" s="2">
        <f t="shared" si="24"/>
        <v>36.5</v>
      </c>
      <c r="DH118" s="2">
        <f t="shared" si="25"/>
        <v>0.1</v>
      </c>
      <c r="DI118" s="3">
        <f t="shared" si="26"/>
        <v>0.37254901960784315</v>
      </c>
    </row>
    <row r="119" spans="1:121">
      <c r="A119" s="17" t="s">
        <v>139</v>
      </c>
      <c r="C119">
        <v>4.0999999999999996</v>
      </c>
      <c r="D119">
        <v>10.3</v>
      </c>
      <c r="G119">
        <v>8.5</v>
      </c>
      <c r="L119">
        <v>0.4</v>
      </c>
      <c r="M119">
        <v>5.3</v>
      </c>
      <c r="N119">
        <v>0.1</v>
      </c>
      <c r="P119">
        <v>0.2</v>
      </c>
      <c r="V119">
        <v>19.2</v>
      </c>
      <c r="Z119">
        <v>6.5</v>
      </c>
      <c r="AE119">
        <v>1.5</v>
      </c>
      <c r="AG119">
        <v>0.7</v>
      </c>
      <c r="AH119">
        <v>0.4</v>
      </c>
      <c r="AJ119">
        <v>14.5</v>
      </c>
      <c r="AM119">
        <v>0.5</v>
      </c>
      <c r="AN119">
        <v>1.3</v>
      </c>
      <c r="AP119">
        <v>0.7</v>
      </c>
      <c r="AR119">
        <v>0.8</v>
      </c>
      <c r="AT119">
        <v>4.5999999999999996</v>
      </c>
      <c r="AV119">
        <v>0.6</v>
      </c>
      <c r="AW119">
        <v>15.6</v>
      </c>
      <c r="AY119">
        <v>0.5</v>
      </c>
      <c r="BA119">
        <v>4.8</v>
      </c>
      <c r="BB119">
        <v>0.2</v>
      </c>
      <c r="BD119">
        <v>0.5</v>
      </c>
      <c r="BE119">
        <v>4.2</v>
      </c>
      <c r="BF119">
        <v>0.3</v>
      </c>
      <c r="BH119">
        <v>15.1</v>
      </c>
      <c r="BI119">
        <v>1.2</v>
      </c>
      <c r="BJ119">
        <v>0.1</v>
      </c>
      <c r="BK119">
        <v>0.1</v>
      </c>
      <c r="BL119">
        <v>8</v>
      </c>
      <c r="BM119">
        <v>23</v>
      </c>
      <c r="BO119">
        <v>0.5</v>
      </c>
      <c r="BP119">
        <v>0.4</v>
      </c>
      <c r="BQ119">
        <v>0.1</v>
      </c>
      <c r="BS119">
        <v>0.3</v>
      </c>
      <c r="BW119">
        <v>1.7</v>
      </c>
      <c r="BZ119">
        <v>0.5</v>
      </c>
      <c r="CA119">
        <v>4.8</v>
      </c>
      <c r="CB119">
        <v>1.5</v>
      </c>
      <c r="CD119">
        <v>0.6</v>
      </c>
      <c r="CI119">
        <v>11.6</v>
      </c>
      <c r="CN119">
        <v>16.5</v>
      </c>
      <c r="CO119">
        <v>1.5</v>
      </c>
      <c r="CP119">
        <v>0.2</v>
      </c>
      <c r="CQ119">
        <v>7.6</v>
      </c>
      <c r="CR119">
        <v>0.3</v>
      </c>
      <c r="CY119">
        <v>0.5</v>
      </c>
      <c r="CZ119">
        <v>5</v>
      </c>
      <c r="DA119" s="2"/>
      <c r="DD119" s="1">
        <v>41014</v>
      </c>
      <c r="DE119" s="2">
        <f t="shared" si="23"/>
        <v>4.2326530612244886</v>
      </c>
      <c r="DF119" s="2">
        <f t="shared" si="31"/>
        <v>2.0333333333333328</v>
      </c>
      <c r="DG119" s="2">
        <f t="shared" si="24"/>
        <v>23</v>
      </c>
      <c r="DH119" s="2">
        <f t="shared" si="25"/>
        <v>0.1</v>
      </c>
      <c r="DI119" s="3">
        <f t="shared" si="26"/>
        <v>0.48039215686274511</v>
      </c>
    </row>
    <row r="120" spans="1:121">
      <c r="A120" s="17" t="s">
        <v>140</v>
      </c>
      <c r="C120">
        <v>0.7</v>
      </c>
      <c r="D120">
        <v>2.6</v>
      </c>
      <c r="G120">
        <v>3.8</v>
      </c>
      <c r="I120">
        <v>3.3</v>
      </c>
      <c r="L120">
        <v>0.4</v>
      </c>
      <c r="M120">
        <v>0.1</v>
      </c>
      <c r="R120">
        <v>0.2</v>
      </c>
      <c r="W120">
        <v>13</v>
      </c>
      <c r="Z120">
        <v>0.2</v>
      </c>
      <c r="AB120">
        <v>9</v>
      </c>
      <c r="AC120">
        <v>8.4</v>
      </c>
      <c r="AF120">
        <v>0.9</v>
      </c>
      <c r="AN120">
        <v>1.7</v>
      </c>
      <c r="AP120">
        <v>13</v>
      </c>
      <c r="AT120">
        <v>5.3</v>
      </c>
      <c r="AV120">
        <v>21</v>
      </c>
      <c r="AW120">
        <v>3.8</v>
      </c>
      <c r="AY120">
        <v>13.3</v>
      </c>
      <c r="BA120">
        <v>5</v>
      </c>
      <c r="BB120">
        <v>0.8</v>
      </c>
      <c r="BD120">
        <v>24.4</v>
      </c>
      <c r="BF120">
        <v>0.2</v>
      </c>
      <c r="BG120">
        <v>22</v>
      </c>
      <c r="BH120">
        <v>2.6</v>
      </c>
      <c r="BI120">
        <v>40.799999999999997</v>
      </c>
      <c r="BJ120">
        <v>0.2</v>
      </c>
      <c r="BK120">
        <v>1</v>
      </c>
      <c r="BL120">
        <v>0.1</v>
      </c>
      <c r="BM120">
        <v>5.3</v>
      </c>
      <c r="BN120">
        <v>1.3</v>
      </c>
      <c r="BO120">
        <v>1.5</v>
      </c>
      <c r="BP120">
        <v>11</v>
      </c>
      <c r="BQ120">
        <v>3.2</v>
      </c>
      <c r="BU120">
        <v>7.5</v>
      </c>
      <c r="BV120">
        <v>7.7</v>
      </c>
      <c r="CA120">
        <v>4.5</v>
      </c>
      <c r="CC120">
        <v>0.1</v>
      </c>
      <c r="CD120">
        <v>1.2</v>
      </c>
      <c r="CH120">
        <v>5.0999999999999996</v>
      </c>
      <c r="CJ120">
        <v>7.3</v>
      </c>
      <c r="CO120">
        <v>4.3</v>
      </c>
      <c r="CT120">
        <v>0.3</v>
      </c>
      <c r="CU120">
        <v>0.2</v>
      </c>
      <c r="CV120">
        <v>2.7</v>
      </c>
      <c r="CW120">
        <v>0.1</v>
      </c>
      <c r="CZ120">
        <v>2.6</v>
      </c>
      <c r="DA120" s="2"/>
      <c r="DD120" s="1">
        <v>41015</v>
      </c>
      <c r="DE120" s="2">
        <f t="shared" si="23"/>
        <v>5.7326086956521722</v>
      </c>
      <c r="DF120" s="2">
        <f t="shared" si="31"/>
        <v>2.5852941176470581</v>
      </c>
      <c r="DG120" s="2">
        <f t="shared" si="24"/>
        <v>40.799999999999997</v>
      </c>
      <c r="DH120" s="2">
        <f t="shared" si="25"/>
        <v>0.1</v>
      </c>
      <c r="DI120" s="3">
        <f t="shared" si="26"/>
        <v>0.45098039215686275</v>
      </c>
    </row>
    <row r="121" spans="1:121">
      <c r="A121" s="17" t="s">
        <v>141</v>
      </c>
      <c r="C121">
        <v>0.1</v>
      </c>
      <c r="G121">
        <v>10</v>
      </c>
      <c r="M121">
        <v>0.2</v>
      </c>
      <c r="N121">
        <v>0.2</v>
      </c>
      <c r="P121">
        <v>3.8</v>
      </c>
      <c r="R121">
        <v>5.5</v>
      </c>
      <c r="T121">
        <v>14</v>
      </c>
      <c r="U121">
        <v>11.9</v>
      </c>
      <c r="X121">
        <v>0.2</v>
      </c>
      <c r="Z121">
        <v>0.6</v>
      </c>
      <c r="AB121">
        <v>4.7</v>
      </c>
      <c r="AC121">
        <v>7.5</v>
      </c>
      <c r="AR121">
        <v>3.2</v>
      </c>
      <c r="AY121">
        <v>1.5</v>
      </c>
      <c r="BD121">
        <v>18.8</v>
      </c>
      <c r="BF121">
        <v>0.2</v>
      </c>
      <c r="BG121">
        <v>0.3</v>
      </c>
      <c r="BI121">
        <v>37</v>
      </c>
      <c r="BJ121">
        <v>0.1</v>
      </c>
      <c r="BK121">
        <v>1.3</v>
      </c>
      <c r="BL121">
        <v>5.5</v>
      </c>
      <c r="BM121">
        <v>1.4</v>
      </c>
      <c r="BN121">
        <v>4.3</v>
      </c>
      <c r="BO121">
        <v>1.2</v>
      </c>
      <c r="BP121">
        <v>0.4</v>
      </c>
      <c r="BQ121">
        <v>2.8</v>
      </c>
      <c r="BR121">
        <v>1.3</v>
      </c>
      <c r="BS121">
        <v>0.7</v>
      </c>
      <c r="BU121">
        <v>16.100000000000001</v>
      </c>
      <c r="BV121">
        <v>1.7</v>
      </c>
      <c r="CA121">
        <v>1.6</v>
      </c>
      <c r="CC121">
        <v>2.2999999999999998</v>
      </c>
      <c r="CF121">
        <v>1.6</v>
      </c>
      <c r="CH121">
        <v>1.8</v>
      </c>
      <c r="CI121">
        <v>2.5</v>
      </c>
      <c r="CJ121">
        <v>0.8</v>
      </c>
      <c r="CN121">
        <v>2</v>
      </c>
      <c r="CP121">
        <v>0.1</v>
      </c>
      <c r="CQ121">
        <v>0.5</v>
      </c>
      <c r="CW121">
        <v>1.7</v>
      </c>
      <c r="CX121">
        <v>12.2</v>
      </c>
      <c r="CZ121">
        <v>0.2</v>
      </c>
      <c r="DA121" s="2"/>
      <c r="DD121" s="1">
        <v>41016</v>
      </c>
      <c r="DE121" s="2">
        <f t="shared" si="23"/>
        <v>4.3761904761904757</v>
      </c>
      <c r="DF121" s="2">
        <f t="shared" si="31"/>
        <v>1.8019607843137253</v>
      </c>
      <c r="DG121" s="2">
        <f t="shared" si="24"/>
        <v>37</v>
      </c>
      <c r="DH121" s="2">
        <f t="shared" si="25"/>
        <v>0.1</v>
      </c>
      <c r="DI121" s="3">
        <f t="shared" si="26"/>
        <v>0.41176470588235292</v>
      </c>
    </row>
    <row r="122" spans="1:121">
      <c r="A122" s="17" t="s">
        <v>142</v>
      </c>
      <c r="G122">
        <v>0.6</v>
      </c>
      <c r="I122">
        <v>0.5</v>
      </c>
      <c r="L122">
        <v>0.2</v>
      </c>
      <c r="P122">
        <v>3.2</v>
      </c>
      <c r="Q122">
        <v>4</v>
      </c>
      <c r="R122">
        <v>7.2</v>
      </c>
      <c r="T122">
        <v>1.1000000000000001</v>
      </c>
      <c r="W122">
        <v>0.1</v>
      </c>
      <c r="X122">
        <v>0.2</v>
      </c>
      <c r="Z122">
        <v>15.5</v>
      </c>
      <c r="AA122">
        <v>0.6</v>
      </c>
      <c r="AN122">
        <v>40.5</v>
      </c>
      <c r="AR122">
        <v>7.8</v>
      </c>
      <c r="AS122">
        <v>3.8</v>
      </c>
      <c r="AT122">
        <v>4.5999999999999996</v>
      </c>
      <c r="AW122">
        <v>6.6</v>
      </c>
      <c r="AY122">
        <v>1.8</v>
      </c>
      <c r="BH122">
        <v>26.7</v>
      </c>
      <c r="BI122">
        <v>3.8</v>
      </c>
      <c r="BL122">
        <v>1.3</v>
      </c>
      <c r="BM122">
        <v>0.8</v>
      </c>
      <c r="BN122">
        <v>0.9</v>
      </c>
      <c r="BQ122">
        <v>1</v>
      </c>
      <c r="BR122">
        <v>8.6</v>
      </c>
      <c r="BT122">
        <v>1</v>
      </c>
      <c r="BU122">
        <v>1.2</v>
      </c>
      <c r="BV122">
        <v>0.2</v>
      </c>
      <c r="BZ122">
        <v>0.3</v>
      </c>
      <c r="CA122">
        <v>21.8</v>
      </c>
      <c r="CI122">
        <v>10</v>
      </c>
      <c r="CM122">
        <v>0.5</v>
      </c>
      <c r="CN122">
        <v>12.5</v>
      </c>
      <c r="CP122">
        <v>10.4</v>
      </c>
      <c r="CQ122">
        <v>1.2</v>
      </c>
      <c r="CT122">
        <v>0.4</v>
      </c>
      <c r="CW122">
        <v>0.1</v>
      </c>
      <c r="CX122">
        <v>14.6</v>
      </c>
      <c r="CY122">
        <v>14.6</v>
      </c>
      <c r="DA122" s="2"/>
      <c r="DD122" s="1">
        <v>41017</v>
      </c>
      <c r="DE122" s="2">
        <f t="shared" si="23"/>
        <v>6.0578947368421048</v>
      </c>
      <c r="DF122" s="2">
        <f t="shared" si="31"/>
        <v>2.2568627450980392</v>
      </c>
      <c r="DG122" s="2">
        <f t="shared" si="24"/>
        <v>40.5</v>
      </c>
      <c r="DH122" s="2">
        <f t="shared" si="25"/>
        <v>0.1</v>
      </c>
      <c r="DI122" s="3">
        <f t="shared" si="26"/>
        <v>0.37254901960784315</v>
      </c>
    </row>
    <row r="123" spans="1:121">
      <c r="A123" s="17" t="s">
        <v>143</v>
      </c>
      <c r="E123">
        <v>0.1</v>
      </c>
      <c r="G123">
        <v>5.9</v>
      </c>
      <c r="H123">
        <v>2.1</v>
      </c>
      <c r="J123">
        <v>1.4</v>
      </c>
      <c r="P123">
        <v>1.5</v>
      </c>
      <c r="X123">
        <v>5.5</v>
      </c>
      <c r="Z123">
        <v>0.3</v>
      </c>
      <c r="AC123">
        <v>0.2</v>
      </c>
      <c r="AJ123">
        <v>4.5</v>
      </c>
      <c r="AN123">
        <v>4.5999999999999996</v>
      </c>
      <c r="AR123">
        <v>6.4</v>
      </c>
      <c r="AS123">
        <v>5.6</v>
      </c>
      <c r="AT123">
        <v>1.5</v>
      </c>
      <c r="AV123">
        <v>1.8</v>
      </c>
      <c r="AX123">
        <v>0.2</v>
      </c>
      <c r="BD123">
        <v>0.2</v>
      </c>
      <c r="BF123">
        <v>11.8</v>
      </c>
      <c r="BH123">
        <v>10.3</v>
      </c>
      <c r="BI123">
        <v>0.3</v>
      </c>
      <c r="BL123">
        <v>0.4</v>
      </c>
      <c r="BM123">
        <v>0.1</v>
      </c>
      <c r="BN123">
        <v>3.4</v>
      </c>
      <c r="BQ123">
        <v>41.2</v>
      </c>
      <c r="BR123">
        <v>20.3</v>
      </c>
      <c r="BT123">
        <v>14.6</v>
      </c>
      <c r="BU123">
        <v>0.2</v>
      </c>
      <c r="BW123">
        <v>3.3</v>
      </c>
      <c r="BZ123">
        <v>0.1</v>
      </c>
      <c r="CA123">
        <v>6.2</v>
      </c>
      <c r="CE123">
        <v>8.8000000000000007</v>
      </c>
      <c r="CI123">
        <v>8.1</v>
      </c>
      <c r="CJ123">
        <v>7</v>
      </c>
      <c r="CK123">
        <v>5.5</v>
      </c>
      <c r="CM123">
        <v>7</v>
      </c>
      <c r="CO123">
        <v>1.9</v>
      </c>
      <c r="CP123">
        <v>15</v>
      </c>
      <c r="CQ123">
        <v>0.6</v>
      </c>
      <c r="CT123">
        <v>0.4</v>
      </c>
      <c r="CU123">
        <v>0.1</v>
      </c>
      <c r="CW123">
        <v>10.4</v>
      </c>
      <c r="CX123">
        <v>1.1000000000000001</v>
      </c>
      <c r="CY123">
        <v>0.5</v>
      </c>
      <c r="DA123" s="2"/>
      <c r="DD123" s="1">
        <v>41018</v>
      </c>
      <c r="DE123" s="2">
        <f t="shared" si="23"/>
        <v>5.2476190476190476</v>
      </c>
      <c r="DF123" s="2">
        <f t="shared" si="31"/>
        <v>2.1607843137254901</v>
      </c>
      <c r="DG123" s="2">
        <f t="shared" si="24"/>
        <v>41.2</v>
      </c>
      <c r="DH123" s="2">
        <f t="shared" si="25"/>
        <v>0.1</v>
      </c>
      <c r="DI123" s="3">
        <f t="shared" si="26"/>
        <v>0.41176470588235292</v>
      </c>
    </row>
    <row r="124" spans="1:121">
      <c r="A124" s="17" t="s">
        <v>144</v>
      </c>
      <c r="C124">
        <v>0.7</v>
      </c>
      <c r="D124">
        <v>0.3</v>
      </c>
      <c r="H124">
        <v>6</v>
      </c>
      <c r="I124">
        <v>3.2</v>
      </c>
      <c r="J124">
        <v>1.8</v>
      </c>
      <c r="L124">
        <v>0.1</v>
      </c>
      <c r="U124">
        <v>0.4</v>
      </c>
      <c r="W124">
        <v>22.1</v>
      </c>
      <c r="AB124">
        <v>0.8</v>
      </c>
      <c r="AC124">
        <v>1</v>
      </c>
      <c r="AD124">
        <v>2.6</v>
      </c>
      <c r="AJ124">
        <v>15.3</v>
      </c>
      <c r="AM124">
        <v>0.3</v>
      </c>
      <c r="AR124">
        <v>15.5</v>
      </c>
      <c r="AT124">
        <v>2.5</v>
      </c>
      <c r="AX124">
        <v>2.9</v>
      </c>
      <c r="AY124">
        <v>4.2</v>
      </c>
      <c r="BD124">
        <v>1.1000000000000001</v>
      </c>
      <c r="BF124">
        <v>0.5</v>
      </c>
      <c r="BG124">
        <v>5.2</v>
      </c>
      <c r="BI124">
        <v>0.2</v>
      </c>
      <c r="BJ124">
        <v>0.6</v>
      </c>
      <c r="BK124">
        <v>2</v>
      </c>
      <c r="BL124">
        <v>0.6</v>
      </c>
      <c r="BM124">
        <v>0.2</v>
      </c>
      <c r="BN124">
        <v>0.1</v>
      </c>
      <c r="BS124">
        <v>9.8000000000000007</v>
      </c>
      <c r="BU124">
        <v>20.3</v>
      </c>
      <c r="BV124">
        <v>0.4</v>
      </c>
      <c r="BW124">
        <v>2</v>
      </c>
      <c r="BY124">
        <v>11</v>
      </c>
      <c r="CA124">
        <v>2.6</v>
      </c>
      <c r="CC124">
        <v>0.8</v>
      </c>
      <c r="CE124">
        <v>4.5</v>
      </c>
      <c r="CG124">
        <v>4.7</v>
      </c>
      <c r="CI124">
        <v>2.6</v>
      </c>
      <c r="CK124">
        <v>0.5</v>
      </c>
      <c r="CM124">
        <v>19</v>
      </c>
      <c r="CO124">
        <v>0.5</v>
      </c>
      <c r="CP124">
        <v>3</v>
      </c>
      <c r="CX124">
        <v>4.9000000000000004</v>
      </c>
      <c r="CZ124">
        <v>0.4</v>
      </c>
      <c r="DA124" s="2"/>
      <c r="DD124" s="1">
        <v>41019</v>
      </c>
      <c r="DE124" s="2">
        <f t="shared" si="23"/>
        <v>4.2190476190476192</v>
      </c>
      <c r="DF124" s="2">
        <f t="shared" si="31"/>
        <v>1.7372549019607841</v>
      </c>
      <c r="DG124" s="2">
        <f t="shared" si="24"/>
        <v>22.1</v>
      </c>
      <c r="DH124" s="2">
        <f t="shared" si="25"/>
        <v>0.1</v>
      </c>
      <c r="DI124" s="3">
        <f t="shared" si="26"/>
        <v>0.41176470588235292</v>
      </c>
    </row>
    <row r="125" spans="1:121">
      <c r="A125" s="17" t="s">
        <v>145</v>
      </c>
      <c r="C125">
        <v>42.5</v>
      </c>
      <c r="D125">
        <v>0.4</v>
      </c>
      <c r="H125">
        <v>6.1</v>
      </c>
      <c r="J125">
        <v>1.8</v>
      </c>
      <c r="L125">
        <v>0.7</v>
      </c>
      <c r="W125">
        <v>23.2</v>
      </c>
      <c r="AB125">
        <v>12.5</v>
      </c>
      <c r="AC125">
        <v>5.5</v>
      </c>
      <c r="AN125">
        <v>3.2</v>
      </c>
      <c r="AP125">
        <v>0.2</v>
      </c>
      <c r="AS125">
        <v>0.8</v>
      </c>
      <c r="AU125">
        <v>0.3</v>
      </c>
      <c r="AV125">
        <v>1.2</v>
      </c>
      <c r="AX125">
        <v>0.5</v>
      </c>
      <c r="AY125">
        <v>7.2</v>
      </c>
      <c r="AZ125">
        <v>0.4</v>
      </c>
      <c r="BB125">
        <v>2.2999999999999998</v>
      </c>
      <c r="BD125">
        <v>0.2</v>
      </c>
      <c r="BG125">
        <v>1</v>
      </c>
      <c r="BJ125">
        <v>7.7</v>
      </c>
      <c r="BK125">
        <v>6.9</v>
      </c>
      <c r="BP125">
        <v>0.2</v>
      </c>
      <c r="BS125">
        <v>0.1</v>
      </c>
      <c r="BU125">
        <v>20.3</v>
      </c>
      <c r="BV125">
        <v>0.1</v>
      </c>
      <c r="BX125">
        <v>0.3</v>
      </c>
      <c r="BY125">
        <v>1</v>
      </c>
      <c r="CA125">
        <v>10.5</v>
      </c>
      <c r="CE125">
        <v>14.1</v>
      </c>
      <c r="CI125">
        <v>0.2</v>
      </c>
      <c r="CK125">
        <v>1</v>
      </c>
      <c r="CM125">
        <v>1</v>
      </c>
      <c r="CN125">
        <v>0.8</v>
      </c>
      <c r="CQ125">
        <v>1.4</v>
      </c>
      <c r="CW125">
        <v>1.2</v>
      </c>
      <c r="CY125">
        <v>5.9</v>
      </c>
      <c r="CZ125">
        <v>1</v>
      </c>
      <c r="DA125" s="2"/>
      <c r="DD125" s="1">
        <v>41020</v>
      </c>
      <c r="DE125" s="2">
        <f t="shared" si="23"/>
        <v>4.9648648648648654</v>
      </c>
      <c r="DF125" s="2">
        <f t="shared" si="31"/>
        <v>1.800980392156863</v>
      </c>
      <c r="DG125" s="2">
        <f t="shared" si="24"/>
        <v>42.5</v>
      </c>
      <c r="DH125" s="2">
        <f t="shared" si="25"/>
        <v>0.1</v>
      </c>
      <c r="DI125" s="3">
        <f t="shared" si="26"/>
        <v>0.36274509803921567</v>
      </c>
      <c r="DK125" s="2"/>
      <c r="DL125" s="18"/>
      <c r="DM125" s="18"/>
      <c r="DN125" s="18"/>
      <c r="DO125" s="18"/>
      <c r="DP125" s="18"/>
      <c r="DQ125" s="18"/>
    </row>
    <row r="126" spans="1:121">
      <c r="A126" s="17" t="s">
        <v>146</v>
      </c>
      <c r="C126">
        <v>28.8</v>
      </c>
      <c r="H126">
        <v>1.7</v>
      </c>
      <c r="I126">
        <v>5</v>
      </c>
      <c r="J126">
        <v>1.4</v>
      </c>
      <c r="R126">
        <v>1.4</v>
      </c>
      <c r="AA126">
        <v>0.3</v>
      </c>
      <c r="AB126">
        <v>0.3</v>
      </c>
      <c r="AC126">
        <v>2.1</v>
      </c>
      <c r="AV126">
        <v>8.8000000000000007</v>
      </c>
      <c r="AZ126">
        <v>0.4</v>
      </c>
      <c r="BB126">
        <v>0.8</v>
      </c>
      <c r="BD126">
        <v>35.4</v>
      </c>
      <c r="BF126">
        <v>5</v>
      </c>
      <c r="BJ126">
        <v>0.1</v>
      </c>
      <c r="BK126">
        <v>7.4</v>
      </c>
      <c r="BM126">
        <v>0.2</v>
      </c>
      <c r="BP126">
        <v>0.5</v>
      </c>
      <c r="BS126">
        <v>10</v>
      </c>
      <c r="BU126">
        <v>1.6</v>
      </c>
      <c r="BW126">
        <v>1.4</v>
      </c>
      <c r="BX126">
        <v>0.8</v>
      </c>
      <c r="BZ126">
        <v>5.5</v>
      </c>
      <c r="CA126">
        <v>0.2</v>
      </c>
      <c r="CD126">
        <v>7.2</v>
      </c>
      <c r="CG126">
        <v>13.9</v>
      </c>
      <c r="CI126">
        <v>1.1000000000000001</v>
      </c>
      <c r="CK126">
        <v>7</v>
      </c>
      <c r="CM126">
        <v>0.5</v>
      </c>
      <c r="CN126">
        <v>0.7</v>
      </c>
      <c r="CR126">
        <v>4.3</v>
      </c>
      <c r="CV126">
        <v>7.7</v>
      </c>
      <c r="CZ126">
        <v>0.2</v>
      </c>
      <c r="DA126" s="2"/>
      <c r="DD126" s="1">
        <v>41021</v>
      </c>
      <c r="DE126" s="2">
        <f t="shared" si="23"/>
        <v>5.0531249999999988</v>
      </c>
      <c r="DF126" s="2">
        <f t="shared" si="31"/>
        <v>1.5852941176470585</v>
      </c>
      <c r="DG126" s="2">
        <f t="shared" si="24"/>
        <v>35.4</v>
      </c>
      <c r="DH126" s="2">
        <f t="shared" si="25"/>
        <v>0.1</v>
      </c>
      <c r="DI126" s="3">
        <f t="shared" si="26"/>
        <v>0.31372549019607843</v>
      </c>
    </row>
    <row r="127" spans="1:121">
      <c r="A127" s="17" t="s">
        <v>147</v>
      </c>
      <c r="C127">
        <v>2.2000000000000002</v>
      </c>
      <c r="H127">
        <v>4</v>
      </c>
      <c r="U127">
        <v>0.2</v>
      </c>
      <c r="X127">
        <v>2.2000000000000002</v>
      </c>
      <c r="Y127">
        <v>0.2</v>
      </c>
      <c r="AB127">
        <v>0.4</v>
      </c>
      <c r="AD127">
        <v>0.3</v>
      </c>
      <c r="AE127">
        <v>0.2</v>
      </c>
      <c r="AJ127">
        <v>13</v>
      </c>
      <c r="AK127">
        <v>0.1</v>
      </c>
      <c r="AN127">
        <v>3.9</v>
      </c>
      <c r="AP127">
        <v>12.3</v>
      </c>
      <c r="AS127">
        <v>3</v>
      </c>
      <c r="AV127">
        <v>0.2</v>
      </c>
      <c r="AW127">
        <v>0.2</v>
      </c>
      <c r="AX127">
        <v>0.3</v>
      </c>
      <c r="BD127">
        <v>9</v>
      </c>
      <c r="BF127">
        <v>15.7</v>
      </c>
      <c r="BG127">
        <v>0.3</v>
      </c>
      <c r="BL127">
        <v>1.2</v>
      </c>
      <c r="BM127">
        <v>5.2</v>
      </c>
      <c r="BR127">
        <v>0.1</v>
      </c>
      <c r="BS127">
        <v>0.1</v>
      </c>
      <c r="BW127">
        <v>0.1</v>
      </c>
      <c r="BZ127">
        <v>3.3</v>
      </c>
      <c r="CA127">
        <v>0.1</v>
      </c>
      <c r="CD127">
        <v>1.2</v>
      </c>
      <c r="CK127">
        <v>4.5</v>
      </c>
      <c r="CM127">
        <v>9</v>
      </c>
      <c r="CN127">
        <v>5.5</v>
      </c>
      <c r="CR127">
        <v>0.3</v>
      </c>
      <c r="DA127" s="2"/>
      <c r="DD127" s="1">
        <v>41022</v>
      </c>
      <c r="DE127" s="2">
        <f t="shared" si="23"/>
        <v>3.1709677419354834</v>
      </c>
      <c r="DF127" s="2">
        <f t="shared" si="31"/>
        <v>0.96372549019607823</v>
      </c>
      <c r="DG127" s="2">
        <f t="shared" si="24"/>
        <v>15.7</v>
      </c>
      <c r="DH127" s="2">
        <f t="shared" si="25"/>
        <v>0.1</v>
      </c>
      <c r="DI127" s="3">
        <f t="shared" si="26"/>
        <v>0.30392156862745096</v>
      </c>
    </row>
    <row r="128" spans="1:121">
      <c r="A128" s="17" t="s">
        <v>148</v>
      </c>
      <c r="H128">
        <v>1.3</v>
      </c>
      <c r="J128">
        <v>4.7</v>
      </c>
      <c r="K128">
        <v>3.4</v>
      </c>
      <c r="L128">
        <v>1.2</v>
      </c>
      <c r="M128">
        <v>12.2</v>
      </c>
      <c r="S128">
        <v>1</v>
      </c>
      <c r="W128">
        <v>2</v>
      </c>
      <c r="X128">
        <v>8.8000000000000007</v>
      </c>
      <c r="AA128">
        <v>11.6</v>
      </c>
      <c r="AD128">
        <v>0.2</v>
      </c>
      <c r="AG128">
        <v>0.3</v>
      </c>
      <c r="AK128">
        <v>1.2</v>
      </c>
      <c r="AM128">
        <v>1.4</v>
      </c>
      <c r="AN128">
        <v>0.8</v>
      </c>
      <c r="AP128">
        <v>5.4</v>
      </c>
      <c r="AS128">
        <v>8.3000000000000007</v>
      </c>
      <c r="AU128">
        <v>1.4</v>
      </c>
      <c r="AZ128">
        <v>6.7</v>
      </c>
      <c r="BE128">
        <v>0.5</v>
      </c>
      <c r="BH128">
        <v>0.2</v>
      </c>
      <c r="BI128">
        <v>0.1</v>
      </c>
      <c r="BL128">
        <v>9</v>
      </c>
      <c r="BO128">
        <v>0.2</v>
      </c>
      <c r="BS128">
        <v>0.2</v>
      </c>
      <c r="BW128">
        <v>7.1</v>
      </c>
      <c r="CC128">
        <v>0.1</v>
      </c>
      <c r="CE128">
        <v>12.6</v>
      </c>
      <c r="CM128">
        <v>0.2</v>
      </c>
      <c r="CP128">
        <v>0.1</v>
      </c>
      <c r="DA128" s="2"/>
      <c r="DD128" s="1">
        <v>41023</v>
      </c>
      <c r="DE128" s="2">
        <f t="shared" si="23"/>
        <v>3.5241379310344825</v>
      </c>
      <c r="DF128" s="2">
        <f t="shared" si="31"/>
        <v>1.0019607843137255</v>
      </c>
      <c r="DG128" s="2">
        <f t="shared" si="24"/>
        <v>12.6</v>
      </c>
      <c r="DH128" s="2">
        <f t="shared" si="25"/>
        <v>0.1</v>
      </c>
      <c r="DI128" s="3">
        <f t="shared" si="26"/>
        <v>0.28431372549019607</v>
      </c>
    </row>
    <row r="129" spans="1:122">
      <c r="A129" s="17" t="s">
        <v>149</v>
      </c>
      <c r="L129">
        <v>4.3</v>
      </c>
      <c r="M129">
        <v>1.1000000000000001</v>
      </c>
      <c r="O129">
        <v>0.6</v>
      </c>
      <c r="T129">
        <v>4.9000000000000004</v>
      </c>
      <c r="X129">
        <v>4</v>
      </c>
      <c r="AA129">
        <v>1.4</v>
      </c>
      <c r="AB129">
        <v>2.1</v>
      </c>
      <c r="AJ129">
        <v>2.5</v>
      </c>
      <c r="AO129">
        <v>3.3</v>
      </c>
      <c r="AP129">
        <v>1.1000000000000001</v>
      </c>
      <c r="AR129">
        <v>0.7</v>
      </c>
      <c r="AS129">
        <v>0.6</v>
      </c>
      <c r="AU129">
        <v>1.8</v>
      </c>
      <c r="AV129">
        <v>0.3</v>
      </c>
      <c r="AW129">
        <v>1.5</v>
      </c>
      <c r="AZ129">
        <v>9.1999999999999993</v>
      </c>
      <c r="BB129">
        <v>1.7</v>
      </c>
      <c r="BH129">
        <v>12.3</v>
      </c>
      <c r="BI129">
        <v>0.1</v>
      </c>
      <c r="BL129">
        <v>0.1</v>
      </c>
      <c r="BM129">
        <v>0.9</v>
      </c>
      <c r="BP129">
        <v>16.7</v>
      </c>
      <c r="BW129">
        <v>2.5</v>
      </c>
      <c r="BX129">
        <v>0.2</v>
      </c>
      <c r="CC129">
        <v>2.8</v>
      </c>
      <c r="CD129">
        <v>1.3</v>
      </c>
      <c r="CK129">
        <v>15.7</v>
      </c>
      <c r="CL129">
        <v>0.5</v>
      </c>
      <c r="CM129">
        <v>16.5</v>
      </c>
      <c r="CP129">
        <v>0.5</v>
      </c>
      <c r="CU129">
        <v>4.2</v>
      </c>
      <c r="CZ129">
        <v>0.1</v>
      </c>
      <c r="DA129" s="2"/>
      <c r="DD129" s="1">
        <v>41024</v>
      </c>
      <c r="DE129" s="2">
        <f t="shared" si="23"/>
        <v>3.609375</v>
      </c>
      <c r="DF129" s="2">
        <f t="shared" si="31"/>
        <v>1.1323529411764706</v>
      </c>
      <c r="DG129" s="2">
        <f t="shared" si="24"/>
        <v>16.7</v>
      </c>
      <c r="DH129" s="2">
        <f t="shared" si="25"/>
        <v>0.1</v>
      </c>
      <c r="DI129" s="3">
        <f t="shared" si="26"/>
        <v>0.31372549019607843</v>
      </c>
    </row>
    <row r="130" spans="1:122">
      <c r="A130" s="17" t="s">
        <v>150</v>
      </c>
      <c r="F130">
        <v>0.9</v>
      </c>
      <c r="G130">
        <v>1.3</v>
      </c>
      <c r="H130">
        <v>4.2</v>
      </c>
      <c r="J130">
        <v>0.4</v>
      </c>
      <c r="L130">
        <v>4.9000000000000004</v>
      </c>
      <c r="M130">
        <v>9.4</v>
      </c>
      <c r="R130">
        <v>16.7</v>
      </c>
      <c r="S130">
        <v>2</v>
      </c>
      <c r="U130">
        <v>0.8</v>
      </c>
      <c r="W130">
        <v>1.2</v>
      </c>
      <c r="X130">
        <v>5.6</v>
      </c>
      <c r="AB130">
        <v>2.1</v>
      </c>
      <c r="AC130">
        <v>1.1000000000000001</v>
      </c>
      <c r="AI130">
        <v>1.1000000000000001</v>
      </c>
      <c r="AK130">
        <v>0.3</v>
      </c>
      <c r="AM130">
        <v>16.5</v>
      </c>
      <c r="AO130">
        <v>1.2</v>
      </c>
      <c r="AV130">
        <v>15.6</v>
      </c>
      <c r="BB130">
        <v>12</v>
      </c>
      <c r="BC130">
        <v>8.1999999999999993</v>
      </c>
      <c r="BD130">
        <v>13.5</v>
      </c>
      <c r="BE130">
        <v>1.3</v>
      </c>
      <c r="BH130">
        <v>16.600000000000001</v>
      </c>
      <c r="BI130">
        <v>0.1</v>
      </c>
      <c r="BK130">
        <v>4.8</v>
      </c>
      <c r="BL130">
        <v>4.8</v>
      </c>
      <c r="BM130">
        <v>0.4</v>
      </c>
      <c r="BN130">
        <v>1.6</v>
      </c>
      <c r="BO130">
        <v>0.1</v>
      </c>
      <c r="BP130">
        <v>0.2</v>
      </c>
      <c r="BQ130">
        <v>8</v>
      </c>
      <c r="BX130">
        <v>0.4</v>
      </c>
      <c r="CC130">
        <v>7.4</v>
      </c>
      <c r="CK130">
        <v>6</v>
      </c>
      <c r="CL130">
        <v>0.5</v>
      </c>
      <c r="CM130">
        <v>4.5</v>
      </c>
      <c r="CQ130">
        <v>1.7</v>
      </c>
      <c r="CR130">
        <v>2</v>
      </c>
      <c r="CU130">
        <v>4.5</v>
      </c>
      <c r="CV130">
        <v>0.8</v>
      </c>
      <c r="DA130" s="2"/>
      <c r="DD130" s="1">
        <v>41025</v>
      </c>
      <c r="DE130" s="2">
        <f t="shared" si="23"/>
        <v>4.6175000000000006</v>
      </c>
      <c r="DF130" s="2">
        <f t="shared" si="31"/>
        <v>1.8107843137254904</v>
      </c>
      <c r="DG130" s="2">
        <f t="shared" si="24"/>
        <v>16.7</v>
      </c>
      <c r="DH130" s="2">
        <f t="shared" si="25"/>
        <v>0.1</v>
      </c>
      <c r="DI130" s="3">
        <f t="shared" si="26"/>
        <v>0.39215686274509803</v>
      </c>
    </row>
    <row r="131" spans="1:122">
      <c r="A131" s="17" t="s">
        <v>151</v>
      </c>
      <c r="E131">
        <v>6.7</v>
      </c>
      <c r="F131">
        <v>0.3</v>
      </c>
      <c r="G131">
        <v>0.2</v>
      </c>
      <c r="H131">
        <v>6.9</v>
      </c>
      <c r="L131">
        <v>5.7</v>
      </c>
      <c r="M131">
        <v>1.3</v>
      </c>
      <c r="AA131">
        <v>0.8</v>
      </c>
      <c r="AC131">
        <v>0.3</v>
      </c>
      <c r="AI131">
        <v>1.8</v>
      </c>
      <c r="AK131">
        <v>2.6</v>
      </c>
      <c r="AM131">
        <v>5.0999999999999996</v>
      </c>
      <c r="AR131">
        <v>1.2</v>
      </c>
      <c r="AZ131">
        <v>5.2</v>
      </c>
      <c r="BB131">
        <v>0.2</v>
      </c>
      <c r="BC131">
        <v>6</v>
      </c>
      <c r="BD131">
        <v>21</v>
      </c>
      <c r="BF131">
        <v>0.2</v>
      </c>
      <c r="BH131">
        <v>11.9</v>
      </c>
      <c r="BK131">
        <v>1.8</v>
      </c>
      <c r="BL131">
        <v>0.3</v>
      </c>
      <c r="BN131">
        <v>1.8</v>
      </c>
      <c r="BT131">
        <v>0.2</v>
      </c>
      <c r="BW131">
        <v>5.6</v>
      </c>
      <c r="BX131">
        <v>6.1</v>
      </c>
      <c r="CC131">
        <v>0.6</v>
      </c>
      <c r="CM131">
        <v>8.5</v>
      </c>
      <c r="CQ131">
        <v>6.2</v>
      </c>
      <c r="CU131">
        <v>1.5</v>
      </c>
      <c r="CV131">
        <v>1.7</v>
      </c>
      <c r="CX131">
        <v>11.5</v>
      </c>
      <c r="CY131">
        <v>1.9</v>
      </c>
      <c r="DA131" s="2"/>
      <c r="DD131" s="1">
        <v>41026</v>
      </c>
      <c r="DE131" s="2">
        <f t="shared" si="23"/>
        <v>4.0354838709677425</v>
      </c>
      <c r="DF131" s="2">
        <f t="shared" si="31"/>
        <v>1.2264705882352942</v>
      </c>
      <c r="DG131" s="2">
        <f t="shared" si="24"/>
        <v>21</v>
      </c>
      <c r="DH131" s="2">
        <f t="shared" si="25"/>
        <v>0.2</v>
      </c>
      <c r="DI131" s="3">
        <f t="shared" si="26"/>
        <v>0.30392156862745096</v>
      </c>
    </row>
    <row r="132" spans="1:122">
      <c r="A132" s="17" t="s">
        <v>152</v>
      </c>
      <c r="F132">
        <v>4.5</v>
      </c>
      <c r="G132">
        <v>0.2</v>
      </c>
      <c r="H132">
        <v>1.5</v>
      </c>
      <c r="P132">
        <v>1.5</v>
      </c>
      <c r="U132">
        <v>0.9</v>
      </c>
      <c r="AI132">
        <v>3.4</v>
      </c>
      <c r="AM132">
        <v>2.7</v>
      </c>
      <c r="AQ132">
        <v>1.2</v>
      </c>
      <c r="AR132">
        <v>1.4</v>
      </c>
      <c r="AU132">
        <v>0.3</v>
      </c>
      <c r="AV132">
        <v>0.1</v>
      </c>
      <c r="AZ132">
        <v>6.8</v>
      </c>
      <c r="BB132">
        <v>0.4</v>
      </c>
      <c r="BC132">
        <v>2.7</v>
      </c>
      <c r="BE132">
        <v>3.5</v>
      </c>
      <c r="BH132">
        <v>0.5</v>
      </c>
      <c r="BJ132">
        <v>0.2</v>
      </c>
      <c r="BN132">
        <v>0.4</v>
      </c>
      <c r="BU132">
        <v>0.3</v>
      </c>
      <c r="BW132">
        <v>7.6</v>
      </c>
      <c r="BZ132">
        <v>0.1</v>
      </c>
      <c r="CB132">
        <v>0.1</v>
      </c>
      <c r="CC132">
        <v>5.9</v>
      </c>
      <c r="CD132">
        <v>4.3</v>
      </c>
      <c r="CI132">
        <v>0.8</v>
      </c>
      <c r="CL132">
        <v>2</v>
      </c>
      <c r="CM132">
        <v>2</v>
      </c>
      <c r="CO132">
        <v>2.4</v>
      </c>
      <c r="CQ132">
        <v>0.1</v>
      </c>
      <c r="CR132">
        <v>4.5999999999999996</v>
      </c>
      <c r="CU132">
        <v>0.8</v>
      </c>
      <c r="DA132" s="2"/>
      <c r="DD132" s="1">
        <v>41027</v>
      </c>
      <c r="DE132" s="2">
        <f t="shared" si="23"/>
        <v>2.0387096774193543</v>
      </c>
      <c r="DF132" s="2">
        <f t="shared" si="31"/>
        <v>0.61960784313725481</v>
      </c>
      <c r="DG132" s="2">
        <f t="shared" si="24"/>
        <v>7.6</v>
      </c>
      <c r="DH132" s="2">
        <f t="shared" si="25"/>
        <v>0.1</v>
      </c>
      <c r="DI132" s="3">
        <f t="shared" si="26"/>
        <v>0.30392156862745096</v>
      </c>
      <c r="DR132" s="2"/>
    </row>
    <row r="133" spans="1:122">
      <c r="A133" s="17" t="s">
        <v>153</v>
      </c>
      <c r="C133">
        <v>1.3</v>
      </c>
      <c r="V133">
        <v>5.7</v>
      </c>
      <c r="X133">
        <v>3.6</v>
      </c>
      <c r="AD133">
        <v>0.5</v>
      </c>
      <c r="AF133">
        <v>2.2000000000000002</v>
      </c>
      <c r="AI133">
        <v>4.5999999999999996</v>
      </c>
      <c r="AJ133">
        <v>3</v>
      </c>
      <c r="AQ133">
        <v>2.2999999999999998</v>
      </c>
      <c r="AW133">
        <v>0.4</v>
      </c>
      <c r="BA133">
        <v>2.9</v>
      </c>
      <c r="BE133">
        <v>17.2</v>
      </c>
      <c r="BF133">
        <v>4.0999999999999996</v>
      </c>
      <c r="BH133">
        <v>1.2</v>
      </c>
      <c r="BK133">
        <v>2.7</v>
      </c>
      <c r="BM133">
        <v>0.3</v>
      </c>
      <c r="BN133">
        <v>10.9</v>
      </c>
      <c r="BQ133">
        <v>7.9</v>
      </c>
      <c r="BT133">
        <v>3.9</v>
      </c>
      <c r="BU133">
        <v>2.8</v>
      </c>
      <c r="BX133">
        <v>7.5</v>
      </c>
      <c r="BZ133">
        <v>2.8</v>
      </c>
      <c r="CB133">
        <v>0.1</v>
      </c>
      <c r="CC133">
        <v>1.1000000000000001</v>
      </c>
      <c r="CD133">
        <v>14</v>
      </c>
      <c r="CK133">
        <v>0.2</v>
      </c>
      <c r="CM133">
        <v>6.5</v>
      </c>
      <c r="CR133">
        <v>7.8</v>
      </c>
      <c r="CS133">
        <v>6.3</v>
      </c>
      <c r="CV133">
        <v>1.7</v>
      </c>
      <c r="CX133">
        <v>0.1</v>
      </c>
      <c r="DA133" s="2"/>
      <c r="DD133" s="1">
        <v>41028</v>
      </c>
      <c r="DE133" s="2">
        <f t="shared" si="23"/>
        <v>4.1866666666666656</v>
      </c>
      <c r="DF133" s="2">
        <f t="shared" si="31"/>
        <v>1.2313725490196077</v>
      </c>
      <c r="DG133" s="2">
        <f t="shared" si="24"/>
        <v>17.2</v>
      </c>
      <c r="DH133" s="2">
        <f t="shared" si="25"/>
        <v>0.1</v>
      </c>
      <c r="DI133" s="3">
        <f t="shared" si="26"/>
        <v>0.29411764705882354</v>
      </c>
    </row>
    <row r="134" spans="1:122">
      <c r="A134" s="17" t="s">
        <v>154</v>
      </c>
      <c r="N134">
        <v>0.1</v>
      </c>
      <c r="O134">
        <v>0.1</v>
      </c>
      <c r="AE134">
        <v>3.5</v>
      </c>
      <c r="AH134">
        <v>10.199999999999999</v>
      </c>
      <c r="AI134">
        <v>1.5</v>
      </c>
      <c r="AK134">
        <v>0.1</v>
      </c>
      <c r="AL134">
        <v>2.9</v>
      </c>
      <c r="AO134">
        <v>1.4</v>
      </c>
      <c r="AR134">
        <v>0.3</v>
      </c>
      <c r="AT134">
        <v>3</v>
      </c>
      <c r="AW134">
        <v>5</v>
      </c>
      <c r="BA134">
        <v>0.3</v>
      </c>
      <c r="BD134">
        <v>2.1</v>
      </c>
      <c r="BF134">
        <v>0.6</v>
      </c>
      <c r="BK134">
        <v>10.5</v>
      </c>
      <c r="BL134">
        <v>0.4</v>
      </c>
      <c r="BM134">
        <v>5.6</v>
      </c>
      <c r="BN134">
        <v>6.8</v>
      </c>
      <c r="BP134">
        <v>0.1</v>
      </c>
      <c r="BT134">
        <v>1.1000000000000001</v>
      </c>
      <c r="BU134">
        <v>0.3</v>
      </c>
      <c r="BX134">
        <v>2.8</v>
      </c>
      <c r="BY134">
        <v>4.8</v>
      </c>
      <c r="BZ134">
        <v>4.4000000000000004</v>
      </c>
      <c r="CC134">
        <v>0.2</v>
      </c>
      <c r="CD134">
        <v>8.1999999999999993</v>
      </c>
      <c r="CF134">
        <v>5.9</v>
      </c>
      <c r="CR134">
        <v>3.4</v>
      </c>
      <c r="DA134" s="2"/>
      <c r="DD134" s="1">
        <v>41029</v>
      </c>
      <c r="DE134" s="2">
        <f t="shared" si="23"/>
        <v>3.0571428571428574</v>
      </c>
      <c r="DF134" s="2">
        <f t="shared" si="31"/>
        <v>0.83921568627450993</v>
      </c>
      <c r="DG134" s="2">
        <f t="shared" si="24"/>
        <v>10.5</v>
      </c>
      <c r="DH134" s="2">
        <f t="shared" si="25"/>
        <v>0.1</v>
      </c>
      <c r="DI134" s="3">
        <f t="shared" si="26"/>
        <v>0.27450980392156865</v>
      </c>
    </row>
    <row r="135" spans="1:122">
      <c r="A135" s="17"/>
      <c r="B135">
        <v>1911</v>
      </c>
      <c r="C135">
        <v>1912</v>
      </c>
      <c r="D135">
        <v>1913</v>
      </c>
      <c r="E135">
        <v>1914</v>
      </c>
      <c r="F135">
        <v>1915</v>
      </c>
      <c r="G135">
        <v>1916</v>
      </c>
      <c r="H135">
        <v>1917</v>
      </c>
      <c r="I135">
        <v>1918</v>
      </c>
      <c r="J135">
        <v>1919</v>
      </c>
      <c r="K135">
        <v>1920</v>
      </c>
      <c r="L135">
        <v>1921</v>
      </c>
      <c r="M135">
        <v>1922</v>
      </c>
      <c r="N135">
        <v>1923</v>
      </c>
      <c r="O135">
        <v>1924</v>
      </c>
      <c r="P135">
        <v>1925</v>
      </c>
      <c r="Q135">
        <v>1926</v>
      </c>
      <c r="R135">
        <v>1927</v>
      </c>
      <c r="S135">
        <v>1928</v>
      </c>
      <c r="T135">
        <v>1929</v>
      </c>
      <c r="U135">
        <v>1930</v>
      </c>
      <c r="V135">
        <v>1931</v>
      </c>
      <c r="W135">
        <v>1932</v>
      </c>
      <c r="X135">
        <v>1933</v>
      </c>
      <c r="Y135">
        <v>1934</v>
      </c>
      <c r="Z135">
        <v>1935</v>
      </c>
      <c r="AA135">
        <v>1936</v>
      </c>
      <c r="AB135">
        <v>1937</v>
      </c>
      <c r="AC135">
        <v>1938</v>
      </c>
      <c r="AD135">
        <v>1939</v>
      </c>
      <c r="AE135">
        <v>1940</v>
      </c>
      <c r="AF135">
        <v>1941</v>
      </c>
      <c r="AG135">
        <v>1942</v>
      </c>
      <c r="AH135">
        <v>1943</v>
      </c>
      <c r="AI135">
        <v>1944</v>
      </c>
      <c r="AJ135">
        <v>1945</v>
      </c>
      <c r="AK135">
        <v>1946</v>
      </c>
      <c r="AL135">
        <v>1947</v>
      </c>
      <c r="AM135">
        <v>1948</v>
      </c>
      <c r="AN135">
        <v>1949</v>
      </c>
      <c r="AO135">
        <v>1950</v>
      </c>
      <c r="AP135">
        <v>1951</v>
      </c>
      <c r="AQ135">
        <v>1952</v>
      </c>
      <c r="AR135">
        <v>1953</v>
      </c>
      <c r="AS135">
        <v>1954</v>
      </c>
      <c r="AT135">
        <v>1955</v>
      </c>
      <c r="AU135">
        <v>1956</v>
      </c>
      <c r="AV135">
        <v>1957</v>
      </c>
      <c r="AW135">
        <v>1958</v>
      </c>
      <c r="AX135">
        <v>1959</v>
      </c>
      <c r="AY135">
        <v>1960</v>
      </c>
      <c r="AZ135">
        <v>1961</v>
      </c>
      <c r="BA135">
        <v>1962</v>
      </c>
      <c r="BB135">
        <v>1963</v>
      </c>
      <c r="BC135">
        <v>1964</v>
      </c>
      <c r="BD135">
        <v>1965</v>
      </c>
      <c r="BE135">
        <v>1966</v>
      </c>
      <c r="BF135">
        <v>1967</v>
      </c>
      <c r="BG135">
        <v>1968</v>
      </c>
      <c r="BH135">
        <v>1969</v>
      </c>
      <c r="BI135">
        <v>1970</v>
      </c>
      <c r="BJ135">
        <v>1971</v>
      </c>
      <c r="BK135">
        <v>1972</v>
      </c>
      <c r="BL135">
        <v>1973</v>
      </c>
      <c r="BM135">
        <v>1974</v>
      </c>
      <c r="BN135">
        <v>1975</v>
      </c>
      <c r="BO135">
        <v>1976</v>
      </c>
      <c r="BP135">
        <v>1977</v>
      </c>
      <c r="BQ135">
        <v>1978</v>
      </c>
      <c r="BR135">
        <v>1979</v>
      </c>
      <c r="BS135">
        <v>1980</v>
      </c>
      <c r="BT135">
        <v>1981</v>
      </c>
      <c r="BU135">
        <v>1982</v>
      </c>
      <c r="BV135">
        <v>1983</v>
      </c>
      <c r="BW135">
        <v>1984</v>
      </c>
      <c r="BX135">
        <v>1985</v>
      </c>
      <c r="BY135">
        <v>1986</v>
      </c>
      <c r="BZ135">
        <v>1987</v>
      </c>
      <c r="CA135">
        <v>1988</v>
      </c>
      <c r="CB135">
        <v>1989</v>
      </c>
      <c r="CC135">
        <v>1990</v>
      </c>
      <c r="CD135">
        <v>1991</v>
      </c>
      <c r="CE135">
        <v>1992</v>
      </c>
      <c r="CF135">
        <v>1993</v>
      </c>
      <c r="CG135">
        <v>1994</v>
      </c>
      <c r="CH135">
        <v>1995</v>
      </c>
      <c r="CI135">
        <v>1996</v>
      </c>
      <c r="CJ135">
        <v>1997</v>
      </c>
      <c r="CK135">
        <v>1998</v>
      </c>
      <c r="CL135">
        <v>1999</v>
      </c>
      <c r="CM135">
        <v>2000</v>
      </c>
      <c r="CN135">
        <v>2001</v>
      </c>
      <c r="CO135">
        <v>2002</v>
      </c>
      <c r="CP135">
        <v>2003</v>
      </c>
      <c r="CQ135">
        <v>2004</v>
      </c>
      <c r="CR135">
        <v>2005</v>
      </c>
      <c r="CS135">
        <v>2006</v>
      </c>
      <c r="CT135">
        <v>2007</v>
      </c>
      <c r="CU135">
        <v>2008</v>
      </c>
      <c r="CV135">
        <v>2009</v>
      </c>
      <c r="CW135">
        <v>2010</v>
      </c>
      <c r="CX135">
        <v>2011</v>
      </c>
      <c r="CY135">
        <v>2012</v>
      </c>
      <c r="CZ135">
        <v>2013</v>
      </c>
      <c r="DA135" s="2"/>
      <c r="DD135" s="1"/>
    </row>
    <row r="136" spans="1:122">
      <c r="A136" s="17" t="s">
        <v>30</v>
      </c>
      <c r="C136">
        <f>SUM(C105:C134)</f>
        <v>105.49999999999999</v>
      </c>
      <c r="D136">
        <f>SUM(D105:D134)</f>
        <v>37.4</v>
      </c>
      <c r="E136">
        <f t="shared" ref="E136:BP136" si="40">SUM(E105:E134)</f>
        <v>38.400000000000006</v>
      </c>
      <c r="F136">
        <f t="shared" si="40"/>
        <v>53.4</v>
      </c>
      <c r="G136">
        <f t="shared" si="40"/>
        <v>31.2</v>
      </c>
      <c r="H136">
        <f t="shared" si="40"/>
        <v>33.799999999999997</v>
      </c>
      <c r="I136">
        <f t="shared" si="40"/>
        <v>12.3</v>
      </c>
      <c r="J136">
        <f t="shared" si="40"/>
        <v>13.000000000000002</v>
      </c>
      <c r="K136">
        <f t="shared" si="40"/>
        <v>27.999999999999996</v>
      </c>
      <c r="L136">
        <f t="shared" si="40"/>
        <v>44.4</v>
      </c>
      <c r="M136">
        <f t="shared" si="40"/>
        <v>76.2</v>
      </c>
      <c r="N136">
        <f t="shared" si="40"/>
        <v>17.600000000000005</v>
      </c>
      <c r="O136">
        <f t="shared" si="40"/>
        <v>40.200000000000003</v>
      </c>
      <c r="P136">
        <f t="shared" si="40"/>
        <v>18.7</v>
      </c>
      <c r="Q136">
        <f t="shared" si="40"/>
        <v>30.5</v>
      </c>
      <c r="R136">
        <f t="shared" si="40"/>
        <v>58.899999999999991</v>
      </c>
      <c r="S136">
        <f t="shared" si="40"/>
        <v>17.5</v>
      </c>
      <c r="T136">
        <f t="shared" si="40"/>
        <v>64</v>
      </c>
      <c r="U136">
        <f t="shared" si="40"/>
        <v>38.799999999999997</v>
      </c>
      <c r="V136">
        <f t="shared" si="40"/>
        <v>61.600000000000009</v>
      </c>
      <c r="W136">
        <f t="shared" si="40"/>
        <v>62.600000000000009</v>
      </c>
      <c r="X136">
        <f t="shared" si="40"/>
        <v>53.5</v>
      </c>
      <c r="Y136">
        <f t="shared" si="40"/>
        <v>16.399999999999999</v>
      </c>
      <c r="Z136">
        <f t="shared" si="40"/>
        <v>34.4</v>
      </c>
      <c r="AA136">
        <f t="shared" si="40"/>
        <v>26.7</v>
      </c>
      <c r="AB136">
        <f t="shared" si="40"/>
        <v>66.699999999999989</v>
      </c>
      <c r="AC136">
        <f t="shared" si="40"/>
        <v>75.5</v>
      </c>
      <c r="AD136">
        <f t="shared" si="40"/>
        <v>4.5</v>
      </c>
      <c r="AE136">
        <f t="shared" si="40"/>
        <v>93.9</v>
      </c>
      <c r="AF136">
        <f t="shared" si="40"/>
        <v>33.6</v>
      </c>
      <c r="AG136">
        <f t="shared" si="40"/>
        <v>12.8</v>
      </c>
      <c r="AH136">
        <f t="shared" si="40"/>
        <v>79.800000000000011</v>
      </c>
      <c r="AI136">
        <f t="shared" si="40"/>
        <v>33.700000000000003</v>
      </c>
      <c r="AJ136">
        <f t="shared" si="40"/>
        <v>71.899999999999991</v>
      </c>
      <c r="AK136">
        <f t="shared" si="40"/>
        <v>17.3</v>
      </c>
      <c r="AL136">
        <f t="shared" si="40"/>
        <v>32.200000000000003</v>
      </c>
      <c r="AM136">
        <f t="shared" si="40"/>
        <v>64.599999999999994</v>
      </c>
      <c r="AN136">
        <f t="shared" si="40"/>
        <v>110.69999999999999</v>
      </c>
      <c r="AO136">
        <f t="shared" si="40"/>
        <v>20</v>
      </c>
      <c r="AP136">
        <f t="shared" si="40"/>
        <v>44.2</v>
      </c>
      <c r="AQ136">
        <f t="shared" si="40"/>
        <v>5.7</v>
      </c>
      <c r="AR136">
        <f t="shared" si="40"/>
        <v>69.500000000000014</v>
      </c>
      <c r="AS136">
        <f t="shared" si="40"/>
        <v>29.200000000000003</v>
      </c>
      <c r="AT136">
        <f t="shared" si="40"/>
        <v>66</v>
      </c>
      <c r="AU136">
        <f t="shared" si="40"/>
        <v>25.7</v>
      </c>
      <c r="AV136">
        <f t="shared" si="40"/>
        <v>49.600000000000009</v>
      </c>
      <c r="AW136">
        <f t="shared" si="40"/>
        <v>57.4</v>
      </c>
      <c r="AX136">
        <f t="shared" si="40"/>
        <v>20</v>
      </c>
      <c r="AY136">
        <f t="shared" si="40"/>
        <v>59.900000000000006</v>
      </c>
      <c r="AZ136">
        <f t="shared" si="40"/>
        <v>29.2</v>
      </c>
      <c r="BA136">
        <f t="shared" si="40"/>
        <v>46.199999999999989</v>
      </c>
      <c r="BB136">
        <f t="shared" si="40"/>
        <v>38.300000000000004</v>
      </c>
      <c r="BC136">
        <f t="shared" si="40"/>
        <v>36.799999999999997</v>
      </c>
      <c r="BD136">
        <f t="shared" si="40"/>
        <v>161.29999999999998</v>
      </c>
      <c r="BE136">
        <f t="shared" si="40"/>
        <v>40.799999999999997</v>
      </c>
      <c r="BF136">
        <f t="shared" si="40"/>
        <v>50.100000000000009</v>
      </c>
      <c r="BG136">
        <f t="shared" si="40"/>
        <v>47.9</v>
      </c>
      <c r="BH136">
        <f t="shared" si="40"/>
        <v>102.40000000000002</v>
      </c>
      <c r="BI136">
        <f t="shared" si="40"/>
        <v>103.49999999999997</v>
      </c>
      <c r="BJ136">
        <f t="shared" si="40"/>
        <v>18.599999999999998</v>
      </c>
      <c r="BK136">
        <f t="shared" si="40"/>
        <v>50.9</v>
      </c>
      <c r="BL136">
        <f t="shared" si="40"/>
        <v>57.4</v>
      </c>
      <c r="BM136">
        <f t="shared" si="40"/>
        <v>56.699999999999996</v>
      </c>
      <c r="BN136">
        <f t="shared" si="40"/>
        <v>31.500000000000004</v>
      </c>
      <c r="BO136">
        <f t="shared" si="40"/>
        <v>25.900000000000002</v>
      </c>
      <c r="BP136">
        <f t="shared" si="40"/>
        <v>64.5</v>
      </c>
      <c r="BQ136">
        <f t="shared" ref="BQ136:CZ136" si="41">SUM(BQ105:BQ134)</f>
        <v>95.600000000000009</v>
      </c>
      <c r="BR136">
        <f t="shared" si="41"/>
        <v>68.8</v>
      </c>
      <c r="BS136">
        <f t="shared" si="41"/>
        <v>43.500000000000014</v>
      </c>
      <c r="BT136">
        <f t="shared" si="41"/>
        <v>25.099999999999998</v>
      </c>
      <c r="BU136">
        <f t="shared" si="41"/>
        <v>84.6</v>
      </c>
      <c r="BV136">
        <f t="shared" si="41"/>
        <v>34.900000000000006</v>
      </c>
      <c r="BW136">
        <f t="shared" si="41"/>
        <v>56.000000000000007</v>
      </c>
      <c r="BX136">
        <f t="shared" si="41"/>
        <v>25.8</v>
      </c>
      <c r="BY136">
        <f t="shared" si="41"/>
        <v>38.099999999999994</v>
      </c>
      <c r="BZ136">
        <f t="shared" si="41"/>
        <v>45.4</v>
      </c>
      <c r="CA136">
        <f t="shared" si="41"/>
        <v>60.400000000000006</v>
      </c>
      <c r="CB136">
        <f t="shared" si="41"/>
        <v>11.6</v>
      </c>
      <c r="CC136">
        <f t="shared" si="41"/>
        <v>43.500000000000007</v>
      </c>
      <c r="CD136">
        <f t="shared" si="41"/>
        <v>132.19999999999999</v>
      </c>
      <c r="CE136">
        <f t="shared" si="41"/>
        <v>55.2</v>
      </c>
      <c r="CF136">
        <f t="shared" si="41"/>
        <v>27</v>
      </c>
      <c r="CG136">
        <f t="shared" si="41"/>
        <v>31.9</v>
      </c>
      <c r="CH136">
        <f t="shared" si="41"/>
        <v>45.000000000000007</v>
      </c>
      <c r="CI136">
        <f t="shared" si="41"/>
        <v>72.299999999999983</v>
      </c>
      <c r="CJ136">
        <f t="shared" si="41"/>
        <v>109.6</v>
      </c>
      <c r="CK136">
        <f t="shared" si="41"/>
        <v>40.400000000000006</v>
      </c>
      <c r="CL136">
        <f t="shared" si="41"/>
        <v>12.1</v>
      </c>
      <c r="CM136">
        <f t="shared" si="41"/>
        <v>78.400000000000006</v>
      </c>
      <c r="CN136">
        <f t="shared" si="41"/>
        <v>60.599999999999994</v>
      </c>
      <c r="CO136">
        <f t="shared" si="41"/>
        <v>45.599999999999994</v>
      </c>
      <c r="CP136">
        <f t="shared" si="41"/>
        <v>88</v>
      </c>
      <c r="CQ136">
        <f t="shared" si="41"/>
        <v>22</v>
      </c>
      <c r="CR136">
        <f t="shared" si="41"/>
        <v>26.299999999999997</v>
      </c>
      <c r="CS136">
        <f t="shared" si="41"/>
        <v>18.7</v>
      </c>
      <c r="CT136">
        <f t="shared" si="41"/>
        <v>10.200000000000001</v>
      </c>
      <c r="CU136">
        <f t="shared" si="41"/>
        <v>19.100000000000001</v>
      </c>
      <c r="CV136">
        <f t="shared" si="41"/>
        <v>27</v>
      </c>
      <c r="CW136">
        <f t="shared" si="41"/>
        <v>34.300000000000004</v>
      </c>
      <c r="CX136">
        <f t="shared" si="41"/>
        <v>91.8</v>
      </c>
      <c r="CY136">
        <f t="shared" si="41"/>
        <v>112.9</v>
      </c>
      <c r="CZ136">
        <f t="shared" si="41"/>
        <v>34.6</v>
      </c>
      <c r="DA136" s="2"/>
      <c r="DD136" s="1"/>
    </row>
    <row r="137" spans="1:122">
      <c r="A137" s="17" t="s">
        <v>4</v>
      </c>
      <c r="C137">
        <f>MAX(C105:C134)</f>
        <v>42.5</v>
      </c>
      <c r="D137">
        <f>MAX(D105:D134)</f>
        <v>23.2</v>
      </c>
      <c r="E137">
        <f t="shared" ref="E137:BP137" si="42">MAX(E105:E134)</f>
        <v>11.6</v>
      </c>
      <c r="F137">
        <f t="shared" si="42"/>
        <v>17.100000000000001</v>
      </c>
      <c r="G137">
        <f t="shared" si="42"/>
        <v>10</v>
      </c>
      <c r="H137">
        <f t="shared" si="42"/>
        <v>6.9</v>
      </c>
      <c r="I137">
        <f t="shared" si="42"/>
        <v>5</v>
      </c>
      <c r="J137">
        <f t="shared" si="42"/>
        <v>4.7</v>
      </c>
      <c r="K137">
        <f t="shared" si="42"/>
        <v>15.3</v>
      </c>
      <c r="L137">
        <f t="shared" si="42"/>
        <v>8.6</v>
      </c>
      <c r="M137">
        <f t="shared" si="42"/>
        <v>16.2</v>
      </c>
      <c r="N137">
        <f t="shared" si="42"/>
        <v>7</v>
      </c>
      <c r="O137">
        <f t="shared" si="42"/>
        <v>18.399999999999999</v>
      </c>
      <c r="P137">
        <f t="shared" si="42"/>
        <v>4.2</v>
      </c>
      <c r="Q137">
        <f t="shared" si="42"/>
        <v>17.5</v>
      </c>
      <c r="R137">
        <f t="shared" si="42"/>
        <v>16.7</v>
      </c>
      <c r="S137">
        <f t="shared" si="42"/>
        <v>6.6</v>
      </c>
      <c r="T137">
        <f t="shared" si="42"/>
        <v>23</v>
      </c>
      <c r="U137">
        <f t="shared" si="42"/>
        <v>11.9</v>
      </c>
      <c r="V137">
        <f t="shared" si="42"/>
        <v>19.2</v>
      </c>
      <c r="W137">
        <f t="shared" si="42"/>
        <v>23.2</v>
      </c>
      <c r="X137">
        <f t="shared" si="42"/>
        <v>8.8000000000000007</v>
      </c>
      <c r="Y137">
        <f t="shared" si="42"/>
        <v>12.5</v>
      </c>
      <c r="Z137">
        <f t="shared" si="42"/>
        <v>15.5</v>
      </c>
      <c r="AA137">
        <f t="shared" si="42"/>
        <v>11.6</v>
      </c>
      <c r="AB137">
        <f t="shared" si="42"/>
        <v>27.3</v>
      </c>
      <c r="AC137">
        <f t="shared" si="42"/>
        <v>12.3</v>
      </c>
      <c r="AD137">
        <f t="shared" si="42"/>
        <v>2.6</v>
      </c>
      <c r="AE137">
        <f t="shared" si="42"/>
        <v>27.1</v>
      </c>
      <c r="AF137">
        <f t="shared" si="42"/>
        <v>10.5</v>
      </c>
      <c r="AG137">
        <f t="shared" si="42"/>
        <v>4.4000000000000004</v>
      </c>
      <c r="AH137">
        <f t="shared" si="42"/>
        <v>22</v>
      </c>
      <c r="AI137">
        <f t="shared" si="42"/>
        <v>15.8</v>
      </c>
      <c r="AJ137">
        <f t="shared" si="42"/>
        <v>15.3</v>
      </c>
      <c r="AK137">
        <f t="shared" si="42"/>
        <v>13</v>
      </c>
      <c r="AL137">
        <f t="shared" si="42"/>
        <v>24.8</v>
      </c>
      <c r="AM137">
        <f t="shared" si="42"/>
        <v>18.5</v>
      </c>
      <c r="AN137">
        <f t="shared" si="42"/>
        <v>40.5</v>
      </c>
      <c r="AO137">
        <f t="shared" si="42"/>
        <v>9.1</v>
      </c>
      <c r="AP137">
        <f t="shared" si="42"/>
        <v>13</v>
      </c>
      <c r="AQ137">
        <f t="shared" si="42"/>
        <v>2.2999999999999998</v>
      </c>
      <c r="AR137">
        <f t="shared" si="42"/>
        <v>16.5</v>
      </c>
      <c r="AS137">
        <f t="shared" si="42"/>
        <v>8.3000000000000007</v>
      </c>
      <c r="AT137">
        <f t="shared" si="42"/>
        <v>16.7</v>
      </c>
      <c r="AU137">
        <f t="shared" si="42"/>
        <v>12.6</v>
      </c>
      <c r="AV137">
        <f t="shared" si="42"/>
        <v>21</v>
      </c>
      <c r="AW137">
        <f t="shared" si="42"/>
        <v>15.6</v>
      </c>
      <c r="AX137">
        <f t="shared" si="42"/>
        <v>9</v>
      </c>
      <c r="AY137">
        <f t="shared" si="42"/>
        <v>13.3</v>
      </c>
      <c r="AZ137">
        <f t="shared" si="42"/>
        <v>9.1999999999999993</v>
      </c>
      <c r="BA137">
        <f t="shared" si="42"/>
        <v>9.8000000000000007</v>
      </c>
      <c r="BB137">
        <f t="shared" si="42"/>
        <v>12.2</v>
      </c>
      <c r="BC137">
        <f t="shared" si="42"/>
        <v>14.2</v>
      </c>
      <c r="BD137">
        <f t="shared" si="42"/>
        <v>35.4</v>
      </c>
      <c r="BE137">
        <f t="shared" si="42"/>
        <v>17.2</v>
      </c>
      <c r="BF137">
        <f t="shared" si="42"/>
        <v>15.7</v>
      </c>
      <c r="BG137">
        <f t="shared" si="42"/>
        <v>22</v>
      </c>
      <c r="BH137">
        <f t="shared" si="42"/>
        <v>26.7</v>
      </c>
      <c r="BI137">
        <f t="shared" si="42"/>
        <v>40.799999999999997</v>
      </c>
      <c r="BJ137">
        <f t="shared" si="42"/>
        <v>7.7</v>
      </c>
      <c r="BK137">
        <f t="shared" si="42"/>
        <v>11.4</v>
      </c>
      <c r="BL137">
        <f t="shared" si="42"/>
        <v>9</v>
      </c>
      <c r="BM137">
        <f t="shared" si="42"/>
        <v>23</v>
      </c>
      <c r="BN137">
        <f t="shared" si="42"/>
        <v>10.9</v>
      </c>
      <c r="BO137">
        <f t="shared" si="42"/>
        <v>15.7</v>
      </c>
      <c r="BP137">
        <f t="shared" si="42"/>
        <v>30.6</v>
      </c>
      <c r="BQ137">
        <f t="shared" ref="BQ137:CZ137" si="43">MAX(BQ105:BQ134)</f>
        <v>41.2</v>
      </c>
      <c r="BR137">
        <f t="shared" si="43"/>
        <v>20.3</v>
      </c>
      <c r="BS137">
        <f t="shared" si="43"/>
        <v>14.3</v>
      </c>
      <c r="BT137">
        <f t="shared" si="43"/>
        <v>14.6</v>
      </c>
      <c r="BU137">
        <f t="shared" si="43"/>
        <v>20.3</v>
      </c>
      <c r="BV137">
        <f t="shared" si="43"/>
        <v>18</v>
      </c>
      <c r="BW137">
        <f t="shared" si="43"/>
        <v>12.1</v>
      </c>
      <c r="BX137">
        <f t="shared" si="43"/>
        <v>7.5</v>
      </c>
      <c r="BY137">
        <f t="shared" si="43"/>
        <v>19.8</v>
      </c>
      <c r="BZ137">
        <f t="shared" si="43"/>
        <v>24</v>
      </c>
      <c r="CA137">
        <f t="shared" si="43"/>
        <v>21.8</v>
      </c>
      <c r="CB137">
        <f t="shared" si="43"/>
        <v>9.5</v>
      </c>
      <c r="CC137">
        <f t="shared" si="43"/>
        <v>11.5</v>
      </c>
      <c r="CD137">
        <f t="shared" si="43"/>
        <v>45</v>
      </c>
      <c r="CE137">
        <f t="shared" si="43"/>
        <v>14.1</v>
      </c>
      <c r="CF137">
        <f t="shared" si="43"/>
        <v>12</v>
      </c>
      <c r="CG137">
        <f t="shared" si="43"/>
        <v>13.9</v>
      </c>
      <c r="CH137">
        <f t="shared" si="43"/>
        <v>14.8</v>
      </c>
      <c r="CI137">
        <f t="shared" si="43"/>
        <v>13.4</v>
      </c>
      <c r="CJ137">
        <f t="shared" si="43"/>
        <v>30.9</v>
      </c>
      <c r="CK137">
        <f t="shared" si="43"/>
        <v>15.7</v>
      </c>
      <c r="CL137">
        <f t="shared" si="43"/>
        <v>7.5</v>
      </c>
      <c r="CM137">
        <f t="shared" si="43"/>
        <v>19</v>
      </c>
      <c r="CN137">
        <f t="shared" si="43"/>
        <v>16.5</v>
      </c>
      <c r="CO137">
        <f t="shared" si="43"/>
        <v>24.2</v>
      </c>
      <c r="CP137">
        <f t="shared" si="43"/>
        <v>18.100000000000001</v>
      </c>
      <c r="CQ137">
        <f t="shared" si="43"/>
        <v>7.6</v>
      </c>
      <c r="CR137">
        <f t="shared" si="43"/>
        <v>7.8</v>
      </c>
      <c r="CS137">
        <f t="shared" si="43"/>
        <v>10.6</v>
      </c>
      <c r="CT137">
        <f t="shared" si="43"/>
        <v>5.8</v>
      </c>
      <c r="CU137">
        <f t="shared" si="43"/>
        <v>4.9000000000000004</v>
      </c>
      <c r="CV137">
        <f t="shared" si="43"/>
        <v>9.8000000000000007</v>
      </c>
      <c r="CW137">
        <f t="shared" si="43"/>
        <v>13.6</v>
      </c>
      <c r="CX137">
        <f t="shared" si="43"/>
        <v>23.2</v>
      </c>
      <c r="CY137">
        <f t="shared" si="43"/>
        <v>36.5</v>
      </c>
      <c r="CZ137">
        <f t="shared" si="43"/>
        <v>11</v>
      </c>
      <c r="DA137" s="2"/>
      <c r="DD137" s="1"/>
    </row>
    <row r="138" spans="1:122">
      <c r="A138" s="17"/>
      <c r="DA138" s="2"/>
      <c r="DD138" s="1"/>
    </row>
    <row r="139" spans="1:122">
      <c r="A139" s="17" t="s">
        <v>155</v>
      </c>
      <c r="C139">
        <v>1.4</v>
      </c>
      <c r="D139">
        <v>1.3</v>
      </c>
      <c r="G139">
        <v>1.2</v>
      </c>
      <c r="J139">
        <v>15</v>
      </c>
      <c r="N139">
        <v>0.1</v>
      </c>
      <c r="O139">
        <v>44.7</v>
      </c>
      <c r="Z139">
        <v>1</v>
      </c>
      <c r="AC139">
        <v>0.7</v>
      </c>
      <c r="AD139">
        <v>2.5</v>
      </c>
      <c r="AH139">
        <v>0.4</v>
      </c>
      <c r="AI139">
        <v>8.9</v>
      </c>
      <c r="AK139">
        <v>0.3</v>
      </c>
      <c r="AM139">
        <v>8.3000000000000007</v>
      </c>
      <c r="AO139">
        <v>9.3000000000000007</v>
      </c>
      <c r="AT139">
        <v>1</v>
      </c>
      <c r="AU139">
        <v>1.3</v>
      </c>
      <c r="AW139">
        <v>8.5</v>
      </c>
      <c r="BA139">
        <v>2.7</v>
      </c>
      <c r="BF139">
        <v>0.7</v>
      </c>
      <c r="BK139">
        <v>5.2</v>
      </c>
      <c r="BL139">
        <v>0.1</v>
      </c>
      <c r="BM139">
        <v>4.7</v>
      </c>
      <c r="BN139">
        <v>15.1</v>
      </c>
      <c r="BP139">
        <v>0.2</v>
      </c>
      <c r="BS139">
        <v>3.6</v>
      </c>
      <c r="BW139">
        <v>5.9</v>
      </c>
      <c r="BZ139">
        <v>0.5</v>
      </c>
      <c r="CB139">
        <v>0.9</v>
      </c>
      <c r="CC139">
        <v>25.7</v>
      </c>
      <c r="CD139">
        <v>0.5</v>
      </c>
      <c r="CF139">
        <v>6.5</v>
      </c>
      <c r="CG139">
        <v>3.9</v>
      </c>
      <c r="CR139">
        <v>0.1</v>
      </c>
      <c r="CT139">
        <v>5.9</v>
      </c>
      <c r="CV139">
        <v>8.5</v>
      </c>
      <c r="CX139">
        <v>2.5</v>
      </c>
      <c r="DA139" s="2"/>
      <c r="DD139" s="1">
        <v>41030</v>
      </c>
      <c r="DE139" s="2">
        <f t="shared" si="23"/>
        <v>5.530555555555555</v>
      </c>
      <c r="DF139" s="2">
        <f t="shared" ref="DF139:DF169" si="44">SUM(C139:DA139)/(COUNTA(C139:CZ139)+COUNTBLANK(C139:CZ139))</f>
        <v>1.9519607843137254</v>
      </c>
      <c r="DG139" s="2">
        <f t="shared" si="24"/>
        <v>44.7</v>
      </c>
      <c r="DH139" s="2">
        <f t="shared" si="25"/>
        <v>0.1</v>
      </c>
      <c r="DI139" s="3">
        <f t="shared" si="26"/>
        <v>0.35294117647058826</v>
      </c>
    </row>
    <row r="140" spans="1:122">
      <c r="A140" s="17" t="s">
        <v>156</v>
      </c>
      <c r="C140">
        <v>1.3</v>
      </c>
      <c r="D140">
        <v>0.3</v>
      </c>
      <c r="N140">
        <v>1.4</v>
      </c>
      <c r="O140">
        <v>3.7</v>
      </c>
      <c r="S140">
        <v>1</v>
      </c>
      <c r="Z140">
        <v>43.2</v>
      </c>
      <c r="AC140">
        <v>14.9</v>
      </c>
      <c r="AH140">
        <v>0.1</v>
      </c>
      <c r="AI140">
        <v>1.7</v>
      </c>
      <c r="AK140">
        <v>1.3</v>
      </c>
      <c r="AO140">
        <v>3.5</v>
      </c>
      <c r="AR140">
        <v>0.4</v>
      </c>
      <c r="AT140">
        <v>0.4</v>
      </c>
      <c r="AU140">
        <v>0.6</v>
      </c>
      <c r="AZ140">
        <v>11</v>
      </c>
      <c r="BA140">
        <v>2.5</v>
      </c>
      <c r="BC140">
        <v>12.9</v>
      </c>
      <c r="BD140">
        <v>1.6</v>
      </c>
      <c r="BH140">
        <v>0.2</v>
      </c>
      <c r="BK140">
        <v>1.7</v>
      </c>
      <c r="BL140">
        <v>0.2</v>
      </c>
      <c r="BM140">
        <v>2.8</v>
      </c>
      <c r="BN140">
        <v>1.4</v>
      </c>
      <c r="BS140">
        <v>4</v>
      </c>
      <c r="BT140">
        <v>8.6999999999999993</v>
      </c>
      <c r="BV140">
        <v>3.2</v>
      </c>
      <c r="BW140">
        <v>0.9</v>
      </c>
      <c r="CB140">
        <v>0.3</v>
      </c>
      <c r="CC140">
        <v>9.1999999999999993</v>
      </c>
      <c r="CF140">
        <v>0.3</v>
      </c>
      <c r="CG140">
        <v>0.4</v>
      </c>
      <c r="CH140">
        <v>0.1</v>
      </c>
      <c r="CM140">
        <v>9.5</v>
      </c>
      <c r="CT140">
        <v>13.3</v>
      </c>
      <c r="CU140">
        <v>10.5</v>
      </c>
      <c r="CV140">
        <v>1.3</v>
      </c>
      <c r="DA140" s="2"/>
      <c r="DD140" s="1">
        <v>41031</v>
      </c>
      <c r="DE140" s="2">
        <f t="shared" si="23"/>
        <v>4.7166666666666686</v>
      </c>
      <c r="DF140" s="2">
        <f t="shared" si="44"/>
        <v>1.6647058823529419</v>
      </c>
      <c r="DG140" s="2">
        <f t="shared" si="24"/>
        <v>43.2</v>
      </c>
      <c r="DH140" s="2">
        <f t="shared" si="25"/>
        <v>0.1</v>
      </c>
      <c r="DI140" s="3">
        <f t="shared" si="26"/>
        <v>0.35294117647058826</v>
      </c>
    </row>
    <row r="141" spans="1:122">
      <c r="A141" s="17" t="s">
        <v>157</v>
      </c>
      <c r="E141">
        <v>4.3</v>
      </c>
      <c r="F141">
        <v>0.3</v>
      </c>
      <c r="G141">
        <v>1.4</v>
      </c>
      <c r="H141">
        <v>1.2</v>
      </c>
      <c r="N141">
        <v>13.9</v>
      </c>
      <c r="R141">
        <v>0.1</v>
      </c>
      <c r="S141">
        <v>8.1999999999999993</v>
      </c>
      <c r="U141">
        <v>3.7</v>
      </c>
      <c r="Z141">
        <v>0.6</v>
      </c>
      <c r="AA141">
        <v>14</v>
      </c>
      <c r="AC141">
        <v>23.3</v>
      </c>
      <c r="AE141">
        <v>1.4</v>
      </c>
      <c r="AF141">
        <v>0.2</v>
      </c>
      <c r="AJ141">
        <v>0.5</v>
      </c>
      <c r="AV141">
        <v>0.4</v>
      </c>
      <c r="BC141">
        <v>1.2</v>
      </c>
      <c r="BD141">
        <v>0.5</v>
      </c>
      <c r="BH141">
        <v>0.2</v>
      </c>
      <c r="BI141">
        <v>7.4</v>
      </c>
      <c r="BM141">
        <v>3.4</v>
      </c>
      <c r="BN141">
        <v>1.8</v>
      </c>
      <c r="BO141">
        <v>2.8</v>
      </c>
      <c r="BT141">
        <v>0.2</v>
      </c>
      <c r="BZ141">
        <v>0.4</v>
      </c>
      <c r="CB141">
        <v>4.7</v>
      </c>
      <c r="CC141">
        <v>3.6</v>
      </c>
      <c r="CF141">
        <v>0.2</v>
      </c>
      <c r="CJ141">
        <v>0.3</v>
      </c>
      <c r="CK141">
        <v>0.1</v>
      </c>
      <c r="CM141">
        <v>0.3</v>
      </c>
      <c r="CR141">
        <v>0.1</v>
      </c>
      <c r="CU141">
        <v>0.1</v>
      </c>
      <c r="CV141">
        <v>0.2</v>
      </c>
      <c r="CX141">
        <v>9.9</v>
      </c>
      <c r="DA141" s="2"/>
      <c r="DD141" s="1">
        <v>41032</v>
      </c>
      <c r="DE141" s="2">
        <f t="shared" si="23"/>
        <v>3.2617647058823533</v>
      </c>
      <c r="DF141" s="2">
        <f t="shared" si="44"/>
        <v>1.0872549019607844</v>
      </c>
      <c r="DG141" s="2">
        <f t="shared" si="24"/>
        <v>23.3</v>
      </c>
      <c r="DH141" s="2">
        <f t="shared" si="25"/>
        <v>0.1</v>
      </c>
      <c r="DI141" s="3">
        <f t="shared" si="26"/>
        <v>0.33333333333333331</v>
      </c>
    </row>
    <row r="142" spans="1:122">
      <c r="A142" s="17" t="s">
        <v>158</v>
      </c>
      <c r="C142">
        <v>0.2</v>
      </c>
      <c r="H142">
        <v>0.3</v>
      </c>
      <c r="J142">
        <v>13.5</v>
      </c>
      <c r="N142">
        <v>4.2</v>
      </c>
      <c r="P142">
        <v>2.2000000000000002</v>
      </c>
      <c r="S142">
        <v>9.1999999999999993</v>
      </c>
      <c r="U142">
        <v>7.1</v>
      </c>
      <c r="Z142">
        <v>0.3</v>
      </c>
      <c r="AA142">
        <v>7</v>
      </c>
      <c r="AC142">
        <v>5.5</v>
      </c>
      <c r="AE142">
        <v>7.4</v>
      </c>
      <c r="AG142">
        <v>1</v>
      </c>
      <c r="AH142">
        <v>0.3</v>
      </c>
      <c r="AK142">
        <v>2.5</v>
      </c>
      <c r="AO142">
        <v>9.3000000000000007</v>
      </c>
      <c r="AU142">
        <v>0.2</v>
      </c>
      <c r="AV142">
        <v>14</v>
      </c>
      <c r="BF142">
        <v>10.1</v>
      </c>
      <c r="BH142">
        <v>0.1</v>
      </c>
      <c r="BI142">
        <v>0.2</v>
      </c>
      <c r="BK142">
        <v>7</v>
      </c>
      <c r="BO142">
        <v>0.3</v>
      </c>
      <c r="BX142">
        <v>1.1000000000000001</v>
      </c>
      <c r="CC142">
        <v>2.6</v>
      </c>
      <c r="CK142">
        <v>0.5</v>
      </c>
      <c r="CU142">
        <v>3.3</v>
      </c>
      <c r="CX142">
        <v>8.1999999999999993</v>
      </c>
      <c r="DA142" s="2"/>
      <c r="DD142" s="1">
        <v>41033</v>
      </c>
      <c r="DE142" s="2">
        <f t="shared" si="23"/>
        <v>4.3555555555555543</v>
      </c>
      <c r="DF142" s="2">
        <f t="shared" si="44"/>
        <v>1.1529411764705879</v>
      </c>
      <c r="DG142" s="2">
        <f t="shared" si="24"/>
        <v>14</v>
      </c>
      <c r="DH142" s="2">
        <f t="shared" si="25"/>
        <v>0.1</v>
      </c>
      <c r="DI142" s="3">
        <f t="shared" si="26"/>
        <v>0.26470588235294118</v>
      </c>
    </row>
    <row r="143" spans="1:122">
      <c r="A143" s="17" t="s">
        <v>159</v>
      </c>
      <c r="D143">
        <v>11.6</v>
      </c>
      <c r="F143">
        <v>1.5</v>
      </c>
      <c r="J143">
        <v>3.6</v>
      </c>
      <c r="M143">
        <v>4.8</v>
      </c>
      <c r="P143">
        <v>2.4</v>
      </c>
      <c r="U143">
        <v>2.2000000000000002</v>
      </c>
      <c r="AB143">
        <v>11.1</v>
      </c>
      <c r="AC143">
        <v>1.3</v>
      </c>
      <c r="AD143">
        <v>2.8</v>
      </c>
      <c r="AF143">
        <v>0.6</v>
      </c>
      <c r="AI143">
        <v>0.7</v>
      </c>
      <c r="AR143">
        <v>5.0999999999999996</v>
      </c>
      <c r="AT143">
        <v>0.8</v>
      </c>
      <c r="AX143">
        <v>22</v>
      </c>
      <c r="BK143">
        <v>2.2000000000000002</v>
      </c>
      <c r="BN143">
        <v>0.1</v>
      </c>
      <c r="BP143">
        <v>0.4</v>
      </c>
      <c r="BT143">
        <v>18.5</v>
      </c>
      <c r="CC143">
        <v>1.6</v>
      </c>
      <c r="CD143">
        <v>6.8</v>
      </c>
      <c r="CF143">
        <v>0.1</v>
      </c>
      <c r="CL143">
        <v>0.3</v>
      </c>
      <c r="CN143">
        <v>1.6</v>
      </c>
      <c r="CQ143">
        <v>12.8</v>
      </c>
      <c r="CX143">
        <v>0.1</v>
      </c>
      <c r="DA143" s="2"/>
      <c r="DD143" s="1">
        <v>41034</v>
      </c>
      <c r="DE143" s="2">
        <f t="shared" si="23"/>
        <v>4.5999999999999988</v>
      </c>
      <c r="DF143" s="2">
        <f t="shared" si="44"/>
        <v>1.1274509803921566</v>
      </c>
      <c r="DG143" s="2">
        <f t="shared" si="24"/>
        <v>22</v>
      </c>
      <c r="DH143" s="2">
        <f t="shared" si="25"/>
        <v>0.1</v>
      </c>
      <c r="DI143" s="3">
        <f t="shared" si="26"/>
        <v>0.24509803921568626</v>
      </c>
    </row>
    <row r="144" spans="1:122">
      <c r="A144" s="17" t="s">
        <v>160</v>
      </c>
      <c r="I144">
        <v>0.3</v>
      </c>
      <c r="M144">
        <v>10.6</v>
      </c>
      <c r="X144">
        <v>12</v>
      </c>
      <c r="AB144">
        <v>9.8000000000000007</v>
      </c>
      <c r="AC144">
        <v>0.4</v>
      </c>
      <c r="AF144">
        <v>41.4</v>
      </c>
      <c r="AM144">
        <v>1.7</v>
      </c>
      <c r="AO144">
        <v>2.8</v>
      </c>
      <c r="AP144">
        <v>1</v>
      </c>
      <c r="AR144">
        <v>1.3</v>
      </c>
      <c r="AX144">
        <v>14.5</v>
      </c>
      <c r="BC144">
        <v>8.1</v>
      </c>
      <c r="BD144">
        <v>2.4</v>
      </c>
      <c r="BJ144">
        <v>3.4</v>
      </c>
      <c r="BT144">
        <v>1.4</v>
      </c>
      <c r="BW144">
        <v>0.3</v>
      </c>
      <c r="BX144">
        <v>0.1</v>
      </c>
      <c r="BZ144">
        <v>0.1</v>
      </c>
      <c r="CA144">
        <v>0.7</v>
      </c>
      <c r="CB144">
        <v>0.5</v>
      </c>
      <c r="CK144">
        <v>8</v>
      </c>
      <c r="CL144">
        <v>2.2999999999999998</v>
      </c>
      <c r="CN144">
        <v>18.5</v>
      </c>
      <c r="CU144">
        <v>0.2</v>
      </c>
      <c r="CX144">
        <v>1</v>
      </c>
      <c r="DA144" s="2"/>
      <c r="DD144" s="1">
        <v>41035</v>
      </c>
      <c r="DE144" s="2">
        <f t="shared" si="23"/>
        <v>5.7119999999999997</v>
      </c>
      <c r="DF144" s="2">
        <f t="shared" si="44"/>
        <v>1.4</v>
      </c>
      <c r="DG144" s="2">
        <f t="shared" si="24"/>
        <v>41.4</v>
      </c>
      <c r="DH144" s="2">
        <f t="shared" si="25"/>
        <v>0.1</v>
      </c>
      <c r="DI144" s="3">
        <f t="shared" si="26"/>
        <v>0.24509803921568626</v>
      </c>
    </row>
    <row r="145" spans="1:113">
      <c r="A145" s="17" t="s">
        <v>161</v>
      </c>
      <c r="E145">
        <v>0.2</v>
      </c>
      <c r="G145">
        <v>2.1</v>
      </c>
      <c r="I145">
        <v>0.3</v>
      </c>
      <c r="L145">
        <v>0.4</v>
      </c>
      <c r="Q145">
        <v>0.5</v>
      </c>
      <c r="AA145">
        <v>2.4</v>
      </c>
      <c r="AB145">
        <v>1.3</v>
      </c>
      <c r="AF145">
        <v>1</v>
      </c>
      <c r="AK145">
        <v>0.8</v>
      </c>
      <c r="AM145">
        <v>6.3</v>
      </c>
      <c r="AO145">
        <v>1.6</v>
      </c>
      <c r="AR145">
        <v>2.1</v>
      </c>
      <c r="AS145">
        <v>0.1</v>
      </c>
      <c r="AV145">
        <v>5</v>
      </c>
      <c r="AX145">
        <v>23.7</v>
      </c>
      <c r="BC145">
        <v>0.2</v>
      </c>
      <c r="BJ145">
        <v>1.6</v>
      </c>
      <c r="BM145">
        <v>2.2000000000000002</v>
      </c>
      <c r="BT145">
        <v>27.8</v>
      </c>
      <c r="BV145">
        <v>4.2</v>
      </c>
      <c r="CA145">
        <v>0.1</v>
      </c>
      <c r="CB145">
        <v>14.7</v>
      </c>
      <c r="CG145">
        <v>16.7</v>
      </c>
      <c r="CH145">
        <v>0.8</v>
      </c>
      <c r="CL145">
        <v>1</v>
      </c>
      <c r="CN145">
        <v>0.5</v>
      </c>
      <c r="CR145">
        <v>1.8</v>
      </c>
      <c r="CT145">
        <v>0.2</v>
      </c>
      <c r="CX145">
        <v>0.1</v>
      </c>
      <c r="DA145" s="2"/>
      <c r="DD145" s="1">
        <v>41036</v>
      </c>
      <c r="DE145" s="2">
        <f t="shared" si="23"/>
        <v>4.1275862068965514</v>
      </c>
      <c r="DF145" s="2">
        <f t="shared" si="44"/>
        <v>1.1735294117647059</v>
      </c>
      <c r="DG145" s="2">
        <f t="shared" si="24"/>
        <v>27.8</v>
      </c>
      <c r="DH145" s="2">
        <f t="shared" si="25"/>
        <v>0.1</v>
      </c>
      <c r="DI145" s="3">
        <f t="shared" si="26"/>
        <v>0.28431372549019607</v>
      </c>
    </row>
    <row r="146" spans="1:113">
      <c r="A146" s="17" t="s">
        <v>162</v>
      </c>
      <c r="D146">
        <v>9.6</v>
      </c>
      <c r="G146">
        <v>0.2</v>
      </c>
      <c r="Q146">
        <v>0.5</v>
      </c>
      <c r="X146">
        <v>0.1</v>
      </c>
      <c r="AA146">
        <v>2.1</v>
      </c>
      <c r="AF146">
        <v>0.4</v>
      </c>
      <c r="AH146">
        <v>1.9</v>
      </c>
      <c r="AL146">
        <v>5.3</v>
      </c>
      <c r="AM146">
        <v>3.5</v>
      </c>
      <c r="AQ146">
        <v>1.1000000000000001</v>
      </c>
      <c r="AR146">
        <v>4.8</v>
      </c>
      <c r="AS146">
        <v>0.8</v>
      </c>
      <c r="AV146">
        <v>7</v>
      </c>
      <c r="BC146">
        <v>18.899999999999999</v>
      </c>
      <c r="BD146">
        <v>3.5</v>
      </c>
      <c r="BI146">
        <v>0.1</v>
      </c>
      <c r="BJ146">
        <v>1.5</v>
      </c>
      <c r="BM146">
        <v>0.1</v>
      </c>
      <c r="BQ146">
        <v>1.2</v>
      </c>
      <c r="BT146">
        <v>11.5</v>
      </c>
      <c r="BZ146">
        <v>0.8</v>
      </c>
      <c r="CB146">
        <v>5.8</v>
      </c>
      <c r="CF146">
        <v>11.6</v>
      </c>
      <c r="CG146">
        <v>4.4000000000000004</v>
      </c>
      <c r="CH146">
        <v>5.5</v>
      </c>
      <c r="CS146">
        <v>7.8</v>
      </c>
      <c r="CW146">
        <v>0.1</v>
      </c>
      <c r="DA146" s="2"/>
      <c r="DD146" s="1">
        <v>41037</v>
      </c>
      <c r="DE146" s="2">
        <f t="shared" si="23"/>
        <v>4.0777777777777766</v>
      </c>
      <c r="DF146" s="2">
        <f t="shared" si="44"/>
        <v>1.0794117647058821</v>
      </c>
      <c r="DG146" s="2">
        <f t="shared" si="24"/>
        <v>18.899999999999999</v>
      </c>
      <c r="DH146" s="2">
        <f t="shared" si="25"/>
        <v>0.1</v>
      </c>
      <c r="DI146" s="3">
        <f t="shared" si="26"/>
        <v>0.26470588235294118</v>
      </c>
    </row>
    <row r="147" spans="1:113">
      <c r="A147" s="17" t="s">
        <v>163</v>
      </c>
      <c r="C147">
        <v>0.4</v>
      </c>
      <c r="D147">
        <v>1.9</v>
      </c>
      <c r="F147">
        <v>2.8</v>
      </c>
      <c r="M147">
        <v>0.1</v>
      </c>
      <c r="V147">
        <v>3.1</v>
      </c>
      <c r="X147">
        <v>0.5</v>
      </c>
      <c r="AF147">
        <v>1.1000000000000001</v>
      </c>
      <c r="AL147">
        <v>7.9</v>
      </c>
      <c r="AN147">
        <v>2.2000000000000002</v>
      </c>
      <c r="AR147">
        <v>11.4</v>
      </c>
      <c r="AY147">
        <v>5.3</v>
      </c>
      <c r="AZ147">
        <v>3.3</v>
      </c>
      <c r="BC147">
        <v>2.6</v>
      </c>
      <c r="BD147">
        <v>3.7</v>
      </c>
      <c r="BE147">
        <v>4</v>
      </c>
      <c r="BI147">
        <v>0.1</v>
      </c>
      <c r="BJ147">
        <v>4.4000000000000004</v>
      </c>
      <c r="BM147">
        <v>1.4</v>
      </c>
      <c r="BP147">
        <v>0.1</v>
      </c>
      <c r="BS147">
        <v>0.2</v>
      </c>
      <c r="BT147">
        <v>0.8</v>
      </c>
      <c r="BX147">
        <v>1.7</v>
      </c>
      <c r="BZ147">
        <v>1.3</v>
      </c>
      <c r="CB147">
        <v>5</v>
      </c>
      <c r="CF147">
        <v>7.5</v>
      </c>
      <c r="CG147">
        <v>0.2</v>
      </c>
      <c r="CH147">
        <v>0.1</v>
      </c>
      <c r="CK147">
        <v>2.7</v>
      </c>
      <c r="CN147">
        <v>0.1</v>
      </c>
      <c r="CS147">
        <v>0.2</v>
      </c>
      <c r="CU147">
        <v>0.3</v>
      </c>
      <c r="CZ147">
        <v>0.1</v>
      </c>
      <c r="DA147" s="2"/>
      <c r="DD147" s="1">
        <v>41038</v>
      </c>
      <c r="DE147" s="2">
        <f t="shared" ref="DE147:DE218" si="45">AVERAGE(B147:DA147)</f>
        <v>2.3906249999999996</v>
      </c>
      <c r="DF147" s="2">
        <f t="shared" si="44"/>
        <v>0.74999999999999989</v>
      </c>
      <c r="DG147" s="2">
        <f t="shared" ref="DG147:DG218" si="46">MAX(B147:DA147)</f>
        <v>11.4</v>
      </c>
      <c r="DH147" s="2">
        <f t="shared" ref="DH147:DH218" si="47">MIN(B147:DA147)</f>
        <v>0.1</v>
      </c>
      <c r="DI147" s="3">
        <f t="shared" ref="DI147:DI218" si="48">(COUNTA(C147:CZ147)/(COUNTA(C147:CZ147)+COUNTBLANK(C147:CZ147)))</f>
        <v>0.31372549019607843</v>
      </c>
    </row>
    <row r="148" spans="1:113">
      <c r="A148" s="17" t="s">
        <v>164</v>
      </c>
      <c r="K148">
        <v>0.2</v>
      </c>
      <c r="L148">
        <v>3.7</v>
      </c>
      <c r="U148">
        <v>0.9</v>
      </c>
      <c r="X148">
        <v>26</v>
      </c>
      <c r="AD148">
        <v>0.2</v>
      </c>
      <c r="AE148">
        <v>0.1</v>
      </c>
      <c r="AF148">
        <v>0.3</v>
      </c>
      <c r="AL148">
        <v>5.8</v>
      </c>
      <c r="AN148">
        <v>0.8</v>
      </c>
      <c r="AR148">
        <v>0.6</v>
      </c>
      <c r="AS148">
        <v>0.3</v>
      </c>
      <c r="AY148">
        <v>0.2</v>
      </c>
      <c r="BE148">
        <v>1.3</v>
      </c>
      <c r="BJ148">
        <v>2.7</v>
      </c>
      <c r="BM148">
        <v>36.4</v>
      </c>
      <c r="BO148">
        <v>2</v>
      </c>
      <c r="BQ148">
        <v>0.1</v>
      </c>
      <c r="BV148">
        <v>6.1</v>
      </c>
      <c r="BX148">
        <v>0.2</v>
      </c>
      <c r="CA148">
        <v>0.1</v>
      </c>
      <c r="CF148">
        <v>0.2</v>
      </c>
      <c r="CG148">
        <v>6.6</v>
      </c>
      <c r="CK148">
        <v>0.5</v>
      </c>
      <c r="CQ148">
        <v>4.8</v>
      </c>
      <c r="CS148">
        <v>0.5</v>
      </c>
      <c r="CU148">
        <v>0.1</v>
      </c>
      <c r="CY148">
        <v>0.1</v>
      </c>
      <c r="DA148" s="2"/>
      <c r="DD148" s="1">
        <v>41039</v>
      </c>
      <c r="DE148" s="2">
        <f t="shared" si="45"/>
        <v>3.7333333333333321</v>
      </c>
      <c r="DF148" s="2">
        <f t="shared" si="44"/>
        <v>0.98823529411764677</v>
      </c>
      <c r="DG148" s="2">
        <f t="shared" si="46"/>
        <v>36.4</v>
      </c>
      <c r="DH148" s="2">
        <f t="shared" si="47"/>
        <v>0.1</v>
      </c>
      <c r="DI148" s="3">
        <f t="shared" si="48"/>
        <v>0.26470588235294118</v>
      </c>
    </row>
    <row r="149" spans="1:113">
      <c r="A149" s="17" t="s">
        <v>165</v>
      </c>
      <c r="C149">
        <v>1.3</v>
      </c>
      <c r="D149">
        <v>0.8</v>
      </c>
      <c r="F149">
        <v>2.9</v>
      </c>
      <c r="G149">
        <v>0.3</v>
      </c>
      <c r="K149">
        <v>2.7</v>
      </c>
      <c r="L149">
        <v>0.1</v>
      </c>
      <c r="R149">
        <v>1.7</v>
      </c>
      <c r="W149">
        <v>5.5</v>
      </c>
      <c r="AA149">
        <v>0.7</v>
      </c>
      <c r="AH149">
        <v>0.5</v>
      </c>
      <c r="AL149">
        <v>0.6</v>
      </c>
      <c r="AM149">
        <v>5</v>
      </c>
      <c r="AS149">
        <v>2.9</v>
      </c>
      <c r="AY149">
        <v>2.2999999999999998</v>
      </c>
      <c r="BD149">
        <v>4.3</v>
      </c>
      <c r="BJ149">
        <v>0.1</v>
      </c>
      <c r="BM149">
        <v>84</v>
      </c>
      <c r="BN149">
        <v>0.1</v>
      </c>
      <c r="BO149">
        <v>2.7</v>
      </c>
      <c r="BP149">
        <v>2.7</v>
      </c>
      <c r="BQ149">
        <v>5.5</v>
      </c>
      <c r="BR149">
        <v>0.2</v>
      </c>
      <c r="BS149">
        <v>22</v>
      </c>
      <c r="BV149">
        <v>2</v>
      </c>
      <c r="BW149">
        <v>5.5</v>
      </c>
      <c r="BX149">
        <v>1.5</v>
      </c>
      <c r="CD149">
        <v>0.4</v>
      </c>
      <c r="CF149">
        <v>0.8</v>
      </c>
      <c r="CG149">
        <v>9.3000000000000007</v>
      </c>
      <c r="CI149">
        <v>0.2</v>
      </c>
      <c r="CK149">
        <v>18</v>
      </c>
      <c r="CY149">
        <v>0.2</v>
      </c>
      <c r="DA149" s="2"/>
      <c r="DD149" s="1">
        <v>41040</v>
      </c>
      <c r="DE149" s="2">
        <f t="shared" si="45"/>
        <v>5.8375000000000004</v>
      </c>
      <c r="DF149" s="2">
        <f t="shared" si="44"/>
        <v>1.831372549019608</v>
      </c>
      <c r="DG149" s="2">
        <f t="shared" si="46"/>
        <v>84</v>
      </c>
      <c r="DH149" s="2">
        <f t="shared" si="47"/>
        <v>0.1</v>
      </c>
      <c r="DI149" s="3">
        <f t="shared" si="48"/>
        <v>0.31372549019607843</v>
      </c>
    </row>
    <row r="150" spans="1:113">
      <c r="A150" s="17" t="s">
        <v>166</v>
      </c>
      <c r="F150">
        <v>0.5</v>
      </c>
      <c r="G150">
        <v>9.6</v>
      </c>
      <c r="H150">
        <v>1.6</v>
      </c>
      <c r="K150">
        <v>15.8</v>
      </c>
      <c r="R150">
        <v>4.9000000000000004</v>
      </c>
      <c r="V150">
        <v>14.3</v>
      </c>
      <c r="W150">
        <v>1.6</v>
      </c>
      <c r="AA150">
        <v>1.4</v>
      </c>
      <c r="AC150">
        <v>1.5</v>
      </c>
      <c r="AH150">
        <v>0.4</v>
      </c>
      <c r="AM150">
        <v>0.7</v>
      </c>
      <c r="AS150">
        <v>7.3</v>
      </c>
      <c r="AU150">
        <v>10.5</v>
      </c>
      <c r="AY150">
        <v>1.1000000000000001</v>
      </c>
      <c r="AZ150">
        <v>12.7</v>
      </c>
      <c r="BF150">
        <v>0.2</v>
      </c>
      <c r="BJ150">
        <v>0.1</v>
      </c>
      <c r="BK150">
        <v>5.2</v>
      </c>
      <c r="BM150">
        <v>4.0999999999999996</v>
      </c>
      <c r="BO150">
        <v>0.1</v>
      </c>
      <c r="BP150">
        <v>3.5</v>
      </c>
      <c r="BQ150">
        <v>6.8</v>
      </c>
      <c r="BR150">
        <v>2.2000000000000002</v>
      </c>
      <c r="BS150">
        <v>6.8</v>
      </c>
      <c r="BY150">
        <v>0.1</v>
      </c>
      <c r="CD150">
        <v>0.1</v>
      </c>
      <c r="CF150">
        <v>0.2</v>
      </c>
      <c r="CK150">
        <v>12.5</v>
      </c>
      <c r="CS150">
        <v>0.4</v>
      </c>
      <c r="CX150">
        <v>0.5</v>
      </c>
      <c r="CY150">
        <v>0.1</v>
      </c>
      <c r="CZ150">
        <v>1.5</v>
      </c>
      <c r="DA150" s="2"/>
      <c r="DD150" s="1">
        <v>41041</v>
      </c>
      <c r="DE150" s="2">
        <f t="shared" si="45"/>
        <v>4.0093749999999986</v>
      </c>
      <c r="DF150" s="2">
        <f t="shared" si="44"/>
        <v>1.2578431372549015</v>
      </c>
      <c r="DG150" s="2">
        <f t="shared" si="46"/>
        <v>15.8</v>
      </c>
      <c r="DH150" s="2">
        <f t="shared" si="47"/>
        <v>0.1</v>
      </c>
      <c r="DI150" s="3">
        <f t="shared" si="48"/>
        <v>0.31372549019607843</v>
      </c>
    </row>
    <row r="151" spans="1:113">
      <c r="A151" s="17" t="s">
        <v>167</v>
      </c>
      <c r="D151">
        <v>0.9</v>
      </c>
      <c r="F151">
        <v>1.3</v>
      </c>
      <c r="G151">
        <v>0.2</v>
      </c>
      <c r="H151">
        <v>1.9</v>
      </c>
      <c r="K151">
        <v>6.4</v>
      </c>
      <c r="P151">
        <v>3.4</v>
      </c>
      <c r="U151">
        <v>14.2</v>
      </c>
      <c r="X151">
        <v>0.2</v>
      </c>
      <c r="AA151">
        <v>0.3</v>
      </c>
      <c r="AC151">
        <v>2.6</v>
      </c>
      <c r="AD151">
        <v>2.5</v>
      </c>
      <c r="AE151">
        <v>0.2</v>
      </c>
      <c r="AF151">
        <v>10.8</v>
      </c>
      <c r="AH151">
        <v>5.3</v>
      </c>
      <c r="AI151">
        <v>0.3</v>
      </c>
      <c r="AP151">
        <v>9.3000000000000007</v>
      </c>
      <c r="AQ151">
        <v>0.2</v>
      </c>
      <c r="AY151">
        <v>0.9</v>
      </c>
      <c r="AZ151">
        <v>9.1999999999999993</v>
      </c>
      <c r="BC151">
        <v>2.8</v>
      </c>
      <c r="BD151">
        <v>7</v>
      </c>
      <c r="BE151" t="s">
        <v>0</v>
      </c>
      <c r="BH151">
        <v>15.5</v>
      </c>
      <c r="BM151">
        <v>1.2</v>
      </c>
      <c r="BN151">
        <v>3</v>
      </c>
      <c r="BO151">
        <v>0.1</v>
      </c>
      <c r="BR151">
        <v>1.8</v>
      </c>
      <c r="BT151">
        <v>2.8</v>
      </c>
      <c r="BW151">
        <v>8.1999999999999993</v>
      </c>
      <c r="CE151">
        <v>1.5</v>
      </c>
      <c r="CF151">
        <v>8</v>
      </c>
      <c r="CK151">
        <v>5.5</v>
      </c>
      <c r="CL151">
        <v>4.2</v>
      </c>
      <c r="CO151">
        <v>2.4</v>
      </c>
      <c r="CQ151">
        <v>0.1</v>
      </c>
      <c r="CW151">
        <v>0.2</v>
      </c>
      <c r="CY151">
        <v>0.1</v>
      </c>
      <c r="CZ151">
        <v>2.7</v>
      </c>
      <c r="DA151" s="2"/>
      <c r="DD151" s="1">
        <v>41042</v>
      </c>
      <c r="DE151" s="2">
        <f t="shared" si="45"/>
        <v>3.7081081081081071</v>
      </c>
      <c r="DF151" s="2">
        <f t="shared" si="44"/>
        <v>1.3450980392156859</v>
      </c>
      <c r="DG151" s="2">
        <f t="shared" si="46"/>
        <v>15.5</v>
      </c>
      <c r="DH151" s="2">
        <f t="shared" si="47"/>
        <v>0.1</v>
      </c>
      <c r="DI151" s="3">
        <f t="shared" si="48"/>
        <v>0.37254901960784315</v>
      </c>
    </row>
    <row r="152" spans="1:113">
      <c r="A152" s="17" t="s">
        <v>168</v>
      </c>
      <c r="C152">
        <v>0.2</v>
      </c>
      <c r="H152">
        <v>5.2</v>
      </c>
      <c r="L152">
        <v>0.1</v>
      </c>
      <c r="S152">
        <v>3.9</v>
      </c>
      <c r="T152">
        <v>0.4</v>
      </c>
      <c r="X152">
        <v>3.8</v>
      </c>
      <c r="Z152">
        <v>2</v>
      </c>
      <c r="AA152">
        <v>0.2</v>
      </c>
      <c r="AC152">
        <v>1</v>
      </c>
      <c r="AF152">
        <v>19.3</v>
      </c>
      <c r="AH152">
        <v>0.3</v>
      </c>
      <c r="AP152">
        <v>7.1</v>
      </c>
      <c r="AS152">
        <v>5.3</v>
      </c>
      <c r="AZ152">
        <v>22</v>
      </c>
      <c r="BD152">
        <v>2.8</v>
      </c>
      <c r="BE152">
        <v>0.4</v>
      </c>
      <c r="BH152">
        <v>0.2</v>
      </c>
      <c r="BI152">
        <v>0.3</v>
      </c>
      <c r="BN152">
        <v>16.600000000000001</v>
      </c>
      <c r="BQ152">
        <v>4</v>
      </c>
      <c r="BR152">
        <v>3.5</v>
      </c>
      <c r="BT152">
        <v>2.4</v>
      </c>
      <c r="CD152">
        <v>0.6</v>
      </c>
      <c r="CE152">
        <v>0.3</v>
      </c>
      <c r="CF152">
        <v>6</v>
      </c>
      <c r="CI152">
        <v>25.2</v>
      </c>
      <c r="CK152">
        <v>1</v>
      </c>
      <c r="CN152">
        <v>0.5</v>
      </c>
      <c r="CU152">
        <v>0.2</v>
      </c>
      <c r="CY152">
        <v>0.1</v>
      </c>
      <c r="CZ152">
        <v>20.2</v>
      </c>
      <c r="DA152" s="2"/>
      <c r="DD152" s="1">
        <v>41043</v>
      </c>
      <c r="DE152" s="2">
        <f t="shared" si="45"/>
        <v>5.0032258064516117</v>
      </c>
      <c r="DF152" s="2">
        <f t="shared" si="44"/>
        <v>1.5205882352941174</v>
      </c>
      <c r="DG152" s="2">
        <f t="shared" si="46"/>
        <v>25.2</v>
      </c>
      <c r="DH152" s="2">
        <f t="shared" si="47"/>
        <v>0.1</v>
      </c>
      <c r="DI152" s="3">
        <f t="shared" si="48"/>
        <v>0.30392156862745096</v>
      </c>
    </row>
    <row r="153" spans="1:113">
      <c r="A153" s="17" t="s">
        <v>169</v>
      </c>
      <c r="G153">
        <v>0.4</v>
      </c>
      <c r="H153">
        <v>2</v>
      </c>
      <c r="J153">
        <v>13.4</v>
      </c>
      <c r="L153">
        <v>0.2</v>
      </c>
      <c r="U153">
        <v>5.5</v>
      </c>
      <c r="Z153">
        <v>1.3</v>
      </c>
      <c r="AA153">
        <v>10.5</v>
      </c>
      <c r="AF153">
        <v>17.100000000000001</v>
      </c>
      <c r="AH153">
        <v>0.7</v>
      </c>
      <c r="AN153">
        <v>0.8</v>
      </c>
      <c r="AP153">
        <v>1.2</v>
      </c>
      <c r="AQ153">
        <v>0.9</v>
      </c>
      <c r="AR153">
        <v>1.4</v>
      </c>
      <c r="AS153">
        <v>3.3</v>
      </c>
      <c r="AV153">
        <v>1.6</v>
      </c>
      <c r="AZ153">
        <v>1.3</v>
      </c>
      <c r="BG153">
        <v>0.7</v>
      </c>
      <c r="BN153">
        <v>19.399999999999999</v>
      </c>
      <c r="BP153">
        <v>1.7</v>
      </c>
      <c r="BQ153">
        <v>3.5</v>
      </c>
      <c r="BS153">
        <v>0.8</v>
      </c>
      <c r="BT153">
        <v>1.2</v>
      </c>
      <c r="BU153">
        <v>2.2999999999999998</v>
      </c>
      <c r="CD153">
        <v>15.1</v>
      </c>
      <c r="CF153">
        <v>0.7</v>
      </c>
      <c r="CH153">
        <v>0.9</v>
      </c>
      <c r="CI153">
        <v>4.8</v>
      </c>
      <c r="CW153">
        <v>0.1</v>
      </c>
      <c r="CY153">
        <v>6.4</v>
      </c>
      <c r="DA153" s="2"/>
      <c r="DD153" s="1">
        <v>41044</v>
      </c>
      <c r="DE153" s="2">
        <f t="shared" si="45"/>
        <v>4.1103448275862062</v>
      </c>
      <c r="DF153" s="2">
        <f t="shared" si="44"/>
        <v>1.168627450980392</v>
      </c>
      <c r="DG153" s="2">
        <f t="shared" si="46"/>
        <v>19.399999999999999</v>
      </c>
      <c r="DH153" s="2">
        <f t="shared" si="47"/>
        <v>0.1</v>
      </c>
      <c r="DI153" s="3">
        <f t="shared" si="48"/>
        <v>0.28431372549019607</v>
      </c>
    </row>
    <row r="154" spans="1:113">
      <c r="A154" s="17" t="s">
        <v>170</v>
      </c>
      <c r="E154">
        <v>1.6</v>
      </c>
      <c r="H154">
        <v>1.4</v>
      </c>
      <c r="J154">
        <v>0.6</v>
      </c>
      <c r="K154">
        <v>1.6</v>
      </c>
      <c r="M154">
        <v>0.1</v>
      </c>
      <c r="P154">
        <v>2.7</v>
      </c>
      <c r="U154">
        <v>2.5</v>
      </c>
      <c r="X154">
        <v>27</v>
      </c>
      <c r="AE154">
        <v>2.7</v>
      </c>
      <c r="AL154">
        <v>0.9</v>
      </c>
      <c r="AQ154">
        <v>1.8</v>
      </c>
      <c r="AU154">
        <v>1.7</v>
      </c>
      <c r="AV154">
        <v>0.3</v>
      </c>
      <c r="BG154">
        <v>4</v>
      </c>
      <c r="BM154">
        <v>7</v>
      </c>
      <c r="BN154">
        <v>0.3</v>
      </c>
      <c r="BP154">
        <v>0.8</v>
      </c>
      <c r="BQ154">
        <v>3.7</v>
      </c>
      <c r="BR154">
        <v>0.1</v>
      </c>
      <c r="BU154">
        <v>16.399999999999999</v>
      </c>
      <c r="BV154">
        <v>0.1</v>
      </c>
      <c r="BZ154">
        <v>0.1</v>
      </c>
      <c r="CD154">
        <v>1.3</v>
      </c>
      <c r="CF154">
        <v>3.8</v>
      </c>
      <c r="CK154">
        <v>3.6</v>
      </c>
      <c r="CL154">
        <v>1.5</v>
      </c>
      <c r="CY154">
        <v>1.5</v>
      </c>
      <c r="DA154" s="2"/>
      <c r="DD154" s="1">
        <v>41045</v>
      </c>
      <c r="DE154" s="2">
        <f t="shared" si="45"/>
        <v>3.2999999999999989</v>
      </c>
      <c r="DF154" s="2">
        <f t="shared" si="44"/>
        <v>0.87352941176470555</v>
      </c>
      <c r="DG154" s="2">
        <f t="shared" si="46"/>
        <v>27</v>
      </c>
      <c r="DH154" s="2">
        <f t="shared" si="47"/>
        <v>0.1</v>
      </c>
      <c r="DI154" s="3">
        <f t="shared" si="48"/>
        <v>0.26470588235294118</v>
      </c>
    </row>
    <row r="155" spans="1:113">
      <c r="A155" s="17" t="s">
        <v>171</v>
      </c>
      <c r="E155">
        <v>0.8</v>
      </c>
      <c r="G155">
        <v>6.9</v>
      </c>
      <c r="H155">
        <v>0.8</v>
      </c>
      <c r="J155">
        <v>15.5</v>
      </c>
      <c r="L155">
        <v>0.2</v>
      </c>
      <c r="T155">
        <v>0.6</v>
      </c>
      <c r="W155">
        <v>24</v>
      </c>
      <c r="X155">
        <v>5</v>
      </c>
      <c r="AE155">
        <v>6.8</v>
      </c>
      <c r="AH155">
        <v>22.7</v>
      </c>
      <c r="AP155">
        <v>16.3</v>
      </c>
      <c r="AQ155">
        <v>13.9</v>
      </c>
      <c r="AR155">
        <v>2.1</v>
      </c>
      <c r="BB155">
        <v>0.2</v>
      </c>
      <c r="BE155">
        <v>1.3</v>
      </c>
      <c r="BJ155">
        <v>0.1</v>
      </c>
      <c r="BL155">
        <v>2.8</v>
      </c>
      <c r="BM155">
        <v>0.2</v>
      </c>
      <c r="BN155">
        <v>0.1</v>
      </c>
      <c r="BR155">
        <v>0.1</v>
      </c>
      <c r="BU155">
        <v>16.600000000000001</v>
      </c>
      <c r="BV155">
        <v>0.9</v>
      </c>
      <c r="BX155">
        <v>0.3</v>
      </c>
      <c r="CD155">
        <v>0.2</v>
      </c>
      <c r="CK155">
        <v>1.5</v>
      </c>
      <c r="CT155">
        <v>0.5</v>
      </c>
      <c r="CW155">
        <v>1</v>
      </c>
      <c r="CZ155">
        <v>0.7</v>
      </c>
      <c r="DA155" s="2"/>
      <c r="DD155" s="1">
        <v>41046</v>
      </c>
      <c r="DE155" s="2">
        <f t="shared" si="45"/>
        <v>5.0749999999999984</v>
      </c>
      <c r="DF155" s="2">
        <f t="shared" si="44"/>
        <v>1.3931372549019605</v>
      </c>
      <c r="DG155" s="2">
        <f t="shared" si="46"/>
        <v>24</v>
      </c>
      <c r="DH155" s="2">
        <f t="shared" si="47"/>
        <v>0.1</v>
      </c>
      <c r="DI155" s="3">
        <f t="shared" si="48"/>
        <v>0.27450980392156865</v>
      </c>
    </row>
    <row r="156" spans="1:113">
      <c r="A156" s="17" t="s">
        <v>172</v>
      </c>
      <c r="E156">
        <v>0.1</v>
      </c>
      <c r="I156">
        <v>0.4</v>
      </c>
      <c r="J156">
        <v>11.4</v>
      </c>
      <c r="L156">
        <v>1.5</v>
      </c>
      <c r="P156">
        <v>0.5</v>
      </c>
      <c r="T156">
        <v>3.2</v>
      </c>
      <c r="U156">
        <v>0.3</v>
      </c>
      <c r="W156">
        <v>0.3</v>
      </c>
      <c r="Y156">
        <v>0.2</v>
      </c>
      <c r="AE156">
        <v>1.2</v>
      </c>
      <c r="AL156">
        <v>1.7</v>
      </c>
      <c r="AO156">
        <v>1.3</v>
      </c>
      <c r="AP156">
        <v>2</v>
      </c>
      <c r="AQ156">
        <v>7.6</v>
      </c>
      <c r="AR156">
        <v>14.3</v>
      </c>
      <c r="BB156">
        <v>3.4</v>
      </c>
      <c r="BE156">
        <v>2.2999999999999998</v>
      </c>
      <c r="BG156">
        <v>7.1</v>
      </c>
      <c r="BI156">
        <v>6.5</v>
      </c>
      <c r="BJ156">
        <v>0.1</v>
      </c>
      <c r="BL156">
        <v>0.6</v>
      </c>
      <c r="BN156">
        <v>0.2</v>
      </c>
      <c r="BR156">
        <v>0.6</v>
      </c>
      <c r="BU156">
        <v>8.5</v>
      </c>
      <c r="CD156">
        <v>6.2</v>
      </c>
      <c r="CT156">
        <v>3.9</v>
      </c>
      <c r="CX156">
        <v>0.1</v>
      </c>
      <c r="CY156">
        <v>24.6</v>
      </c>
      <c r="DA156" s="2"/>
      <c r="DD156" s="1">
        <v>41047</v>
      </c>
      <c r="DE156" s="2">
        <f t="shared" si="45"/>
        <v>3.9321428571428569</v>
      </c>
      <c r="DF156" s="2">
        <f t="shared" si="44"/>
        <v>1.0794117647058823</v>
      </c>
      <c r="DG156" s="2">
        <f t="shared" si="46"/>
        <v>24.6</v>
      </c>
      <c r="DH156" s="2">
        <f t="shared" si="47"/>
        <v>0.1</v>
      </c>
      <c r="DI156" s="3">
        <f t="shared" si="48"/>
        <v>0.27450980392156865</v>
      </c>
    </row>
    <row r="157" spans="1:113">
      <c r="A157" s="17" t="s">
        <v>173</v>
      </c>
      <c r="G157">
        <v>0.3</v>
      </c>
      <c r="K157">
        <v>1.2</v>
      </c>
      <c r="P157">
        <v>18.3</v>
      </c>
      <c r="X157">
        <v>0.5</v>
      </c>
      <c r="AD157">
        <v>1.9</v>
      </c>
      <c r="AE157">
        <v>2.5</v>
      </c>
      <c r="AG157">
        <v>1.1000000000000001</v>
      </c>
      <c r="AH157">
        <v>2.5</v>
      </c>
      <c r="AQ157">
        <v>1.2</v>
      </c>
      <c r="AS157">
        <v>0.3</v>
      </c>
      <c r="AV157">
        <v>21.1</v>
      </c>
      <c r="BB157">
        <v>3.3</v>
      </c>
      <c r="BF157">
        <v>0.1</v>
      </c>
      <c r="BG157">
        <v>0.6</v>
      </c>
      <c r="BI157">
        <v>0.2</v>
      </c>
      <c r="BJ157">
        <v>0.1</v>
      </c>
      <c r="BR157">
        <v>0.8</v>
      </c>
      <c r="BS157">
        <v>0.1</v>
      </c>
      <c r="BU157">
        <v>0.2</v>
      </c>
      <c r="BX157">
        <v>1</v>
      </c>
      <c r="CC157">
        <v>1.4</v>
      </c>
      <c r="CD157">
        <v>15.8</v>
      </c>
      <c r="CF157">
        <v>0.5</v>
      </c>
      <c r="CK157">
        <v>8</v>
      </c>
      <c r="CN157">
        <v>9.3000000000000007</v>
      </c>
      <c r="CT157">
        <v>0.9</v>
      </c>
      <c r="CV157">
        <v>0.1</v>
      </c>
      <c r="CW157">
        <v>1</v>
      </c>
      <c r="CX157">
        <v>0.2</v>
      </c>
      <c r="CY157">
        <v>0.7</v>
      </c>
      <c r="DA157" s="2"/>
      <c r="DD157" s="1">
        <v>41048</v>
      </c>
      <c r="DE157" s="2">
        <f t="shared" si="45"/>
        <v>3.1733333333333338</v>
      </c>
      <c r="DF157" s="2">
        <f t="shared" si="44"/>
        <v>0.93333333333333346</v>
      </c>
      <c r="DG157" s="2">
        <f t="shared" si="46"/>
        <v>21.1</v>
      </c>
      <c r="DH157" s="2">
        <f t="shared" si="47"/>
        <v>0.1</v>
      </c>
      <c r="DI157" s="3">
        <f t="shared" si="48"/>
        <v>0.29411764705882354</v>
      </c>
    </row>
    <row r="158" spans="1:113">
      <c r="A158" s="17" t="s">
        <v>174</v>
      </c>
      <c r="E158">
        <v>2.1</v>
      </c>
      <c r="F158">
        <v>0.2</v>
      </c>
      <c r="G158">
        <v>0.4</v>
      </c>
      <c r="J158">
        <v>4.8</v>
      </c>
      <c r="M158">
        <v>0.6</v>
      </c>
      <c r="P158">
        <v>37</v>
      </c>
      <c r="U158">
        <v>3.2</v>
      </c>
      <c r="X158">
        <v>1</v>
      </c>
      <c r="AE158">
        <v>0.1</v>
      </c>
      <c r="AG158">
        <v>1.1000000000000001</v>
      </c>
      <c r="AR158">
        <v>1.6</v>
      </c>
      <c r="AS158">
        <v>0.8</v>
      </c>
      <c r="AZ158">
        <v>1.7</v>
      </c>
      <c r="BB158">
        <v>2.2999999999999998</v>
      </c>
      <c r="BF158">
        <v>0.2</v>
      </c>
      <c r="BN158">
        <v>0.3</v>
      </c>
      <c r="BR158">
        <v>0.1</v>
      </c>
      <c r="BS158">
        <v>0.3</v>
      </c>
      <c r="BW158">
        <v>0.1</v>
      </c>
      <c r="CC158">
        <v>5.3</v>
      </c>
      <c r="CF158">
        <v>4.2</v>
      </c>
      <c r="CK158">
        <v>18</v>
      </c>
      <c r="CO158">
        <v>1.4</v>
      </c>
      <c r="CT158">
        <v>7.3</v>
      </c>
      <c r="CW158">
        <v>0.5</v>
      </c>
      <c r="CY158">
        <v>4.3</v>
      </c>
      <c r="DA158" s="2"/>
      <c r="DD158" s="1">
        <v>41049</v>
      </c>
      <c r="DE158" s="2">
        <f t="shared" si="45"/>
        <v>3.8038461538461541</v>
      </c>
      <c r="DF158" s="2">
        <f t="shared" si="44"/>
        <v>0.96960784313725501</v>
      </c>
      <c r="DG158" s="2">
        <f t="shared" si="46"/>
        <v>37</v>
      </c>
      <c r="DH158" s="2">
        <f t="shared" si="47"/>
        <v>0.1</v>
      </c>
      <c r="DI158" s="3">
        <f t="shared" si="48"/>
        <v>0.25490196078431371</v>
      </c>
    </row>
    <row r="159" spans="1:113">
      <c r="A159" s="17" t="s">
        <v>175</v>
      </c>
      <c r="F159">
        <v>3.3</v>
      </c>
      <c r="J159">
        <v>41.5</v>
      </c>
      <c r="L159">
        <v>0.1</v>
      </c>
      <c r="P159">
        <v>21.7</v>
      </c>
      <c r="T159">
        <v>0.3</v>
      </c>
      <c r="X159">
        <v>20.100000000000001</v>
      </c>
      <c r="AJ159">
        <v>4</v>
      </c>
      <c r="AP159">
        <v>1</v>
      </c>
      <c r="AR159">
        <v>0.2</v>
      </c>
      <c r="AS159">
        <v>7.3</v>
      </c>
      <c r="AV159">
        <v>0.3</v>
      </c>
      <c r="AZ159">
        <v>0.2</v>
      </c>
      <c r="BF159">
        <v>12.5</v>
      </c>
      <c r="BI159">
        <v>13.6</v>
      </c>
      <c r="BM159">
        <v>0.1</v>
      </c>
      <c r="BN159">
        <v>0.3</v>
      </c>
      <c r="BS159">
        <v>13.4</v>
      </c>
      <c r="BZ159">
        <v>2.7</v>
      </c>
      <c r="CB159">
        <v>0.4</v>
      </c>
      <c r="CF159">
        <v>0.8</v>
      </c>
      <c r="CH159">
        <v>0.1</v>
      </c>
      <c r="CK159">
        <v>5.5</v>
      </c>
      <c r="CO159">
        <v>1.5</v>
      </c>
      <c r="CR159">
        <v>8.4</v>
      </c>
      <c r="CT159">
        <v>0.3</v>
      </c>
      <c r="CW159">
        <v>0.2</v>
      </c>
      <c r="DA159" s="2"/>
      <c r="DD159" s="1">
        <v>41050</v>
      </c>
      <c r="DE159" s="2">
        <f t="shared" si="45"/>
        <v>6.1461538461538456</v>
      </c>
      <c r="DF159" s="2">
        <f t="shared" si="44"/>
        <v>1.5666666666666664</v>
      </c>
      <c r="DG159" s="2">
        <f t="shared" si="46"/>
        <v>41.5</v>
      </c>
      <c r="DH159" s="2">
        <f t="shared" si="47"/>
        <v>0.1</v>
      </c>
      <c r="DI159" s="3">
        <f t="shared" si="48"/>
        <v>0.25490196078431371</v>
      </c>
    </row>
    <row r="160" spans="1:113">
      <c r="A160" s="17" t="s">
        <v>176</v>
      </c>
      <c r="D160">
        <v>7.7</v>
      </c>
      <c r="E160">
        <v>2.7</v>
      </c>
      <c r="F160">
        <v>2.2999999999999998</v>
      </c>
      <c r="H160">
        <v>2.7</v>
      </c>
      <c r="J160">
        <v>33.4</v>
      </c>
      <c r="M160">
        <v>5.3</v>
      </c>
      <c r="P160">
        <v>12.7</v>
      </c>
      <c r="AI160">
        <v>0.7</v>
      </c>
      <c r="AM160">
        <v>1</v>
      </c>
      <c r="AN160">
        <v>0.2</v>
      </c>
      <c r="AO160">
        <v>0.1</v>
      </c>
      <c r="AP160">
        <v>4.5</v>
      </c>
      <c r="AV160">
        <v>1.8</v>
      </c>
      <c r="BB160">
        <v>0.1</v>
      </c>
      <c r="BF160">
        <v>0.5</v>
      </c>
      <c r="BI160">
        <v>1.3</v>
      </c>
      <c r="BZ160">
        <v>0.8</v>
      </c>
      <c r="CA160">
        <v>0.2</v>
      </c>
      <c r="CB160">
        <v>1.7</v>
      </c>
      <c r="CH160">
        <v>0.1</v>
      </c>
      <c r="CI160">
        <v>0.9</v>
      </c>
      <c r="CK160">
        <v>7</v>
      </c>
      <c r="CR160">
        <v>0.9</v>
      </c>
      <c r="CW160">
        <v>22</v>
      </c>
      <c r="DA160" s="2"/>
      <c r="DD160" s="1">
        <v>41051</v>
      </c>
      <c r="DE160" s="2">
        <f t="shared" si="45"/>
        <v>4.6083333333333334</v>
      </c>
      <c r="DF160" s="2">
        <f t="shared" si="44"/>
        <v>1.084313725490196</v>
      </c>
      <c r="DG160" s="2">
        <f t="shared" si="46"/>
        <v>33.4</v>
      </c>
      <c r="DH160" s="2">
        <f t="shared" si="47"/>
        <v>0.1</v>
      </c>
      <c r="DI160" s="3">
        <f t="shared" si="48"/>
        <v>0.23529411764705882</v>
      </c>
    </row>
    <row r="161" spans="1:113">
      <c r="A161" s="17" t="s">
        <v>177</v>
      </c>
      <c r="E161">
        <v>4.2</v>
      </c>
      <c r="F161">
        <v>1.3</v>
      </c>
      <c r="M161">
        <v>27.6</v>
      </c>
      <c r="N161">
        <v>0.2</v>
      </c>
      <c r="O161">
        <v>0.8</v>
      </c>
      <c r="T161">
        <v>0.3</v>
      </c>
      <c r="AH161">
        <v>0.5</v>
      </c>
      <c r="AI161">
        <v>24.1</v>
      </c>
      <c r="AQ161">
        <v>1.7</v>
      </c>
      <c r="AV161">
        <v>8</v>
      </c>
      <c r="AX161">
        <v>0.3</v>
      </c>
      <c r="AZ161">
        <v>0.4</v>
      </c>
      <c r="BB161">
        <v>1</v>
      </c>
      <c r="BD161">
        <v>1.1000000000000001</v>
      </c>
      <c r="BI161">
        <v>5.4</v>
      </c>
      <c r="BJ161">
        <v>4.5999999999999996</v>
      </c>
      <c r="BM161">
        <v>5.6</v>
      </c>
      <c r="BQ161">
        <v>0.2</v>
      </c>
      <c r="CA161">
        <v>22.7</v>
      </c>
      <c r="CB161">
        <v>9.3000000000000007</v>
      </c>
      <c r="CE161">
        <v>0.8</v>
      </c>
      <c r="CJ161">
        <v>17.8</v>
      </c>
      <c r="CK161">
        <v>3.5</v>
      </c>
      <c r="CM161">
        <v>4.5</v>
      </c>
      <c r="CW161">
        <v>0.1</v>
      </c>
      <c r="CX161">
        <v>0.1</v>
      </c>
      <c r="CZ161">
        <v>0.3</v>
      </c>
      <c r="DA161" s="2"/>
      <c r="DD161" s="1">
        <v>41052</v>
      </c>
      <c r="DE161" s="2">
        <f t="shared" si="45"/>
        <v>5.4222222222222225</v>
      </c>
      <c r="DF161" s="2">
        <f t="shared" si="44"/>
        <v>1.4352941176470588</v>
      </c>
      <c r="DG161" s="2">
        <f t="shared" si="46"/>
        <v>27.6</v>
      </c>
      <c r="DH161" s="2">
        <f t="shared" si="47"/>
        <v>0.1</v>
      </c>
      <c r="DI161" s="3">
        <f t="shared" si="48"/>
        <v>0.26470588235294118</v>
      </c>
    </row>
    <row r="162" spans="1:113">
      <c r="A162" s="17" t="s">
        <v>178</v>
      </c>
      <c r="M162">
        <v>4.5999999999999996</v>
      </c>
      <c r="R162">
        <v>22.2</v>
      </c>
      <c r="S162">
        <v>5.7</v>
      </c>
      <c r="T162">
        <v>0.6</v>
      </c>
      <c r="V162">
        <v>5.0999999999999996</v>
      </c>
      <c r="W162">
        <v>0.2</v>
      </c>
      <c r="AA162">
        <v>0.7</v>
      </c>
      <c r="AC162">
        <v>0.5</v>
      </c>
      <c r="AF162">
        <v>1.5</v>
      </c>
      <c r="AQ162">
        <v>2</v>
      </c>
      <c r="AR162">
        <v>0.5</v>
      </c>
      <c r="AY162">
        <v>1</v>
      </c>
      <c r="BB162">
        <v>2.2000000000000002</v>
      </c>
      <c r="BJ162">
        <v>0.1</v>
      </c>
      <c r="BL162">
        <v>1.4</v>
      </c>
      <c r="BM162">
        <v>0.1</v>
      </c>
      <c r="BO162">
        <v>1.9</v>
      </c>
      <c r="BS162">
        <v>0.3</v>
      </c>
      <c r="CB162">
        <v>10.8</v>
      </c>
      <c r="CD162">
        <v>0.5</v>
      </c>
      <c r="CJ162">
        <v>0.3</v>
      </c>
      <c r="CM162">
        <v>14.5</v>
      </c>
      <c r="CP162">
        <v>1.2</v>
      </c>
      <c r="CQ162">
        <v>10.6</v>
      </c>
      <c r="CY162">
        <v>0.1</v>
      </c>
      <c r="DA162" s="2"/>
      <c r="DD162" s="1">
        <v>41053</v>
      </c>
      <c r="DE162" s="2">
        <f t="shared" si="45"/>
        <v>3.5439999999999996</v>
      </c>
      <c r="DF162" s="2">
        <f t="shared" si="44"/>
        <v>0.86862745098039207</v>
      </c>
      <c r="DG162" s="2">
        <f t="shared" si="46"/>
        <v>22.2</v>
      </c>
      <c r="DH162" s="2">
        <f t="shared" si="47"/>
        <v>0.1</v>
      </c>
      <c r="DI162" s="3">
        <f t="shared" si="48"/>
        <v>0.24509803921568626</v>
      </c>
    </row>
    <row r="163" spans="1:113">
      <c r="A163" s="17" t="s">
        <v>179</v>
      </c>
      <c r="E163">
        <v>0.6</v>
      </c>
      <c r="F163">
        <v>0.2</v>
      </c>
      <c r="M163">
        <v>1.8</v>
      </c>
      <c r="Q163">
        <v>0.1</v>
      </c>
      <c r="R163">
        <v>2.2000000000000002</v>
      </c>
      <c r="T163">
        <v>3.1</v>
      </c>
      <c r="V163">
        <v>4.7</v>
      </c>
      <c r="AE163">
        <v>5.4</v>
      </c>
      <c r="AF163">
        <v>8</v>
      </c>
      <c r="AK163">
        <v>0.9</v>
      </c>
      <c r="AQ163">
        <v>0.4</v>
      </c>
      <c r="AS163">
        <v>1.6</v>
      </c>
      <c r="AU163">
        <v>0.4</v>
      </c>
      <c r="AV163">
        <v>6.2</v>
      </c>
      <c r="AZ163">
        <v>1.6</v>
      </c>
      <c r="BB163">
        <v>0.2</v>
      </c>
      <c r="BF163">
        <v>1.4</v>
      </c>
      <c r="BI163">
        <v>16.100000000000001</v>
      </c>
      <c r="BL163">
        <v>0.5</v>
      </c>
      <c r="BO163">
        <v>1</v>
      </c>
      <c r="BZ163">
        <v>0.9</v>
      </c>
      <c r="CA163">
        <v>0.2</v>
      </c>
      <c r="CB163">
        <v>0.2</v>
      </c>
      <c r="CD163">
        <v>6.5</v>
      </c>
      <c r="CJ163">
        <v>6.4</v>
      </c>
      <c r="CM163">
        <v>15</v>
      </c>
      <c r="CN163">
        <v>0.5</v>
      </c>
      <c r="CY163">
        <v>10.9</v>
      </c>
      <c r="DA163" s="2"/>
      <c r="DD163" s="1">
        <v>41054</v>
      </c>
      <c r="DE163" s="2">
        <f t="shared" si="45"/>
        <v>3.4642857142857153</v>
      </c>
      <c r="DF163" s="2">
        <f t="shared" si="44"/>
        <v>0.95098039215686303</v>
      </c>
      <c r="DG163" s="2">
        <f t="shared" si="46"/>
        <v>16.100000000000001</v>
      </c>
      <c r="DH163" s="2">
        <f t="shared" si="47"/>
        <v>0.1</v>
      </c>
      <c r="DI163" s="3">
        <f t="shared" si="48"/>
        <v>0.27450980392156865</v>
      </c>
    </row>
    <row r="164" spans="1:113">
      <c r="A164" s="17" t="s">
        <v>180</v>
      </c>
      <c r="D164">
        <v>4</v>
      </c>
      <c r="E164">
        <v>0.2</v>
      </c>
      <c r="I164">
        <v>0.4</v>
      </c>
      <c r="K164">
        <v>15.1</v>
      </c>
      <c r="M164">
        <v>2</v>
      </c>
      <c r="R164">
        <v>8.3000000000000007</v>
      </c>
      <c r="S164">
        <v>2</v>
      </c>
      <c r="AD164">
        <v>6.9</v>
      </c>
      <c r="AE164">
        <v>0.1</v>
      </c>
      <c r="AH164">
        <v>26.5</v>
      </c>
      <c r="AK164">
        <v>2</v>
      </c>
      <c r="AR164">
        <v>0.2</v>
      </c>
      <c r="AS164">
        <v>0.1</v>
      </c>
      <c r="AW164">
        <v>3.1</v>
      </c>
      <c r="AZ164">
        <v>1.5</v>
      </c>
      <c r="BF164">
        <v>2.6</v>
      </c>
      <c r="BI164">
        <v>0.1</v>
      </c>
      <c r="BL164">
        <v>7</v>
      </c>
      <c r="BM164">
        <v>0.5</v>
      </c>
      <c r="BQ164">
        <v>1.7</v>
      </c>
      <c r="BW164">
        <v>0.6</v>
      </c>
      <c r="CA164">
        <v>1.7</v>
      </c>
      <c r="CB164">
        <v>3.6</v>
      </c>
      <c r="CD164">
        <v>0.1</v>
      </c>
      <c r="CE164">
        <v>5.6</v>
      </c>
      <c r="CK164">
        <v>7</v>
      </c>
      <c r="CO164">
        <v>2.8</v>
      </c>
      <c r="CR164">
        <v>0.5</v>
      </c>
      <c r="CS164">
        <v>0.9</v>
      </c>
      <c r="CT164">
        <v>0.5</v>
      </c>
      <c r="DA164" s="2"/>
      <c r="DD164" s="1">
        <v>41055</v>
      </c>
      <c r="DE164" s="2">
        <f t="shared" si="45"/>
        <v>3.5866666666666656</v>
      </c>
      <c r="DF164" s="2">
        <f t="shared" si="44"/>
        <v>1.0549019607843133</v>
      </c>
      <c r="DG164" s="2">
        <f t="shared" si="46"/>
        <v>26.5</v>
      </c>
      <c r="DH164" s="2">
        <f t="shared" si="47"/>
        <v>0.1</v>
      </c>
      <c r="DI164" s="3">
        <f t="shared" si="48"/>
        <v>0.29411764705882354</v>
      </c>
    </row>
    <row r="165" spans="1:113">
      <c r="A165" s="17" t="s">
        <v>181</v>
      </c>
      <c r="D165">
        <v>0.2</v>
      </c>
      <c r="K165">
        <v>0.6</v>
      </c>
      <c r="M165">
        <v>14.9</v>
      </c>
      <c r="S165">
        <v>8</v>
      </c>
      <c r="X165">
        <v>7.6</v>
      </c>
      <c r="AA165">
        <v>1.1000000000000001</v>
      </c>
      <c r="AD165">
        <v>0.6</v>
      </c>
      <c r="AI165">
        <v>10.199999999999999</v>
      </c>
      <c r="AK165">
        <v>4.8</v>
      </c>
      <c r="AM165">
        <v>0.3</v>
      </c>
      <c r="AS165">
        <v>0.1</v>
      </c>
      <c r="AW165">
        <v>0.3</v>
      </c>
      <c r="BJ165">
        <v>0.2</v>
      </c>
      <c r="BL165">
        <v>6.7</v>
      </c>
      <c r="BU165">
        <v>0.1</v>
      </c>
      <c r="CB165">
        <v>0.4</v>
      </c>
      <c r="CE165">
        <v>27</v>
      </c>
      <c r="CP165">
        <v>0.1</v>
      </c>
      <c r="CY165">
        <v>2.5</v>
      </c>
      <c r="DA165" s="2"/>
      <c r="DD165" s="1">
        <v>41056</v>
      </c>
      <c r="DE165" s="2">
        <f t="shared" si="45"/>
        <v>4.5105263157894733</v>
      </c>
      <c r="DF165" s="2">
        <f t="shared" si="44"/>
        <v>0.84019607843137245</v>
      </c>
      <c r="DG165" s="2">
        <f t="shared" si="46"/>
        <v>27</v>
      </c>
      <c r="DH165" s="2">
        <f t="shared" si="47"/>
        <v>0.1</v>
      </c>
      <c r="DI165" s="3">
        <f t="shared" si="48"/>
        <v>0.18627450980392157</v>
      </c>
    </row>
    <row r="166" spans="1:113">
      <c r="A166" s="17" t="s">
        <v>182</v>
      </c>
      <c r="D166">
        <v>0.5</v>
      </c>
      <c r="E166">
        <v>0.2</v>
      </c>
      <c r="P166">
        <v>1.5</v>
      </c>
      <c r="S166">
        <v>18</v>
      </c>
      <c r="V166">
        <v>24.5</v>
      </c>
      <c r="X166">
        <v>9.5</v>
      </c>
      <c r="Y166">
        <v>4.9000000000000004</v>
      </c>
      <c r="AE166">
        <v>1.5</v>
      </c>
      <c r="AI166">
        <v>11.4</v>
      </c>
      <c r="AK166">
        <v>7.5</v>
      </c>
      <c r="AW166">
        <v>0.1</v>
      </c>
      <c r="AX166">
        <v>1.6</v>
      </c>
      <c r="AY166">
        <v>2.6</v>
      </c>
      <c r="BG166">
        <v>4.5</v>
      </c>
      <c r="BI166">
        <v>0.1</v>
      </c>
      <c r="BJ166">
        <v>0.1</v>
      </c>
      <c r="BL166">
        <v>3.5</v>
      </c>
      <c r="CB166">
        <v>2.2000000000000002</v>
      </c>
      <c r="CD166">
        <v>24</v>
      </c>
      <c r="CE166">
        <v>0.2</v>
      </c>
      <c r="CK166">
        <v>0.2</v>
      </c>
      <c r="CT166">
        <v>2.5</v>
      </c>
      <c r="CW166">
        <v>0.1</v>
      </c>
      <c r="CX166">
        <v>0.9</v>
      </c>
      <c r="CY166">
        <v>3.2</v>
      </c>
      <c r="DA166" s="2"/>
      <c r="DD166" s="1">
        <v>41057</v>
      </c>
      <c r="DE166" s="2">
        <f t="shared" si="45"/>
        <v>5.0119999999999996</v>
      </c>
      <c r="DF166" s="2">
        <f t="shared" si="44"/>
        <v>1.2284313725490195</v>
      </c>
      <c r="DG166" s="2">
        <f t="shared" si="46"/>
        <v>24.5</v>
      </c>
      <c r="DH166" s="2">
        <f t="shared" si="47"/>
        <v>0.1</v>
      </c>
      <c r="DI166" s="3">
        <f t="shared" si="48"/>
        <v>0.24509803921568626</v>
      </c>
    </row>
    <row r="167" spans="1:113">
      <c r="A167" s="17" t="s">
        <v>183</v>
      </c>
      <c r="D167">
        <v>4.9000000000000004</v>
      </c>
      <c r="G167">
        <v>4</v>
      </c>
      <c r="M167">
        <v>0.4</v>
      </c>
      <c r="P167">
        <v>8.6999999999999993</v>
      </c>
      <c r="S167">
        <v>10.1</v>
      </c>
      <c r="T167">
        <v>0.4</v>
      </c>
      <c r="X167">
        <v>0.9</v>
      </c>
      <c r="Y167">
        <v>5.9</v>
      </c>
      <c r="AD167">
        <v>0.2</v>
      </c>
      <c r="AI167">
        <v>18.7</v>
      </c>
      <c r="AK167">
        <v>18.399999999999999</v>
      </c>
      <c r="AW167">
        <v>0.5</v>
      </c>
      <c r="AY167">
        <v>5.4</v>
      </c>
      <c r="AZ167">
        <v>0.6</v>
      </c>
      <c r="BF167">
        <v>4.4000000000000004</v>
      </c>
      <c r="BG167">
        <v>1.2</v>
      </c>
      <c r="BJ167">
        <v>3</v>
      </c>
      <c r="BK167">
        <v>1.2</v>
      </c>
      <c r="BL167">
        <v>0.7</v>
      </c>
      <c r="BV167">
        <v>4.0999999999999996</v>
      </c>
      <c r="CB167">
        <v>0.1</v>
      </c>
      <c r="CD167">
        <v>8</v>
      </c>
      <c r="CI167">
        <v>3.5</v>
      </c>
      <c r="CJ167">
        <v>1.8</v>
      </c>
      <c r="CN167">
        <v>6</v>
      </c>
      <c r="CO167">
        <v>4.8</v>
      </c>
      <c r="CY167">
        <v>0.5</v>
      </c>
      <c r="DA167" s="2"/>
      <c r="DD167" s="1">
        <v>41058</v>
      </c>
      <c r="DE167" s="2">
        <f t="shared" si="45"/>
        <v>4.3851851851851853</v>
      </c>
      <c r="DF167" s="2">
        <f t="shared" si="44"/>
        <v>1.1607843137254901</v>
      </c>
      <c r="DG167" s="2">
        <f t="shared" si="46"/>
        <v>18.7</v>
      </c>
      <c r="DH167" s="2">
        <f t="shared" si="47"/>
        <v>0.1</v>
      </c>
      <c r="DI167" s="3">
        <f t="shared" si="48"/>
        <v>0.26470588235294118</v>
      </c>
    </row>
    <row r="168" spans="1:113">
      <c r="A168" s="17" t="s">
        <v>184</v>
      </c>
      <c r="D168">
        <v>0.6</v>
      </c>
      <c r="E168">
        <v>0.5</v>
      </c>
      <c r="F168">
        <v>1</v>
      </c>
      <c r="G168">
        <v>1.9</v>
      </c>
      <c r="S168">
        <v>6.4</v>
      </c>
      <c r="T168">
        <v>2</v>
      </c>
      <c r="X168">
        <v>1.5</v>
      </c>
      <c r="Y168">
        <v>0.2</v>
      </c>
      <c r="AB168">
        <v>2.1</v>
      </c>
      <c r="AH168">
        <v>5.5</v>
      </c>
      <c r="AY168">
        <v>3.3</v>
      </c>
      <c r="AZ168">
        <v>4.7</v>
      </c>
      <c r="BI168">
        <v>0.1</v>
      </c>
      <c r="BJ168">
        <v>2.1</v>
      </c>
      <c r="BK168">
        <v>1.3</v>
      </c>
      <c r="BL168">
        <v>0.1</v>
      </c>
      <c r="BM168">
        <v>0.1</v>
      </c>
      <c r="BU168">
        <v>0.4</v>
      </c>
      <c r="BV168">
        <v>0.6</v>
      </c>
      <c r="BZ168">
        <v>5.5</v>
      </c>
      <c r="CA168">
        <v>1.5</v>
      </c>
      <c r="CB168">
        <v>0.3</v>
      </c>
      <c r="CC168">
        <v>2.4</v>
      </c>
      <c r="CD168">
        <v>0.2</v>
      </c>
      <c r="CE168">
        <v>0.3</v>
      </c>
      <c r="CI168">
        <v>3</v>
      </c>
      <c r="CJ168">
        <v>1.2</v>
      </c>
      <c r="CN168">
        <v>0.5</v>
      </c>
      <c r="CO168">
        <v>5.7</v>
      </c>
      <c r="CQ168">
        <v>1.5</v>
      </c>
      <c r="DA168" s="2"/>
      <c r="DD168" s="1">
        <v>41059</v>
      </c>
      <c r="DE168" s="2">
        <f t="shared" si="45"/>
        <v>1.8833333333333335</v>
      </c>
      <c r="DF168" s="2">
        <f t="shared" si="44"/>
        <v>0.55392156862745101</v>
      </c>
      <c r="DG168" s="2">
        <f t="shared" si="46"/>
        <v>6.4</v>
      </c>
      <c r="DH168" s="2">
        <f t="shared" si="47"/>
        <v>0.1</v>
      </c>
      <c r="DI168" s="3">
        <f t="shared" si="48"/>
        <v>0.29411764705882354</v>
      </c>
    </row>
    <row r="169" spans="1:113">
      <c r="A169" s="17" t="s">
        <v>185</v>
      </c>
      <c r="E169">
        <v>0.7</v>
      </c>
      <c r="F169">
        <v>0.4</v>
      </c>
      <c r="G169">
        <v>10.1</v>
      </c>
      <c r="J169">
        <v>14</v>
      </c>
      <c r="L169">
        <v>8.9</v>
      </c>
      <c r="M169">
        <v>1.8</v>
      </c>
      <c r="P169">
        <v>0.7</v>
      </c>
      <c r="X169">
        <v>0.2</v>
      </c>
      <c r="AH169">
        <v>6.2</v>
      </c>
      <c r="AM169">
        <v>9.6999999999999993</v>
      </c>
      <c r="AR169">
        <v>13.2</v>
      </c>
      <c r="BL169">
        <v>3.4</v>
      </c>
      <c r="BQ169">
        <v>0.3</v>
      </c>
      <c r="BV169">
        <v>2.7</v>
      </c>
      <c r="BW169">
        <v>0.2</v>
      </c>
      <c r="BZ169">
        <v>4.4000000000000004</v>
      </c>
      <c r="CC169">
        <v>15.6</v>
      </c>
      <c r="CG169">
        <v>1.2</v>
      </c>
      <c r="CJ169">
        <v>2.4</v>
      </c>
      <c r="CO169">
        <v>0.5</v>
      </c>
      <c r="CQ169">
        <v>15.8</v>
      </c>
      <c r="CT169">
        <v>0.2</v>
      </c>
      <c r="DA169" s="2"/>
      <c r="DD169" s="1">
        <v>41060</v>
      </c>
      <c r="DE169" s="2">
        <f t="shared" si="45"/>
        <v>5.1181818181818191</v>
      </c>
      <c r="DF169" s="2">
        <f t="shared" si="44"/>
        <v>1.1039215686274513</v>
      </c>
      <c r="DG169" s="2">
        <f t="shared" si="46"/>
        <v>15.8</v>
      </c>
      <c r="DH169" s="2">
        <f t="shared" si="47"/>
        <v>0.2</v>
      </c>
      <c r="DI169" s="3">
        <f t="shared" si="48"/>
        <v>0.21568627450980393</v>
      </c>
    </row>
    <row r="170" spans="1:113">
      <c r="A170" s="17"/>
      <c r="B170">
        <v>1911</v>
      </c>
      <c r="C170">
        <v>1912</v>
      </c>
      <c r="D170">
        <v>1913</v>
      </c>
      <c r="E170">
        <v>1914</v>
      </c>
      <c r="F170">
        <v>1915</v>
      </c>
      <c r="G170">
        <v>1916</v>
      </c>
      <c r="H170">
        <v>1917</v>
      </c>
      <c r="I170">
        <v>1918</v>
      </c>
      <c r="J170">
        <v>1919</v>
      </c>
      <c r="K170">
        <v>1920</v>
      </c>
      <c r="L170">
        <v>1921</v>
      </c>
      <c r="M170">
        <v>1922</v>
      </c>
      <c r="N170">
        <v>1923</v>
      </c>
      <c r="O170">
        <v>1924</v>
      </c>
      <c r="P170">
        <v>1925</v>
      </c>
      <c r="Q170">
        <v>1926</v>
      </c>
      <c r="R170">
        <v>1927</v>
      </c>
      <c r="S170">
        <v>1928</v>
      </c>
      <c r="T170">
        <v>1929</v>
      </c>
      <c r="U170">
        <v>1930</v>
      </c>
      <c r="V170">
        <v>1931</v>
      </c>
      <c r="W170">
        <v>1932</v>
      </c>
      <c r="X170">
        <v>1933</v>
      </c>
      <c r="Y170">
        <v>1934</v>
      </c>
      <c r="Z170">
        <v>1935</v>
      </c>
      <c r="AA170">
        <v>1936</v>
      </c>
      <c r="AB170">
        <v>1937</v>
      </c>
      <c r="AC170">
        <v>1938</v>
      </c>
      <c r="AD170">
        <v>1939</v>
      </c>
      <c r="AE170">
        <v>1940</v>
      </c>
      <c r="AF170">
        <v>1941</v>
      </c>
      <c r="AG170">
        <v>1942</v>
      </c>
      <c r="AH170">
        <v>1943</v>
      </c>
      <c r="AI170">
        <v>1944</v>
      </c>
      <c r="AJ170">
        <v>1945</v>
      </c>
      <c r="AK170">
        <v>1946</v>
      </c>
      <c r="AL170">
        <v>1947</v>
      </c>
      <c r="AM170">
        <v>1948</v>
      </c>
      <c r="AN170">
        <v>1949</v>
      </c>
      <c r="AO170">
        <v>1950</v>
      </c>
      <c r="AP170">
        <v>1951</v>
      </c>
      <c r="AQ170">
        <v>1952</v>
      </c>
      <c r="AR170">
        <v>1953</v>
      </c>
      <c r="AS170">
        <v>1954</v>
      </c>
      <c r="AT170">
        <v>1955</v>
      </c>
      <c r="AU170">
        <v>1956</v>
      </c>
      <c r="AV170">
        <v>1957</v>
      </c>
      <c r="AW170">
        <v>1958</v>
      </c>
      <c r="AX170">
        <v>1959</v>
      </c>
      <c r="AY170">
        <v>1960</v>
      </c>
      <c r="AZ170">
        <v>1961</v>
      </c>
      <c r="BA170">
        <v>1962</v>
      </c>
      <c r="BB170">
        <v>1963</v>
      </c>
      <c r="BC170">
        <v>1964</v>
      </c>
      <c r="BD170">
        <v>1965</v>
      </c>
      <c r="BE170">
        <v>1966</v>
      </c>
      <c r="BF170">
        <v>1967</v>
      </c>
      <c r="BG170">
        <v>1968</v>
      </c>
      <c r="BH170">
        <v>1969</v>
      </c>
      <c r="BI170">
        <v>1970</v>
      </c>
      <c r="BJ170">
        <v>1971</v>
      </c>
      <c r="BK170">
        <v>1972</v>
      </c>
      <c r="BL170">
        <v>1973</v>
      </c>
      <c r="BM170">
        <v>1974</v>
      </c>
      <c r="BN170">
        <v>1975</v>
      </c>
      <c r="BO170">
        <v>1976</v>
      </c>
      <c r="BP170">
        <v>1977</v>
      </c>
      <c r="BQ170">
        <v>1978</v>
      </c>
      <c r="BR170">
        <v>1979</v>
      </c>
      <c r="BS170">
        <v>1980</v>
      </c>
      <c r="BT170">
        <v>1981</v>
      </c>
      <c r="BU170">
        <v>1982</v>
      </c>
      <c r="BV170">
        <v>1983</v>
      </c>
      <c r="BW170">
        <v>1984</v>
      </c>
      <c r="BX170">
        <v>1985</v>
      </c>
      <c r="BY170">
        <v>1986</v>
      </c>
      <c r="BZ170">
        <v>1987</v>
      </c>
      <c r="CA170">
        <v>1988</v>
      </c>
      <c r="CB170">
        <v>1989</v>
      </c>
      <c r="CC170">
        <v>1990</v>
      </c>
      <c r="CD170">
        <v>1991</v>
      </c>
      <c r="CE170">
        <v>1992</v>
      </c>
      <c r="CF170">
        <v>1993</v>
      </c>
      <c r="CG170">
        <v>1994</v>
      </c>
      <c r="CH170">
        <v>1995</v>
      </c>
      <c r="CI170">
        <v>1996</v>
      </c>
      <c r="CJ170">
        <v>1997</v>
      </c>
      <c r="CK170">
        <v>1998</v>
      </c>
      <c r="CL170">
        <v>1999</v>
      </c>
      <c r="CM170">
        <v>2000</v>
      </c>
      <c r="CN170">
        <v>2001</v>
      </c>
      <c r="CO170">
        <v>2002</v>
      </c>
      <c r="CP170">
        <v>2003</v>
      </c>
      <c r="CQ170">
        <v>2004</v>
      </c>
      <c r="CR170">
        <v>2005</v>
      </c>
      <c r="CS170">
        <v>2006</v>
      </c>
      <c r="CT170">
        <v>2007</v>
      </c>
      <c r="CU170">
        <v>2008</v>
      </c>
      <c r="CV170">
        <v>2009</v>
      </c>
      <c r="CW170">
        <v>2010</v>
      </c>
      <c r="CX170">
        <v>2011</v>
      </c>
      <c r="CY170">
        <v>2012</v>
      </c>
      <c r="CZ170">
        <v>2013</v>
      </c>
      <c r="DA170" s="2"/>
      <c r="DD170" s="1"/>
    </row>
    <row r="171" spans="1:113">
      <c r="A171" s="17" t="s">
        <v>30</v>
      </c>
      <c r="C171">
        <f>SUM(C139:C169)</f>
        <v>4.8000000000000007</v>
      </c>
      <c r="D171">
        <f>SUM(D139:D169)</f>
        <v>44.3</v>
      </c>
      <c r="E171">
        <f t="shared" ref="E171:BP171" si="49">SUM(E139:E169)</f>
        <v>18.2</v>
      </c>
      <c r="F171">
        <f t="shared" si="49"/>
        <v>18</v>
      </c>
      <c r="G171">
        <f t="shared" si="49"/>
        <v>38.999999999999993</v>
      </c>
      <c r="H171">
        <f t="shared" si="49"/>
        <v>17.100000000000001</v>
      </c>
      <c r="I171">
        <f t="shared" si="49"/>
        <v>1.4</v>
      </c>
      <c r="J171">
        <f t="shared" si="49"/>
        <v>166.7</v>
      </c>
      <c r="K171">
        <f t="shared" si="49"/>
        <v>43.6</v>
      </c>
      <c r="L171">
        <f t="shared" si="49"/>
        <v>15.2</v>
      </c>
      <c r="M171">
        <f t="shared" si="49"/>
        <v>74.600000000000009</v>
      </c>
      <c r="N171">
        <f t="shared" si="49"/>
        <v>19.8</v>
      </c>
      <c r="O171">
        <f t="shared" si="49"/>
        <v>49.2</v>
      </c>
      <c r="P171">
        <f t="shared" si="49"/>
        <v>111.80000000000001</v>
      </c>
      <c r="Q171">
        <f t="shared" si="49"/>
        <v>1.1000000000000001</v>
      </c>
      <c r="R171">
        <f t="shared" si="49"/>
        <v>39.4</v>
      </c>
      <c r="S171">
        <f t="shared" si="49"/>
        <v>72.5</v>
      </c>
      <c r="T171">
        <f t="shared" si="49"/>
        <v>10.9</v>
      </c>
      <c r="U171">
        <f t="shared" si="49"/>
        <v>39.6</v>
      </c>
      <c r="V171">
        <f t="shared" si="49"/>
        <v>51.7</v>
      </c>
      <c r="W171">
        <f t="shared" si="49"/>
        <v>31.6</v>
      </c>
      <c r="X171">
        <f t="shared" si="49"/>
        <v>115.89999999999999</v>
      </c>
      <c r="Y171">
        <f t="shared" si="49"/>
        <v>11.2</v>
      </c>
      <c r="Z171">
        <f t="shared" si="49"/>
        <v>48.4</v>
      </c>
      <c r="AA171">
        <f t="shared" si="49"/>
        <v>40.4</v>
      </c>
      <c r="AB171">
        <f t="shared" si="49"/>
        <v>24.3</v>
      </c>
      <c r="AC171">
        <f t="shared" si="49"/>
        <v>51.699999999999996</v>
      </c>
      <c r="AD171">
        <f t="shared" si="49"/>
        <v>17.600000000000001</v>
      </c>
      <c r="AE171">
        <f t="shared" si="49"/>
        <v>29.400000000000006</v>
      </c>
      <c r="AF171">
        <f t="shared" si="49"/>
        <v>101.69999999999999</v>
      </c>
      <c r="AG171">
        <f t="shared" si="49"/>
        <v>3.2</v>
      </c>
      <c r="AH171">
        <f t="shared" si="49"/>
        <v>73.8</v>
      </c>
      <c r="AI171">
        <f t="shared" si="49"/>
        <v>76.699999999999989</v>
      </c>
      <c r="AJ171">
        <f t="shared" si="49"/>
        <v>4.5</v>
      </c>
      <c r="AK171">
        <f t="shared" si="49"/>
        <v>38.5</v>
      </c>
      <c r="AL171">
        <f t="shared" si="49"/>
        <v>22.2</v>
      </c>
      <c r="AM171">
        <f t="shared" si="49"/>
        <v>36.5</v>
      </c>
      <c r="AN171">
        <f t="shared" si="49"/>
        <v>4</v>
      </c>
      <c r="AO171">
        <f t="shared" si="49"/>
        <v>27.900000000000006</v>
      </c>
      <c r="AP171">
        <f t="shared" si="49"/>
        <v>42.4</v>
      </c>
      <c r="AQ171">
        <f t="shared" si="49"/>
        <v>30.799999999999997</v>
      </c>
      <c r="AR171">
        <f t="shared" si="49"/>
        <v>59.2</v>
      </c>
      <c r="AS171">
        <f t="shared" si="49"/>
        <v>30.200000000000006</v>
      </c>
      <c r="AT171">
        <f t="shared" si="49"/>
        <v>2.2000000000000002</v>
      </c>
      <c r="AU171">
        <f t="shared" si="49"/>
        <v>14.7</v>
      </c>
      <c r="AV171">
        <f t="shared" si="49"/>
        <v>65.7</v>
      </c>
      <c r="AW171">
        <f t="shared" si="49"/>
        <v>12.5</v>
      </c>
      <c r="AX171">
        <f t="shared" si="49"/>
        <v>62.1</v>
      </c>
      <c r="AY171">
        <f t="shared" si="49"/>
        <v>22.1</v>
      </c>
      <c r="AZ171">
        <f t="shared" si="49"/>
        <v>70.2</v>
      </c>
      <c r="BA171">
        <f t="shared" si="49"/>
        <v>5.2</v>
      </c>
      <c r="BB171">
        <f t="shared" si="49"/>
        <v>12.7</v>
      </c>
      <c r="BC171">
        <f t="shared" si="49"/>
        <v>46.699999999999996</v>
      </c>
      <c r="BD171">
        <f t="shared" si="49"/>
        <v>26.900000000000002</v>
      </c>
      <c r="BE171">
        <f t="shared" si="49"/>
        <v>9.3000000000000007</v>
      </c>
      <c r="BF171">
        <f t="shared" si="49"/>
        <v>32.699999999999996</v>
      </c>
      <c r="BG171">
        <f t="shared" si="49"/>
        <v>18.099999999999998</v>
      </c>
      <c r="BH171">
        <f t="shared" si="49"/>
        <v>16.2</v>
      </c>
      <c r="BI171">
        <f t="shared" si="49"/>
        <v>51.500000000000007</v>
      </c>
      <c r="BJ171">
        <f t="shared" si="49"/>
        <v>24.200000000000003</v>
      </c>
      <c r="BK171">
        <f t="shared" si="49"/>
        <v>23.8</v>
      </c>
      <c r="BL171">
        <f t="shared" si="49"/>
        <v>27</v>
      </c>
      <c r="BM171">
        <f t="shared" si="49"/>
        <v>153.89999999999995</v>
      </c>
      <c r="BN171">
        <f t="shared" si="49"/>
        <v>58.7</v>
      </c>
      <c r="BO171">
        <f t="shared" si="49"/>
        <v>10.899999999999999</v>
      </c>
      <c r="BP171">
        <f t="shared" si="49"/>
        <v>9.4</v>
      </c>
      <c r="BQ171">
        <f t="shared" ref="BQ171:CZ171" si="50">SUM(BQ139:BQ169)</f>
        <v>27</v>
      </c>
      <c r="BR171">
        <f t="shared" si="50"/>
        <v>9.4</v>
      </c>
      <c r="BS171">
        <f t="shared" si="50"/>
        <v>51.499999999999993</v>
      </c>
      <c r="BT171">
        <f t="shared" si="50"/>
        <v>75.3</v>
      </c>
      <c r="BU171">
        <f t="shared" si="50"/>
        <v>44.5</v>
      </c>
      <c r="BV171">
        <f t="shared" si="50"/>
        <v>23.900000000000002</v>
      </c>
      <c r="BW171">
        <f t="shared" si="50"/>
        <v>21.700000000000003</v>
      </c>
      <c r="BX171">
        <f t="shared" si="50"/>
        <v>5.9</v>
      </c>
      <c r="BY171">
        <f t="shared" si="50"/>
        <v>0.1</v>
      </c>
      <c r="BZ171">
        <f t="shared" si="50"/>
        <v>17.5</v>
      </c>
      <c r="CA171">
        <f t="shared" si="50"/>
        <v>27.2</v>
      </c>
      <c r="CB171">
        <f t="shared" si="50"/>
        <v>60.900000000000013</v>
      </c>
      <c r="CC171">
        <f t="shared" si="50"/>
        <v>67.399999999999991</v>
      </c>
      <c r="CD171">
        <f t="shared" si="50"/>
        <v>86.3</v>
      </c>
      <c r="CE171">
        <f t="shared" si="50"/>
        <v>35.700000000000003</v>
      </c>
      <c r="CF171">
        <f t="shared" si="50"/>
        <v>51.4</v>
      </c>
      <c r="CG171">
        <f t="shared" si="50"/>
        <v>42.7</v>
      </c>
      <c r="CH171">
        <f t="shared" si="50"/>
        <v>7.6</v>
      </c>
      <c r="CI171">
        <f t="shared" si="50"/>
        <v>37.599999999999994</v>
      </c>
      <c r="CJ171">
        <f t="shared" si="50"/>
        <v>30.200000000000003</v>
      </c>
      <c r="CK171">
        <f t="shared" si="50"/>
        <v>103.10000000000001</v>
      </c>
      <c r="CL171">
        <f t="shared" si="50"/>
        <v>9.3000000000000007</v>
      </c>
      <c r="CM171">
        <f t="shared" si="50"/>
        <v>43.8</v>
      </c>
      <c r="CN171">
        <f t="shared" si="50"/>
        <v>37.5</v>
      </c>
      <c r="CO171">
        <f t="shared" si="50"/>
        <v>19.099999999999998</v>
      </c>
      <c r="CP171">
        <f t="shared" si="50"/>
        <v>1.3</v>
      </c>
      <c r="CQ171">
        <f t="shared" si="50"/>
        <v>45.600000000000009</v>
      </c>
      <c r="CR171">
        <f t="shared" si="50"/>
        <v>11.8</v>
      </c>
      <c r="CS171">
        <f t="shared" si="50"/>
        <v>9.8000000000000007</v>
      </c>
      <c r="CT171">
        <f t="shared" si="50"/>
        <v>35.5</v>
      </c>
      <c r="CU171">
        <f t="shared" si="50"/>
        <v>14.699999999999998</v>
      </c>
      <c r="CV171">
        <f t="shared" si="50"/>
        <v>10.1</v>
      </c>
      <c r="CW171">
        <f t="shared" si="50"/>
        <v>25.300000000000004</v>
      </c>
      <c r="CX171">
        <f t="shared" si="50"/>
        <v>23.600000000000005</v>
      </c>
      <c r="CY171">
        <f t="shared" si="50"/>
        <v>55.300000000000004</v>
      </c>
      <c r="CZ171">
        <f t="shared" si="50"/>
        <v>25.5</v>
      </c>
      <c r="DA171" s="2"/>
      <c r="DD171" s="1"/>
    </row>
    <row r="172" spans="1:113">
      <c r="A172" s="17" t="s">
        <v>4</v>
      </c>
      <c r="C172">
        <f>MAX(C139:C169)</f>
        <v>1.4</v>
      </c>
      <c r="D172">
        <f>MAX(D139:D169)</f>
        <v>11.6</v>
      </c>
      <c r="E172">
        <f t="shared" ref="E172:BP172" si="51">MAX(E139:E169)</f>
        <v>4.3</v>
      </c>
      <c r="F172">
        <f t="shared" si="51"/>
        <v>3.3</v>
      </c>
      <c r="G172">
        <f t="shared" si="51"/>
        <v>10.1</v>
      </c>
      <c r="H172">
        <f t="shared" si="51"/>
        <v>5.2</v>
      </c>
      <c r="I172">
        <f t="shared" si="51"/>
        <v>0.4</v>
      </c>
      <c r="J172">
        <f t="shared" si="51"/>
        <v>41.5</v>
      </c>
      <c r="K172">
        <f t="shared" si="51"/>
        <v>15.8</v>
      </c>
      <c r="L172">
        <f t="shared" si="51"/>
        <v>8.9</v>
      </c>
      <c r="M172">
        <f t="shared" si="51"/>
        <v>27.6</v>
      </c>
      <c r="N172">
        <f t="shared" si="51"/>
        <v>13.9</v>
      </c>
      <c r="O172">
        <f t="shared" si="51"/>
        <v>44.7</v>
      </c>
      <c r="P172">
        <f t="shared" si="51"/>
        <v>37</v>
      </c>
      <c r="Q172">
        <f t="shared" si="51"/>
        <v>0.5</v>
      </c>
      <c r="R172">
        <f t="shared" si="51"/>
        <v>22.2</v>
      </c>
      <c r="S172">
        <f t="shared" si="51"/>
        <v>18</v>
      </c>
      <c r="T172">
        <f t="shared" si="51"/>
        <v>3.2</v>
      </c>
      <c r="U172">
        <f t="shared" si="51"/>
        <v>14.2</v>
      </c>
      <c r="V172">
        <f t="shared" si="51"/>
        <v>24.5</v>
      </c>
      <c r="W172">
        <f t="shared" si="51"/>
        <v>24</v>
      </c>
      <c r="X172">
        <f t="shared" si="51"/>
        <v>27</v>
      </c>
      <c r="Y172">
        <f t="shared" si="51"/>
        <v>5.9</v>
      </c>
      <c r="Z172">
        <f t="shared" si="51"/>
        <v>43.2</v>
      </c>
      <c r="AA172">
        <f t="shared" si="51"/>
        <v>14</v>
      </c>
      <c r="AB172">
        <f t="shared" si="51"/>
        <v>11.1</v>
      </c>
      <c r="AC172">
        <f t="shared" si="51"/>
        <v>23.3</v>
      </c>
      <c r="AD172">
        <f t="shared" si="51"/>
        <v>6.9</v>
      </c>
      <c r="AE172">
        <f t="shared" si="51"/>
        <v>7.4</v>
      </c>
      <c r="AF172">
        <f t="shared" si="51"/>
        <v>41.4</v>
      </c>
      <c r="AG172">
        <f t="shared" si="51"/>
        <v>1.1000000000000001</v>
      </c>
      <c r="AH172">
        <f t="shared" si="51"/>
        <v>26.5</v>
      </c>
      <c r="AI172">
        <f t="shared" si="51"/>
        <v>24.1</v>
      </c>
      <c r="AJ172">
        <f t="shared" si="51"/>
        <v>4</v>
      </c>
      <c r="AK172">
        <f t="shared" si="51"/>
        <v>18.399999999999999</v>
      </c>
      <c r="AL172">
        <f t="shared" si="51"/>
        <v>7.9</v>
      </c>
      <c r="AM172">
        <f t="shared" si="51"/>
        <v>9.6999999999999993</v>
      </c>
      <c r="AN172">
        <f t="shared" si="51"/>
        <v>2.2000000000000002</v>
      </c>
      <c r="AO172">
        <f t="shared" si="51"/>
        <v>9.3000000000000007</v>
      </c>
      <c r="AP172">
        <f t="shared" si="51"/>
        <v>16.3</v>
      </c>
      <c r="AQ172">
        <f t="shared" si="51"/>
        <v>13.9</v>
      </c>
      <c r="AR172">
        <f t="shared" si="51"/>
        <v>14.3</v>
      </c>
      <c r="AS172">
        <f t="shared" si="51"/>
        <v>7.3</v>
      </c>
      <c r="AT172">
        <f t="shared" si="51"/>
        <v>1</v>
      </c>
      <c r="AU172">
        <f t="shared" si="51"/>
        <v>10.5</v>
      </c>
      <c r="AV172">
        <f t="shared" si="51"/>
        <v>21.1</v>
      </c>
      <c r="AW172">
        <f t="shared" si="51"/>
        <v>8.5</v>
      </c>
      <c r="AX172">
        <f t="shared" si="51"/>
        <v>23.7</v>
      </c>
      <c r="AY172">
        <f t="shared" si="51"/>
        <v>5.4</v>
      </c>
      <c r="AZ172">
        <f t="shared" si="51"/>
        <v>22</v>
      </c>
      <c r="BA172">
        <f t="shared" si="51"/>
        <v>2.7</v>
      </c>
      <c r="BB172">
        <f t="shared" si="51"/>
        <v>3.4</v>
      </c>
      <c r="BC172">
        <f t="shared" si="51"/>
        <v>18.899999999999999</v>
      </c>
      <c r="BD172">
        <f t="shared" si="51"/>
        <v>7</v>
      </c>
      <c r="BE172">
        <f t="shared" si="51"/>
        <v>4</v>
      </c>
      <c r="BF172">
        <f t="shared" si="51"/>
        <v>12.5</v>
      </c>
      <c r="BG172">
        <f t="shared" si="51"/>
        <v>7.1</v>
      </c>
      <c r="BH172">
        <f t="shared" si="51"/>
        <v>15.5</v>
      </c>
      <c r="BI172">
        <f t="shared" si="51"/>
        <v>16.100000000000001</v>
      </c>
      <c r="BJ172">
        <f t="shared" si="51"/>
        <v>4.5999999999999996</v>
      </c>
      <c r="BK172">
        <f t="shared" si="51"/>
        <v>7</v>
      </c>
      <c r="BL172">
        <f t="shared" si="51"/>
        <v>7</v>
      </c>
      <c r="BM172">
        <f t="shared" si="51"/>
        <v>84</v>
      </c>
      <c r="BN172">
        <f t="shared" si="51"/>
        <v>19.399999999999999</v>
      </c>
      <c r="BO172">
        <f t="shared" si="51"/>
        <v>2.8</v>
      </c>
      <c r="BP172">
        <f t="shared" si="51"/>
        <v>3.5</v>
      </c>
      <c r="BQ172">
        <f t="shared" ref="BQ172:CZ172" si="52">MAX(BQ139:BQ169)</f>
        <v>6.8</v>
      </c>
      <c r="BR172">
        <f t="shared" si="52"/>
        <v>3.5</v>
      </c>
      <c r="BS172">
        <f t="shared" si="52"/>
        <v>22</v>
      </c>
      <c r="BT172">
        <f t="shared" si="52"/>
        <v>27.8</v>
      </c>
      <c r="BU172">
        <f t="shared" si="52"/>
        <v>16.600000000000001</v>
      </c>
      <c r="BV172">
        <f t="shared" si="52"/>
        <v>6.1</v>
      </c>
      <c r="BW172">
        <f t="shared" si="52"/>
        <v>8.1999999999999993</v>
      </c>
      <c r="BX172">
        <f t="shared" si="52"/>
        <v>1.7</v>
      </c>
      <c r="BY172">
        <f t="shared" si="52"/>
        <v>0.1</v>
      </c>
      <c r="BZ172">
        <f t="shared" si="52"/>
        <v>5.5</v>
      </c>
      <c r="CA172">
        <f t="shared" si="52"/>
        <v>22.7</v>
      </c>
      <c r="CB172">
        <f t="shared" si="52"/>
        <v>14.7</v>
      </c>
      <c r="CC172">
        <f t="shared" si="52"/>
        <v>25.7</v>
      </c>
      <c r="CD172">
        <f t="shared" si="52"/>
        <v>24</v>
      </c>
      <c r="CE172">
        <f t="shared" si="52"/>
        <v>27</v>
      </c>
      <c r="CF172">
        <f t="shared" si="52"/>
        <v>11.6</v>
      </c>
      <c r="CG172">
        <f t="shared" si="52"/>
        <v>16.7</v>
      </c>
      <c r="CH172">
        <f t="shared" si="52"/>
        <v>5.5</v>
      </c>
      <c r="CI172">
        <f t="shared" si="52"/>
        <v>25.2</v>
      </c>
      <c r="CJ172">
        <f t="shared" si="52"/>
        <v>17.8</v>
      </c>
      <c r="CK172">
        <f t="shared" si="52"/>
        <v>18</v>
      </c>
      <c r="CL172">
        <f t="shared" si="52"/>
        <v>4.2</v>
      </c>
      <c r="CM172">
        <f t="shared" si="52"/>
        <v>15</v>
      </c>
      <c r="CN172">
        <f t="shared" si="52"/>
        <v>18.5</v>
      </c>
      <c r="CO172">
        <f t="shared" si="52"/>
        <v>5.7</v>
      </c>
      <c r="CP172">
        <f t="shared" si="52"/>
        <v>1.2</v>
      </c>
      <c r="CQ172">
        <f t="shared" si="52"/>
        <v>15.8</v>
      </c>
      <c r="CR172">
        <f t="shared" si="52"/>
        <v>8.4</v>
      </c>
      <c r="CS172">
        <f t="shared" si="52"/>
        <v>7.8</v>
      </c>
      <c r="CT172">
        <f t="shared" si="52"/>
        <v>13.3</v>
      </c>
      <c r="CU172">
        <f t="shared" si="52"/>
        <v>10.5</v>
      </c>
      <c r="CV172">
        <f t="shared" si="52"/>
        <v>8.5</v>
      </c>
      <c r="CW172">
        <f t="shared" si="52"/>
        <v>22</v>
      </c>
      <c r="CX172">
        <f t="shared" si="52"/>
        <v>9.9</v>
      </c>
      <c r="CY172">
        <f t="shared" si="52"/>
        <v>24.6</v>
      </c>
      <c r="CZ172">
        <f t="shared" si="52"/>
        <v>20.2</v>
      </c>
      <c r="DA172" s="2"/>
      <c r="DD172" s="1"/>
    </row>
    <row r="173" spans="1:113">
      <c r="A173" s="17"/>
      <c r="DA173" s="2"/>
      <c r="DD173" s="1"/>
    </row>
    <row r="174" spans="1:113">
      <c r="A174" s="17" t="s">
        <v>186</v>
      </c>
      <c r="E174">
        <v>5.9</v>
      </c>
      <c r="F174">
        <v>0.1</v>
      </c>
      <c r="G174">
        <v>0.2</v>
      </c>
      <c r="L174">
        <v>0.1</v>
      </c>
      <c r="AD174">
        <v>4.3</v>
      </c>
      <c r="AP174">
        <v>0.6</v>
      </c>
      <c r="AR174">
        <v>8.4</v>
      </c>
      <c r="AU174">
        <v>2</v>
      </c>
      <c r="AW174">
        <v>0.7</v>
      </c>
      <c r="BF174">
        <v>1.3</v>
      </c>
      <c r="BI174">
        <v>5.2</v>
      </c>
      <c r="BJ174">
        <v>0.1</v>
      </c>
      <c r="BL174">
        <v>0.1</v>
      </c>
      <c r="BO174">
        <v>9</v>
      </c>
      <c r="BR174">
        <v>0.5</v>
      </c>
      <c r="BS174">
        <v>0.3</v>
      </c>
      <c r="BU174">
        <v>0.8</v>
      </c>
      <c r="BW174">
        <v>10.7</v>
      </c>
      <c r="BZ174">
        <v>0.2</v>
      </c>
      <c r="CB174">
        <v>3.1</v>
      </c>
      <c r="CC174">
        <v>48</v>
      </c>
      <c r="CE174">
        <v>0.4</v>
      </c>
      <c r="CF174">
        <v>1.6</v>
      </c>
      <c r="CL174">
        <v>4.4000000000000004</v>
      </c>
      <c r="CM174">
        <v>14.5</v>
      </c>
      <c r="CO174">
        <v>1.2</v>
      </c>
      <c r="CQ174">
        <v>0.1</v>
      </c>
      <c r="CR174">
        <v>3.7</v>
      </c>
      <c r="CZ174">
        <v>1</v>
      </c>
      <c r="DA174" s="2"/>
      <c r="DD174" s="1">
        <v>41061</v>
      </c>
      <c r="DE174" s="2">
        <f t="shared" si="45"/>
        <v>4.431034482758621</v>
      </c>
      <c r="DF174" s="2">
        <f t="shared" ref="DF174:DF203" si="53">SUM(C174:DA174)/(COUNTA(C174:CZ174)+COUNTBLANK(C174:CZ174))</f>
        <v>1.2598039215686274</v>
      </c>
      <c r="DG174" s="2">
        <f t="shared" si="46"/>
        <v>48</v>
      </c>
      <c r="DH174" s="2">
        <f t="shared" si="47"/>
        <v>0.1</v>
      </c>
      <c r="DI174" s="3">
        <f t="shared" si="48"/>
        <v>0.28431372549019607</v>
      </c>
    </row>
    <row r="175" spans="1:113">
      <c r="A175" s="17" t="s">
        <v>187</v>
      </c>
      <c r="E175">
        <v>13.6</v>
      </c>
      <c r="I175">
        <v>5.6</v>
      </c>
      <c r="P175">
        <v>0.4</v>
      </c>
      <c r="AD175">
        <v>4.2</v>
      </c>
      <c r="AM175">
        <v>5.5</v>
      </c>
      <c r="AT175">
        <v>1.4</v>
      </c>
      <c r="AU175">
        <v>5.2</v>
      </c>
      <c r="AV175">
        <v>0.5</v>
      </c>
      <c r="BE175">
        <v>0.3</v>
      </c>
      <c r="BF175">
        <v>8.1999999999999993</v>
      </c>
      <c r="BI175">
        <v>2.2000000000000002</v>
      </c>
      <c r="BJ175">
        <v>10.199999999999999</v>
      </c>
      <c r="BS175">
        <v>2.4</v>
      </c>
      <c r="BU175">
        <v>0.1</v>
      </c>
      <c r="BV175">
        <v>12.8</v>
      </c>
      <c r="BW175">
        <v>1.9</v>
      </c>
      <c r="BX175">
        <v>1.9</v>
      </c>
      <c r="BY175">
        <v>3.6</v>
      </c>
      <c r="CA175">
        <v>2.2000000000000002</v>
      </c>
      <c r="CB175">
        <v>2.2999999999999998</v>
      </c>
      <c r="CC175">
        <v>5.4</v>
      </c>
      <c r="CL175">
        <v>24</v>
      </c>
      <c r="CM175">
        <v>5.2</v>
      </c>
      <c r="CQ175">
        <v>0.1</v>
      </c>
      <c r="CZ175">
        <v>2.2999999999999998</v>
      </c>
      <c r="DA175" s="2"/>
      <c r="DD175" s="1">
        <v>41062</v>
      </c>
      <c r="DE175" s="2">
        <f t="shared" si="45"/>
        <v>4.8600000000000003</v>
      </c>
      <c r="DF175" s="2">
        <f t="shared" si="53"/>
        <v>1.1911764705882353</v>
      </c>
      <c r="DG175" s="2">
        <f t="shared" si="46"/>
        <v>24</v>
      </c>
      <c r="DH175" s="2">
        <f t="shared" si="47"/>
        <v>0.1</v>
      </c>
      <c r="DI175" s="3">
        <f t="shared" si="48"/>
        <v>0.24509803921568626</v>
      </c>
    </row>
    <row r="176" spans="1:113">
      <c r="A176" s="17" t="s">
        <v>188</v>
      </c>
      <c r="G176">
        <v>1.9</v>
      </c>
      <c r="J176">
        <v>10.3</v>
      </c>
      <c r="O176">
        <v>2.6</v>
      </c>
      <c r="S176">
        <v>5.5</v>
      </c>
      <c r="AB176">
        <v>2</v>
      </c>
      <c r="AD176">
        <v>6.2</v>
      </c>
      <c r="AH176">
        <v>0.8</v>
      </c>
      <c r="AN176">
        <v>9.3000000000000007</v>
      </c>
      <c r="AU176">
        <v>8.4</v>
      </c>
      <c r="AZ176">
        <v>1.4</v>
      </c>
      <c r="BE176">
        <v>2.9</v>
      </c>
      <c r="BI176">
        <v>2.1</v>
      </c>
      <c r="BJ176">
        <v>8.5</v>
      </c>
      <c r="BM176">
        <v>0.1</v>
      </c>
      <c r="BS176">
        <v>5.2</v>
      </c>
      <c r="BV176">
        <v>1.9</v>
      </c>
      <c r="BX176">
        <v>0.3</v>
      </c>
      <c r="BY176">
        <v>0.2</v>
      </c>
      <c r="CJ176">
        <v>11.5</v>
      </c>
      <c r="CM176">
        <v>0.1</v>
      </c>
      <c r="CO176">
        <v>0.9</v>
      </c>
      <c r="DA176" s="2"/>
      <c r="DD176" s="1">
        <v>41063</v>
      </c>
      <c r="DE176" s="2">
        <f t="shared" si="45"/>
        <v>3.9095238095238098</v>
      </c>
      <c r="DF176" s="2">
        <f t="shared" si="53"/>
        <v>0.80490196078431386</v>
      </c>
      <c r="DG176" s="2">
        <f t="shared" si="46"/>
        <v>11.5</v>
      </c>
      <c r="DH176" s="2">
        <f t="shared" si="47"/>
        <v>0.1</v>
      </c>
      <c r="DI176" s="3">
        <f t="shared" si="48"/>
        <v>0.20588235294117646</v>
      </c>
    </row>
    <row r="177" spans="1:113">
      <c r="A177" s="17" t="s">
        <v>189</v>
      </c>
      <c r="E177">
        <v>2</v>
      </c>
      <c r="J177">
        <v>1.2</v>
      </c>
      <c r="O177">
        <v>2.6</v>
      </c>
      <c r="U177">
        <v>3.7</v>
      </c>
      <c r="AF177">
        <v>13.1</v>
      </c>
      <c r="AN177">
        <v>5.8</v>
      </c>
      <c r="AX177">
        <v>2.8</v>
      </c>
      <c r="AZ177">
        <v>1.2</v>
      </c>
      <c r="BE177">
        <v>3.9</v>
      </c>
      <c r="BG177">
        <v>1.2</v>
      </c>
      <c r="BJ177">
        <v>0.1</v>
      </c>
      <c r="BM177">
        <v>1.6</v>
      </c>
      <c r="BN177">
        <v>0.2</v>
      </c>
      <c r="BP177">
        <v>12.8</v>
      </c>
      <c r="BS177">
        <v>0.7</v>
      </c>
      <c r="BY177">
        <v>9.3000000000000007</v>
      </c>
      <c r="CC177">
        <v>2.2000000000000002</v>
      </c>
      <c r="CD177">
        <v>5.5</v>
      </c>
      <c r="CJ177">
        <v>1.5</v>
      </c>
      <c r="CL177">
        <v>8.5</v>
      </c>
      <c r="CN177">
        <v>1.7</v>
      </c>
      <c r="CO177">
        <v>5.0999999999999996</v>
      </c>
      <c r="CQ177">
        <v>1</v>
      </c>
      <c r="CV177">
        <v>3.7</v>
      </c>
      <c r="CZ177">
        <v>1.6</v>
      </c>
      <c r="DA177" s="2"/>
      <c r="DD177" s="1">
        <v>41064</v>
      </c>
      <c r="DE177" s="2">
        <f t="shared" si="45"/>
        <v>3.7200000000000006</v>
      </c>
      <c r="DF177" s="2">
        <f t="shared" si="53"/>
        <v>0.91176470588235303</v>
      </c>
      <c r="DG177" s="2">
        <f t="shared" si="46"/>
        <v>13.1</v>
      </c>
      <c r="DH177" s="2">
        <f t="shared" si="47"/>
        <v>0.1</v>
      </c>
      <c r="DI177" s="3">
        <f t="shared" si="48"/>
        <v>0.24509803921568626</v>
      </c>
    </row>
    <row r="178" spans="1:113">
      <c r="A178" s="17" t="s">
        <v>190</v>
      </c>
      <c r="F178">
        <v>0.2</v>
      </c>
      <c r="G178">
        <v>1</v>
      </c>
      <c r="J178">
        <v>24.5</v>
      </c>
      <c r="K178">
        <v>0.1</v>
      </c>
      <c r="P178">
        <v>10.7</v>
      </c>
      <c r="V178">
        <v>17.100000000000001</v>
      </c>
      <c r="AD178">
        <v>0.3</v>
      </c>
      <c r="AE178">
        <v>2.2000000000000002</v>
      </c>
      <c r="AM178">
        <v>5.6</v>
      </c>
      <c r="AN178">
        <v>6.8</v>
      </c>
      <c r="AQ178">
        <v>1.4</v>
      </c>
      <c r="AX178">
        <v>1.8</v>
      </c>
      <c r="BA178">
        <v>0.9</v>
      </c>
      <c r="BL178">
        <v>0.1</v>
      </c>
      <c r="BN178">
        <v>0.8</v>
      </c>
      <c r="BP178">
        <v>2.5</v>
      </c>
      <c r="BS178">
        <v>0.3</v>
      </c>
      <c r="CD178">
        <v>0.4</v>
      </c>
      <c r="CL178">
        <v>0.3</v>
      </c>
      <c r="CO178">
        <v>11.3</v>
      </c>
      <c r="CQ178">
        <v>6.1</v>
      </c>
      <c r="CT178">
        <v>2.1</v>
      </c>
      <c r="CV178">
        <v>0.7</v>
      </c>
      <c r="CW178">
        <v>2.2000000000000002</v>
      </c>
      <c r="CY178">
        <v>0.1</v>
      </c>
      <c r="DA178" s="2"/>
      <c r="DD178" s="1">
        <v>41065</v>
      </c>
      <c r="DE178" s="2">
        <f t="shared" si="45"/>
        <v>3.9799999999999995</v>
      </c>
      <c r="DF178" s="2">
        <f t="shared" si="53"/>
        <v>0.97549019607843124</v>
      </c>
      <c r="DG178" s="2">
        <f t="shared" si="46"/>
        <v>24.5</v>
      </c>
      <c r="DH178" s="2">
        <f t="shared" si="47"/>
        <v>0.1</v>
      </c>
      <c r="DI178" s="3">
        <f t="shared" si="48"/>
        <v>0.24509803921568626</v>
      </c>
    </row>
    <row r="179" spans="1:113">
      <c r="A179" s="17" t="s">
        <v>191</v>
      </c>
      <c r="E179">
        <v>0.2</v>
      </c>
      <c r="F179">
        <v>0.1</v>
      </c>
      <c r="J179">
        <v>0.3</v>
      </c>
      <c r="L179">
        <v>0.1</v>
      </c>
      <c r="P179">
        <v>5.5</v>
      </c>
      <c r="V179">
        <v>0.5</v>
      </c>
      <c r="AD179">
        <v>3</v>
      </c>
      <c r="AE179">
        <v>29.7</v>
      </c>
      <c r="AH179">
        <v>2.7</v>
      </c>
      <c r="AN179">
        <v>14.6</v>
      </c>
      <c r="AW179">
        <v>9.1999999999999993</v>
      </c>
      <c r="AX179">
        <v>25.5</v>
      </c>
      <c r="BA179">
        <v>15.9</v>
      </c>
      <c r="BJ179">
        <v>0.1</v>
      </c>
      <c r="BL179">
        <v>0.1</v>
      </c>
      <c r="BN179">
        <v>33.5</v>
      </c>
      <c r="BS179">
        <v>6.6</v>
      </c>
      <c r="CJ179">
        <v>4</v>
      </c>
      <c r="CT179">
        <v>13.5</v>
      </c>
      <c r="CU179">
        <v>5.7</v>
      </c>
      <c r="CW179">
        <v>26.9</v>
      </c>
      <c r="CY179">
        <v>1.7</v>
      </c>
      <c r="DA179" s="2"/>
      <c r="DD179" s="1">
        <v>41066</v>
      </c>
      <c r="DE179" s="2">
        <f t="shared" si="45"/>
        <v>9.0636363636363626</v>
      </c>
      <c r="DF179" s="2">
        <f t="shared" si="53"/>
        <v>1.9549019607843134</v>
      </c>
      <c r="DG179" s="2">
        <f t="shared" si="46"/>
        <v>33.5</v>
      </c>
      <c r="DH179" s="2">
        <f t="shared" si="47"/>
        <v>0.1</v>
      </c>
      <c r="DI179" s="3">
        <f t="shared" si="48"/>
        <v>0.21568627450980393</v>
      </c>
    </row>
    <row r="180" spans="1:113">
      <c r="A180" s="17" t="s">
        <v>192</v>
      </c>
      <c r="E180">
        <v>15.2</v>
      </c>
      <c r="F180">
        <v>0.2</v>
      </c>
      <c r="I180">
        <v>0.6</v>
      </c>
      <c r="L180">
        <v>25.2</v>
      </c>
      <c r="O180">
        <v>0.5</v>
      </c>
      <c r="P180">
        <v>2.9</v>
      </c>
      <c r="T180">
        <v>0.2</v>
      </c>
      <c r="AA180">
        <v>4.5</v>
      </c>
      <c r="AD180">
        <v>20.3</v>
      </c>
      <c r="AE180">
        <v>13.6</v>
      </c>
      <c r="AH180">
        <v>2.8</v>
      </c>
      <c r="AN180">
        <v>6.8</v>
      </c>
      <c r="AW180">
        <v>8</v>
      </c>
      <c r="BN180">
        <v>2</v>
      </c>
      <c r="BO180">
        <v>8.1999999999999993</v>
      </c>
      <c r="BS180">
        <v>2.4</v>
      </c>
      <c r="BV180">
        <v>35</v>
      </c>
      <c r="CG180">
        <v>21</v>
      </c>
      <c r="CJ180">
        <v>5.9</v>
      </c>
      <c r="CK180">
        <v>4.5</v>
      </c>
      <c r="CQ180">
        <v>1.9</v>
      </c>
      <c r="CT180">
        <v>9.3000000000000007</v>
      </c>
      <c r="CU180">
        <v>0.3</v>
      </c>
      <c r="CW180">
        <v>46</v>
      </c>
      <c r="DA180" s="2"/>
      <c r="DD180" s="1">
        <v>41067</v>
      </c>
      <c r="DE180" s="2">
        <f t="shared" si="45"/>
        <v>9.8875000000000011</v>
      </c>
      <c r="DF180" s="2">
        <f t="shared" si="53"/>
        <v>2.3264705882352943</v>
      </c>
      <c r="DG180" s="2">
        <f t="shared" si="46"/>
        <v>46</v>
      </c>
      <c r="DH180" s="2">
        <f t="shared" si="47"/>
        <v>0.2</v>
      </c>
      <c r="DI180" s="3">
        <f t="shared" si="48"/>
        <v>0.23529411764705882</v>
      </c>
    </row>
    <row r="181" spans="1:113">
      <c r="A181" s="17" t="s">
        <v>193</v>
      </c>
      <c r="C181">
        <v>0.5</v>
      </c>
      <c r="E181">
        <v>14.5</v>
      </c>
      <c r="I181">
        <v>0.3</v>
      </c>
      <c r="J181">
        <v>31.8</v>
      </c>
      <c r="L181">
        <v>0.1</v>
      </c>
      <c r="N181">
        <v>5.3</v>
      </c>
      <c r="O181">
        <v>2.8</v>
      </c>
      <c r="P181">
        <v>1.2</v>
      </c>
      <c r="Q181">
        <v>2.7</v>
      </c>
      <c r="X181">
        <v>0.5</v>
      </c>
      <c r="AA181">
        <v>0.7</v>
      </c>
      <c r="AD181">
        <v>5.0999999999999996</v>
      </c>
      <c r="AF181">
        <v>0.3</v>
      </c>
      <c r="AH181">
        <v>4.4000000000000004</v>
      </c>
      <c r="AL181">
        <v>2.5</v>
      </c>
      <c r="AN181">
        <v>12.8</v>
      </c>
      <c r="AO181">
        <v>0.4</v>
      </c>
      <c r="AU181">
        <v>0.2</v>
      </c>
      <c r="BB181">
        <v>0.2</v>
      </c>
      <c r="BI181">
        <v>0.1</v>
      </c>
      <c r="BL181">
        <v>0.1</v>
      </c>
      <c r="BM181">
        <v>0.1</v>
      </c>
      <c r="BN181">
        <v>0.1</v>
      </c>
      <c r="BO181">
        <v>2.4</v>
      </c>
      <c r="BV181">
        <v>2.9</v>
      </c>
      <c r="BY181">
        <v>4.5999999999999996</v>
      </c>
      <c r="CB181">
        <v>0.6</v>
      </c>
      <c r="CE181">
        <v>0.8</v>
      </c>
      <c r="CG181">
        <v>32.5</v>
      </c>
      <c r="CJ181">
        <v>18</v>
      </c>
      <c r="CK181">
        <v>1</v>
      </c>
      <c r="CS181">
        <v>0.2</v>
      </c>
      <c r="CU181">
        <v>0.2</v>
      </c>
      <c r="CW181">
        <v>34.200000000000003</v>
      </c>
      <c r="DA181" s="2"/>
      <c r="DD181" s="1">
        <v>41068</v>
      </c>
      <c r="DE181" s="2">
        <f t="shared" si="45"/>
        <v>5.4147058823529406</v>
      </c>
      <c r="DF181" s="2">
        <f t="shared" si="53"/>
        <v>1.8049019607843133</v>
      </c>
      <c r="DG181" s="2">
        <f t="shared" si="46"/>
        <v>34.200000000000003</v>
      </c>
      <c r="DH181" s="2">
        <f t="shared" si="47"/>
        <v>0.1</v>
      </c>
      <c r="DI181" s="3">
        <f t="shared" si="48"/>
        <v>0.33333333333333331</v>
      </c>
    </row>
    <row r="182" spans="1:113">
      <c r="A182" s="17" t="s">
        <v>194</v>
      </c>
      <c r="E182">
        <v>6.8</v>
      </c>
      <c r="H182">
        <v>4</v>
      </c>
      <c r="N182">
        <v>0.3</v>
      </c>
      <c r="X182">
        <v>3.9</v>
      </c>
      <c r="AA182">
        <v>0.4</v>
      </c>
      <c r="AE182">
        <v>5</v>
      </c>
      <c r="AF182">
        <v>2.2000000000000002</v>
      </c>
      <c r="AO182">
        <v>2</v>
      </c>
      <c r="AR182">
        <v>0.2</v>
      </c>
      <c r="AW182">
        <v>1.4</v>
      </c>
      <c r="AX182">
        <v>8.3000000000000007</v>
      </c>
      <c r="AZ182">
        <v>3.5</v>
      </c>
      <c r="BI182">
        <v>0.2</v>
      </c>
      <c r="BJ182">
        <v>4.5</v>
      </c>
      <c r="BK182">
        <v>0.1</v>
      </c>
      <c r="BO182">
        <v>0.1</v>
      </c>
      <c r="BU182">
        <v>0.3</v>
      </c>
      <c r="CD182">
        <v>2.2000000000000002</v>
      </c>
      <c r="CG182">
        <v>4.5999999999999996</v>
      </c>
      <c r="CH182">
        <v>0.3</v>
      </c>
      <c r="CJ182">
        <v>0.8</v>
      </c>
      <c r="CL182">
        <v>0.6</v>
      </c>
      <c r="CS182">
        <v>30.9</v>
      </c>
      <c r="DA182" s="2"/>
      <c r="DD182" s="1">
        <v>41069</v>
      </c>
      <c r="DE182" s="2">
        <f t="shared" si="45"/>
        <v>3.5913043478260867</v>
      </c>
      <c r="DF182" s="2">
        <f t="shared" si="53"/>
        <v>0.80980392156862735</v>
      </c>
      <c r="DG182" s="2">
        <f t="shared" si="46"/>
        <v>30.9</v>
      </c>
      <c r="DH182" s="2">
        <f t="shared" si="47"/>
        <v>0.1</v>
      </c>
      <c r="DI182" s="3">
        <f t="shared" si="48"/>
        <v>0.22549019607843138</v>
      </c>
    </row>
    <row r="183" spans="1:113">
      <c r="A183" s="17" t="s">
        <v>195</v>
      </c>
      <c r="E183">
        <v>3.8</v>
      </c>
      <c r="I183">
        <v>0.7</v>
      </c>
      <c r="N183">
        <v>0.3</v>
      </c>
      <c r="O183">
        <v>6.2</v>
      </c>
      <c r="P183">
        <v>0.5</v>
      </c>
      <c r="Q183">
        <v>3.4</v>
      </c>
      <c r="W183">
        <v>49</v>
      </c>
      <c r="AA183">
        <v>6</v>
      </c>
      <c r="AD183">
        <v>0.7</v>
      </c>
      <c r="AE183">
        <v>1</v>
      </c>
      <c r="AJ183">
        <v>1</v>
      </c>
      <c r="AM183">
        <v>7.3</v>
      </c>
      <c r="AN183">
        <v>0.6</v>
      </c>
      <c r="AO183">
        <v>3.5</v>
      </c>
      <c r="AP183">
        <v>1.1000000000000001</v>
      </c>
      <c r="AX183">
        <v>9.5</v>
      </c>
      <c r="BA183">
        <v>5.4</v>
      </c>
      <c r="BC183">
        <v>0.5</v>
      </c>
      <c r="BI183">
        <v>0.1</v>
      </c>
      <c r="BJ183">
        <v>7.3</v>
      </c>
      <c r="BO183">
        <v>0.2</v>
      </c>
      <c r="BY183">
        <v>0.1</v>
      </c>
      <c r="CD183">
        <v>0.2</v>
      </c>
      <c r="CJ183">
        <v>3.1</v>
      </c>
      <c r="CL183">
        <v>11.2</v>
      </c>
      <c r="CO183">
        <v>1.3</v>
      </c>
      <c r="CR183">
        <v>5.3</v>
      </c>
      <c r="CT183">
        <v>0.2</v>
      </c>
      <c r="CX183">
        <v>0.1</v>
      </c>
      <c r="DA183" s="2"/>
      <c r="DD183" s="1">
        <v>41070</v>
      </c>
      <c r="DE183" s="2">
        <f t="shared" si="45"/>
        <v>4.4689655172413785</v>
      </c>
      <c r="DF183" s="2">
        <f t="shared" si="53"/>
        <v>1.2705882352941174</v>
      </c>
      <c r="DG183" s="2">
        <f t="shared" si="46"/>
        <v>49</v>
      </c>
      <c r="DH183" s="2">
        <f t="shared" si="47"/>
        <v>0.1</v>
      </c>
      <c r="DI183" s="3">
        <f t="shared" si="48"/>
        <v>0.28431372549019607</v>
      </c>
    </row>
    <row r="184" spans="1:113">
      <c r="A184" s="17" t="s">
        <v>196</v>
      </c>
      <c r="D184">
        <v>3.8</v>
      </c>
      <c r="N184">
        <v>34.700000000000003</v>
      </c>
      <c r="O184">
        <v>21.2</v>
      </c>
      <c r="P184">
        <v>5.7</v>
      </c>
      <c r="T184">
        <v>0.2</v>
      </c>
      <c r="W184">
        <v>2.2000000000000002</v>
      </c>
      <c r="AA184">
        <v>2.6</v>
      </c>
      <c r="AD184">
        <v>0.1</v>
      </c>
      <c r="AE184">
        <v>0.3</v>
      </c>
      <c r="AM184">
        <v>2.7</v>
      </c>
      <c r="AR184">
        <v>0.1</v>
      </c>
      <c r="AY184">
        <v>0.2</v>
      </c>
      <c r="AZ184">
        <v>0.6</v>
      </c>
      <c r="BA184">
        <v>4.7</v>
      </c>
      <c r="BC184">
        <v>3.3</v>
      </c>
      <c r="BL184">
        <v>6.6</v>
      </c>
      <c r="BY184">
        <v>48.6</v>
      </c>
      <c r="CB184">
        <v>0.7</v>
      </c>
      <c r="CO184">
        <v>4.3</v>
      </c>
      <c r="CR184">
        <v>7.3</v>
      </c>
      <c r="CX184">
        <v>2.7</v>
      </c>
      <c r="CZ184">
        <v>0.1</v>
      </c>
      <c r="DA184" s="2"/>
      <c r="DD184" s="1">
        <v>41071</v>
      </c>
      <c r="DE184" s="2">
        <f t="shared" si="45"/>
        <v>6.9409090909090905</v>
      </c>
      <c r="DF184" s="2">
        <f t="shared" si="53"/>
        <v>1.4970588235294116</v>
      </c>
      <c r="DG184" s="2">
        <f t="shared" si="46"/>
        <v>48.6</v>
      </c>
      <c r="DH184" s="2">
        <f t="shared" si="47"/>
        <v>0.1</v>
      </c>
      <c r="DI184" s="3">
        <f t="shared" si="48"/>
        <v>0.21568627450980393</v>
      </c>
    </row>
    <row r="185" spans="1:113">
      <c r="A185" s="17" t="s">
        <v>197</v>
      </c>
      <c r="E185">
        <v>12.9</v>
      </c>
      <c r="J185">
        <v>2.2000000000000002</v>
      </c>
      <c r="K185">
        <v>9.3000000000000007</v>
      </c>
      <c r="L185">
        <v>3.9</v>
      </c>
      <c r="N185">
        <v>6.5</v>
      </c>
      <c r="O185">
        <v>16.2</v>
      </c>
      <c r="P185">
        <v>2.2999999999999998</v>
      </c>
      <c r="T185">
        <v>1.9</v>
      </c>
      <c r="Y185">
        <v>0.3</v>
      </c>
      <c r="AF185">
        <v>0.3</v>
      </c>
      <c r="AP185">
        <v>17.2</v>
      </c>
      <c r="AR185">
        <v>0.1</v>
      </c>
      <c r="AS185">
        <v>0.2</v>
      </c>
      <c r="AT185">
        <v>4.9000000000000004</v>
      </c>
      <c r="AX185">
        <v>10.7</v>
      </c>
      <c r="AY185">
        <v>13.1</v>
      </c>
      <c r="AZ185">
        <v>25.6</v>
      </c>
      <c r="BA185">
        <v>4.0999999999999996</v>
      </c>
      <c r="BP185">
        <v>1.8</v>
      </c>
      <c r="BW185">
        <v>2.2999999999999998</v>
      </c>
      <c r="BX185">
        <v>2.2000000000000002</v>
      </c>
      <c r="BY185">
        <v>2.2000000000000002</v>
      </c>
      <c r="CO185">
        <v>0.4</v>
      </c>
      <c r="CS185">
        <v>7.2</v>
      </c>
      <c r="CX185">
        <v>0.2</v>
      </c>
      <c r="CZ185">
        <v>8.1</v>
      </c>
      <c r="DA185" s="2"/>
      <c r="DD185" s="1">
        <v>41072</v>
      </c>
      <c r="DE185" s="2">
        <f t="shared" si="45"/>
        <v>6.0038461538461529</v>
      </c>
      <c r="DF185" s="2">
        <f t="shared" si="53"/>
        <v>1.5303921568627448</v>
      </c>
      <c r="DG185" s="2">
        <f t="shared" si="46"/>
        <v>25.6</v>
      </c>
      <c r="DH185" s="2">
        <f t="shared" si="47"/>
        <v>0.1</v>
      </c>
      <c r="DI185" s="3">
        <f t="shared" si="48"/>
        <v>0.25490196078431371</v>
      </c>
    </row>
    <row r="186" spans="1:113">
      <c r="A186" s="17" t="s">
        <v>198</v>
      </c>
      <c r="E186">
        <v>0.2</v>
      </c>
      <c r="K186">
        <v>26.8</v>
      </c>
      <c r="O186">
        <v>0.7</v>
      </c>
      <c r="W186">
        <v>3</v>
      </c>
      <c r="AA186">
        <v>5.5</v>
      </c>
      <c r="AE186">
        <v>0.2</v>
      </c>
      <c r="AP186">
        <v>24</v>
      </c>
      <c r="AR186">
        <v>0.2</v>
      </c>
      <c r="AS186">
        <v>1.2</v>
      </c>
      <c r="AY186">
        <v>5</v>
      </c>
      <c r="AZ186">
        <v>0.3</v>
      </c>
      <c r="BG186">
        <v>0.1</v>
      </c>
      <c r="BI186">
        <v>0.1</v>
      </c>
      <c r="BW186">
        <v>0.3</v>
      </c>
      <c r="CA186">
        <v>3.7</v>
      </c>
      <c r="CS186">
        <v>16.2</v>
      </c>
      <c r="CX186">
        <v>1</v>
      </c>
      <c r="CZ186">
        <v>0.4</v>
      </c>
      <c r="DA186" s="2"/>
      <c r="DD186" s="1">
        <v>41073</v>
      </c>
      <c r="DE186" s="2">
        <f t="shared" si="45"/>
        <v>4.9388888888888891</v>
      </c>
      <c r="DF186" s="2">
        <f t="shared" si="53"/>
        <v>0.8715686274509804</v>
      </c>
      <c r="DG186" s="2">
        <f t="shared" si="46"/>
        <v>26.8</v>
      </c>
      <c r="DH186" s="2">
        <f t="shared" si="47"/>
        <v>0.1</v>
      </c>
      <c r="DI186" s="3">
        <f t="shared" si="48"/>
        <v>0.17647058823529413</v>
      </c>
    </row>
    <row r="187" spans="1:113">
      <c r="A187" s="17" t="s">
        <v>199</v>
      </c>
      <c r="D187">
        <v>11.4</v>
      </c>
      <c r="E187">
        <v>0.2</v>
      </c>
      <c r="U187">
        <v>0.7</v>
      </c>
      <c r="AA187">
        <v>11.8</v>
      </c>
      <c r="AM187">
        <v>0.4</v>
      </c>
      <c r="AS187">
        <v>6.4</v>
      </c>
      <c r="AY187">
        <v>0.4</v>
      </c>
      <c r="BA187">
        <v>2.2999999999999998</v>
      </c>
      <c r="BM187">
        <v>0.3</v>
      </c>
      <c r="BO187">
        <v>1.4</v>
      </c>
      <c r="BT187">
        <v>27.4</v>
      </c>
      <c r="BU187">
        <v>0.4</v>
      </c>
      <c r="BV187">
        <v>2.6</v>
      </c>
      <c r="CA187">
        <v>5.2</v>
      </c>
      <c r="CC187">
        <v>0.8</v>
      </c>
      <c r="CE187">
        <v>1.2</v>
      </c>
      <c r="CH187">
        <v>0.2</v>
      </c>
      <c r="CI187">
        <v>12.3</v>
      </c>
      <c r="CX187">
        <v>9.1</v>
      </c>
      <c r="CZ187">
        <v>18.5</v>
      </c>
      <c r="DA187" s="2"/>
      <c r="DD187" s="1">
        <v>41074</v>
      </c>
      <c r="DE187" s="2">
        <f t="shared" si="45"/>
        <v>5.6499999999999995</v>
      </c>
      <c r="DF187" s="2">
        <f t="shared" si="53"/>
        <v>1.1078431372549018</v>
      </c>
      <c r="DG187" s="2">
        <f t="shared" si="46"/>
        <v>27.4</v>
      </c>
      <c r="DH187" s="2">
        <f t="shared" si="47"/>
        <v>0.2</v>
      </c>
      <c r="DI187" s="3">
        <f t="shared" si="48"/>
        <v>0.19607843137254902</v>
      </c>
    </row>
    <row r="188" spans="1:113">
      <c r="A188" s="17" t="s">
        <v>200</v>
      </c>
      <c r="D188">
        <v>3</v>
      </c>
      <c r="E188">
        <v>0.1</v>
      </c>
      <c r="Y188">
        <v>1.4</v>
      </c>
      <c r="AA188">
        <v>7.4</v>
      </c>
      <c r="AJ188">
        <v>2</v>
      </c>
      <c r="AT188">
        <v>3.6</v>
      </c>
      <c r="AW188">
        <v>1.7</v>
      </c>
      <c r="BG188">
        <v>6.3</v>
      </c>
      <c r="BL188">
        <v>6.6</v>
      </c>
      <c r="BT188">
        <v>2.5</v>
      </c>
      <c r="BV188">
        <v>0.3</v>
      </c>
      <c r="CB188">
        <v>5.5</v>
      </c>
      <c r="CE188">
        <v>10.6</v>
      </c>
      <c r="CF188">
        <v>0.5</v>
      </c>
      <c r="CG188">
        <v>32.4</v>
      </c>
      <c r="CN188">
        <v>2.5</v>
      </c>
      <c r="CS188">
        <v>0.1</v>
      </c>
      <c r="CZ188">
        <v>6.5</v>
      </c>
      <c r="DA188" s="2"/>
      <c r="DD188" s="1">
        <v>41075</v>
      </c>
      <c r="DE188" s="2">
        <f t="shared" si="45"/>
        <v>5.166666666666667</v>
      </c>
      <c r="DF188" s="2">
        <f t="shared" si="53"/>
        <v>0.91176470588235292</v>
      </c>
      <c r="DG188" s="2">
        <f t="shared" si="46"/>
        <v>32.4</v>
      </c>
      <c r="DH188" s="2">
        <f t="shared" si="47"/>
        <v>0.1</v>
      </c>
      <c r="DI188" s="3">
        <f t="shared" si="48"/>
        <v>0.17647058823529413</v>
      </c>
    </row>
    <row r="189" spans="1:113">
      <c r="A189" s="17" t="s">
        <v>201</v>
      </c>
      <c r="D189">
        <v>4</v>
      </c>
      <c r="F189">
        <v>4</v>
      </c>
      <c r="J189">
        <v>0.2</v>
      </c>
      <c r="L189">
        <v>0.1</v>
      </c>
      <c r="O189">
        <v>2</v>
      </c>
      <c r="X189">
        <v>0.2</v>
      </c>
      <c r="Y189">
        <v>7.5</v>
      </c>
      <c r="AC189">
        <v>28</v>
      </c>
      <c r="AM189">
        <v>17</v>
      </c>
      <c r="AS189">
        <v>0.5</v>
      </c>
      <c r="AT189">
        <v>3.8</v>
      </c>
      <c r="AW189">
        <v>1.1000000000000001</v>
      </c>
      <c r="BF189">
        <v>0.3</v>
      </c>
      <c r="BG189">
        <v>0.4</v>
      </c>
      <c r="BH189">
        <v>9.3000000000000007</v>
      </c>
      <c r="BI189">
        <v>0.1</v>
      </c>
      <c r="BS189">
        <v>2.5</v>
      </c>
      <c r="BV189">
        <v>4.4000000000000004</v>
      </c>
      <c r="CE189">
        <v>11</v>
      </c>
      <c r="CI189">
        <v>1.5</v>
      </c>
      <c r="CX189">
        <v>2.7</v>
      </c>
      <c r="DA189" s="2"/>
      <c r="DD189" s="1">
        <v>41076</v>
      </c>
      <c r="DE189" s="2">
        <f t="shared" si="45"/>
        <v>4.7904761904761903</v>
      </c>
      <c r="DF189" s="2">
        <f t="shared" si="53"/>
        <v>0.98627450980392151</v>
      </c>
      <c r="DG189" s="2">
        <f t="shared" si="46"/>
        <v>28</v>
      </c>
      <c r="DH189" s="2">
        <f t="shared" si="47"/>
        <v>0.1</v>
      </c>
      <c r="DI189" s="3">
        <f t="shared" si="48"/>
        <v>0.20588235294117646</v>
      </c>
    </row>
    <row r="190" spans="1:113">
      <c r="A190" s="17" t="s">
        <v>202</v>
      </c>
      <c r="E190">
        <v>1.6</v>
      </c>
      <c r="F190">
        <v>0.1</v>
      </c>
      <c r="L190">
        <v>0.9</v>
      </c>
      <c r="O190">
        <v>2.7</v>
      </c>
      <c r="U190">
        <v>12.9</v>
      </c>
      <c r="W190">
        <v>0.6</v>
      </c>
      <c r="AF190">
        <v>0.3</v>
      </c>
      <c r="AK190">
        <v>0.2</v>
      </c>
      <c r="AR190">
        <v>1.8</v>
      </c>
      <c r="AT190">
        <v>5.9</v>
      </c>
      <c r="BB190">
        <v>0.2</v>
      </c>
      <c r="BG190">
        <v>6.3</v>
      </c>
      <c r="BH190">
        <v>6.9</v>
      </c>
      <c r="BM190">
        <v>0.1</v>
      </c>
      <c r="BN190">
        <v>0.1</v>
      </c>
      <c r="BU190">
        <v>0.2</v>
      </c>
      <c r="BV190">
        <v>5.7</v>
      </c>
      <c r="BX190">
        <v>1</v>
      </c>
      <c r="CB190">
        <v>0.3</v>
      </c>
      <c r="CM190">
        <v>0.5</v>
      </c>
      <c r="CP190">
        <v>2</v>
      </c>
      <c r="CV190">
        <v>0.1</v>
      </c>
      <c r="DA190" s="2"/>
      <c r="DD190" s="1">
        <v>41077</v>
      </c>
      <c r="DE190" s="2">
        <f t="shared" si="45"/>
        <v>2.2909090909090915</v>
      </c>
      <c r="DF190" s="2">
        <f t="shared" si="53"/>
        <v>0.49411764705882366</v>
      </c>
      <c r="DG190" s="2">
        <f t="shared" si="46"/>
        <v>12.9</v>
      </c>
      <c r="DH190" s="2">
        <f t="shared" si="47"/>
        <v>0.1</v>
      </c>
      <c r="DI190" s="3">
        <f t="shared" si="48"/>
        <v>0.21568627450980393</v>
      </c>
    </row>
    <row r="191" spans="1:113">
      <c r="A191" s="17" t="s">
        <v>203</v>
      </c>
      <c r="E191">
        <v>0.2</v>
      </c>
      <c r="H191">
        <v>28.2</v>
      </c>
      <c r="Y191">
        <v>0.5</v>
      </c>
      <c r="AD191">
        <v>8.3000000000000007</v>
      </c>
      <c r="AF191">
        <v>5.9</v>
      </c>
      <c r="AK191">
        <v>1</v>
      </c>
      <c r="AY191">
        <v>0.5</v>
      </c>
      <c r="BB191">
        <v>6.9</v>
      </c>
      <c r="BD191">
        <v>2.6</v>
      </c>
      <c r="BH191">
        <v>0.1</v>
      </c>
      <c r="BK191">
        <v>1.9</v>
      </c>
      <c r="BL191">
        <v>0.1</v>
      </c>
      <c r="BV191">
        <v>0.5</v>
      </c>
      <c r="BX191">
        <v>0.9</v>
      </c>
      <c r="BZ191">
        <v>57</v>
      </c>
      <c r="CB191">
        <v>9.1</v>
      </c>
      <c r="CC191">
        <v>9.1</v>
      </c>
      <c r="CE191">
        <v>0.4</v>
      </c>
      <c r="CF191">
        <v>2.1</v>
      </c>
      <c r="CM191">
        <v>6</v>
      </c>
      <c r="DA191" s="2"/>
      <c r="DD191" s="1">
        <v>41078</v>
      </c>
      <c r="DE191" s="2">
        <f t="shared" si="45"/>
        <v>7.0649999999999995</v>
      </c>
      <c r="DF191" s="2">
        <f t="shared" si="53"/>
        <v>1.3852941176470586</v>
      </c>
      <c r="DG191" s="2">
        <f t="shared" si="46"/>
        <v>57</v>
      </c>
      <c r="DH191" s="2">
        <f t="shared" si="47"/>
        <v>0.1</v>
      </c>
      <c r="DI191" s="3">
        <f t="shared" si="48"/>
        <v>0.19607843137254902</v>
      </c>
    </row>
    <row r="192" spans="1:113">
      <c r="A192" s="17" t="s">
        <v>204</v>
      </c>
      <c r="E192">
        <v>1</v>
      </c>
      <c r="H192">
        <v>3.7</v>
      </c>
      <c r="L192">
        <v>0.5</v>
      </c>
      <c r="O192">
        <v>5.7</v>
      </c>
      <c r="AD192">
        <v>0.1</v>
      </c>
      <c r="AF192">
        <v>0.3</v>
      </c>
      <c r="BI192">
        <v>0.2</v>
      </c>
      <c r="BJ192">
        <v>3.6</v>
      </c>
      <c r="BK192">
        <v>2.1</v>
      </c>
      <c r="BL192">
        <v>0.4</v>
      </c>
      <c r="BQ192">
        <v>2.2999999999999998</v>
      </c>
      <c r="BZ192">
        <v>1</v>
      </c>
      <c r="CA192">
        <v>4.8</v>
      </c>
      <c r="CB192">
        <v>1.4</v>
      </c>
      <c r="CE192">
        <v>1.1000000000000001</v>
      </c>
      <c r="CF192">
        <v>30.5</v>
      </c>
      <c r="CM192">
        <v>0.3</v>
      </c>
      <c r="CR192">
        <v>0.3</v>
      </c>
      <c r="CU192">
        <v>0.1</v>
      </c>
      <c r="DA192" s="2"/>
      <c r="DD192" s="1">
        <v>41079</v>
      </c>
      <c r="DE192" s="2">
        <f t="shared" si="45"/>
        <v>3.1263157894736842</v>
      </c>
      <c r="DF192" s="2">
        <f t="shared" si="53"/>
        <v>0.58235294117647063</v>
      </c>
      <c r="DG192" s="2">
        <f t="shared" si="46"/>
        <v>30.5</v>
      </c>
      <c r="DH192" s="2">
        <f t="shared" si="47"/>
        <v>0.1</v>
      </c>
      <c r="DI192" s="3">
        <f t="shared" si="48"/>
        <v>0.18627450980392157</v>
      </c>
    </row>
    <row r="193" spans="1:113">
      <c r="A193" s="17" t="s">
        <v>205</v>
      </c>
      <c r="O193">
        <v>91</v>
      </c>
      <c r="P193">
        <v>4.3</v>
      </c>
      <c r="AD193">
        <v>5.6</v>
      </c>
      <c r="AF193">
        <v>6.7</v>
      </c>
      <c r="AH193">
        <v>46.1</v>
      </c>
      <c r="AL193">
        <v>2.8</v>
      </c>
      <c r="AN193">
        <v>13.6</v>
      </c>
      <c r="AO193">
        <v>4.7</v>
      </c>
      <c r="AR193">
        <v>0.5</v>
      </c>
      <c r="AZ193">
        <v>19</v>
      </c>
      <c r="BI193">
        <v>0.9</v>
      </c>
      <c r="BJ193">
        <v>0.6</v>
      </c>
      <c r="BK193">
        <v>6</v>
      </c>
      <c r="BL193">
        <v>12</v>
      </c>
      <c r="BM193">
        <v>8.3000000000000007</v>
      </c>
      <c r="BP193">
        <v>8.9</v>
      </c>
      <c r="BT193">
        <v>0.4</v>
      </c>
      <c r="BU193">
        <v>1.5</v>
      </c>
      <c r="CA193">
        <v>0.3</v>
      </c>
      <c r="CH193">
        <v>3</v>
      </c>
      <c r="CN193">
        <v>1</v>
      </c>
      <c r="CR193">
        <v>0.1</v>
      </c>
      <c r="CW193">
        <v>5.7</v>
      </c>
      <c r="DA193" s="2"/>
      <c r="DD193" s="1">
        <v>41080</v>
      </c>
      <c r="DE193" s="2">
        <f t="shared" si="45"/>
        <v>10.565217391304348</v>
      </c>
      <c r="DF193" s="2">
        <f t="shared" si="53"/>
        <v>2.3823529411764706</v>
      </c>
      <c r="DG193" s="2">
        <f t="shared" si="46"/>
        <v>91</v>
      </c>
      <c r="DH193" s="2">
        <f t="shared" si="47"/>
        <v>0.1</v>
      </c>
      <c r="DI193" s="3">
        <f t="shared" si="48"/>
        <v>0.22549019607843138</v>
      </c>
    </row>
    <row r="194" spans="1:113">
      <c r="A194" s="17" t="s">
        <v>206</v>
      </c>
      <c r="E194">
        <v>0.2</v>
      </c>
      <c r="K194">
        <v>0.3</v>
      </c>
      <c r="M194">
        <v>10.199999999999999</v>
      </c>
      <c r="U194">
        <v>1.7</v>
      </c>
      <c r="AH194">
        <v>18.3</v>
      </c>
      <c r="BF194">
        <v>7.3</v>
      </c>
      <c r="BG194">
        <v>0.1</v>
      </c>
      <c r="BH194">
        <v>0.3</v>
      </c>
      <c r="BI194">
        <v>0.1</v>
      </c>
      <c r="BK194">
        <v>8</v>
      </c>
      <c r="BN194">
        <v>0.8</v>
      </c>
      <c r="BP194">
        <v>0.2</v>
      </c>
      <c r="BR194">
        <v>3</v>
      </c>
      <c r="BT194">
        <v>2.9</v>
      </c>
      <c r="BU194">
        <v>0.4</v>
      </c>
      <c r="BX194">
        <v>0.1</v>
      </c>
      <c r="CA194">
        <v>36</v>
      </c>
      <c r="CD194">
        <v>0.4</v>
      </c>
      <c r="CE194">
        <v>7.5</v>
      </c>
      <c r="CK194">
        <v>3.5</v>
      </c>
      <c r="CU194">
        <v>0.3</v>
      </c>
      <c r="DA194" s="2"/>
      <c r="DD194" s="1">
        <v>41081</v>
      </c>
      <c r="DE194" s="2">
        <f t="shared" si="45"/>
        <v>4.8380952380952387</v>
      </c>
      <c r="DF194" s="2">
        <f t="shared" si="53"/>
        <v>0.99607843137254914</v>
      </c>
      <c r="DG194" s="2">
        <f t="shared" si="46"/>
        <v>36</v>
      </c>
      <c r="DH194" s="2">
        <f t="shared" si="47"/>
        <v>0.1</v>
      </c>
      <c r="DI194" s="3">
        <f t="shared" si="48"/>
        <v>0.20588235294117646</v>
      </c>
    </row>
    <row r="195" spans="1:113">
      <c r="A195" s="17" t="s">
        <v>207</v>
      </c>
      <c r="C195">
        <v>3.2</v>
      </c>
      <c r="E195">
        <v>0.2</v>
      </c>
      <c r="I195">
        <v>5.9</v>
      </c>
      <c r="L195">
        <v>15.7</v>
      </c>
      <c r="M195">
        <v>3.1</v>
      </c>
      <c r="Q195">
        <v>0.3</v>
      </c>
      <c r="S195">
        <v>7.3</v>
      </c>
      <c r="Z195">
        <v>0.2</v>
      </c>
      <c r="AD195">
        <v>2.7</v>
      </c>
      <c r="AH195">
        <v>0.4</v>
      </c>
      <c r="AN195">
        <v>0.9</v>
      </c>
      <c r="AY195">
        <v>7.7</v>
      </c>
      <c r="BF195">
        <v>7</v>
      </c>
      <c r="BH195">
        <v>10.7</v>
      </c>
      <c r="BM195">
        <v>0.1</v>
      </c>
      <c r="BN195">
        <v>7.5</v>
      </c>
      <c r="BT195">
        <v>0.9</v>
      </c>
      <c r="BZ195">
        <v>0.7</v>
      </c>
      <c r="CA195">
        <v>0.4</v>
      </c>
      <c r="CB195">
        <v>0.1</v>
      </c>
      <c r="CL195">
        <v>1.3</v>
      </c>
      <c r="CQ195">
        <v>2.4</v>
      </c>
      <c r="CW195">
        <v>15.6</v>
      </c>
      <c r="DA195" s="2"/>
      <c r="DD195" s="1">
        <v>41082</v>
      </c>
      <c r="DE195" s="2">
        <f t="shared" si="45"/>
        <v>4.1000000000000005</v>
      </c>
      <c r="DF195" s="2">
        <f t="shared" si="53"/>
        <v>0.92450980392156878</v>
      </c>
      <c r="DG195" s="2">
        <f t="shared" si="46"/>
        <v>15.7</v>
      </c>
      <c r="DH195" s="2">
        <f t="shared" si="47"/>
        <v>0.1</v>
      </c>
      <c r="DI195" s="3">
        <f t="shared" si="48"/>
        <v>0.22549019607843138</v>
      </c>
    </row>
    <row r="196" spans="1:113">
      <c r="A196" s="17" t="s">
        <v>208</v>
      </c>
      <c r="E196">
        <v>0.5</v>
      </c>
      <c r="I196">
        <v>4.4000000000000004</v>
      </c>
      <c r="M196">
        <v>0.2</v>
      </c>
      <c r="Q196">
        <v>1.7</v>
      </c>
      <c r="AA196">
        <v>7.9</v>
      </c>
      <c r="AG196">
        <v>3.3</v>
      </c>
      <c r="AJ196">
        <v>0.1</v>
      </c>
      <c r="AY196">
        <v>10.5</v>
      </c>
      <c r="BF196">
        <v>0.5</v>
      </c>
      <c r="BH196">
        <v>1.7</v>
      </c>
      <c r="BN196">
        <v>0.8</v>
      </c>
      <c r="BR196">
        <v>0.1</v>
      </c>
      <c r="BT196">
        <v>0.5</v>
      </c>
      <c r="BW196">
        <v>6</v>
      </c>
      <c r="BZ196">
        <v>0.4</v>
      </c>
      <c r="CD196">
        <v>0.1</v>
      </c>
      <c r="CL196">
        <v>1</v>
      </c>
      <c r="CQ196">
        <v>8.8000000000000007</v>
      </c>
      <c r="CR196">
        <v>3.8</v>
      </c>
      <c r="CW196">
        <v>31.6</v>
      </c>
      <c r="DA196" s="2"/>
      <c r="DD196" s="1">
        <v>41083</v>
      </c>
      <c r="DE196" s="2">
        <f t="shared" si="45"/>
        <v>4.1950000000000003</v>
      </c>
      <c r="DF196" s="2">
        <f t="shared" si="53"/>
        <v>0.82254901960784321</v>
      </c>
      <c r="DG196" s="2">
        <f t="shared" si="46"/>
        <v>31.6</v>
      </c>
      <c r="DH196" s="2">
        <f t="shared" si="47"/>
        <v>0.1</v>
      </c>
      <c r="DI196" s="3">
        <f t="shared" si="48"/>
        <v>0.19607843137254902</v>
      </c>
    </row>
    <row r="197" spans="1:113">
      <c r="A197" s="17" t="s">
        <v>209</v>
      </c>
      <c r="E197">
        <v>0.5</v>
      </c>
      <c r="M197">
        <v>0.1</v>
      </c>
      <c r="N197">
        <v>6.9</v>
      </c>
      <c r="Q197">
        <v>0.5</v>
      </c>
      <c r="Z197">
        <v>1.5</v>
      </c>
      <c r="AD197">
        <v>2.1</v>
      </c>
      <c r="AG197">
        <v>3.5</v>
      </c>
      <c r="AM197">
        <v>22.6</v>
      </c>
      <c r="AU197">
        <v>1.9</v>
      </c>
      <c r="AY197">
        <v>25.5</v>
      </c>
      <c r="BC197">
        <v>0.2</v>
      </c>
      <c r="BR197">
        <v>0.1</v>
      </c>
      <c r="BX197">
        <v>7</v>
      </c>
      <c r="BZ197">
        <v>0.1</v>
      </c>
      <c r="CA197">
        <v>14.8</v>
      </c>
      <c r="CC197">
        <v>1.1000000000000001</v>
      </c>
      <c r="CH197">
        <v>0.1</v>
      </c>
      <c r="CL197">
        <v>11</v>
      </c>
      <c r="CR197">
        <v>2.4</v>
      </c>
      <c r="CW197">
        <v>4.5</v>
      </c>
      <c r="DA197" s="2"/>
      <c r="DD197" s="1">
        <v>41084</v>
      </c>
      <c r="DE197" s="2">
        <f t="shared" si="45"/>
        <v>5.3199999999999985</v>
      </c>
      <c r="DF197" s="2">
        <f t="shared" si="53"/>
        <v>1.0431372549019606</v>
      </c>
      <c r="DG197" s="2">
        <f t="shared" si="46"/>
        <v>25.5</v>
      </c>
      <c r="DH197" s="2">
        <f t="shared" si="47"/>
        <v>0.1</v>
      </c>
      <c r="DI197" s="3">
        <f t="shared" si="48"/>
        <v>0.19607843137254902</v>
      </c>
    </row>
    <row r="198" spans="1:113">
      <c r="A198" s="17" t="s">
        <v>210</v>
      </c>
      <c r="D198">
        <v>0.5</v>
      </c>
      <c r="E198">
        <v>0.3</v>
      </c>
      <c r="K198">
        <v>6.4</v>
      </c>
      <c r="M198">
        <v>0.4</v>
      </c>
      <c r="N198">
        <v>0.1</v>
      </c>
      <c r="Q198">
        <v>5</v>
      </c>
      <c r="Z198">
        <v>6</v>
      </c>
      <c r="AG198">
        <v>0.1</v>
      </c>
      <c r="AI198">
        <v>0.3</v>
      </c>
      <c r="AJ198">
        <v>0.6</v>
      </c>
      <c r="AM198">
        <v>0.3</v>
      </c>
      <c r="AQ198">
        <v>14.8</v>
      </c>
      <c r="BG198">
        <v>8.8000000000000007</v>
      </c>
      <c r="BM198">
        <v>6.8</v>
      </c>
      <c r="BR198">
        <v>10</v>
      </c>
      <c r="BW198">
        <v>0.5</v>
      </c>
      <c r="CC198">
        <v>0.3</v>
      </c>
      <c r="CL198">
        <v>8</v>
      </c>
      <c r="CW198">
        <v>4.5</v>
      </c>
      <c r="CX198">
        <v>3.5</v>
      </c>
      <c r="DA198" s="2"/>
      <c r="DD198" s="1">
        <v>41085</v>
      </c>
      <c r="DE198" s="2">
        <f t="shared" si="45"/>
        <v>3.8600000000000003</v>
      </c>
      <c r="DF198" s="2">
        <f t="shared" si="53"/>
        <v>0.75686274509803919</v>
      </c>
      <c r="DG198" s="2">
        <f t="shared" si="46"/>
        <v>14.8</v>
      </c>
      <c r="DH198" s="2">
        <f t="shared" si="47"/>
        <v>0.1</v>
      </c>
      <c r="DI198" s="3">
        <f t="shared" si="48"/>
        <v>0.19607843137254902</v>
      </c>
    </row>
    <row r="199" spans="1:113">
      <c r="A199" s="17" t="s">
        <v>211</v>
      </c>
      <c r="H199">
        <v>1.3</v>
      </c>
      <c r="M199">
        <v>0.1</v>
      </c>
      <c r="O199">
        <v>7.5</v>
      </c>
      <c r="Q199">
        <v>2.4</v>
      </c>
      <c r="AL199">
        <v>3.6</v>
      </c>
      <c r="AQ199">
        <v>6.7</v>
      </c>
      <c r="BG199">
        <v>6.2</v>
      </c>
      <c r="BH199">
        <v>0.1</v>
      </c>
      <c r="BL199">
        <v>6.8</v>
      </c>
      <c r="BP199">
        <v>0.3</v>
      </c>
      <c r="BW199">
        <v>0.2</v>
      </c>
      <c r="BX199">
        <v>3</v>
      </c>
      <c r="BY199">
        <v>1.6</v>
      </c>
      <c r="CE199">
        <v>21.5</v>
      </c>
      <c r="CH199">
        <v>8.5</v>
      </c>
      <c r="CJ199">
        <v>5.2</v>
      </c>
      <c r="CL199">
        <v>0.5</v>
      </c>
      <c r="CO199">
        <v>1.5</v>
      </c>
      <c r="CQ199">
        <v>1</v>
      </c>
      <c r="CX199">
        <v>1.5</v>
      </c>
      <c r="CY199">
        <v>17.7</v>
      </c>
      <c r="DA199" s="2"/>
      <c r="DD199" s="1">
        <v>41086</v>
      </c>
      <c r="DE199" s="2">
        <f t="shared" si="45"/>
        <v>4.628571428571429</v>
      </c>
      <c r="DF199" s="2">
        <f t="shared" si="53"/>
        <v>0.9529411764705884</v>
      </c>
      <c r="DG199" s="2">
        <f t="shared" si="46"/>
        <v>21.5</v>
      </c>
      <c r="DH199" s="2">
        <f t="shared" si="47"/>
        <v>0.1</v>
      </c>
      <c r="DI199" s="3">
        <f t="shared" si="48"/>
        <v>0.20588235294117646</v>
      </c>
    </row>
    <row r="200" spans="1:113">
      <c r="A200" s="17" t="s">
        <v>212</v>
      </c>
      <c r="E200">
        <v>2.4</v>
      </c>
      <c r="F200">
        <v>9.5</v>
      </c>
      <c r="H200">
        <v>1.8</v>
      </c>
      <c r="M200">
        <v>0.2</v>
      </c>
      <c r="V200">
        <v>20</v>
      </c>
      <c r="X200">
        <v>0.3</v>
      </c>
      <c r="AE200">
        <v>40.4</v>
      </c>
      <c r="AM200">
        <v>2.5</v>
      </c>
      <c r="AN200">
        <v>2.2999999999999998</v>
      </c>
      <c r="AQ200">
        <v>10.6</v>
      </c>
      <c r="AU200">
        <v>7.1</v>
      </c>
      <c r="BG200">
        <v>0.1</v>
      </c>
      <c r="BH200">
        <v>24.4</v>
      </c>
      <c r="BP200">
        <v>8.6999999999999993</v>
      </c>
      <c r="BY200">
        <v>0.5</v>
      </c>
      <c r="CE200">
        <v>3.5</v>
      </c>
      <c r="CH200">
        <v>5.6</v>
      </c>
      <c r="CJ200">
        <v>2.7</v>
      </c>
      <c r="CK200">
        <v>0.1</v>
      </c>
      <c r="CQ200">
        <v>0.6</v>
      </c>
      <c r="CX200">
        <v>0.9</v>
      </c>
      <c r="CY200">
        <v>0.6</v>
      </c>
      <c r="DA200" s="2"/>
      <c r="DD200" s="1">
        <v>41087</v>
      </c>
      <c r="DE200" s="2">
        <f t="shared" si="45"/>
        <v>6.5818181818181785</v>
      </c>
      <c r="DF200" s="2">
        <f t="shared" si="53"/>
        <v>1.4196078431372541</v>
      </c>
      <c r="DG200" s="2">
        <f t="shared" si="46"/>
        <v>40.4</v>
      </c>
      <c r="DH200" s="2">
        <f t="shared" si="47"/>
        <v>0.1</v>
      </c>
      <c r="DI200" s="3">
        <f t="shared" si="48"/>
        <v>0.21568627450980393</v>
      </c>
    </row>
    <row r="201" spans="1:113">
      <c r="A201" s="17" t="s">
        <v>213</v>
      </c>
      <c r="F201">
        <v>0.2</v>
      </c>
      <c r="V201">
        <v>35</v>
      </c>
      <c r="AA201">
        <v>2.5</v>
      </c>
      <c r="AE201">
        <v>2.9</v>
      </c>
      <c r="AH201">
        <v>0.1</v>
      </c>
      <c r="AM201">
        <v>0.5</v>
      </c>
      <c r="AN201">
        <v>1.2</v>
      </c>
      <c r="BD201">
        <v>0.6</v>
      </c>
      <c r="BH201">
        <v>0.1</v>
      </c>
      <c r="BI201">
        <v>0.1</v>
      </c>
      <c r="BK201">
        <v>2</v>
      </c>
      <c r="BL201">
        <v>0.1</v>
      </c>
      <c r="BP201">
        <v>0.1</v>
      </c>
      <c r="BY201">
        <v>0.5</v>
      </c>
      <c r="CE201">
        <v>2</v>
      </c>
      <c r="CH201">
        <v>3.6</v>
      </c>
      <c r="CV201">
        <v>1</v>
      </c>
      <c r="CZ201">
        <v>0.3</v>
      </c>
      <c r="DA201" s="2"/>
      <c r="DD201" s="1">
        <v>41088</v>
      </c>
      <c r="DE201" s="2">
        <f t="shared" si="45"/>
        <v>2.933333333333334</v>
      </c>
      <c r="DF201" s="2">
        <f t="shared" si="53"/>
        <v>0.51764705882352957</v>
      </c>
      <c r="DG201" s="2">
        <f t="shared" si="46"/>
        <v>35</v>
      </c>
      <c r="DH201" s="2">
        <f t="shared" si="47"/>
        <v>0.1</v>
      </c>
      <c r="DI201" s="3">
        <f t="shared" si="48"/>
        <v>0.17647058823529413</v>
      </c>
    </row>
    <row r="202" spans="1:113">
      <c r="A202" s="17" t="s">
        <v>214</v>
      </c>
      <c r="D202">
        <v>1.7</v>
      </c>
      <c r="F202">
        <v>0.3</v>
      </c>
      <c r="H202">
        <v>3.9</v>
      </c>
      <c r="P202">
        <v>31</v>
      </c>
      <c r="T202">
        <v>6.3</v>
      </c>
      <c r="V202">
        <v>4.7</v>
      </c>
      <c r="Z202">
        <v>6.8</v>
      </c>
      <c r="AN202">
        <v>6.1</v>
      </c>
      <c r="AR202">
        <v>28.6</v>
      </c>
      <c r="AV202">
        <v>2.5</v>
      </c>
      <c r="BI202">
        <v>0.1</v>
      </c>
      <c r="BL202">
        <v>0.1</v>
      </c>
      <c r="BQ202">
        <v>1.1000000000000001</v>
      </c>
      <c r="BY202">
        <v>0.2</v>
      </c>
      <c r="CE202">
        <v>1.3</v>
      </c>
      <c r="CF202">
        <v>0.1</v>
      </c>
      <c r="CH202">
        <v>1.4</v>
      </c>
      <c r="CU202">
        <v>0.1</v>
      </c>
      <c r="CW202">
        <v>0.4</v>
      </c>
      <c r="CZ202">
        <v>1.7</v>
      </c>
      <c r="DA202" s="2"/>
      <c r="DD202" s="1">
        <v>41089</v>
      </c>
      <c r="DE202" s="2">
        <f t="shared" si="45"/>
        <v>4.92</v>
      </c>
      <c r="DF202" s="2">
        <f t="shared" si="53"/>
        <v>0.96470588235294108</v>
      </c>
      <c r="DG202" s="2">
        <f t="shared" si="46"/>
        <v>31</v>
      </c>
      <c r="DH202" s="2">
        <f t="shared" si="47"/>
        <v>0.1</v>
      </c>
      <c r="DI202" s="3">
        <f t="shared" si="48"/>
        <v>0.19607843137254902</v>
      </c>
    </row>
    <row r="203" spans="1:113">
      <c r="A203" s="17" t="s">
        <v>215</v>
      </c>
      <c r="E203">
        <v>0.5</v>
      </c>
      <c r="F203">
        <v>4.4000000000000004</v>
      </c>
      <c r="K203">
        <v>0.2</v>
      </c>
      <c r="P203">
        <v>2.7</v>
      </c>
      <c r="Q203">
        <v>0.5</v>
      </c>
      <c r="T203">
        <v>4.0999999999999996</v>
      </c>
      <c r="X203">
        <v>1.3</v>
      </c>
      <c r="Z203">
        <v>1.3</v>
      </c>
      <c r="AG203">
        <v>26.6</v>
      </c>
      <c r="AV203">
        <v>0.1</v>
      </c>
      <c r="AZ203">
        <v>3.6</v>
      </c>
      <c r="BQ203">
        <v>2.2999999999999998</v>
      </c>
      <c r="CH203">
        <v>0.4</v>
      </c>
      <c r="CW203">
        <v>7.9</v>
      </c>
      <c r="DA203" s="2"/>
      <c r="DD203" s="1">
        <v>41090</v>
      </c>
      <c r="DE203" s="2">
        <f t="shared" si="45"/>
        <v>3.9928571428571429</v>
      </c>
      <c r="DF203" s="2">
        <f t="shared" si="53"/>
        <v>0.54803921568627445</v>
      </c>
      <c r="DG203" s="2">
        <f t="shared" si="46"/>
        <v>26.6</v>
      </c>
      <c r="DH203" s="2">
        <f t="shared" si="47"/>
        <v>0.1</v>
      </c>
      <c r="DI203" s="3">
        <f t="shared" si="48"/>
        <v>0.13725490196078433</v>
      </c>
    </row>
    <row r="204" spans="1:113">
      <c r="A204" s="17"/>
      <c r="B204">
        <v>1911</v>
      </c>
      <c r="C204">
        <v>1912</v>
      </c>
      <c r="D204">
        <v>1913</v>
      </c>
      <c r="E204">
        <v>1914</v>
      </c>
      <c r="F204">
        <v>1915</v>
      </c>
      <c r="G204">
        <v>1916</v>
      </c>
      <c r="H204">
        <v>1917</v>
      </c>
      <c r="I204">
        <v>1918</v>
      </c>
      <c r="J204">
        <v>1919</v>
      </c>
      <c r="K204">
        <v>1920</v>
      </c>
      <c r="L204">
        <v>1921</v>
      </c>
      <c r="M204">
        <v>1922</v>
      </c>
      <c r="N204">
        <v>1923</v>
      </c>
      <c r="O204">
        <v>1924</v>
      </c>
      <c r="P204">
        <v>1925</v>
      </c>
      <c r="Q204">
        <v>1926</v>
      </c>
      <c r="R204">
        <v>1927</v>
      </c>
      <c r="S204">
        <v>1928</v>
      </c>
      <c r="T204">
        <v>1929</v>
      </c>
      <c r="U204">
        <v>1930</v>
      </c>
      <c r="V204">
        <v>1931</v>
      </c>
      <c r="W204">
        <v>1932</v>
      </c>
      <c r="X204">
        <v>1933</v>
      </c>
      <c r="Y204">
        <v>1934</v>
      </c>
      <c r="Z204">
        <v>1935</v>
      </c>
      <c r="AA204">
        <v>1936</v>
      </c>
      <c r="AB204">
        <v>1937</v>
      </c>
      <c r="AC204">
        <v>1938</v>
      </c>
      <c r="AD204">
        <v>1939</v>
      </c>
      <c r="AE204">
        <v>1940</v>
      </c>
      <c r="AF204">
        <v>1941</v>
      </c>
      <c r="AG204">
        <v>1942</v>
      </c>
      <c r="AH204">
        <v>1943</v>
      </c>
      <c r="AI204">
        <v>1944</v>
      </c>
      <c r="AJ204">
        <v>1945</v>
      </c>
      <c r="AK204">
        <v>1946</v>
      </c>
      <c r="AL204">
        <v>1947</v>
      </c>
      <c r="AM204">
        <v>1948</v>
      </c>
      <c r="AN204">
        <v>1949</v>
      </c>
      <c r="AO204">
        <v>1950</v>
      </c>
      <c r="AP204">
        <v>1951</v>
      </c>
      <c r="AQ204">
        <v>1952</v>
      </c>
      <c r="AR204">
        <v>1953</v>
      </c>
      <c r="AS204">
        <v>1954</v>
      </c>
      <c r="AT204">
        <v>1955</v>
      </c>
      <c r="AU204">
        <v>1956</v>
      </c>
      <c r="AV204">
        <v>1957</v>
      </c>
      <c r="AW204">
        <v>1958</v>
      </c>
      <c r="AX204">
        <v>1959</v>
      </c>
      <c r="AY204">
        <v>1960</v>
      </c>
      <c r="AZ204">
        <v>1961</v>
      </c>
      <c r="BA204">
        <v>1962</v>
      </c>
      <c r="BB204">
        <v>1963</v>
      </c>
      <c r="BC204">
        <v>1964</v>
      </c>
      <c r="BD204">
        <v>1965</v>
      </c>
      <c r="BE204">
        <v>1966</v>
      </c>
      <c r="BF204">
        <v>1967</v>
      </c>
      <c r="BG204">
        <v>1968</v>
      </c>
      <c r="BH204">
        <v>1969</v>
      </c>
      <c r="BI204">
        <v>1970</v>
      </c>
      <c r="BJ204">
        <v>1971</v>
      </c>
      <c r="BK204">
        <v>1972</v>
      </c>
      <c r="BL204">
        <v>1973</v>
      </c>
      <c r="BM204">
        <v>1974</v>
      </c>
      <c r="BN204">
        <v>1975</v>
      </c>
      <c r="BO204">
        <v>1976</v>
      </c>
      <c r="BP204">
        <v>1977</v>
      </c>
      <c r="BQ204">
        <v>1978</v>
      </c>
      <c r="BR204">
        <v>1979</v>
      </c>
      <c r="BS204">
        <v>1980</v>
      </c>
      <c r="BT204">
        <v>1981</v>
      </c>
      <c r="BU204">
        <v>1982</v>
      </c>
      <c r="BV204">
        <v>1983</v>
      </c>
      <c r="BW204">
        <v>1984</v>
      </c>
      <c r="BX204">
        <v>1985</v>
      </c>
      <c r="BY204">
        <v>1986</v>
      </c>
      <c r="BZ204">
        <v>1987</v>
      </c>
      <c r="CA204">
        <v>1988</v>
      </c>
      <c r="CB204">
        <v>1989</v>
      </c>
      <c r="CC204">
        <v>1990</v>
      </c>
      <c r="CD204">
        <v>1991</v>
      </c>
      <c r="CE204">
        <v>1992</v>
      </c>
      <c r="CF204">
        <v>1993</v>
      </c>
      <c r="CG204">
        <v>1994</v>
      </c>
      <c r="CH204">
        <v>1995</v>
      </c>
      <c r="CI204">
        <v>1996</v>
      </c>
      <c r="CJ204">
        <v>1997</v>
      </c>
      <c r="CK204">
        <v>1998</v>
      </c>
      <c r="CL204">
        <v>1999</v>
      </c>
      <c r="CM204">
        <v>2000</v>
      </c>
      <c r="CN204">
        <v>2001</v>
      </c>
      <c r="CO204">
        <v>2002</v>
      </c>
      <c r="CP204">
        <v>2003</v>
      </c>
      <c r="CQ204">
        <v>2004</v>
      </c>
      <c r="CR204">
        <v>2005</v>
      </c>
      <c r="CS204">
        <v>2006</v>
      </c>
      <c r="CT204">
        <v>2007</v>
      </c>
      <c r="CU204">
        <v>2008</v>
      </c>
      <c r="CV204">
        <v>2009</v>
      </c>
      <c r="CW204">
        <v>2010</v>
      </c>
      <c r="CX204">
        <v>2011</v>
      </c>
      <c r="CY204">
        <v>2012</v>
      </c>
      <c r="CZ204">
        <v>2013</v>
      </c>
      <c r="DD204" s="1"/>
    </row>
    <row r="205" spans="1:113">
      <c r="A205" s="17" t="s">
        <v>30</v>
      </c>
      <c r="C205">
        <f>SUM(C174:C203)</f>
        <v>3.7</v>
      </c>
      <c r="D205">
        <f>SUM(D174:D203)</f>
        <v>24.4</v>
      </c>
      <c r="E205">
        <f t="shared" ref="E205:BP205" si="54">SUM(E174:E203)</f>
        <v>82.8</v>
      </c>
      <c r="F205">
        <f t="shared" si="54"/>
        <v>19.100000000000001</v>
      </c>
      <c r="G205">
        <f t="shared" si="54"/>
        <v>3.1</v>
      </c>
      <c r="H205">
        <f t="shared" si="54"/>
        <v>42.9</v>
      </c>
      <c r="I205">
        <f t="shared" si="54"/>
        <v>17.5</v>
      </c>
      <c r="J205">
        <f t="shared" si="54"/>
        <v>70.5</v>
      </c>
      <c r="K205">
        <f t="shared" si="54"/>
        <v>43.1</v>
      </c>
      <c r="L205">
        <f t="shared" si="54"/>
        <v>46.599999999999994</v>
      </c>
      <c r="M205">
        <f t="shared" si="54"/>
        <v>14.299999999999997</v>
      </c>
      <c r="N205">
        <f t="shared" si="54"/>
        <v>54.1</v>
      </c>
      <c r="O205">
        <f t="shared" si="54"/>
        <v>161.69999999999999</v>
      </c>
      <c r="P205">
        <f t="shared" si="54"/>
        <v>67.2</v>
      </c>
      <c r="Q205">
        <f t="shared" si="54"/>
        <v>16.5</v>
      </c>
      <c r="R205">
        <f t="shared" si="54"/>
        <v>0</v>
      </c>
      <c r="S205">
        <f t="shared" si="54"/>
        <v>12.8</v>
      </c>
      <c r="T205">
        <f t="shared" si="54"/>
        <v>12.7</v>
      </c>
      <c r="U205">
        <f t="shared" si="54"/>
        <v>19</v>
      </c>
      <c r="V205">
        <f t="shared" si="54"/>
        <v>77.3</v>
      </c>
      <c r="W205">
        <f t="shared" si="54"/>
        <v>54.800000000000004</v>
      </c>
      <c r="X205">
        <f t="shared" si="54"/>
        <v>6.2</v>
      </c>
      <c r="Y205">
        <f t="shared" si="54"/>
        <v>9.6999999999999993</v>
      </c>
      <c r="Z205">
        <f t="shared" si="54"/>
        <v>15.8</v>
      </c>
      <c r="AA205">
        <f t="shared" si="54"/>
        <v>49.300000000000004</v>
      </c>
      <c r="AB205">
        <f t="shared" si="54"/>
        <v>2</v>
      </c>
      <c r="AC205">
        <f t="shared" si="54"/>
        <v>28</v>
      </c>
      <c r="AD205">
        <f t="shared" si="54"/>
        <v>63.000000000000007</v>
      </c>
      <c r="AE205">
        <f t="shared" si="54"/>
        <v>95.300000000000011</v>
      </c>
      <c r="AF205">
        <f t="shared" si="54"/>
        <v>29.1</v>
      </c>
      <c r="AG205">
        <f t="shared" si="54"/>
        <v>33.5</v>
      </c>
      <c r="AH205">
        <f t="shared" si="54"/>
        <v>75.599999999999994</v>
      </c>
      <c r="AI205">
        <f t="shared" si="54"/>
        <v>0.3</v>
      </c>
      <c r="AJ205">
        <f t="shared" si="54"/>
        <v>3.7</v>
      </c>
      <c r="AK205">
        <f t="shared" si="54"/>
        <v>1.2</v>
      </c>
      <c r="AL205">
        <f t="shared" si="54"/>
        <v>8.9</v>
      </c>
      <c r="AM205">
        <f t="shared" si="54"/>
        <v>64.400000000000006</v>
      </c>
      <c r="AN205">
        <f t="shared" si="54"/>
        <v>80.8</v>
      </c>
      <c r="AO205">
        <f t="shared" si="54"/>
        <v>10.600000000000001</v>
      </c>
      <c r="AP205">
        <f t="shared" si="54"/>
        <v>42.9</v>
      </c>
      <c r="AQ205">
        <f t="shared" si="54"/>
        <v>33.5</v>
      </c>
      <c r="AR205">
        <f t="shared" si="54"/>
        <v>39.9</v>
      </c>
      <c r="AS205">
        <f t="shared" si="54"/>
        <v>8.3000000000000007</v>
      </c>
      <c r="AT205">
        <f t="shared" si="54"/>
        <v>19.600000000000001</v>
      </c>
      <c r="AU205">
        <f t="shared" si="54"/>
        <v>24.799999999999997</v>
      </c>
      <c r="AV205">
        <f t="shared" si="54"/>
        <v>3.1</v>
      </c>
      <c r="AW205">
        <f t="shared" si="54"/>
        <v>22.099999999999998</v>
      </c>
      <c r="AX205">
        <f t="shared" si="54"/>
        <v>58.600000000000009</v>
      </c>
      <c r="AY205">
        <f t="shared" si="54"/>
        <v>62.899999999999991</v>
      </c>
      <c r="AZ205">
        <f t="shared" si="54"/>
        <v>55.199999999999996</v>
      </c>
      <c r="BA205">
        <f t="shared" si="54"/>
        <v>33.299999999999997</v>
      </c>
      <c r="BB205">
        <f t="shared" si="54"/>
        <v>7.3000000000000007</v>
      </c>
      <c r="BC205">
        <f t="shared" si="54"/>
        <v>4</v>
      </c>
      <c r="BD205">
        <f t="shared" si="54"/>
        <v>3.2</v>
      </c>
      <c r="BE205">
        <f t="shared" si="54"/>
        <v>7.1</v>
      </c>
      <c r="BF205">
        <f t="shared" si="54"/>
        <v>24.6</v>
      </c>
      <c r="BG205">
        <f t="shared" si="54"/>
        <v>29.500000000000004</v>
      </c>
      <c r="BH205">
        <f t="shared" si="54"/>
        <v>53.6</v>
      </c>
      <c r="BI205">
        <f t="shared" si="54"/>
        <v>11.499999999999996</v>
      </c>
      <c r="BJ205">
        <f t="shared" si="54"/>
        <v>35</v>
      </c>
      <c r="BK205">
        <f t="shared" si="54"/>
        <v>20.100000000000001</v>
      </c>
      <c r="BL205">
        <f t="shared" si="54"/>
        <v>33.1</v>
      </c>
      <c r="BM205">
        <f t="shared" si="54"/>
        <v>17.399999999999999</v>
      </c>
      <c r="BN205">
        <f t="shared" si="54"/>
        <v>45.8</v>
      </c>
      <c r="BO205">
        <f t="shared" si="54"/>
        <v>21.299999999999997</v>
      </c>
      <c r="BP205">
        <f t="shared" si="54"/>
        <v>35.300000000000004</v>
      </c>
      <c r="BQ205">
        <f t="shared" ref="BQ205:CZ205" si="55">SUM(BQ174:BQ203)</f>
        <v>5.6999999999999993</v>
      </c>
      <c r="BR205">
        <f t="shared" si="55"/>
        <v>13.7</v>
      </c>
      <c r="BS205">
        <f t="shared" si="55"/>
        <v>20.399999999999999</v>
      </c>
      <c r="BT205">
        <f t="shared" si="55"/>
        <v>34.599999999999994</v>
      </c>
      <c r="BU205">
        <f t="shared" si="55"/>
        <v>3.6999999999999997</v>
      </c>
      <c r="BV205">
        <f t="shared" si="55"/>
        <v>66.099999999999994</v>
      </c>
      <c r="BW205">
        <f t="shared" si="55"/>
        <v>21.9</v>
      </c>
      <c r="BX205">
        <f t="shared" si="55"/>
        <v>16.399999999999999</v>
      </c>
      <c r="BY205">
        <f t="shared" si="55"/>
        <v>71.400000000000006</v>
      </c>
      <c r="BZ205">
        <f t="shared" si="55"/>
        <v>59.400000000000006</v>
      </c>
      <c r="CA205">
        <f t="shared" si="55"/>
        <v>67.400000000000006</v>
      </c>
      <c r="CB205">
        <f t="shared" si="55"/>
        <v>23.1</v>
      </c>
      <c r="CC205">
        <f t="shared" si="55"/>
        <v>66.899999999999991</v>
      </c>
      <c r="CD205">
        <f t="shared" si="55"/>
        <v>8.8000000000000007</v>
      </c>
      <c r="CE205">
        <f t="shared" si="55"/>
        <v>61.3</v>
      </c>
      <c r="CF205">
        <f t="shared" si="55"/>
        <v>34.800000000000004</v>
      </c>
      <c r="CG205">
        <f t="shared" si="55"/>
        <v>90.5</v>
      </c>
      <c r="CH205">
        <f t="shared" si="55"/>
        <v>23.099999999999998</v>
      </c>
      <c r="CI205">
        <f t="shared" si="55"/>
        <v>13.8</v>
      </c>
      <c r="CJ205">
        <f t="shared" si="55"/>
        <v>52.7</v>
      </c>
      <c r="CK205">
        <f t="shared" si="55"/>
        <v>9.1</v>
      </c>
      <c r="CL205">
        <f t="shared" si="55"/>
        <v>70.8</v>
      </c>
      <c r="CM205">
        <f t="shared" si="55"/>
        <v>26.6</v>
      </c>
      <c r="CN205">
        <f t="shared" si="55"/>
        <v>5.2</v>
      </c>
      <c r="CO205">
        <f t="shared" si="55"/>
        <v>26</v>
      </c>
      <c r="CP205">
        <f t="shared" si="55"/>
        <v>2</v>
      </c>
      <c r="CQ205">
        <f t="shared" si="55"/>
        <v>22</v>
      </c>
      <c r="CR205">
        <f t="shared" si="55"/>
        <v>22.900000000000002</v>
      </c>
      <c r="CS205">
        <f t="shared" si="55"/>
        <v>54.6</v>
      </c>
      <c r="CT205">
        <f t="shared" si="55"/>
        <v>25.099999999999998</v>
      </c>
      <c r="CU205">
        <f t="shared" si="55"/>
        <v>6.6999999999999993</v>
      </c>
      <c r="CV205">
        <f t="shared" si="55"/>
        <v>5.5</v>
      </c>
      <c r="CW205">
        <f t="shared" si="55"/>
        <v>179.5</v>
      </c>
      <c r="CX205">
        <f t="shared" si="55"/>
        <v>21.7</v>
      </c>
      <c r="CY205">
        <f t="shared" si="55"/>
        <v>20.100000000000001</v>
      </c>
      <c r="CZ205">
        <f t="shared" si="55"/>
        <v>40.5</v>
      </c>
      <c r="DD205" s="1"/>
    </row>
    <row r="206" spans="1:113">
      <c r="A206" s="17" t="s">
        <v>4</v>
      </c>
      <c r="C206">
        <f>MAX(C174:C203)</f>
        <v>3.2</v>
      </c>
      <c r="D206">
        <f>MAX(D174:D203)</f>
        <v>11.4</v>
      </c>
      <c r="E206">
        <f t="shared" ref="E206:BP206" si="56">MAX(E174:E203)</f>
        <v>15.2</v>
      </c>
      <c r="F206">
        <f t="shared" si="56"/>
        <v>9.5</v>
      </c>
      <c r="G206">
        <f t="shared" si="56"/>
        <v>1.9</v>
      </c>
      <c r="H206">
        <f t="shared" si="56"/>
        <v>28.2</v>
      </c>
      <c r="I206">
        <f t="shared" si="56"/>
        <v>5.9</v>
      </c>
      <c r="J206">
        <f t="shared" si="56"/>
        <v>31.8</v>
      </c>
      <c r="K206">
        <f t="shared" si="56"/>
        <v>26.8</v>
      </c>
      <c r="L206">
        <f t="shared" si="56"/>
        <v>25.2</v>
      </c>
      <c r="M206">
        <f t="shared" si="56"/>
        <v>10.199999999999999</v>
      </c>
      <c r="N206">
        <f t="shared" si="56"/>
        <v>34.700000000000003</v>
      </c>
      <c r="O206">
        <f t="shared" si="56"/>
        <v>91</v>
      </c>
      <c r="P206">
        <f t="shared" si="56"/>
        <v>31</v>
      </c>
      <c r="Q206">
        <f t="shared" si="56"/>
        <v>5</v>
      </c>
      <c r="R206">
        <f t="shared" si="56"/>
        <v>0</v>
      </c>
      <c r="S206">
        <f t="shared" si="56"/>
        <v>7.3</v>
      </c>
      <c r="T206">
        <f t="shared" si="56"/>
        <v>6.3</v>
      </c>
      <c r="U206">
        <f t="shared" si="56"/>
        <v>12.9</v>
      </c>
      <c r="V206">
        <f t="shared" si="56"/>
        <v>35</v>
      </c>
      <c r="W206">
        <f t="shared" si="56"/>
        <v>49</v>
      </c>
      <c r="X206">
        <f t="shared" si="56"/>
        <v>3.9</v>
      </c>
      <c r="Y206">
        <f t="shared" si="56"/>
        <v>7.5</v>
      </c>
      <c r="Z206">
        <f t="shared" si="56"/>
        <v>6.8</v>
      </c>
      <c r="AA206">
        <f t="shared" si="56"/>
        <v>11.8</v>
      </c>
      <c r="AB206">
        <f t="shared" si="56"/>
        <v>2</v>
      </c>
      <c r="AC206">
        <f t="shared" si="56"/>
        <v>28</v>
      </c>
      <c r="AD206">
        <f t="shared" si="56"/>
        <v>20.3</v>
      </c>
      <c r="AE206">
        <f t="shared" si="56"/>
        <v>40.4</v>
      </c>
      <c r="AF206">
        <f t="shared" si="56"/>
        <v>13.1</v>
      </c>
      <c r="AG206">
        <f t="shared" si="56"/>
        <v>26.6</v>
      </c>
      <c r="AH206">
        <f t="shared" si="56"/>
        <v>46.1</v>
      </c>
      <c r="AI206">
        <f t="shared" si="56"/>
        <v>0.3</v>
      </c>
      <c r="AJ206">
        <f t="shared" si="56"/>
        <v>2</v>
      </c>
      <c r="AK206">
        <f t="shared" si="56"/>
        <v>1</v>
      </c>
      <c r="AL206">
        <f t="shared" si="56"/>
        <v>3.6</v>
      </c>
      <c r="AM206">
        <f t="shared" si="56"/>
        <v>22.6</v>
      </c>
      <c r="AN206">
        <f t="shared" si="56"/>
        <v>14.6</v>
      </c>
      <c r="AO206">
        <f t="shared" si="56"/>
        <v>4.7</v>
      </c>
      <c r="AP206">
        <f t="shared" si="56"/>
        <v>24</v>
      </c>
      <c r="AQ206">
        <f t="shared" si="56"/>
        <v>14.8</v>
      </c>
      <c r="AR206">
        <f t="shared" si="56"/>
        <v>28.6</v>
      </c>
      <c r="AS206">
        <f t="shared" si="56"/>
        <v>6.4</v>
      </c>
      <c r="AT206">
        <f t="shared" si="56"/>
        <v>5.9</v>
      </c>
      <c r="AU206">
        <f t="shared" si="56"/>
        <v>8.4</v>
      </c>
      <c r="AV206">
        <f t="shared" si="56"/>
        <v>2.5</v>
      </c>
      <c r="AW206">
        <f t="shared" si="56"/>
        <v>9.1999999999999993</v>
      </c>
      <c r="AX206">
        <f t="shared" si="56"/>
        <v>25.5</v>
      </c>
      <c r="AY206">
        <f t="shared" si="56"/>
        <v>25.5</v>
      </c>
      <c r="AZ206">
        <f t="shared" si="56"/>
        <v>25.6</v>
      </c>
      <c r="BA206">
        <f t="shared" si="56"/>
        <v>15.9</v>
      </c>
      <c r="BB206">
        <f t="shared" si="56"/>
        <v>6.9</v>
      </c>
      <c r="BC206">
        <f t="shared" si="56"/>
        <v>3.3</v>
      </c>
      <c r="BD206">
        <f t="shared" si="56"/>
        <v>2.6</v>
      </c>
      <c r="BE206">
        <f t="shared" si="56"/>
        <v>3.9</v>
      </c>
      <c r="BF206">
        <f t="shared" si="56"/>
        <v>8.1999999999999993</v>
      </c>
      <c r="BG206">
        <f t="shared" si="56"/>
        <v>8.8000000000000007</v>
      </c>
      <c r="BH206">
        <f t="shared" si="56"/>
        <v>24.4</v>
      </c>
      <c r="BI206">
        <f t="shared" si="56"/>
        <v>5.2</v>
      </c>
      <c r="BJ206">
        <f t="shared" si="56"/>
        <v>10.199999999999999</v>
      </c>
      <c r="BK206">
        <f t="shared" si="56"/>
        <v>8</v>
      </c>
      <c r="BL206">
        <f t="shared" si="56"/>
        <v>12</v>
      </c>
      <c r="BM206">
        <f t="shared" si="56"/>
        <v>8.3000000000000007</v>
      </c>
      <c r="BN206">
        <f t="shared" si="56"/>
        <v>33.5</v>
      </c>
      <c r="BO206">
        <f t="shared" si="56"/>
        <v>9</v>
      </c>
      <c r="BP206">
        <f t="shared" si="56"/>
        <v>12.8</v>
      </c>
      <c r="BQ206">
        <f t="shared" ref="BQ206:CZ206" si="57">MAX(BQ174:BQ203)</f>
        <v>2.2999999999999998</v>
      </c>
      <c r="BR206">
        <f t="shared" si="57"/>
        <v>10</v>
      </c>
      <c r="BS206">
        <f t="shared" si="57"/>
        <v>6.6</v>
      </c>
      <c r="BT206">
        <f t="shared" si="57"/>
        <v>27.4</v>
      </c>
      <c r="BU206">
        <f t="shared" si="57"/>
        <v>1.5</v>
      </c>
      <c r="BV206">
        <f t="shared" si="57"/>
        <v>35</v>
      </c>
      <c r="BW206">
        <f t="shared" si="57"/>
        <v>10.7</v>
      </c>
      <c r="BX206">
        <f t="shared" si="57"/>
        <v>7</v>
      </c>
      <c r="BY206">
        <f t="shared" si="57"/>
        <v>48.6</v>
      </c>
      <c r="BZ206">
        <f t="shared" si="57"/>
        <v>57</v>
      </c>
      <c r="CA206">
        <f t="shared" si="57"/>
        <v>36</v>
      </c>
      <c r="CB206">
        <f t="shared" si="57"/>
        <v>9.1</v>
      </c>
      <c r="CC206">
        <f t="shared" si="57"/>
        <v>48</v>
      </c>
      <c r="CD206">
        <f t="shared" si="57"/>
        <v>5.5</v>
      </c>
      <c r="CE206">
        <f t="shared" si="57"/>
        <v>21.5</v>
      </c>
      <c r="CF206">
        <f t="shared" si="57"/>
        <v>30.5</v>
      </c>
      <c r="CG206">
        <f t="shared" si="57"/>
        <v>32.5</v>
      </c>
      <c r="CH206">
        <f t="shared" si="57"/>
        <v>8.5</v>
      </c>
      <c r="CI206">
        <f t="shared" si="57"/>
        <v>12.3</v>
      </c>
      <c r="CJ206">
        <f t="shared" si="57"/>
        <v>18</v>
      </c>
      <c r="CK206">
        <f t="shared" si="57"/>
        <v>4.5</v>
      </c>
      <c r="CL206">
        <f t="shared" si="57"/>
        <v>24</v>
      </c>
      <c r="CM206">
        <f t="shared" si="57"/>
        <v>14.5</v>
      </c>
      <c r="CN206">
        <f t="shared" si="57"/>
        <v>2.5</v>
      </c>
      <c r="CO206">
        <f t="shared" si="57"/>
        <v>11.3</v>
      </c>
      <c r="CP206">
        <f t="shared" si="57"/>
        <v>2</v>
      </c>
      <c r="CQ206">
        <f t="shared" si="57"/>
        <v>8.8000000000000007</v>
      </c>
      <c r="CR206">
        <f t="shared" si="57"/>
        <v>7.3</v>
      </c>
      <c r="CS206">
        <f t="shared" si="57"/>
        <v>30.9</v>
      </c>
      <c r="CT206">
        <f t="shared" si="57"/>
        <v>13.5</v>
      </c>
      <c r="CU206">
        <f t="shared" si="57"/>
        <v>5.7</v>
      </c>
      <c r="CV206">
        <f t="shared" si="57"/>
        <v>3.7</v>
      </c>
      <c r="CW206">
        <f t="shared" si="57"/>
        <v>46</v>
      </c>
      <c r="CX206">
        <f t="shared" si="57"/>
        <v>9.1</v>
      </c>
      <c r="CY206">
        <f t="shared" si="57"/>
        <v>17.7</v>
      </c>
      <c r="CZ206">
        <f t="shared" si="57"/>
        <v>18.5</v>
      </c>
      <c r="DD206" s="1"/>
    </row>
    <row r="207" spans="1:113">
      <c r="A207" s="17"/>
      <c r="DA207" s="2"/>
      <c r="DD207" s="1"/>
    </row>
    <row r="208" spans="1:113">
      <c r="A208" s="17" t="s">
        <v>216</v>
      </c>
      <c r="E208">
        <v>4.8</v>
      </c>
      <c r="I208">
        <v>0.4</v>
      </c>
      <c r="P208">
        <v>2</v>
      </c>
      <c r="Q208">
        <v>7.5</v>
      </c>
      <c r="X208">
        <v>3</v>
      </c>
      <c r="AE208">
        <v>11</v>
      </c>
      <c r="AG208">
        <v>11.2</v>
      </c>
      <c r="AQ208">
        <v>0.3</v>
      </c>
      <c r="AT208">
        <v>2.4</v>
      </c>
      <c r="BC208">
        <v>5.7</v>
      </c>
      <c r="BE208">
        <v>0.7</v>
      </c>
      <c r="BI208">
        <v>0.1</v>
      </c>
      <c r="BJ208">
        <v>1.5</v>
      </c>
      <c r="BK208">
        <v>2.7</v>
      </c>
      <c r="BP208">
        <v>3</v>
      </c>
      <c r="BT208">
        <v>30.7</v>
      </c>
      <c r="CD208">
        <v>1</v>
      </c>
      <c r="CO208">
        <v>4.3</v>
      </c>
      <c r="CX208">
        <v>13</v>
      </c>
      <c r="CZ208">
        <v>0.3</v>
      </c>
      <c r="DA208" s="2"/>
      <c r="DD208" s="1">
        <v>41091</v>
      </c>
      <c r="DE208" s="2">
        <f t="shared" si="45"/>
        <v>5.2799999999999994</v>
      </c>
      <c r="DF208" s="2">
        <f t="shared" ref="DF208:DF238" si="58">SUM(C208:DA208)/(COUNTA(C208:CZ208)+COUNTBLANK(C208:CZ208))</f>
        <v>1.0352941176470587</v>
      </c>
      <c r="DG208" s="2">
        <f t="shared" si="46"/>
        <v>30.7</v>
      </c>
      <c r="DH208" s="2">
        <f t="shared" si="47"/>
        <v>0.1</v>
      </c>
      <c r="DI208" s="3">
        <f t="shared" si="48"/>
        <v>0.19607843137254902</v>
      </c>
    </row>
    <row r="209" spans="1:113">
      <c r="A209" s="17" t="s">
        <v>217</v>
      </c>
      <c r="D209">
        <v>0.6</v>
      </c>
      <c r="E209">
        <v>0.3</v>
      </c>
      <c r="F209">
        <v>3.1</v>
      </c>
      <c r="L209">
        <v>0.1</v>
      </c>
      <c r="M209">
        <v>0.2</v>
      </c>
      <c r="Q209">
        <v>11.6</v>
      </c>
      <c r="X209">
        <v>11.5</v>
      </c>
      <c r="AE209">
        <v>2.8</v>
      </c>
      <c r="AT209">
        <v>24.5</v>
      </c>
      <c r="AX209">
        <v>16.600000000000001</v>
      </c>
      <c r="BA209">
        <v>9.1</v>
      </c>
      <c r="BB209">
        <v>0.5</v>
      </c>
      <c r="BH209">
        <v>12.1</v>
      </c>
      <c r="BK209">
        <v>2.1</v>
      </c>
      <c r="BP209">
        <v>23.1</v>
      </c>
      <c r="BT209">
        <v>6</v>
      </c>
      <c r="BU209">
        <v>2.2999999999999998</v>
      </c>
      <c r="CE209">
        <v>20.7</v>
      </c>
      <c r="CO209">
        <v>14</v>
      </c>
      <c r="CS209">
        <v>1.4</v>
      </c>
      <c r="DA209" s="2"/>
      <c r="DD209" s="1">
        <v>41092</v>
      </c>
      <c r="DE209" s="2">
        <f t="shared" si="45"/>
        <v>8.129999999999999</v>
      </c>
      <c r="DF209" s="2">
        <f t="shared" si="58"/>
        <v>1.5941176470588234</v>
      </c>
      <c r="DG209" s="2">
        <f t="shared" si="46"/>
        <v>24.5</v>
      </c>
      <c r="DH209" s="2">
        <f t="shared" si="47"/>
        <v>0.1</v>
      </c>
      <c r="DI209" s="3">
        <f t="shared" si="48"/>
        <v>0.19607843137254902</v>
      </c>
    </row>
    <row r="210" spans="1:113">
      <c r="A210" s="17" t="s">
        <v>218</v>
      </c>
      <c r="E210">
        <v>0.8</v>
      </c>
      <c r="Q210">
        <v>11.8</v>
      </c>
      <c r="X210">
        <v>3</v>
      </c>
      <c r="AB210">
        <v>2.6</v>
      </c>
      <c r="AE210">
        <v>0.3</v>
      </c>
      <c r="AF210">
        <v>0.4</v>
      </c>
      <c r="AP210">
        <v>0.4</v>
      </c>
      <c r="AX210">
        <v>21.4</v>
      </c>
      <c r="AY210">
        <v>8.6999999999999993</v>
      </c>
      <c r="BA210">
        <v>25.8</v>
      </c>
      <c r="BB210">
        <v>5</v>
      </c>
      <c r="BK210">
        <v>3</v>
      </c>
      <c r="BP210">
        <v>71.5</v>
      </c>
      <c r="BX210">
        <v>47.3</v>
      </c>
      <c r="CB210">
        <v>0.1</v>
      </c>
      <c r="CK210">
        <v>7</v>
      </c>
      <c r="CN210">
        <v>12.3</v>
      </c>
      <c r="CR210">
        <v>2.4</v>
      </c>
      <c r="CX210">
        <v>0.3</v>
      </c>
      <c r="DA210" s="2"/>
      <c r="DD210" s="1">
        <v>41093</v>
      </c>
      <c r="DE210" s="2">
        <f t="shared" si="45"/>
        <v>11.794736842105264</v>
      </c>
      <c r="DF210" s="2">
        <f t="shared" si="58"/>
        <v>2.197058823529412</v>
      </c>
      <c r="DG210" s="2">
        <f t="shared" si="46"/>
        <v>71.5</v>
      </c>
      <c r="DH210" s="2">
        <f t="shared" si="47"/>
        <v>0.1</v>
      </c>
      <c r="DI210" s="3">
        <f t="shared" si="48"/>
        <v>0.18627450980392157</v>
      </c>
    </row>
    <row r="211" spans="1:113">
      <c r="A211" s="17" t="s">
        <v>219</v>
      </c>
      <c r="H211">
        <v>0.8</v>
      </c>
      <c r="Q211">
        <v>33.200000000000003</v>
      </c>
      <c r="Y211">
        <v>20</v>
      </c>
      <c r="AB211">
        <v>2.8</v>
      </c>
      <c r="AD211">
        <v>2</v>
      </c>
      <c r="AF211">
        <v>11.7</v>
      </c>
      <c r="AX211">
        <v>9.1999999999999993</v>
      </c>
      <c r="AY211">
        <v>5.5</v>
      </c>
      <c r="BB211">
        <v>5.6</v>
      </c>
      <c r="BG211">
        <v>1.9</v>
      </c>
      <c r="BK211">
        <v>0.7</v>
      </c>
      <c r="BS211">
        <v>6.4</v>
      </c>
      <c r="BU211">
        <v>0.1</v>
      </c>
      <c r="BX211">
        <v>0.1</v>
      </c>
      <c r="CD211">
        <v>9.9</v>
      </c>
      <c r="CK211">
        <v>21.9</v>
      </c>
      <c r="CR211">
        <v>24.1</v>
      </c>
      <c r="DA211" s="2"/>
      <c r="DD211" s="1">
        <v>41094</v>
      </c>
      <c r="DE211" s="2">
        <f t="shared" si="45"/>
        <v>9.1705882352941188</v>
      </c>
      <c r="DF211" s="2">
        <f t="shared" si="58"/>
        <v>1.5284313725490197</v>
      </c>
      <c r="DG211" s="2">
        <f t="shared" si="46"/>
        <v>33.200000000000003</v>
      </c>
      <c r="DH211" s="2">
        <f t="shared" si="47"/>
        <v>0.1</v>
      </c>
      <c r="DI211" s="3">
        <f t="shared" si="48"/>
        <v>0.16666666666666666</v>
      </c>
    </row>
    <row r="212" spans="1:113">
      <c r="A212" s="17" t="s">
        <v>220</v>
      </c>
      <c r="C212">
        <v>4.4000000000000004</v>
      </c>
      <c r="Q212">
        <v>6.5</v>
      </c>
      <c r="X212">
        <v>12</v>
      </c>
      <c r="AA212">
        <v>33.799999999999997</v>
      </c>
      <c r="AC212">
        <v>3</v>
      </c>
      <c r="AD212">
        <v>10.7</v>
      </c>
      <c r="AF212">
        <v>13.8</v>
      </c>
      <c r="AX212">
        <v>7.7</v>
      </c>
      <c r="AY212">
        <v>0.5</v>
      </c>
      <c r="BG212">
        <v>0.1</v>
      </c>
      <c r="BM212">
        <v>0.1</v>
      </c>
      <c r="BS212">
        <v>0.3</v>
      </c>
      <c r="BT212">
        <v>1.5</v>
      </c>
      <c r="BU212">
        <v>0.2</v>
      </c>
      <c r="BZ212">
        <v>0.5</v>
      </c>
      <c r="CD212">
        <v>4.8</v>
      </c>
      <c r="CP212">
        <v>4.9000000000000004</v>
      </c>
      <c r="CU212">
        <v>1.2</v>
      </c>
      <c r="CY212">
        <v>1</v>
      </c>
      <c r="DA212" s="2"/>
      <c r="DD212" s="1">
        <v>41095</v>
      </c>
      <c r="DE212" s="2">
        <f t="shared" si="45"/>
        <v>5.6315789473684204</v>
      </c>
      <c r="DF212" s="2">
        <f t="shared" si="58"/>
        <v>1.0490196078431371</v>
      </c>
      <c r="DG212" s="2">
        <f t="shared" si="46"/>
        <v>33.799999999999997</v>
      </c>
      <c r="DH212" s="2">
        <f t="shared" si="47"/>
        <v>0.1</v>
      </c>
      <c r="DI212" s="3">
        <f t="shared" si="48"/>
        <v>0.18627450980392157</v>
      </c>
    </row>
    <row r="213" spans="1:113">
      <c r="A213" s="17" t="s">
        <v>221</v>
      </c>
      <c r="C213">
        <v>3.8</v>
      </c>
      <c r="I213">
        <v>25.4</v>
      </c>
      <c r="N213">
        <v>3.9</v>
      </c>
      <c r="R213">
        <v>13</v>
      </c>
      <c r="AA213">
        <v>11.3</v>
      </c>
      <c r="AF213">
        <v>27.7</v>
      </c>
      <c r="AI213">
        <v>7.6</v>
      </c>
      <c r="BI213">
        <v>3.1</v>
      </c>
      <c r="BK213">
        <v>12.5</v>
      </c>
      <c r="BL213">
        <v>0.1</v>
      </c>
      <c r="BM213">
        <v>0.1</v>
      </c>
      <c r="BR213">
        <v>28</v>
      </c>
      <c r="BT213">
        <v>0.1</v>
      </c>
      <c r="BW213">
        <v>0.3</v>
      </c>
      <c r="BZ213">
        <v>100.5</v>
      </c>
      <c r="CB213">
        <v>1.8</v>
      </c>
      <c r="CD213">
        <v>45</v>
      </c>
      <c r="CT213">
        <v>2.7</v>
      </c>
      <c r="DA213" s="2"/>
      <c r="DD213" s="1">
        <v>41096</v>
      </c>
      <c r="DE213" s="2">
        <f t="shared" si="45"/>
        <v>15.93888888888889</v>
      </c>
      <c r="DF213" s="2">
        <f t="shared" si="58"/>
        <v>2.8127450980392159</v>
      </c>
      <c r="DG213" s="2">
        <f t="shared" si="46"/>
        <v>100.5</v>
      </c>
      <c r="DH213" s="2">
        <f t="shared" si="47"/>
        <v>0.1</v>
      </c>
      <c r="DI213" s="3">
        <f t="shared" si="48"/>
        <v>0.17647058823529413</v>
      </c>
    </row>
    <row r="214" spans="1:113">
      <c r="A214" s="17" t="s">
        <v>222</v>
      </c>
      <c r="E214">
        <v>0.2</v>
      </c>
      <c r="J214">
        <v>3.4</v>
      </c>
      <c r="L214">
        <v>1.4</v>
      </c>
      <c r="N214">
        <v>9.3000000000000007</v>
      </c>
      <c r="P214">
        <v>1</v>
      </c>
      <c r="U214">
        <v>2.2000000000000002</v>
      </c>
      <c r="Z214">
        <v>1</v>
      </c>
      <c r="AA214">
        <v>1.2</v>
      </c>
      <c r="AF214">
        <v>5.6</v>
      </c>
      <c r="AI214">
        <v>0.2</v>
      </c>
      <c r="AM214">
        <v>1.1000000000000001</v>
      </c>
      <c r="AR214">
        <v>0.1</v>
      </c>
      <c r="BI214">
        <v>0.2</v>
      </c>
      <c r="BK214">
        <v>0.1</v>
      </c>
      <c r="BN214">
        <v>2</v>
      </c>
      <c r="BT214">
        <v>14.3</v>
      </c>
      <c r="BU214">
        <v>16.100000000000001</v>
      </c>
      <c r="BZ214">
        <v>0.3</v>
      </c>
      <c r="CB214">
        <v>1.4</v>
      </c>
      <c r="CU214">
        <v>0.1</v>
      </c>
      <c r="DA214" s="2"/>
      <c r="DD214" s="1">
        <v>41097</v>
      </c>
      <c r="DE214" s="2">
        <f t="shared" si="45"/>
        <v>3.0599999999999996</v>
      </c>
      <c r="DF214" s="2">
        <f t="shared" si="58"/>
        <v>0.6</v>
      </c>
      <c r="DG214" s="2">
        <f t="shared" si="46"/>
        <v>16.100000000000001</v>
      </c>
      <c r="DH214" s="2">
        <f t="shared" si="47"/>
        <v>0.1</v>
      </c>
      <c r="DI214" s="3">
        <f t="shared" si="48"/>
        <v>0.19607843137254902</v>
      </c>
    </row>
    <row r="215" spans="1:113">
      <c r="A215" s="17" t="s">
        <v>223</v>
      </c>
      <c r="E215">
        <v>0.4</v>
      </c>
      <c r="I215">
        <v>41.7</v>
      </c>
      <c r="N215">
        <v>0.1</v>
      </c>
      <c r="O215">
        <v>5.7</v>
      </c>
      <c r="Q215">
        <v>0.6</v>
      </c>
      <c r="AI215">
        <v>3.8</v>
      </c>
      <c r="AW215">
        <v>0.3</v>
      </c>
      <c r="BI215">
        <v>0.3</v>
      </c>
      <c r="BK215">
        <v>2.2999999999999998</v>
      </c>
      <c r="BM215">
        <v>4.4000000000000004</v>
      </c>
      <c r="BR215">
        <v>0.5</v>
      </c>
      <c r="BT215">
        <v>0.8</v>
      </c>
      <c r="BU215">
        <v>20.6</v>
      </c>
      <c r="BW215">
        <v>5.8</v>
      </c>
      <c r="BY215">
        <v>2.9</v>
      </c>
      <c r="CF215">
        <v>2.4</v>
      </c>
      <c r="CW215">
        <v>6</v>
      </c>
      <c r="DA215" s="2"/>
      <c r="DD215" s="1">
        <v>41098</v>
      </c>
      <c r="DE215" s="2">
        <f t="shared" si="45"/>
        <v>5.8000000000000007</v>
      </c>
      <c r="DF215" s="2">
        <f t="shared" si="58"/>
        <v>0.96666666666666679</v>
      </c>
      <c r="DG215" s="2">
        <f t="shared" si="46"/>
        <v>41.7</v>
      </c>
      <c r="DH215" s="2">
        <f t="shared" si="47"/>
        <v>0.1</v>
      </c>
      <c r="DI215" s="3">
        <f t="shared" si="48"/>
        <v>0.16666666666666666</v>
      </c>
    </row>
    <row r="216" spans="1:113">
      <c r="A216" s="17" t="s">
        <v>224</v>
      </c>
      <c r="E216">
        <v>0.3</v>
      </c>
      <c r="Q216">
        <v>20</v>
      </c>
      <c r="X216">
        <v>17.7</v>
      </c>
      <c r="Y216">
        <v>31.5</v>
      </c>
      <c r="Z216">
        <v>4.5</v>
      </c>
      <c r="AO216">
        <v>17.5</v>
      </c>
      <c r="AW216">
        <v>5.4</v>
      </c>
      <c r="BI216">
        <v>0.1</v>
      </c>
      <c r="BK216">
        <v>3.6</v>
      </c>
      <c r="BN216">
        <v>1.8</v>
      </c>
      <c r="BR216">
        <v>16.3</v>
      </c>
      <c r="CA216">
        <v>0.2</v>
      </c>
      <c r="CC216">
        <v>0.2</v>
      </c>
      <c r="CE216">
        <v>1.4</v>
      </c>
      <c r="CH216">
        <v>67.5</v>
      </c>
      <c r="CK216">
        <v>8.5</v>
      </c>
      <c r="CO216">
        <v>0.1</v>
      </c>
      <c r="CV216">
        <v>0.1</v>
      </c>
      <c r="CW216">
        <v>22.1</v>
      </c>
      <c r="DA216" s="2"/>
      <c r="DD216" s="1">
        <v>41099</v>
      </c>
      <c r="DE216" s="2">
        <f t="shared" si="45"/>
        <v>11.51578947368421</v>
      </c>
      <c r="DF216" s="2">
        <f t="shared" si="58"/>
        <v>2.1450980392156862</v>
      </c>
      <c r="DG216" s="2">
        <f t="shared" si="46"/>
        <v>67.5</v>
      </c>
      <c r="DH216" s="2">
        <f t="shared" si="47"/>
        <v>0.1</v>
      </c>
      <c r="DI216" s="3">
        <f t="shared" si="48"/>
        <v>0.18627450980392157</v>
      </c>
    </row>
    <row r="217" spans="1:113">
      <c r="A217" s="17" t="s">
        <v>225</v>
      </c>
      <c r="K217">
        <v>4.2</v>
      </c>
      <c r="M217">
        <v>0.2</v>
      </c>
      <c r="X217">
        <v>14.7</v>
      </c>
      <c r="Y217">
        <v>0.2</v>
      </c>
      <c r="Z217">
        <v>2.2000000000000002</v>
      </c>
      <c r="AH217">
        <v>4.2</v>
      </c>
      <c r="AN217">
        <v>11.6</v>
      </c>
      <c r="AY217">
        <v>0.2</v>
      </c>
      <c r="BK217">
        <v>22.3</v>
      </c>
      <c r="BN217">
        <v>8.6</v>
      </c>
      <c r="BO217">
        <v>2.1</v>
      </c>
      <c r="BR217">
        <v>0.5</v>
      </c>
      <c r="CA217">
        <v>2.6</v>
      </c>
      <c r="CH217">
        <v>20</v>
      </c>
      <c r="CW217">
        <v>16.2</v>
      </c>
      <c r="CZ217">
        <v>0.1</v>
      </c>
      <c r="DA217" s="2"/>
      <c r="DD217" s="1">
        <v>41100</v>
      </c>
      <c r="DE217" s="2">
        <f t="shared" si="45"/>
        <v>6.8687499999999986</v>
      </c>
      <c r="DF217" s="2">
        <f t="shared" si="58"/>
        <v>1.0774509803921566</v>
      </c>
      <c r="DG217" s="2">
        <f t="shared" si="46"/>
        <v>22.3</v>
      </c>
      <c r="DH217" s="2">
        <f t="shared" si="47"/>
        <v>0.1</v>
      </c>
      <c r="DI217" s="3">
        <f t="shared" si="48"/>
        <v>0.15686274509803921</v>
      </c>
    </row>
    <row r="218" spans="1:113">
      <c r="A218" s="17" t="s">
        <v>226</v>
      </c>
      <c r="E218">
        <v>0.2</v>
      </c>
      <c r="O218">
        <v>0.2</v>
      </c>
      <c r="Z218">
        <v>0.5</v>
      </c>
      <c r="AN218">
        <v>59</v>
      </c>
      <c r="AY218">
        <v>0.2</v>
      </c>
      <c r="AZ218">
        <v>0.3</v>
      </c>
      <c r="BD218">
        <v>6.8</v>
      </c>
      <c r="BR218">
        <v>0.8</v>
      </c>
      <c r="CA218">
        <v>7.5</v>
      </c>
      <c r="DA218" s="2"/>
      <c r="DD218" s="1">
        <v>41101</v>
      </c>
      <c r="DE218" s="2">
        <f t="shared" si="45"/>
        <v>8.3888888888888893</v>
      </c>
      <c r="DF218" s="2">
        <f t="shared" si="58"/>
        <v>0.74019607843137258</v>
      </c>
      <c r="DG218" s="2">
        <f t="shared" si="46"/>
        <v>59</v>
      </c>
      <c r="DH218" s="2">
        <f t="shared" si="47"/>
        <v>0.2</v>
      </c>
      <c r="DI218" s="3">
        <f t="shared" si="48"/>
        <v>8.8235294117647065E-2</v>
      </c>
    </row>
    <row r="219" spans="1:113">
      <c r="A219" s="17" t="s">
        <v>227</v>
      </c>
      <c r="E219">
        <v>45.5</v>
      </c>
      <c r="I219">
        <v>0.2</v>
      </c>
      <c r="K219">
        <v>7.4</v>
      </c>
      <c r="M219">
        <v>0.3</v>
      </c>
      <c r="P219">
        <v>11</v>
      </c>
      <c r="Y219">
        <v>0.8</v>
      </c>
      <c r="Z219">
        <v>17.399999999999999</v>
      </c>
      <c r="AB219">
        <v>1.9</v>
      </c>
      <c r="AH219">
        <v>11.8</v>
      </c>
      <c r="AK219">
        <v>2.5</v>
      </c>
      <c r="AN219">
        <v>3.5</v>
      </c>
      <c r="AV219">
        <v>0.4</v>
      </c>
      <c r="BD219">
        <v>15.5</v>
      </c>
      <c r="BF219">
        <v>1.5</v>
      </c>
      <c r="BI219">
        <v>0.2</v>
      </c>
      <c r="BP219">
        <v>1.5</v>
      </c>
      <c r="BR219">
        <v>0.3</v>
      </c>
      <c r="CA219">
        <v>0.1</v>
      </c>
      <c r="CH219">
        <v>0.4</v>
      </c>
      <c r="CJ219">
        <v>1.4</v>
      </c>
      <c r="DA219" s="2"/>
      <c r="DD219" s="1">
        <v>41102</v>
      </c>
      <c r="DE219" s="2">
        <f t="shared" ref="DE219:DE290" si="59">AVERAGE(B219:DA219)</f>
        <v>6.1800000000000006</v>
      </c>
      <c r="DF219" s="2">
        <f t="shared" si="58"/>
        <v>1.2117647058823531</v>
      </c>
      <c r="DG219" s="2">
        <f t="shared" ref="DG219:DG290" si="60">MAX(B219:DA219)</f>
        <v>45.5</v>
      </c>
      <c r="DH219" s="2">
        <f t="shared" ref="DH219:DH290" si="61">MIN(B219:DA219)</f>
        <v>0.1</v>
      </c>
      <c r="DI219" s="3">
        <f t="shared" ref="DI219:DI238" si="62">(COUNTA(C219:CZ219)/(COUNTA(C219:CZ219)+COUNTBLANK(C219:CZ219)))</f>
        <v>0.19607843137254902</v>
      </c>
    </row>
    <row r="220" spans="1:113">
      <c r="A220" s="17" t="s">
        <v>228</v>
      </c>
      <c r="D220">
        <v>0.9</v>
      </c>
      <c r="E220">
        <v>0.2</v>
      </c>
      <c r="J220">
        <v>1.7</v>
      </c>
      <c r="K220">
        <v>3.4</v>
      </c>
      <c r="P220">
        <v>30.9</v>
      </c>
      <c r="R220">
        <v>8.3000000000000007</v>
      </c>
      <c r="T220">
        <v>3.8</v>
      </c>
      <c r="AI220">
        <v>17.600000000000001</v>
      </c>
      <c r="AN220">
        <v>14.5</v>
      </c>
      <c r="AX220">
        <v>0.5</v>
      </c>
      <c r="BD220">
        <v>2.1</v>
      </c>
      <c r="CF220">
        <v>3.5</v>
      </c>
      <c r="CJ220">
        <v>0.4</v>
      </c>
      <c r="CQ220">
        <v>22.4</v>
      </c>
      <c r="CT220">
        <v>9.1999999999999993</v>
      </c>
      <c r="CV220">
        <v>16.600000000000001</v>
      </c>
      <c r="DA220" s="2"/>
      <c r="DD220" s="1">
        <v>41103</v>
      </c>
      <c r="DE220" s="2">
        <f t="shared" si="59"/>
        <v>8.5</v>
      </c>
      <c r="DF220" s="2">
        <f t="shared" si="58"/>
        <v>1.3333333333333333</v>
      </c>
      <c r="DG220" s="2">
        <f t="shared" si="60"/>
        <v>30.9</v>
      </c>
      <c r="DH220" s="2">
        <f t="shared" si="61"/>
        <v>0.2</v>
      </c>
      <c r="DI220" s="3">
        <f t="shared" si="62"/>
        <v>0.15686274509803921</v>
      </c>
    </row>
    <row r="221" spans="1:113">
      <c r="A221" s="17" t="s">
        <v>229</v>
      </c>
      <c r="E221">
        <v>0.3</v>
      </c>
      <c r="M221">
        <v>0.4</v>
      </c>
      <c r="T221">
        <v>0.3</v>
      </c>
      <c r="AI221">
        <v>1.5</v>
      </c>
      <c r="AJ221">
        <v>5.9</v>
      </c>
      <c r="AL221">
        <v>7.2</v>
      </c>
      <c r="AN221">
        <v>3.5</v>
      </c>
      <c r="BD221">
        <v>9.6999999999999993</v>
      </c>
      <c r="BU221">
        <v>1</v>
      </c>
      <c r="CF221">
        <v>1</v>
      </c>
      <c r="CG221">
        <v>4</v>
      </c>
      <c r="CJ221">
        <v>3.9</v>
      </c>
      <c r="DA221" s="2"/>
      <c r="DD221" s="1">
        <v>41104</v>
      </c>
      <c r="DE221" s="2">
        <f t="shared" si="59"/>
        <v>3.2249999999999996</v>
      </c>
      <c r="DF221" s="2">
        <f t="shared" si="58"/>
        <v>0.37941176470588234</v>
      </c>
      <c r="DG221" s="2">
        <f t="shared" si="60"/>
        <v>9.6999999999999993</v>
      </c>
      <c r="DH221" s="2">
        <f t="shared" si="61"/>
        <v>0.3</v>
      </c>
      <c r="DI221" s="3">
        <f t="shared" si="62"/>
        <v>0.11764705882352941</v>
      </c>
    </row>
    <row r="222" spans="1:113">
      <c r="A222" s="17" t="s">
        <v>230</v>
      </c>
      <c r="D222">
        <v>1.9</v>
      </c>
      <c r="E222">
        <v>0.1</v>
      </c>
      <c r="F222">
        <v>0.2</v>
      </c>
      <c r="AB222">
        <v>3.4</v>
      </c>
      <c r="AC222">
        <v>3.8</v>
      </c>
      <c r="AJ222">
        <v>27</v>
      </c>
      <c r="AL222">
        <v>0.6</v>
      </c>
      <c r="AP222">
        <v>3.9</v>
      </c>
      <c r="AS222">
        <v>4.0999999999999996</v>
      </c>
      <c r="BI222">
        <v>0.1</v>
      </c>
      <c r="BJ222">
        <v>0.1</v>
      </c>
      <c r="BK222">
        <v>0.1</v>
      </c>
      <c r="BM222">
        <v>0.1</v>
      </c>
      <c r="CE222">
        <v>2.5</v>
      </c>
      <c r="CG222">
        <v>6.7</v>
      </c>
      <c r="CL222">
        <v>0.8</v>
      </c>
      <c r="CV222">
        <v>19.8</v>
      </c>
      <c r="CW222">
        <v>0.1</v>
      </c>
      <c r="CZ222">
        <v>1.3</v>
      </c>
      <c r="DA222" s="2"/>
      <c r="DD222" s="1">
        <v>41105</v>
      </c>
      <c r="DE222" s="2">
        <f t="shared" si="59"/>
        <v>4.0315789473684207</v>
      </c>
      <c r="DF222" s="2">
        <f t="shared" si="58"/>
        <v>0.75098039215686274</v>
      </c>
      <c r="DG222" s="2">
        <f t="shared" si="60"/>
        <v>27</v>
      </c>
      <c r="DH222" s="2">
        <f t="shared" si="61"/>
        <v>0.1</v>
      </c>
      <c r="DI222" s="3">
        <f t="shared" si="62"/>
        <v>0.18627450980392157</v>
      </c>
    </row>
    <row r="223" spans="1:113">
      <c r="A223" s="17" t="s">
        <v>231</v>
      </c>
      <c r="J223">
        <v>1.7</v>
      </c>
      <c r="BJ223">
        <v>0.1</v>
      </c>
      <c r="BK223">
        <v>0.3</v>
      </c>
      <c r="BU223">
        <v>0.2</v>
      </c>
      <c r="CJ223">
        <v>20.7</v>
      </c>
      <c r="CL223">
        <v>11</v>
      </c>
      <c r="CQ223">
        <v>3.4</v>
      </c>
      <c r="CU223">
        <v>9.4</v>
      </c>
      <c r="CZ223">
        <v>0.1</v>
      </c>
      <c r="DA223" s="2"/>
      <c r="DD223" s="1">
        <v>41106</v>
      </c>
      <c r="DE223" s="2">
        <f t="shared" si="59"/>
        <v>5.2111111111111112</v>
      </c>
      <c r="DF223" s="2">
        <f t="shared" si="58"/>
        <v>0.45980392156862743</v>
      </c>
      <c r="DG223" s="2">
        <f t="shared" si="60"/>
        <v>20.7</v>
      </c>
      <c r="DH223" s="2">
        <f t="shared" si="61"/>
        <v>0.1</v>
      </c>
      <c r="DI223" s="3">
        <f t="shared" si="62"/>
        <v>8.8235294117647065E-2</v>
      </c>
    </row>
    <row r="224" spans="1:113">
      <c r="A224" s="17" t="s">
        <v>232</v>
      </c>
      <c r="E224">
        <v>1.3</v>
      </c>
      <c r="J224">
        <v>3.7</v>
      </c>
      <c r="BB224">
        <v>5.3</v>
      </c>
      <c r="BK224">
        <v>0.6</v>
      </c>
      <c r="BO224">
        <v>1.1000000000000001</v>
      </c>
      <c r="BQ224">
        <v>0.3</v>
      </c>
      <c r="BU224">
        <v>13.6</v>
      </c>
      <c r="BV224">
        <v>0.1</v>
      </c>
      <c r="CJ224">
        <v>5.3</v>
      </c>
      <c r="CZ224">
        <v>0.1</v>
      </c>
      <c r="DA224" s="2"/>
      <c r="DD224" s="1">
        <v>41107</v>
      </c>
      <c r="DE224" s="2">
        <f t="shared" si="59"/>
        <v>3.14</v>
      </c>
      <c r="DF224" s="2">
        <f t="shared" si="58"/>
        <v>0.30784313725490198</v>
      </c>
      <c r="DG224" s="2">
        <f t="shared" si="60"/>
        <v>13.6</v>
      </c>
      <c r="DH224" s="2">
        <f t="shared" si="61"/>
        <v>0.1</v>
      </c>
      <c r="DI224" s="3">
        <f t="shared" si="62"/>
        <v>9.8039215686274508E-2</v>
      </c>
    </row>
    <row r="225" spans="1:113">
      <c r="A225" s="17" t="s">
        <v>233</v>
      </c>
      <c r="C225">
        <v>5.2</v>
      </c>
      <c r="F225">
        <v>0.3</v>
      </c>
      <c r="J225">
        <v>2.6</v>
      </c>
      <c r="Q225">
        <v>6</v>
      </c>
      <c r="V225">
        <v>2.5</v>
      </c>
      <c r="AM225">
        <v>0.3</v>
      </c>
      <c r="AU225">
        <v>6</v>
      </c>
      <c r="BC225">
        <v>2.2000000000000002</v>
      </c>
      <c r="BO225">
        <v>4.3</v>
      </c>
      <c r="DA225" s="2"/>
      <c r="DD225" s="1">
        <v>41108</v>
      </c>
      <c r="DE225" s="2">
        <f t="shared" si="59"/>
        <v>3.2666666666666671</v>
      </c>
      <c r="DF225" s="2">
        <f t="shared" si="58"/>
        <v>0.28823529411764709</v>
      </c>
      <c r="DG225" s="2">
        <f t="shared" si="60"/>
        <v>6</v>
      </c>
      <c r="DH225" s="2">
        <f t="shared" si="61"/>
        <v>0.3</v>
      </c>
      <c r="DI225" s="3">
        <f t="shared" si="62"/>
        <v>8.8235294117647065E-2</v>
      </c>
    </row>
    <row r="226" spans="1:113">
      <c r="A226" s="17" t="s">
        <v>234</v>
      </c>
      <c r="D226">
        <v>1.7</v>
      </c>
      <c r="E226">
        <v>9.1999999999999993</v>
      </c>
      <c r="L226">
        <v>0.1</v>
      </c>
      <c r="Q226">
        <v>0.2</v>
      </c>
      <c r="AM226">
        <v>0.2</v>
      </c>
      <c r="AU226">
        <v>0.7</v>
      </c>
      <c r="BL226">
        <v>0.1</v>
      </c>
      <c r="CE226">
        <v>6.4</v>
      </c>
      <c r="DA226" s="2"/>
      <c r="DD226" s="1">
        <v>41109</v>
      </c>
      <c r="DE226" s="2">
        <f t="shared" si="59"/>
        <v>2.3249999999999993</v>
      </c>
      <c r="DF226" s="2">
        <f t="shared" si="58"/>
        <v>0.18235294117647052</v>
      </c>
      <c r="DG226" s="2">
        <f t="shared" si="60"/>
        <v>9.1999999999999993</v>
      </c>
      <c r="DH226" s="2">
        <f t="shared" si="61"/>
        <v>0.1</v>
      </c>
      <c r="DI226" s="3">
        <f t="shared" si="62"/>
        <v>7.8431372549019607E-2</v>
      </c>
    </row>
    <row r="227" spans="1:113">
      <c r="A227" s="17" t="s">
        <v>235</v>
      </c>
      <c r="E227">
        <v>0.2</v>
      </c>
      <c r="R227">
        <v>46</v>
      </c>
      <c r="Z227">
        <v>0.1</v>
      </c>
      <c r="AC227">
        <v>9.5</v>
      </c>
      <c r="AN227">
        <v>6.1</v>
      </c>
      <c r="AP227">
        <v>165.8</v>
      </c>
      <c r="AQ227">
        <v>0.5</v>
      </c>
      <c r="AS227">
        <v>0.6</v>
      </c>
      <c r="BA227">
        <v>3.7</v>
      </c>
      <c r="BF227">
        <v>2.4</v>
      </c>
      <c r="BJ227">
        <v>0.2</v>
      </c>
      <c r="CE227">
        <v>0.1</v>
      </c>
      <c r="CW227">
        <v>1.4</v>
      </c>
      <c r="DA227" s="2"/>
      <c r="DD227" s="1">
        <v>41110</v>
      </c>
      <c r="DE227" s="2">
        <f t="shared" si="59"/>
        <v>18.2</v>
      </c>
      <c r="DF227" s="2">
        <f t="shared" si="58"/>
        <v>2.3196078431372547</v>
      </c>
      <c r="DG227" s="2">
        <f t="shared" si="60"/>
        <v>165.8</v>
      </c>
      <c r="DH227" s="2">
        <f t="shared" si="61"/>
        <v>0.1</v>
      </c>
      <c r="DI227" s="3">
        <f t="shared" si="62"/>
        <v>0.12745098039215685</v>
      </c>
    </row>
    <row r="228" spans="1:113">
      <c r="A228" s="17" t="s">
        <v>236</v>
      </c>
      <c r="E228">
        <v>0.1</v>
      </c>
      <c r="N228">
        <v>1.2</v>
      </c>
      <c r="AC228">
        <v>14.8</v>
      </c>
      <c r="AJ228">
        <v>32.9</v>
      </c>
      <c r="AQ228">
        <v>0.4</v>
      </c>
      <c r="BM228">
        <v>9.5</v>
      </c>
      <c r="BV228">
        <v>5.6</v>
      </c>
      <c r="CC228">
        <v>0.4</v>
      </c>
      <c r="CH228">
        <v>0.9</v>
      </c>
      <c r="CM228">
        <v>1</v>
      </c>
      <c r="CW228">
        <v>26.6</v>
      </c>
      <c r="CX228">
        <v>0.4</v>
      </c>
      <c r="DA228" s="2"/>
      <c r="DD228" s="1">
        <v>41111</v>
      </c>
      <c r="DE228" s="2">
        <f t="shared" si="59"/>
        <v>7.8166666666666673</v>
      </c>
      <c r="DF228" s="2">
        <f t="shared" si="58"/>
        <v>0.91960784313725497</v>
      </c>
      <c r="DG228" s="2">
        <f t="shared" si="60"/>
        <v>32.9</v>
      </c>
      <c r="DH228" s="2">
        <f t="shared" si="61"/>
        <v>0.1</v>
      </c>
      <c r="DI228" s="3">
        <f t="shared" si="62"/>
        <v>0.11764705882352941</v>
      </c>
    </row>
    <row r="229" spans="1:113">
      <c r="A229" s="17" t="s">
        <v>237</v>
      </c>
      <c r="N229">
        <v>18.8</v>
      </c>
      <c r="X229">
        <v>7.2</v>
      </c>
      <c r="AE229">
        <v>2.7</v>
      </c>
      <c r="AU229">
        <v>0.6</v>
      </c>
      <c r="BI229">
        <v>0.1</v>
      </c>
      <c r="BL229">
        <v>0.1</v>
      </c>
      <c r="BQ229">
        <v>4.0999999999999996</v>
      </c>
      <c r="BV229">
        <v>11</v>
      </c>
      <c r="CE229">
        <v>0.1</v>
      </c>
      <c r="CM229">
        <v>6.5</v>
      </c>
      <c r="DA229" s="2"/>
      <c r="DD229" s="1">
        <v>41112</v>
      </c>
      <c r="DE229" s="2">
        <f t="shared" si="59"/>
        <v>5.12</v>
      </c>
      <c r="DF229" s="2">
        <f t="shared" si="58"/>
        <v>0.50196078431372548</v>
      </c>
      <c r="DG229" s="2">
        <f t="shared" si="60"/>
        <v>18.8</v>
      </c>
      <c r="DH229" s="2">
        <f t="shared" si="61"/>
        <v>0.1</v>
      </c>
      <c r="DI229" s="3">
        <f t="shared" si="62"/>
        <v>9.8039215686274508E-2</v>
      </c>
    </row>
    <row r="230" spans="1:113">
      <c r="A230" s="17" t="s">
        <v>238</v>
      </c>
      <c r="Q230">
        <v>6</v>
      </c>
      <c r="X230">
        <v>0.3</v>
      </c>
      <c r="AT230">
        <v>0.5</v>
      </c>
      <c r="BS230">
        <v>0.1</v>
      </c>
      <c r="DA230" s="2"/>
      <c r="DD230" s="1">
        <v>41113</v>
      </c>
      <c r="DE230" s="2">
        <f t="shared" si="59"/>
        <v>1.7249999999999999</v>
      </c>
      <c r="DF230" s="2">
        <f t="shared" si="58"/>
        <v>6.7647058823529407E-2</v>
      </c>
      <c r="DG230" s="2">
        <f t="shared" si="60"/>
        <v>6</v>
      </c>
      <c r="DH230" s="2">
        <f t="shared" si="61"/>
        <v>0.1</v>
      </c>
      <c r="DI230" s="3">
        <f t="shared" si="62"/>
        <v>3.9215686274509803E-2</v>
      </c>
    </row>
    <row r="231" spans="1:113">
      <c r="A231" s="17" t="s">
        <v>239</v>
      </c>
      <c r="C231">
        <v>0.4</v>
      </c>
      <c r="F231">
        <v>0.2</v>
      </c>
      <c r="I231">
        <v>0.8</v>
      </c>
      <c r="AA231">
        <v>17.3</v>
      </c>
      <c r="AQ231">
        <v>12.5</v>
      </c>
      <c r="AU231">
        <v>1.1000000000000001</v>
      </c>
      <c r="AV231">
        <v>2.2000000000000002</v>
      </c>
      <c r="BM231">
        <v>23.7</v>
      </c>
      <c r="BO231">
        <v>0.2</v>
      </c>
      <c r="CE231">
        <v>2</v>
      </c>
      <c r="DA231" s="2"/>
      <c r="DD231" s="1">
        <v>41114</v>
      </c>
      <c r="DE231" s="2">
        <f t="shared" si="59"/>
        <v>6.0400000000000009</v>
      </c>
      <c r="DF231" s="2">
        <f t="shared" si="58"/>
        <v>0.59215686274509804</v>
      </c>
      <c r="DG231" s="2">
        <f t="shared" si="60"/>
        <v>23.7</v>
      </c>
      <c r="DH231" s="2">
        <f t="shared" si="61"/>
        <v>0.2</v>
      </c>
      <c r="DI231" s="3">
        <f t="shared" si="62"/>
        <v>9.8039215686274508E-2</v>
      </c>
    </row>
    <row r="232" spans="1:113">
      <c r="A232" s="17" t="s">
        <v>240</v>
      </c>
      <c r="C232">
        <v>13.8</v>
      </c>
      <c r="AA232">
        <v>48.9</v>
      </c>
      <c r="AI232">
        <v>1.5</v>
      </c>
      <c r="AK232">
        <v>1.4</v>
      </c>
      <c r="BM232">
        <v>0.1</v>
      </c>
      <c r="BO232">
        <v>11.5</v>
      </c>
      <c r="BW232">
        <v>4.9000000000000004</v>
      </c>
      <c r="CE232">
        <v>0.2</v>
      </c>
      <c r="CR232">
        <v>3.4</v>
      </c>
      <c r="DA232" s="2"/>
      <c r="DD232" s="1">
        <v>41115</v>
      </c>
      <c r="DE232" s="2">
        <f t="shared" si="59"/>
        <v>9.5222222222222239</v>
      </c>
      <c r="DF232" s="2">
        <f t="shared" si="58"/>
        <v>0.84019607843137267</v>
      </c>
      <c r="DG232" s="2">
        <f t="shared" si="60"/>
        <v>48.9</v>
      </c>
      <c r="DH232" s="2">
        <f t="shared" si="61"/>
        <v>0.1</v>
      </c>
      <c r="DI232" s="3">
        <f t="shared" si="62"/>
        <v>8.8235294117647065E-2</v>
      </c>
    </row>
    <row r="233" spans="1:113">
      <c r="A233" s="17" t="s">
        <v>241</v>
      </c>
      <c r="C233">
        <v>0.6</v>
      </c>
      <c r="D233">
        <v>8.6999999999999993</v>
      </c>
      <c r="X233">
        <v>0.2</v>
      </c>
      <c r="Y233">
        <v>2.5</v>
      </c>
      <c r="AA233">
        <v>22.5</v>
      </c>
      <c r="BC233">
        <v>4.3</v>
      </c>
      <c r="BH233">
        <v>13.5</v>
      </c>
      <c r="BO233">
        <v>0.8</v>
      </c>
      <c r="BR233">
        <v>5.6</v>
      </c>
      <c r="CJ233">
        <v>33.6</v>
      </c>
      <c r="CU233">
        <v>1.5</v>
      </c>
      <c r="CV233">
        <v>0.1</v>
      </c>
      <c r="CW233">
        <v>3.9</v>
      </c>
      <c r="DA233" s="2"/>
      <c r="DD233" s="1">
        <v>41116</v>
      </c>
      <c r="DE233" s="2">
        <f t="shared" si="59"/>
        <v>7.523076923076923</v>
      </c>
      <c r="DF233" s="2">
        <f t="shared" si="58"/>
        <v>0.95882352941176463</v>
      </c>
      <c r="DG233" s="2">
        <f t="shared" si="60"/>
        <v>33.6</v>
      </c>
      <c r="DH233" s="2">
        <f t="shared" si="61"/>
        <v>0.1</v>
      </c>
      <c r="DI233" s="3">
        <f t="shared" si="62"/>
        <v>0.12745098039215685</v>
      </c>
    </row>
    <row r="234" spans="1:113">
      <c r="A234" s="17" t="s">
        <v>242</v>
      </c>
      <c r="C234">
        <v>1.2</v>
      </c>
      <c r="D234">
        <v>6.3</v>
      </c>
      <c r="E234">
        <v>0.3</v>
      </c>
      <c r="J234">
        <v>21.1</v>
      </c>
      <c r="AT234">
        <v>5.7</v>
      </c>
      <c r="BH234">
        <v>0.1</v>
      </c>
      <c r="BL234">
        <v>12.6</v>
      </c>
      <c r="BM234">
        <v>4.0999999999999996</v>
      </c>
      <c r="BS234">
        <v>3.8</v>
      </c>
      <c r="BV234">
        <v>2.2999999999999998</v>
      </c>
      <c r="BW234">
        <v>3.1</v>
      </c>
      <c r="CA234">
        <v>22.2</v>
      </c>
      <c r="CE234">
        <v>14.8</v>
      </c>
      <c r="CL234">
        <v>0.4</v>
      </c>
      <c r="CO234">
        <v>1.8</v>
      </c>
      <c r="CP234">
        <v>0.1</v>
      </c>
      <c r="DA234" s="2"/>
      <c r="DD234" s="1">
        <v>41117</v>
      </c>
      <c r="DE234" s="2">
        <f t="shared" si="59"/>
        <v>6.2437499999999995</v>
      </c>
      <c r="DF234" s="2">
        <f t="shared" si="58"/>
        <v>0.97941176470588232</v>
      </c>
      <c r="DG234" s="2">
        <f t="shared" si="60"/>
        <v>22.2</v>
      </c>
      <c r="DH234" s="2">
        <f t="shared" si="61"/>
        <v>0.1</v>
      </c>
      <c r="DI234" s="3">
        <f t="shared" si="62"/>
        <v>0.15686274509803921</v>
      </c>
    </row>
    <row r="235" spans="1:113">
      <c r="A235" s="17" t="s">
        <v>243</v>
      </c>
      <c r="D235">
        <v>0.8</v>
      </c>
      <c r="E235">
        <v>0.2</v>
      </c>
      <c r="AC235">
        <v>0.2</v>
      </c>
      <c r="AE235">
        <v>0.1</v>
      </c>
      <c r="AL235">
        <v>8.5</v>
      </c>
      <c r="AP235">
        <v>1.1000000000000001</v>
      </c>
      <c r="AT235">
        <v>6.7</v>
      </c>
      <c r="AX235">
        <v>1.7</v>
      </c>
      <c r="BD235">
        <v>12.5</v>
      </c>
      <c r="BK235">
        <v>5.9</v>
      </c>
      <c r="BW235">
        <v>18.2</v>
      </c>
      <c r="BZ235">
        <v>0.3</v>
      </c>
      <c r="CC235">
        <v>4.5</v>
      </c>
      <c r="CD235">
        <v>1.4</v>
      </c>
      <c r="CE235">
        <v>13.8</v>
      </c>
      <c r="CJ235">
        <v>13.2</v>
      </c>
      <c r="CO235">
        <v>0.6</v>
      </c>
      <c r="CU235">
        <v>37.299999999999997</v>
      </c>
      <c r="CW235">
        <v>9.4</v>
      </c>
      <c r="DA235" s="2"/>
      <c r="DD235" s="1">
        <v>41118</v>
      </c>
      <c r="DE235" s="2">
        <f t="shared" si="59"/>
        <v>7.1789473684210527</v>
      </c>
      <c r="DF235" s="2">
        <f t="shared" si="58"/>
        <v>1.3372549019607844</v>
      </c>
      <c r="DG235" s="2">
        <f t="shared" si="60"/>
        <v>37.299999999999997</v>
      </c>
      <c r="DH235" s="2">
        <f t="shared" si="61"/>
        <v>0.1</v>
      </c>
      <c r="DI235" s="3">
        <f t="shared" si="62"/>
        <v>0.18627450980392157</v>
      </c>
    </row>
    <row r="236" spans="1:113">
      <c r="A236" s="17" t="s">
        <v>244</v>
      </c>
      <c r="G236">
        <v>1.6</v>
      </c>
      <c r="AH236">
        <v>22.7</v>
      </c>
      <c r="AL236">
        <v>2.6</v>
      </c>
      <c r="BK236">
        <v>8.6</v>
      </c>
      <c r="BO236">
        <v>0.5</v>
      </c>
      <c r="BR236">
        <v>6.6</v>
      </c>
      <c r="BU236">
        <v>7.8</v>
      </c>
      <c r="BV236">
        <v>5.7</v>
      </c>
      <c r="CE236">
        <v>5.7</v>
      </c>
      <c r="CU236">
        <v>11.5</v>
      </c>
      <c r="CX236">
        <v>0.1</v>
      </c>
      <c r="DA236" s="2"/>
      <c r="DD236" s="1">
        <v>41119</v>
      </c>
      <c r="DE236" s="2">
        <f t="shared" si="59"/>
        <v>6.6727272727272728</v>
      </c>
      <c r="DF236" s="2">
        <f t="shared" si="58"/>
        <v>0.71960784313725501</v>
      </c>
      <c r="DG236" s="2">
        <f t="shared" si="60"/>
        <v>22.7</v>
      </c>
      <c r="DH236" s="2">
        <f t="shared" si="61"/>
        <v>0.1</v>
      </c>
      <c r="DI236" s="3">
        <f t="shared" si="62"/>
        <v>0.10784313725490197</v>
      </c>
    </row>
    <row r="237" spans="1:113">
      <c r="A237" s="17" t="s">
        <v>245</v>
      </c>
      <c r="G237">
        <v>0.9</v>
      </c>
      <c r="M237">
        <v>27.1</v>
      </c>
      <c r="Q237">
        <v>0.4</v>
      </c>
      <c r="W237">
        <v>0.4</v>
      </c>
      <c r="AH237">
        <v>1.7</v>
      </c>
      <c r="AT237">
        <v>22.9</v>
      </c>
      <c r="BI237">
        <v>0.6</v>
      </c>
      <c r="BO237">
        <v>23.3</v>
      </c>
      <c r="BQ237">
        <v>0.5</v>
      </c>
      <c r="BR237">
        <v>27.4</v>
      </c>
      <c r="BS237">
        <v>0.3</v>
      </c>
      <c r="BT237">
        <v>4.4000000000000004</v>
      </c>
      <c r="BV237">
        <v>0.7</v>
      </c>
      <c r="CG237">
        <v>4.4000000000000004</v>
      </c>
      <c r="CL237">
        <v>17.5</v>
      </c>
      <c r="DA237" s="2"/>
      <c r="DD237" s="1">
        <v>41120</v>
      </c>
      <c r="DE237" s="2">
        <f t="shared" si="59"/>
        <v>8.8333333333333339</v>
      </c>
      <c r="DF237" s="2">
        <f t="shared" si="58"/>
        <v>1.2990196078431373</v>
      </c>
      <c r="DG237" s="2">
        <f t="shared" si="60"/>
        <v>27.4</v>
      </c>
      <c r="DH237" s="2">
        <f t="shared" si="61"/>
        <v>0.3</v>
      </c>
      <c r="DI237" s="3">
        <f t="shared" si="62"/>
        <v>0.14705882352941177</v>
      </c>
    </row>
    <row r="238" spans="1:113">
      <c r="A238" s="17" t="s">
        <v>246</v>
      </c>
      <c r="D238">
        <v>6.8</v>
      </c>
      <c r="E238">
        <v>0.5</v>
      </c>
      <c r="F238">
        <v>0.2</v>
      </c>
      <c r="K238">
        <v>5.5</v>
      </c>
      <c r="M238">
        <v>35.1</v>
      </c>
      <c r="AE238">
        <v>3.3</v>
      </c>
      <c r="AJ238">
        <v>2.2000000000000002</v>
      </c>
      <c r="AY238">
        <v>1.3</v>
      </c>
      <c r="BL238">
        <v>0.2</v>
      </c>
      <c r="BM238">
        <v>0.1</v>
      </c>
      <c r="BO238">
        <v>3.6</v>
      </c>
      <c r="BQ238">
        <v>0.7</v>
      </c>
      <c r="BS238">
        <v>3.9</v>
      </c>
      <c r="BT238">
        <v>0.1</v>
      </c>
      <c r="CG238">
        <v>13.7</v>
      </c>
      <c r="CV238">
        <v>0.8</v>
      </c>
      <c r="CY238">
        <v>0.2</v>
      </c>
      <c r="CZ238">
        <v>0.2</v>
      </c>
      <c r="DA238" s="2"/>
      <c r="DD238" s="1">
        <v>41121</v>
      </c>
      <c r="DE238" s="2">
        <f t="shared" si="59"/>
        <v>4.3555555555555561</v>
      </c>
      <c r="DF238" s="2">
        <f t="shared" si="58"/>
        <v>0.7686274509803922</v>
      </c>
      <c r="DG238" s="2">
        <f t="shared" si="60"/>
        <v>35.1</v>
      </c>
      <c r="DH238" s="2">
        <f t="shared" si="61"/>
        <v>0.1</v>
      </c>
      <c r="DI238" s="3">
        <f t="shared" si="62"/>
        <v>0.17647058823529413</v>
      </c>
    </row>
    <row r="239" spans="1:113">
      <c r="A239" s="17"/>
      <c r="B239">
        <v>1911</v>
      </c>
      <c r="C239">
        <v>1912</v>
      </c>
      <c r="D239">
        <v>1913</v>
      </c>
      <c r="E239">
        <v>1914</v>
      </c>
      <c r="F239">
        <v>1915</v>
      </c>
      <c r="G239">
        <v>1916</v>
      </c>
      <c r="H239">
        <v>1917</v>
      </c>
      <c r="I239">
        <v>1918</v>
      </c>
      <c r="J239">
        <v>1919</v>
      </c>
      <c r="K239">
        <v>1920</v>
      </c>
      <c r="L239">
        <v>1921</v>
      </c>
      <c r="M239">
        <v>1922</v>
      </c>
      <c r="N239">
        <v>1923</v>
      </c>
      <c r="O239">
        <v>1924</v>
      </c>
      <c r="P239">
        <v>1925</v>
      </c>
      <c r="Q239">
        <v>1926</v>
      </c>
      <c r="R239">
        <v>1927</v>
      </c>
      <c r="S239">
        <v>1928</v>
      </c>
      <c r="T239">
        <v>1929</v>
      </c>
      <c r="U239">
        <v>1930</v>
      </c>
      <c r="V239">
        <v>1931</v>
      </c>
      <c r="W239">
        <v>1932</v>
      </c>
      <c r="X239">
        <v>1933</v>
      </c>
      <c r="Y239">
        <v>1934</v>
      </c>
      <c r="Z239">
        <v>1935</v>
      </c>
      <c r="AA239">
        <v>1936</v>
      </c>
      <c r="AB239">
        <v>1937</v>
      </c>
      <c r="AC239">
        <v>1938</v>
      </c>
      <c r="AD239">
        <v>1939</v>
      </c>
      <c r="AE239">
        <v>1940</v>
      </c>
      <c r="AF239">
        <v>1941</v>
      </c>
      <c r="AG239">
        <v>1942</v>
      </c>
      <c r="AH239">
        <v>1943</v>
      </c>
      <c r="AI239">
        <v>1944</v>
      </c>
      <c r="AJ239">
        <v>1945</v>
      </c>
      <c r="AK239">
        <v>1946</v>
      </c>
      <c r="AL239">
        <v>1947</v>
      </c>
      <c r="AM239">
        <v>1948</v>
      </c>
      <c r="AN239">
        <v>1949</v>
      </c>
      <c r="AO239">
        <v>1950</v>
      </c>
      <c r="AP239">
        <v>1951</v>
      </c>
      <c r="AQ239">
        <v>1952</v>
      </c>
      <c r="AR239">
        <v>1953</v>
      </c>
      <c r="AS239">
        <v>1954</v>
      </c>
      <c r="AT239">
        <v>1955</v>
      </c>
      <c r="AU239">
        <v>1956</v>
      </c>
      <c r="AV239">
        <v>1957</v>
      </c>
      <c r="AW239">
        <v>1958</v>
      </c>
      <c r="AX239">
        <v>1959</v>
      </c>
      <c r="AY239">
        <v>1960</v>
      </c>
      <c r="AZ239">
        <v>1961</v>
      </c>
      <c r="BA239">
        <v>1962</v>
      </c>
      <c r="BB239">
        <v>1963</v>
      </c>
      <c r="BC239">
        <v>1964</v>
      </c>
      <c r="BD239">
        <v>1965</v>
      </c>
      <c r="BE239">
        <v>1966</v>
      </c>
      <c r="BF239">
        <v>1967</v>
      </c>
      <c r="BG239">
        <v>1968</v>
      </c>
      <c r="BH239">
        <v>1969</v>
      </c>
      <c r="BI239">
        <v>1970</v>
      </c>
      <c r="BJ239">
        <v>1971</v>
      </c>
      <c r="BK239">
        <v>1972</v>
      </c>
      <c r="BL239">
        <v>1973</v>
      </c>
      <c r="BM239">
        <v>1974</v>
      </c>
      <c r="BN239">
        <v>1975</v>
      </c>
      <c r="BO239">
        <v>1976</v>
      </c>
      <c r="BP239">
        <v>1977</v>
      </c>
      <c r="BQ239">
        <v>1978</v>
      </c>
      <c r="BR239">
        <v>1979</v>
      </c>
      <c r="BS239">
        <v>1980</v>
      </c>
      <c r="BT239">
        <v>1981</v>
      </c>
      <c r="BU239">
        <v>1982</v>
      </c>
      <c r="BV239">
        <v>1983</v>
      </c>
      <c r="BW239">
        <v>1984</v>
      </c>
      <c r="BX239">
        <v>1985</v>
      </c>
      <c r="BY239">
        <v>1986</v>
      </c>
      <c r="BZ239">
        <v>1987</v>
      </c>
      <c r="CA239">
        <v>1988</v>
      </c>
      <c r="CB239">
        <v>1989</v>
      </c>
      <c r="CC239">
        <v>1990</v>
      </c>
      <c r="CD239">
        <v>1991</v>
      </c>
      <c r="CE239">
        <v>1992</v>
      </c>
      <c r="CF239">
        <v>1993</v>
      </c>
      <c r="CG239">
        <v>1994</v>
      </c>
      <c r="CH239">
        <v>1995</v>
      </c>
      <c r="CI239">
        <v>1996</v>
      </c>
      <c r="CJ239">
        <v>1997</v>
      </c>
      <c r="CK239">
        <v>1998</v>
      </c>
      <c r="CL239">
        <v>1999</v>
      </c>
      <c r="CM239">
        <v>2000</v>
      </c>
      <c r="CN239">
        <v>2001</v>
      </c>
      <c r="CO239">
        <v>2002</v>
      </c>
      <c r="CP239">
        <v>2003</v>
      </c>
      <c r="CQ239">
        <v>2004</v>
      </c>
      <c r="CR239">
        <v>2005</v>
      </c>
      <c r="CS239">
        <v>2006</v>
      </c>
      <c r="CT239">
        <v>2007</v>
      </c>
      <c r="CU239">
        <v>2008</v>
      </c>
      <c r="CV239">
        <v>2009</v>
      </c>
      <c r="CW239">
        <v>2010</v>
      </c>
      <c r="CX239">
        <v>2011</v>
      </c>
      <c r="CY239">
        <v>2012</v>
      </c>
      <c r="CZ239">
        <v>2013</v>
      </c>
      <c r="DA239" s="2"/>
      <c r="DD239" s="1"/>
    </row>
    <row r="240" spans="1:113">
      <c r="A240" s="17" t="s">
        <v>30</v>
      </c>
      <c r="C240">
        <f>SUM(C208:C238)</f>
        <v>29.400000000000002</v>
      </c>
      <c r="D240">
        <f>SUM(D208:D238)</f>
        <v>27.7</v>
      </c>
      <c r="E240">
        <f t="shared" ref="E240:BP240" si="63">SUM(E208:E238)</f>
        <v>64.900000000000006</v>
      </c>
      <c r="F240">
        <f t="shared" si="63"/>
        <v>4</v>
      </c>
      <c r="G240">
        <f t="shared" si="63"/>
        <v>2.5</v>
      </c>
      <c r="H240">
        <f t="shared" si="63"/>
        <v>0.8</v>
      </c>
      <c r="I240">
        <f t="shared" si="63"/>
        <v>68.5</v>
      </c>
      <c r="J240">
        <f t="shared" si="63"/>
        <v>34.200000000000003</v>
      </c>
      <c r="K240">
        <f t="shared" si="63"/>
        <v>20.5</v>
      </c>
      <c r="L240">
        <f t="shared" si="63"/>
        <v>1.6</v>
      </c>
      <c r="M240">
        <f t="shared" si="63"/>
        <v>63.300000000000004</v>
      </c>
      <c r="N240">
        <f t="shared" si="63"/>
        <v>33.299999999999997</v>
      </c>
      <c r="O240">
        <f t="shared" si="63"/>
        <v>5.9</v>
      </c>
      <c r="P240">
        <f t="shared" si="63"/>
        <v>44.9</v>
      </c>
      <c r="Q240">
        <f t="shared" si="63"/>
        <v>103.80000000000001</v>
      </c>
      <c r="R240">
        <f t="shared" si="63"/>
        <v>67.3</v>
      </c>
      <c r="S240">
        <f t="shared" si="63"/>
        <v>0</v>
      </c>
      <c r="T240">
        <f t="shared" si="63"/>
        <v>4.0999999999999996</v>
      </c>
      <c r="U240">
        <f t="shared" si="63"/>
        <v>2.2000000000000002</v>
      </c>
      <c r="V240">
        <f t="shared" si="63"/>
        <v>2.5</v>
      </c>
      <c r="W240">
        <f t="shared" si="63"/>
        <v>0.4</v>
      </c>
      <c r="X240">
        <f t="shared" si="63"/>
        <v>69.600000000000009</v>
      </c>
      <c r="Y240">
        <f t="shared" si="63"/>
        <v>55</v>
      </c>
      <c r="Z240">
        <f t="shared" si="63"/>
        <v>25.7</v>
      </c>
      <c r="AA240">
        <f t="shared" si="63"/>
        <v>135</v>
      </c>
      <c r="AB240">
        <f t="shared" si="63"/>
        <v>10.700000000000001</v>
      </c>
      <c r="AC240">
        <f t="shared" si="63"/>
        <v>31.3</v>
      </c>
      <c r="AD240">
        <f t="shared" si="63"/>
        <v>12.7</v>
      </c>
      <c r="AE240">
        <f t="shared" si="63"/>
        <v>20.200000000000003</v>
      </c>
      <c r="AF240">
        <f t="shared" si="63"/>
        <v>59.199999999999996</v>
      </c>
      <c r="AG240">
        <f t="shared" si="63"/>
        <v>11.2</v>
      </c>
      <c r="AH240">
        <f t="shared" si="63"/>
        <v>40.400000000000006</v>
      </c>
      <c r="AI240">
        <f t="shared" si="63"/>
        <v>32.200000000000003</v>
      </c>
      <c r="AJ240">
        <f t="shared" si="63"/>
        <v>68</v>
      </c>
      <c r="AK240">
        <f t="shared" si="63"/>
        <v>3.9</v>
      </c>
      <c r="AL240">
        <f t="shared" si="63"/>
        <v>18.900000000000002</v>
      </c>
      <c r="AM240">
        <f t="shared" si="63"/>
        <v>1.6</v>
      </c>
      <c r="AN240">
        <f t="shared" si="63"/>
        <v>98.199999999999989</v>
      </c>
      <c r="AO240">
        <f t="shared" si="63"/>
        <v>17.5</v>
      </c>
      <c r="AP240">
        <f t="shared" si="63"/>
        <v>171.20000000000002</v>
      </c>
      <c r="AQ240">
        <f t="shared" si="63"/>
        <v>13.7</v>
      </c>
      <c r="AR240">
        <f t="shared" si="63"/>
        <v>0.1</v>
      </c>
      <c r="AS240">
        <f t="shared" si="63"/>
        <v>4.6999999999999993</v>
      </c>
      <c r="AT240">
        <f t="shared" si="63"/>
        <v>62.7</v>
      </c>
      <c r="AU240">
        <f t="shared" si="63"/>
        <v>8.4</v>
      </c>
      <c r="AV240">
        <f t="shared" si="63"/>
        <v>2.6</v>
      </c>
      <c r="AW240">
        <f t="shared" si="63"/>
        <v>5.7</v>
      </c>
      <c r="AX240">
        <f t="shared" si="63"/>
        <v>57.100000000000009</v>
      </c>
      <c r="AY240">
        <f t="shared" si="63"/>
        <v>16.399999999999999</v>
      </c>
      <c r="AZ240">
        <f t="shared" si="63"/>
        <v>0.3</v>
      </c>
      <c r="BA240">
        <f t="shared" si="63"/>
        <v>38.6</v>
      </c>
      <c r="BB240">
        <f t="shared" si="63"/>
        <v>16.399999999999999</v>
      </c>
      <c r="BC240">
        <f t="shared" si="63"/>
        <v>12.2</v>
      </c>
      <c r="BD240">
        <f t="shared" si="63"/>
        <v>46.6</v>
      </c>
      <c r="BE240">
        <f t="shared" si="63"/>
        <v>0.7</v>
      </c>
      <c r="BF240">
        <f t="shared" si="63"/>
        <v>3.9</v>
      </c>
      <c r="BG240">
        <f t="shared" si="63"/>
        <v>2</v>
      </c>
      <c r="BH240">
        <f t="shared" si="63"/>
        <v>25.700000000000003</v>
      </c>
      <c r="BI240">
        <f t="shared" si="63"/>
        <v>4.7999999999999989</v>
      </c>
      <c r="BJ240">
        <f t="shared" si="63"/>
        <v>1.9000000000000001</v>
      </c>
      <c r="BK240">
        <f t="shared" si="63"/>
        <v>64.8</v>
      </c>
      <c r="BL240">
        <f t="shared" si="63"/>
        <v>13.1</v>
      </c>
      <c r="BM240">
        <f t="shared" si="63"/>
        <v>42.2</v>
      </c>
      <c r="BN240">
        <f t="shared" si="63"/>
        <v>12.399999999999999</v>
      </c>
      <c r="BO240">
        <f t="shared" si="63"/>
        <v>47.4</v>
      </c>
      <c r="BP240">
        <f t="shared" si="63"/>
        <v>99.1</v>
      </c>
      <c r="BQ240">
        <f t="shared" ref="BQ240:CZ240" si="64">SUM(BQ208:BQ238)</f>
        <v>5.6</v>
      </c>
      <c r="BR240">
        <f t="shared" si="64"/>
        <v>86</v>
      </c>
      <c r="BS240">
        <f t="shared" si="64"/>
        <v>14.8</v>
      </c>
      <c r="BT240">
        <f t="shared" si="64"/>
        <v>57.900000000000006</v>
      </c>
      <c r="BU240">
        <f t="shared" si="64"/>
        <v>61.900000000000006</v>
      </c>
      <c r="BV240">
        <f t="shared" si="64"/>
        <v>25.4</v>
      </c>
      <c r="BW240">
        <f t="shared" si="64"/>
        <v>32.299999999999997</v>
      </c>
      <c r="BX240">
        <f t="shared" si="64"/>
        <v>47.4</v>
      </c>
      <c r="BY240">
        <f t="shared" si="64"/>
        <v>2.9</v>
      </c>
      <c r="BZ240">
        <f t="shared" si="64"/>
        <v>101.6</v>
      </c>
      <c r="CA240">
        <f t="shared" si="64"/>
        <v>32.6</v>
      </c>
      <c r="CB240">
        <f t="shared" si="64"/>
        <v>3.3</v>
      </c>
      <c r="CC240">
        <f t="shared" si="64"/>
        <v>5.0999999999999996</v>
      </c>
      <c r="CD240">
        <f t="shared" si="64"/>
        <v>62.1</v>
      </c>
      <c r="CE240">
        <f t="shared" si="64"/>
        <v>67.7</v>
      </c>
      <c r="CF240">
        <f t="shared" si="64"/>
        <v>6.9</v>
      </c>
      <c r="CG240">
        <f t="shared" si="64"/>
        <v>28.799999999999997</v>
      </c>
      <c r="CH240">
        <f t="shared" si="64"/>
        <v>88.800000000000011</v>
      </c>
      <c r="CI240">
        <f t="shared" si="64"/>
        <v>0</v>
      </c>
      <c r="CJ240">
        <f t="shared" si="64"/>
        <v>78.5</v>
      </c>
      <c r="CK240">
        <f t="shared" si="64"/>
        <v>37.4</v>
      </c>
      <c r="CL240">
        <f t="shared" si="64"/>
        <v>29.700000000000003</v>
      </c>
      <c r="CM240">
        <f t="shared" si="64"/>
        <v>7.5</v>
      </c>
      <c r="CN240">
        <f t="shared" si="64"/>
        <v>12.3</v>
      </c>
      <c r="CO240">
        <f t="shared" si="64"/>
        <v>20.800000000000004</v>
      </c>
      <c r="CP240">
        <f t="shared" si="64"/>
        <v>5</v>
      </c>
      <c r="CQ240">
        <f t="shared" si="64"/>
        <v>25.799999999999997</v>
      </c>
      <c r="CR240">
        <f t="shared" si="64"/>
        <v>29.9</v>
      </c>
      <c r="CS240">
        <f t="shared" si="64"/>
        <v>1.4</v>
      </c>
      <c r="CT240">
        <f t="shared" si="64"/>
        <v>11.899999999999999</v>
      </c>
      <c r="CU240">
        <f t="shared" si="64"/>
        <v>61</v>
      </c>
      <c r="CV240">
        <f t="shared" si="64"/>
        <v>37.4</v>
      </c>
      <c r="CW240">
        <f t="shared" si="64"/>
        <v>85.700000000000017</v>
      </c>
      <c r="CX240">
        <f t="shared" si="64"/>
        <v>13.8</v>
      </c>
      <c r="CY240">
        <f t="shared" si="64"/>
        <v>1.2</v>
      </c>
      <c r="CZ240">
        <f t="shared" si="64"/>
        <v>2.1000000000000005</v>
      </c>
      <c r="DA240" s="2"/>
      <c r="DD240" s="1"/>
    </row>
    <row r="241" spans="1:113">
      <c r="A241" s="17" t="s">
        <v>4</v>
      </c>
      <c r="C241">
        <f>MAX(C208:C238)</f>
        <v>13.8</v>
      </c>
      <c r="D241">
        <f>MAX(D208:D238)</f>
        <v>8.6999999999999993</v>
      </c>
      <c r="E241">
        <f t="shared" ref="E241:BP241" si="65">MAX(E208:E238)</f>
        <v>45.5</v>
      </c>
      <c r="F241">
        <f t="shared" si="65"/>
        <v>3.1</v>
      </c>
      <c r="G241">
        <f t="shared" si="65"/>
        <v>1.6</v>
      </c>
      <c r="H241">
        <f t="shared" si="65"/>
        <v>0.8</v>
      </c>
      <c r="I241">
        <f t="shared" si="65"/>
        <v>41.7</v>
      </c>
      <c r="J241">
        <f t="shared" si="65"/>
        <v>21.1</v>
      </c>
      <c r="K241">
        <f t="shared" si="65"/>
        <v>7.4</v>
      </c>
      <c r="L241">
        <f t="shared" si="65"/>
        <v>1.4</v>
      </c>
      <c r="M241">
        <f t="shared" si="65"/>
        <v>35.1</v>
      </c>
      <c r="N241">
        <f t="shared" si="65"/>
        <v>18.8</v>
      </c>
      <c r="O241">
        <f t="shared" si="65"/>
        <v>5.7</v>
      </c>
      <c r="P241">
        <f t="shared" si="65"/>
        <v>30.9</v>
      </c>
      <c r="Q241">
        <f t="shared" si="65"/>
        <v>33.200000000000003</v>
      </c>
      <c r="R241">
        <f t="shared" si="65"/>
        <v>46</v>
      </c>
      <c r="S241">
        <f t="shared" si="65"/>
        <v>0</v>
      </c>
      <c r="T241">
        <f t="shared" si="65"/>
        <v>3.8</v>
      </c>
      <c r="U241">
        <f t="shared" si="65"/>
        <v>2.2000000000000002</v>
      </c>
      <c r="V241">
        <f t="shared" si="65"/>
        <v>2.5</v>
      </c>
      <c r="W241">
        <f t="shared" si="65"/>
        <v>0.4</v>
      </c>
      <c r="X241">
        <f t="shared" si="65"/>
        <v>17.7</v>
      </c>
      <c r="Y241">
        <f t="shared" si="65"/>
        <v>31.5</v>
      </c>
      <c r="Z241">
        <f t="shared" si="65"/>
        <v>17.399999999999999</v>
      </c>
      <c r="AA241">
        <f t="shared" si="65"/>
        <v>48.9</v>
      </c>
      <c r="AB241">
        <f t="shared" si="65"/>
        <v>3.4</v>
      </c>
      <c r="AC241">
        <f t="shared" si="65"/>
        <v>14.8</v>
      </c>
      <c r="AD241">
        <f t="shared" si="65"/>
        <v>10.7</v>
      </c>
      <c r="AE241">
        <f t="shared" si="65"/>
        <v>11</v>
      </c>
      <c r="AF241">
        <f t="shared" si="65"/>
        <v>27.7</v>
      </c>
      <c r="AG241">
        <f t="shared" si="65"/>
        <v>11.2</v>
      </c>
      <c r="AH241">
        <f t="shared" si="65"/>
        <v>22.7</v>
      </c>
      <c r="AI241">
        <f t="shared" si="65"/>
        <v>17.600000000000001</v>
      </c>
      <c r="AJ241">
        <f t="shared" si="65"/>
        <v>32.9</v>
      </c>
      <c r="AK241">
        <f t="shared" si="65"/>
        <v>2.5</v>
      </c>
      <c r="AL241">
        <f t="shared" si="65"/>
        <v>8.5</v>
      </c>
      <c r="AM241">
        <f t="shared" si="65"/>
        <v>1.1000000000000001</v>
      </c>
      <c r="AN241">
        <f t="shared" si="65"/>
        <v>59</v>
      </c>
      <c r="AO241">
        <f t="shared" si="65"/>
        <v>17.5</v>
      </c>
      <c r="AP241">
        <f t="shared" si="65"/>
        <v>165.8</v>
      </c>
      <c r="AQ241">
        <f t="shared" si="65"/>
        <v>12.5</v>
      </c>
      <c r="AR241">
        <f t="shared" si="65"/>
        <v>0.1</v>
      </c>
      <c r="AS241">
        <f t="shared" si="65"/>
        <v>4.0999999999999996</v>
      </c>
      <c r="AT241">
        <f t="shared" si="65"/>
        <v>24.5</v>
      </c>
      <c r="AU241">
        <f t="shared" si="65"/>
        <v>6</v>
      </c>
      <c r="AV241">
        <f t="shared" si="65"/>
        <v>2.2000000000000002</v>
      </c>
      <c r="AW241">
        <f t="shared" si="65"/>
        <v>5.4</v>
      </c>
      <c r="AX241">
        <f t="shared" si="65"/>
        <v>21.4</v>
      </c>
      <c r="AY241">
        <f t="shared" si="65"/>
        <v>8.6999999999999993</v>
      </c>
      <c r="AZ241">
        <f t="shared" si="65"/>
        <v>0.3</v>
      </c>
      <c r="BA241">
        <f t="shared" si="65"/>
        <v>25.8</v>
      </c>
      <c r="BB241">
        <f t="shared" si="65"/>
        <v>5.6</v>
      </c>
      <c r="BC241">
        <f t="shared" si="65"/>
        <v>5.7</v>
      </c>
      <c r="BD241">
        <f t="shared" si="65"/>
        <v>15.5</v>
      </c>
      <c r="BE241">
        <f t="shared" si="65"/>
        <v>0.7</v>
      </c>
      <c r="BF241">
        <f t="shared" si="65"/>
        <v>2.4</v>
      </c>
      <c r="BG241">
        <f t="shared" si="65"/>
        <v>1.9</v>
      </c>
      <c r="BH241">
        <f t="shared" si="65"/>
        <v>13.5</v>
      </c>
      <c r="BI241">
        <f t="shared" si="65"/>
        <v>3.1</v>
      </c>
      <c r="BJ241">
        <f t="shared" si="65"/>
        <v>1.5</v>
      </c>
      <c r="BK241">
        <f t="shared" si="65"/>
        <v>22.3</v>
      </c>
      <c r="BL241">
        <f t="shared" si="65"/>
        <v>12.6</v>
      </c>
      <c r="BM241">
        <f t="shared" si="65"/>
        <v>23.7</v>
      </c>
      <c r="BN241">
        <f t="shared" si="65"/>
        <v>8.6</v>
      </c>
      <c r="BO241">
        <f t="shared" si="65"/>
        <v>23.3</v>
      </c>
      <c r="BP241">
        <f t="shared" si="65"/>
        <v>71.5</v>
      </c>
      <c r="BQ241">
        <f t="shared" ref="BQ241:CZ241" si="66">MAX(BQ208:BQ238)</f>
        <v>4.0999999999999996</v>
      </c>
      <c r="BR241">
        <f t="shared" si="66"/>
        <v>28</v>
      </c>
      <c r="BS241">
        <f t="shared" si="66"/>
        <v>6.4</v>
      </c>
      <c r="BT241">
        <f t="shared" si="66"/>
        <v>30.7</v>
      </c>
      <c r="BU241">
        <f t="shared" si="66"/>
        <v>20.6</v>
      </c>
      <c r="BV241">
        <f t="shared" si="66"/>
        <v>11</v>
      </c>
      <c r="BW241">
        <f t="shared" si="66"/>
        <v>18.2</v>
      </c>
      <c r="BX241">
        <f t="shared" si="66"/>
        <v>47.3</v>
      </c>
      <c r="BY241">
        <f t="shared" si="66"/>
        <v>2.9</v>
      </c>
      <c r="BZ241">
        <f t="shared" si="66"/>
        <v>100.5</v>
      </c>
      <c r="CA241">
        <f t="shared" si="66"/>
        <v>22.2</v>
      </c>
      <c r="CB241">
        <f t="shared" si="66"/>
        <v>1.8</v>
      </c>
      <c r="CC241">
        <f t="shared" si="66"/>
        <v>4.5</v>
      </c>
      <c r="CD241">
        <f t="shared" si="66"/>
        <v>45</v>
      </c>
      <c r="CE241">
        <f t="shared" si="66"/>
        <v>20.7</v>
      </c>
      <c r="CF241">
        <f t="shared" si="66"/>
        <v>3.5</v>
      </c>
      <c r="CG241">
        <f t="shared" si="66"/>
        <v>13.7</v>
      </c>
      <c r="CH241">
        <f t="shared" si="66"/>
        <v>67.5</v>
      </c>
      <c r="CI241">
        <f t="shared" si="66"/>
        <v>0</v>
      </c>
      <c r="CJ241">
        <f t="shared" si="66"/>
        <v>33.6</v>
      </c>
      <c r="CK241">
        <f t="shared" si="66"/>
        <v>21.9</v>
      </c>
      <c r="CL241">
        <f t="shared" si="66"/>
        <v>17.5</v>
      </c>
      <c r="CM241">
        <f t="shared" si="66"/>
        <v>6.5</v>
      </c>
      <c r="CN241">
        <f t="shared" si="66"/>
        <v>12.3</v>
      </c>
      <c r="CO241">
        <f t="shared" si="66"/>
        <v>14</v>
      </c>
      <c r="CP241">
        <f t="shared" si="66"/>
        <v>4.9000000000000004</v>
      </c>
      <c r="CQ241">
        <f t="shared" si="66"/>
        <v>22.4</v>
      </c>
      <c r="CR241">
        <f t="shared" si="66"/>
        <v>24.1</v>
      </c>
      <c r="CS241">
        <f t="shared" si="66"/>
        <v>1.4</v>
      </c>
      <c r="CT241">
        <f t="shared" si="66"/>
        <v>9.1999999999999993</v>
      </c>
      <c r="CU241">
        <f t="shared" si="66"/>
        <v>37.299999999999997</v>
      </c>
      <c r="CV241">
        <f t="shared" si="66"/>
        <v>19.8</v>
      </c>
      <c r="CW241">
        <f t="shared" si="66"/>
        <v>26.6</v>
      </c>
      <c r="CX241">
        <f t="shared" si="66"/>
        <v>13</v>
      </c>
      <c r="CY241">
        <f t="shared" si="66"/>
        <v>1</v>
      </c>
      <c r="CZ241">
        <f t="shared" si="66"/>
        <v>1.3</v>
      </c>
      <c r="DA241" s="2"/>
      <c r="DD241" s="1"/>
    </row>
    <row r="242" spans="1:113">
      <c r="A242" s="17"/>
      <c r="DA242" s="2"/>
      <c r="DD242" s="1"/>
    </row>
    <row r="243" spans="1:113">
      <c r="A243" s="17" t="s">
        <v>247</v>
      </c>
      <c r="D243">
        <v>0.6</v>
      </c>
      <c r="E243">
        <v>29.9</v>
      </c>
      <c r="AT243">
        <v>0.3</v>
      </c>
      <c r="BN243">
        <v>0.8</v>
      </c>
      <c r="BQ243">
        <v>2</v>
      </c>
      <c r="BS243">
        <v>7.7</v>
      </c>
      <c r="BU243">
        <v>4.2</v>
      </c>
      <c r="CM243">
        <v>5.2</v>
      </c>
      <c r="CT243">
        <v>6.8</v>
      </c>
      <c r="CV243">
        <v>1.8</v>
      </c>
      <c r="CY243">
        <v>3.3</v>
      </c>
      <c r="CZ243">
        <v>4.8</v>
      </c>
      <c r="DA243" s="2"/>
      <c r="DD243" s="1">
        <v>41122</v>
      </c>
      <c r="DE243" s="2">
        <f t="shared" si="59"/>
        <v>5.6166666666666671</v>
      </c>
      <c r="DF243" s="2">
        <f t="shared" ref="DF243:DF273" si="67">SUM(B243:DA243)/(COUNTA(B243:CZ243)+COUNTBLANK(B243:CZ243))</f>
        <v>0.65436893203883506</v>
      </c>
      <c r="DG243" s="2">
        <f t="shared" si="60"/>
        <v>29.9</v>
      </c>
      <c r="DH243" s="2">
        <f t="shared" si="61"/>
        <v>0.3</v>
      </c>
      <c r="DI243" s="3">
        <f>(COUNTA(B243:CZ243)/(COUNTA(B243:CZ243)+COUNTBLANK(B243:CZ243)))</f>
        <v>0.11650485436893204</v>
      </c>
    </row>
    <row r="244" spans="1:113">
      <c r="A244" s="17" t="s">
        <v>248</v>
      </c>
      <c r="E244">
        <v>82.1</v>
      </c>
      <c r="M244">
        <v>0.3</v>
      </c>
      <c r="AJ244">
        <v>1</v>
      </c>
      <c r="BK244">
        <v>0.1</v>
      </c>
      <c r="BL244">
        <v>3.3</v>
      </c>
      <c r="BO244">
        <v>0.1</v>
      </c>
      <c r="BQ244">
        <v>8.8000000000000007</v>
      </c>
      <c r="BU244">
        <v>4.3</v>
      </c>
      <c r="CG244">
        <v>6.5</v>
      </c>
      <c r="CN244">
        <v>0.7</v>
      </c>
      <c r="CO244">
        <v>1.1000000000000001</v>
      </c>
      <c r="CT244">
        <v>0.8</v>
      </c>
      <c r="CY244">
        <v>0.4</v>
      </c>
      <c r="DA244" s="2"/>
      <c r="DD244" s="1">
        <v>41123</v>
      </c>
      <c r="DE244" s="2">
        <f t="shared" si="59"/>
        <v>8.4230769230769216</v>
      </c>
      <c r="DF244" s="2">
        <f t="shared" si="67"/>
        <v>1.0631067961165046</v>
      </c>
      <c r="DG244" s="2">
        <f t="shared" si="60"/>
        <v>82.1</v>
      </c>
      <c r="DH244" s="2">
        <f t="shared" si="61"/>
        <v>0.1</v>
      </c>
      <c r="DI244" s="3">
        <f t="shared" ref="DI244:DI315" si="68">(COUNTA(B244:CZ244)/(COUNTA(B244:CZ244)+COUNTBLANK(B244:CZ244)))</f>
        <v>0.12621359223300971</v>
      </c>
    </row>
    <row r="245" spans="1:113">
      <c r="A245" s="17" t="s">
        <v>249</v>
      </c>
      <c r="J245">
        <v>3.5</v>
      </c>
      <c r="O245">
        <v>24.5</v>
      </c>
      <c r="AB245">
        <v>22</v>
      </c>
      <c r="AE245">
        <v>0.2</v>
      </c>
      <c r="AJ245">
        <v>9.5</v>
      </c>
      <c r="BC245">
        <v>2.8</v>
      </c>
      <c r="BG245">
        <v>1</v>
      </c>
      <c r="BO245">
        <v>1.5</v>
      </c>
      <c r="BQ245">
        <v>0.1</v>
      </c>
      <c r="BW245">
        <v>1.9</v>
      </c>
      <c r="BX245">
        <v>0.1</v>
      </c>
      <c r="CB245">
        <v>6.8</v>
      </c>
      <c r="CJ245">
        <v>6.8</v>
      </c>
      <c r="CY245">
        <v>0.4</v>
      </c>
      <c r="DA245" s="2"/>
      <c r="DD245" s="1">
        <v>41124</v>
      </c>
      <c r="DE245" s="2">
        <f t="shared" si="59"/>
        <v>5.7928571428571427</v>
      </c>
      <c r="DF245" s="2">
        <f t="shared" si="67"/>
        <v>0.78737864077669895</v>
      </c>
      <c r="DG245" s="2">
        <f t="shared" si="60"/>
        <v>24.5</v>
      </c>
      <c r="DH245" s="2">
        <f t="shared" si="61"/>
        <v>0.1</v>
      </c>
      <c r="DI245" s="3">
        <f t="shared" si="68"/>
        <v>0.13592233009708737</v>
      </c>
    </row>
    <row r="246" spans="1:113">
      <c r="A246" s="17" t="s">
        <v>250</v>
      </c>
      <c r="D246">
        <v>2.1</v>
      </c>
      <c r="M246">
        <v>0.1</v>
      </c>
      <c r="R246">
        <v>3.7</v>
      </c>
      <c r="AB246">
        <v>0.7</v>
      </c>
      <c r="AE246">
        <v>3</v>
      </c>
      <c r="AJ246">
        <v>3.1</v>
      </c>
      <c r="AQ246">
        <v>2.1</v>
      </c>
      <c r="AT246">
        <v>13.9</v>
      </c>
      <c r="AX246">
        <v>4.3</v>
      </c>
      <c r="BG246">
        <v>0.4</v>
      </c>
      <c r="BO246">
        <v>0.1</v>
      </c>
      <c r="BW246">
        <v>11.8</v>
      </c>
      <c r="CH246">
        <v>12.2</v>
      </c>
      <c r="CQ246">
        <v>0.3</v>
      </c>
      <c r="CY246">
        <v>0.1</v>
      </c>
      <c r="DA246" s="2"/>
      <c r="DD246" s="1">
        <v>41125</v>
      </c>
      <c r="DE246" s="2">
        <f t="shared" si="59"/>
        <v>3.86</v>
      </c>
      <c r="DF246" s="2">
        <f t="shared" si="67"/>
        <v>0.56213592233009713</v>
      </c>
      <c r="DG246" s="2">
        <f t="shared" si="60"/>
        <v>13.9</v>
      </c>
      <c r="DH246" s="2">
        <f t="shared" si="61"/>
        <v>0.1</v>
      </c>
      <c r="DI246" s="3">
        <f t="shared" si="68"/>
        <v>0.14563106796116504</v>
      </c>
    </row>
    <row r="247" spans="1:113">
      <c r="A247" s="17" t="s">
        <v>251</v>
      </c>
      <c r="D247">
        <v>15.7</v>
      </c>
      <c r="AB247">
        <v>6.5</v>
      </c>
      <c r="AI247">
        <v>1.4</v>
      </c>
      <c r="AJ247">
        <v>35</v>
      </c>
      <c r="AT247">
        <v>7.2</v>
      </c>
      <c r="BI247">
        <v>0.1</v>
      </c>
      <c r="BK247">
        <v>16.8</v>
      </c>
      <c r="BM247">
        <v>0.1</v>
      </c>
      <c r="BN247">
        <v>10.3</v>
      </c>
      <c r="BR247">
        <v>0.2</v>
      </c>
      <c r="BT247">
        <v>0.1</v>
      </c>
      <c r="CC247">
        <v>0.7</v>
      </c>
      <c r="CG247">
        <v>0.2</v>
      </c>
      <c r="CO247">
        <v>1.4</v>
      </c>
      <c r="CT247">
        <v>0.1</v>
      </c>
      <c r="CW247">
        <v>0.1</v>
      </c>
      <c r="DA247" s="2"/>
      <c r="DD247" s="1">
        <v>41126</v>
      </c>
      <c r="DE247" s="2">
        <f t="shared" si="59"/>
        <v>5.9937499999999986</v>
      </c>
      <c r="DF247" s="2">
        <f t="shared" si="67"/>
        <v>0.93106796116504831</v>
      </c>
      <c r="DG247" s="2">
        <f t="shared" si="60"/>
        <v>35</v>
      </c>
      <c r="DH247" s="2">
        <f t="shared" si="61"/>
        <v>0.1</v>
      </c>
      <c r="DI247" s="3">
        <f t="shared" si="68"/>
        <v>0.1553398058252427</v>
      </c>
    </row>
    <row r="248" spans="1:113">
      <c r="A248" s="17" t="s">
        <v>252</v>
      </c>
      <c r="G248">
        <v>0.4</v>
      </c>
      <c r="O248">
        <v>32.700000000000003</v>
      </c>
      <c r="AC248">
        <v>10</v>
      </c>
      <c r="AT248">
        <v>15.9</v>
      </c>
      <c r="BI248">
        <v>0.1</v>
      </c>
      <c r="BO248">
        <v>4.4000000000000004</v>
      </c>
      <c r="BT248">
        <v>1.8</v>
      </c>
      <c r="BU248">
        <v>0.7</v>
      </c>
      <c r="BV248">
        <v>3.6</v>
      </c>
      <c r="CC248">
        <v>0.5</v>
      </c>
      <c r="CH248">
        <v>0.7</v>
      </c>
      <c r="CR248">
        <v>6.9</v>
      </c>
      <c r="CV248">
        <v>1.8</v>
      </c>
      <c r="DA248" s="2"/>
      <c r="DD248" s="1">
        <v>41127</v>
      </c>
      <c r="DE248" s="2">
        <f t="shared" si="59"/>
        <v>6.115384615384615</v>
      </c>
      <c r="DF248" s="2">
        <f t="shared" si="67"/>
        <v>0.77184466019417475</v>
      </c>
      <c r="DG248" s="2">
        <f t="shared" si="60"/>
        <v>32.700000000000003</v>
      </c>
      <c r="DH248" s="2">
        <f t="shared" si="61"/>
        <v>0.1</v>
      </c>
      <c r="DI248" s="3">
        <f t="shared" si="68"/>
        <v>0.12621359223300971</v>
      </c>
    </row>
    <row r="249" spans="1:113">
      <c r="A249" s="17" t="s">
        <v>253</v>
      </c>
      <c r="B249">
        <v>2.5</v>
      </c>
      <c r="E249">
        <v>0.4</v>
      </c>
      <c r="F249">
        <v>0.4</v>
      </c>
      <c r="G249">
        <v>1.6</v>
      </c>
      <c r="L249">
        <v>0.2</v>
      </c>
      <c r="O249">
        <v>18.7</v>
      </c>
      <c r="P249">
        <v>1.6</v>
      </c>
      <c r="X249">
        <v>0.4</v>
      </c>
      <c r="AT249">
        <v>6.3</v>
      </c>
      <c r="AX249">
        <v>0.6</v>
      </c>
      <c r="BJ249">
        <v>0.1</v>
      </c>
      <c r="BL249">
        <v>1.6</v>
      </c>
      <c r="BM249">
        <v>0.1</v>
      </c>
      <c r="BN249">
        <v>6.5</v>
      </c>
      <c r="BO249">
        <v>0.4</v>
      </c>
      <c r="BR249">
        <v>0.6</v>
      </c>
      <c r="CO249">
        <v>23.7</v>
      </c>
      <c r="CR249">
        <v>2.4</v>
      </c>
      <c r="CV249">
        <v>1.8</v>
      </c>
      <c r="DA249" s="2"/>
      <c r="DD249" s="1">
        <v>41128</v>
      </c>
      <c r="DE249" s="2">
        <f t="shared" si="59"/>
        <v>3.6789473684210527</v>
      </c>
      <c r="DF249" s="2">
        <f t="shared" si="67"/>
        <v>0.67864077669902922</v>
      </c>
      <c r="DG249" s="2">
        <f t="shared" si="60"/>
        <v>23.7</v>
      </c>
      <c r="DH249" s="2">
        <f t="shared" si="61"/>
        <v>0.1</v>
      </c>
      <c r="DI249" s="3">
        <f t="shared" si="68"/>
        <v>0.18446601941747573</v>
      </c>
    </row>
    <row r="250" spans="1:113">
      <c r="A250" s="17" t="s">
        <v>254</v>
      </c>
      <c r="B250">
        <v>6.1</v>
      </c>
      <c r="F250">
        <v>0.2</v>
      </c>
      <c r="J250">
        <v>8.1</v>
      </c>
      <c r="O250">
        <v>88.7</v>
      </c>
      <c r="P250">
        <v>26.6</v>
      </c>
      <c r="S250">
        <v>0.6</v>
      </c>
      <c r="X250">
        <v>5.3</v>
      </c>
      <c r="AZ250">
        <v>0.6</v>
      </c>
      <c r="BJ250">
        <v>0.2</v>
      </c>
      <c r="BL250">
        <v>2.6</v>
      </c>
      <c r="BN250">
        <v>20.3</v>
      </c>
      <c r="CS250">
        <v>0.2</v>
      </c>
      <c r="CV250">
        <v>0.1</v>
      </c>
      <c r="CW250">
        <v>6</v>
      </c>
      <c r="DA250" s="2"/>
      <c r="DD250" s="1">
        <v>41129</v>
      </c>
      <c r="DE250" s="2">
        <f t="shared" si="59"/>
        <v>11.828571428571426</v>
      </c>
      <c r="DF250" s="2">
        <f t="shared" si="67"/>
        <v>1.6077669902912619</v>
      </c>
      <c r="DG250" s="2">
        <f t="shared" si="60"/>
        <v>88.7</v>
      </c>
      <c r="DH250" s="2">
        <f t="shared" si="61"/>
        <v>0.1</v>
      </c>
      <c r="DI250" s="3">
        <f t="shared" si="68"/>
        <v>0.13592233009708737</v>
      </c>
    </row>
    <row r="251" spans="1:113">
      <c r="A251" s="17" t="s">
        <v>255</v>
      </c>
      <c r="G251">
        <v>5.6</v>
      </c>
      <c r="J251">
        <v>3.2</v>
      </c>
      <c r="O251">
        <v>0.7</v>
      </c>
      <c r="P251">
        <v>0.6</v>
      </c>
      <c r="Z251">
        <v>8.8000000000000007</v>
      </c>
      <c r="AA251">
        <v>4.0999999999999996</v>
      </c>
      <c r="AB251">
        <v>1.3</v>
      </c>
      <c r="AW251">
        <v>5.9</v>
      </c>
      <c r="BJ251">
        <v>0.3</v>
      </c>
      <c r="BL251">
        <v>0.1</v>
      </c>
      <c r="BN251">
        <v>0.1</v>
      </c>
      <c r="BP251">
        <v>0.4</v>
      </c>
      <c r="BS251">
        <v>1.9</v>
      </c>
      <c r="BV251">
        <v>2.5</v>
      </c>
      <c r="CD251">
        <v>0.1</v>
      </c>
      <c r="CI251">
        <v>5.2</v>
      </c>
      <c r="CJ251">
        <v>0.3</v>
      </c>
      <c r="CO251">
        <v>3.6</v>
      </c>
      <c r="DA251" s="2"/>
      <c r="DD251" s="1">
        <v>41130</v>
      </c>
      <c r="DE251" s="2">
        <f t="shared" si="59"/>
        <v>2.4833333333333338</v>
      </c>
      <c r="DF251" s="2">
        <f t="shared" si="67"/>
        <v>0.43398058252427196</v>
      </c>
      <c r="DG251" s="2">
        <f t="shared" si="60"/>
        <v>8.8000000000000007</v>
      </c>
      <c r="DH251" s="2">
        <f t="shared" si="61"/>
        <v>0.1</v>
      </c>
      <c r="DI251" s="3">
        <f t="shared" si="68"/>
        <v>0.17475728155339806</v>
      </c>
    </row>
    <row r="252" spans="1:113">
      <c r="A252" s="17" t="s">
        <v>256</v>
      </c>
      <c r="G252">
        <v>1.4</v>
      </c>
      <c r="M252">
        <v>0.1</v>
      </c>
      <c r="N252">
        <v>0.7</v>
      </c>
      <c r="O252">
        <v>0.7</v>
      </c>
      <c r="P252">
        <v>2.2999999999999998</v>
      </c>
      <c r="Q252">
        <v>2.7</v>
      </c>
      <c r="U252">
        <v>22.5</v>
      </c>
      <c r="AA252">
        <v>12.4</v>
      </c>
      <c r="AB252">
        <v>0.2</v>
      </c>
      <c r="AL252">
        <v>1.4</v>
      </c>
      <c r="AT252">
        <v>2.1</v>
      </c>
      <c r="AW252">
        <v>7.2</v>
      </c>
      <c r="BE252">
        <v>0.2</v>
      </c>
      <c r="BJ252">
        <v>1.4</v>
      </c>
      <c r="BN252">
        <v>30.9</v>
      </c>
      <c r="BS252">
        <v>0.5</v>
      </c>
      <c r="CF252">
        <v>3.5</v>
      </c>
      <c r="CH252">
        <v>4.3</v>
      </c>
      <c r="CI252">
        <v>0.9</v>
      </c>
      <c r="CJ252">
        <v>28</v>
      </c>
      <c r="CQ252">
        <v>29.7</v>
      </c>
      <c r="CX252">
        <v>0.6</v>
      </c>
      <c r="DA252" s="2"/>
      <c r="DD252" s="1">
        <v>41131</v>
      </c>
      <c r="DE252" s="2">
        <f t="shared" si="59"/>
        <v>6.9863636363636354</v>
      </c>
      <c r="DF252" s="2">
        <f t="shared" si="67"/>
        <v>1.4922330097087377</v>
      </c>
      <c r="DG252" s="2">
        <f t="shared" si="60"/>
        <v>30.9</v>
      </c>
      <c r="DH252" s="2">
        <f t="shared" si="61"/>
        <v>0.1</v>
      </c>
      <c r="DI252" s="3">
        <f t="shared" si="68"/>
        <v>0.21359223300970873</v>
      </c>
    </row>
    <row r="253" spans="1:113">
      <c r="A253" s="17" t="s">
        <v>257</v>
      </c>
      <c r="B253">
        <v>5.5</v>
      </c>
      <c r="E253">
        <v>2.2000000000000002</v>
      </c>
      <c r="P253">
        <v>1.5</v>
      </c>
      <c r="Q253">
        <v>10.8</v>
      </c>
      <c r="U253">
        <v>2.1</v>
      </c>
      <c r="AD253">
        <v>0.3</v>
      </c>
      <c r="AO253">
        <v>23.4</v>
      </c>
      <c r="BC253">
        <v>6.6</v>
      </c>
      <c r="BE253">
        <v>7.3</v>
      </c>
      <c r="BJ253">
        <v>0.2</v>
      </c>
      <c r="CC253">
        <v>77.5</v>
      </c>
      <c r="CF253">
        <v>0.3</v>
      </c>
      <c r="CJ253">
        <v>46</v>
      </c>
      <c r="CM253">
        <v>4.2</v>
      </c>
      <c r="CQ253">
        <v>23.5</v>
      </c>
      <c r="CX253">
        <v>13.3</v>
      </c>
      <c r="CY253">
        <v>1.4</v>
      </c>
      <c r="DA253" s="2"/>
      <c r="DD253" s="1">
        <v>41132</v>
      </c>
      <c r="DE253" s="2">
        <f t="shared" si="59"/>
        <v>13.3</v>
      </c>
      <c r="DF253" s="2">
        <f t="shared" si="67"/>
        <v>2.1951456310679616</v>
      </c>
      <c r="DG253" s="2">
        <f t="shared" si="60"/>
        <v>77.5</v>
      </c>
      <c r="DH253" s="2">
        <f t="shared" si="61"/>
        <v>0.2</v>
      </c>
      <c r="DI253" s="3">
        <f t="shared" si="68"/>
        <v>0.1650485436893204</v>
      </c>
    </row>
    <row r="254" spans="1:113">
      <c r="A254" s="17" t="s">
        <v>258</v>
      </c>
      <c r="I254">
        <v>24</v>
      </c>
      <c r="AD254">
        <v>6.6</v>
      </c>
      <c r="AG254">
        <v>1.6</v>
      </c>
      <c r="BC254">
        <v>38.9</v>
      </c>
      <c r="BJ254">
        <v>0.1</v>
      </c>
      <c r="BK254">
        <v>0.1</v>
      </c>
      <c r="BM254">
        <v>3.8</v>
      </c>
      <c r="BQ254">
        <v>18.100000000000001</v>
      </c>
      <c r="BR254">
        <v>1.1000000000000001</v>
      </c>
      <c r="CC254">
        <v>1.3</v>
      </c>
      <c r="CF254">
        <v>0.4</v>
      </c>
      <c r="CJ254">
        <v>6.6</v>
      </c>
      <c r="CM254">
        <v>0.1</v>
      </c>
      <c r="CX254">
        <v>0.1</v>
      </c>
      <c r="CY254">
        <v>20.7</v>
      </c>
      <c r="DA254" s="2"/>
      <c r="DD254" s="1">
        <v>41133</v>
      </c>
      <c r="DE254" s="2">
        <f t="shared" si="59"/>
        <v>8.2333333333333307</v>
      </c>
      <c r="DF254" s="2">
        <f t="shared" si="67"/>
        <v>1.1990291262135919</v>
      </c>
      <c r="DG254" s="2">
        <f t="shared" si="60"/>
        <v>38.9</v>
      </c>
      <c r="DH254" s="2">
        <f t="shared" si="61"/>
        <v>0.1</v>
      </c>
      <c r="DI254" s="3">
        <f t="shared" si="68"/>
        <v>0.14563106796116504</v>
      </c>
    </row>
    <row r="255" spans="1:113">
      <c r="A255" s="17" t="s">
        <v>259</v>
      </c>
      <c r="J255">
        <v>11.6</v>
      </c>
      <c r="N255">
        <v>0.2</v>
      </c>
      <c r="Z255">
        <v>0.2</v>
      </c>
      <c r="AD255">
        <v>49.5</v>
      </c>
      <c r="AG255">
        <v>3.4</v>
      </c>
      <c r="AL255">
        <v>1.4</v>
      </c>
      <c r="BG255">
        <v>14.7</v>
      </c>
      <c r="BH255">
        <v>0.1</v>
      </c>
      <c r="BM255">
        <v>18</v>
      </c>
      <c r="BN255">
        <v>0.3</v>
      </c>
      <c r="BP255">
        <v>0.2</v>
      </c>
      <c r="BQ255">
        <v>4.4000000000000004</v>
      </c>
      <c r="BR255">
        <v>0.1</v>
      </c>
      <c r="BW255">
        <v>0.9</v>
      </c>
      <c r="BZ255">
        <v>14.2</v>
      </c>
      <c r="CB255">
        <v>2.2000000000000002</v>
      </c>
      <c r="CJ255">
        <v>25.5</v>
      </c>
      <c r="CN255">
        <v>21</v>
      </c>
      <c r="DA255" s="2"/>
      <c r="DD255" s="1">
        <v>41134</v>
      </c>
      <c r="DE255" s="2">
        <f t="shared" si="59"/>
        <v>9.3277777777777793</v>
      </c>
      <c r="DF255" s="2">
        <f t="shared" si="67"/>
        <v>1.6300970873786411</v>
      </c>
      <c r="DG255" s="2">
        <f t="shared" si="60"/>
        <v>49.5</v>
      </c>
      <c r="DH255" s="2">
        <f t="shared" si="61"/>
        <v>0.1</v>
      </c>
      <c r="DI255" s="3">
        <f t="shared" si="68"/>
        <v>0.17475728155339806</v>
      </c>
    </row>
    <row r="256" spans="1:113">
      <c r="A256" s="17" t="s">
        <v>260</v>
      </c>
      <c r="B256">
        <v>3.5</v>
      </c>
      <c r="AD256">
        <v>0.9</v>
      </c>
      <c r="AL256">
        <v>1.9</v>
      </c>
      <c r="AR256">
        <v>2.7</v>
      </c>
      <c r="BH256">
        <v>0.2</v>
      </c>
      <c r="BM256">
        <v>84</v>
      </c>
      <c r="BN256">
        <v>27.2</v>
      </c>
      <c r="BP256">
        <v>0.1</v>
      </c>
      <c r="BV256">
        <v>4.3</v>
      </c>
      <c r="BZ256">
        <v>0.1</v>
      </c>
      <c r="CD256">
        <v>0.3</v>
      </c>
      <c r="CJ256">
        <v>5.5</v>
      </c>
      <c r="CN256">
        <v>0.9</v>
      </c>
      <c r="DA256" s="2"/>
      <c r="DD256" s="1">
        <v>41135</v>
      </c>
      <c r="DE256" s="2">
        <f t="shared" si="59"/>
        <v>10.123076923076923</v>
      </c>
      <c r="DF256" s="2">
        <f t="shared" si="67"/>
        <v>1.2776699029126213</v>
      </c>
      <c r="DG256" s="2">
        <f t="shared" si="60"/>
        <v>84</v>
      </c>
      <c r="DH256" s="2">
        <f t="shared" si="61"/>
        <v>0.1</v>
      </c>
      <c r="DI256" s="3">
        <f t="shared" si="68"/>
        <v>0.12621359223300971</v>
      </c>
    </row>
    <row r="257" spans="1:113">
      <c r="A257" s="17" t="s">
        <v>261</v>
      </c>
      <c r="E257">
        <v>0.2</v>
      </c>
      <c r="AI257">
        <v>0.2</v>
      </c>
      <c r="AJ257">
        <v>0.6</v>
      </c>
      <c r="AL257">
        <v>1.1000000000000001</v>
      </c>
      <c r="BD257">
        <v>0.4</v>
      </c>
      <c r="BK257">
        <v>0.1</v>
      </c>
      <c r="BL257">
        <v>0.8</v>
      </c>
      <c r="BM257">
        <v>1.5</v>
      </c>
      <c r="BP257">
        <v>2.8</v>
      </c>
      <c r="BQ257">
        <v>0.2</v>
      </c>
      <c r="BT257">
        <v>2.8</v>
      </c>
      <c r="CQ257">
        <v>0.6</v>
      </c>
      <c r="CR257">
        <v>0.8</v>
      </c>
      <c r="DA257" s="2"/>
      <c r="DD257" s="1">
        <v>41136</v>
      </c>
      <c r="DE257" s="2">
        <f t="shared" si="59"/>
        <v>0.93076923076923079</v>
      </c>
      <c r="DF257" s="2">
        <f t="shared" si="67"/>
        <v>0.1174757281553398</v>
      </c>
      <c r="DG257" s="2">
        <f t="shared" si="60"/>
        <v>2.8</v>
      </c>
      <c r="DH257" s="2">
        <f t="shared" si="61"/>
        <v>0.1</v>
      </c>
      <c r="DI257" s="3">
        <f t="shared" si="68"/>
        <v>0.12621359223300971</v>
      </c>
    </row>
    <row r="258" spans="1:113">
      <c r="A258" s="17" t="s">
        <v>262</v>
      </c>
      <c r="E258">
        <v>0.2</v>
      </c>
      <c r="I258">
        <v>0.7</v>
      </c>
      <c r="Y258">
        <v>0.5</v>
      </c>
      <c r="AA258">
        <v>0.6</v>
      </c>
      <c r="BE258">
        <v>3.3</v>
      </c>
      <c r="BG258">
        <v>0.1</v>
      </c>
      <c r="BJ258">
        <v>0.1</v>
      </c>
      <c r="BK258">
        <v>0.1</v>
      </c>
      <c r="BL258">
        <v>13.5</v>
      </c>
      <c r="BZ258">
        <v>4.5</v>
      </c>
      <c r="CH258">
        <v>0.7</v>
      </c>
      <c r="CJ258">
        <v>0.1</v>
      </c>
      <c r="CO258">
        <v>0.1</v>
      </c>
      <c r="CQ258">
        <v>41.6</v>
      </c>
      <c r="DA258" s="2"/>
      <c r="DD258" s="1">
        <v>41137</v>
      </c>
      <c r="DE258" s="2">
        <f t="shared" si="59"/>
        <v>4.7214285714285706</v>
      </c>
      <c r="DF258" s="2">
        <f t="shared" si="67"/>
        <v>0.64174757281553396</v>
      </c>
      <c r="DG258" s="2">
        <f t="shared" si="60"/>
        <v>41.6</v>
      </c>
      <c r="DH258" s="2">
        <f t="shared" si="61"/>
        <v>0.1</v>
      </c>
      <c r="DI258" s="3">
        <f t="shared" si="68"/>
        <v>0.13592233009708737</v>
      </c>
    </row>
    <row r="259" spans="1:113">
      <c r="A259" s="17" t="s">
        <v>263</v>
      </c>
      <c r="I259">
        <v>2</v>
      </c>
      <c r="U259">
        <v>0.6</v>
      </c>
      <c r="Y259">
        <v>1.9</v>
      </c>
      <c r="AA259">
        <v>1.2</v>
      </c>
      <c r="AC259">
        <v>14.5</v>
      </c>
      <c r="AI259">
        <v>0.2</v>
      </c>
      <c r="AT259">
        <v>4</v>
      </c>
      <c r="AZ259">
        <v>0.3</v>
      </c>
      <c r="BP259">
        <v>0.1</v>
      </c>
      <c r="BQ259">
        <v>0.1</v>
      </c>
      <c r="BR259">
        <v>4.5999999999999996</v>
      </c>
      <c r="BZ259">
        <v>15.6</v>
      </c>
      <c r="CO259">
        <v>56.3</v>
      </c>
      <c r="CQ259">
        <v>0.7</v>
      </c>
      <c r="DA259" s="2"/>
      <c r="DD259" s="1">
        <v>41138</v>
      </c>
      <c r="DE259" s="2">
        <f t="shared" si="59"/>
        <v>7.2928571428571436</v>
      </c>
      <c r="DF259" s="2">
        <f t="shared" si="67"/>
        <v>0.99126213592233015</v>
      </c>
      <c r="DG259" s="2">
        <f t="shared" si="60"/>
        <v>56.3</v>
      </c>
      <c r="DH259" s="2">
        <f t="shared" si="61"/>
        <v>0.1</v>
      </c>
      <c r="DI259" s="3">
        <f t="shared" si="68"/>
        <v>0.13592233009708737</v>
      </c>
    </row>
    <row r="260" spans="1:113">
      <c r="A260" s="17" t="s">
        <v>264</v>
      </c>
      <c r="O260">
        <v>2.2000000000000002</v>
      </c>
      <c r="Y260">
        <v>3.8</v>
      </c>
      <c r="AE260">
        <v>1</v>
      </c>
      <c r="AS260">
        <v>12.4</v>
      </c>
      <c r="AT260">
        <v>11.5</v>
      </c>
      <c r="AZ260">
        <v>0.4</v>
      </c>
      <c r="BR260">
        <v>1.4</v>
      </c>
      <c r="BS260">
        <v>43.8</v>
      </c>
      <c r="BW260">
        <v>0.2</v>
      </c>
      <c r="CO260">
        <v>7.4</v>
      </c>
      <c r="CY260">
        <v>0.1</v>
      </c>
      <c r="DA260" s="2"/>
      <c r="DD260" s="1">
        <v>41139</v>
      </c>
      <c r="DE260" s="2">
        <f t="shared" si="59"/>
        <v>7.6545454545454552</v>
      </c>
      <c r="DF260" s="2">
        <f t="shared" si="67"/>
        <v>0.81747572815533986</v>
      </c>
      <c r="DG260" s="2">
        <f t="shared" si="60"/>
        <v>43.8</v>
      </c>
      <c r="DH260" s="2">
        <f t="shared" si="61"/>
        <v>0.1</v>
      </c>
      <c r="DI260" s="3">
        <f t="shared" si="68"/>
        <v>0.10679611650485436</v>
      </c>
    </row>
    <row r="261" spans="1:113">
      <c r="A261" s="17" t="s">
        <v>265</v>
      </c>
      <c r="F261">
        <v>0.2</v>
      </c>
      <c r="Z261">
        <v>0.8</v>
      </c>
      <c r="AG261">
        <v>13.5</v>
      </c>
      <c r="AN261">
        <v>11.7</v>
      </c>
      <c r="AP261">
        <v>0.4</v>
      </c>
      <c r="AT261">
        <v>18.5</v>
      </c>
      <c r="BG261">
        <v>26.5</v>
      </c>
      <c r="BJ261">
        <v>0.1</v>
      </c>
      <c r="BL261">
        <v>0.5</v>
      </c>
      <c r="BM261">
        <v>2.1</v>
      </c>
      <c r="BT261">
        <v>47</v>
      </c>
      <c r="CI261">
        <v>2.7</v>
      </c>
      <c r="CN261">
        <v>17.3</v>
      </c>
      <c r="CO261">
        <v>20.3</v>
      </c>
      <c r="DA261" s="2"/>
      <c r="DD261" s="1">
        <v>41140</v>
      </c>
      <c r="DE261" s="2">
        <f t="shared" si="59"/>
        <v>11.542857142857143</v>
      </c>
      <c r="DF261" s="2">
        <f t="shared" si="67"/>
        <v>1.5689320388349515</v>
      </c>
      <c r="DG261" s="2">
        <f t="shared" si="60"/>
        <v>47</v>
      </c>
      <c r="DH261" s="2">
        <f t="shared" si="61"/>
        <v>0.1</v>
      </c>
      <c r="DI261" s="3">
        <f t="shared" si="68"/>
        <v>0.13592233009708737</v>
      </c>
    </row>
    <row r="262" spans="1:113">
      <c r="A262" s="17" t="s">
        <v>266</v>
      </c>
      <c r="G262">
        <v>15.5</v>
      </c>
      <c r="I262">
        <v>8</v>
      </c>
      <c r="M262">
        <v>4.4000000000000004</v>
      </c>
      <c r="N262">
        <v>7.5</v>
      </c>
      <c r="P262">
        <v>0.3</v>
      </c>
      <c r="AD262">
        <v>2.4</v>
      </c>
      <c r="AG262">
        <v>1.8</v>
      </c>
      <c r="AP262">
        <v>31.2</v>
      </c>
      <c r="AY262">
        <v>0.9</v>
      </c>
      <c r="BD262">
        <v>1.6</v>
      </c>
      <c r="BG262">
        <v>5.2</v>
      </c>
      <c r="BQ262">
        <v>4.4000000000000004</v>
      </c>
      <c r="BW262">
        <v>0.2</v>
      </c>
      <c r="BZ262">
        <v>10.6</v>
      </c>
      <c r="CD262">
        <v>0.1</v>
      </c>
      <c r="CI262">
        <v>0.7</v>
      </c>
      <c r="CN262">
        <v>5</v>
      </c>
      <c r="CO262">
        <v>49</v>
      </c>
      <c r="DA262" s="2"/>
      <c r="DD262" s="1">
        <v>41141</v>
      </c>
      <c r="DE262" s="2">
        <f t="shared" si="59"/>
        <v>8.2666666666666675</v>
      </c>
      <c r="DF262" s="2">
        <f t="shared" si="67"/>
        <v>1.4446601941747574</v>
      </c>
      <c r="DG262" s="2">
        <f t="shared" si="60"/>
        <v>49</v>
      </c>
      <c r="DH262" s="2">
        <f t="shared" si="61"/>
        <v>0.1</v>
      </c>
      <c r="DI262" s="3">
        <f t="shared" si="68"/>
        <v>0.17475728155339806</v>
      </c>
    </row>
    <row r="263" spans="1:113">
      <c r="A263" s="17" t="s">
        <v>267</v>
      </c>
      <c r="G263">
        <v>0.4</v>
      </c>
      <c r="N263">
        <v>1.2</v>
      </c>
      <c r="AA263">
        <v>0.7</v>
      </c>
      <c r="AD263">
        <v>11.3</v>
      </c>
      <c r="AG263">
        <v>7.1</v>
      </c>
      <c r="AP263">
        <v>56</v>
      </c>
      <c r="AT263">
        <v>1.6</v>
      </c>
      <c r="AY263">
        <v>5.2</v>
      </c>
      <c r="BA263">
        <v>0.3</v>
      </c>
      <c r="BG263">
        <v>0.3</v>
      </c>
      <c r="BN263">
        <v>5</v>
      </c>
      <c r="BO263">
        <v>12.3</v>
      </c>
      <c r="BQ263">
        <v>0.2</v>
      </c>
      <c r="BW263">
        <v>1</v>
      </c>
      <c r="BZ263">
        <v>27.4</v>
      </c>
      <c r="CH263">
        <v>1.7</v>
      </c>
      <c r="CI263">
        <v>1.4</v>
      </c>
      <c r="CJ263">
        <v>4.9000000000000004</v>
      </c>
      <c r="CN263">
        <v>1.2</v>
      </c>
      <c r="CR263">
        <v>0.5</v>
      </c>
      <c r="DA263" s="2"/>
      <c r="DD263" s="1">
        <v>41142</v>
      </c>
      <c r="DE263" s="2">
        <f t="shared" si="59"/>
        <v>6.9849999999999994</v>
      </c>
      <c r="DF263" s="2">
        <f t="shared" si="67"/>
        <v>1.3563106796116504</v>
      </c>
      <c r="DG263" s="2">
        <f t="shared" si="60"/>
        <v>56</v>
      </c>
      <c r="DH263" s="2">
        <f t="shared" si="61"/>
        <v>0.2</v>
      </c>
      <c r="DI263" s="3">
        <f t="shared" si="68"/>
        <v>0.1941747572815534</v>
      </c>
    </row>
    <row r="264" spans="1:113">
      <c r="A264" s="17" t="s">
        <v>268</v>
      </c>
      <c r="E264">
        <v>0.2</v>
      </c>
      <c r="AD264">
        <v>6.6</v>
      </c>
      <c r="AF264">
        <v>0.4</v>
      </c>
      <c r="AM264">
        <v>2.9</v>
      </c>
      <c r="AP264">
        <v>5.5</v>
      </c>
      <c r="AT264">
        <v>0.3</v>
      </c>
      <c r="AV264">
        <v>21</v>
      </c>
      <c r="AY264">
        <v>19.5</v>
      </c>
      <c r="BA264">
        <v>1.4</v>
      </c>
      <c r="BD264">
        <v>1.2</v>
      </c>
      <c r="BH264">
        <v>0.2</v>
      </c>
      <c r="BN264">
        <v>5</v>
      </c>
      <c r="BO264">
        <v>7.5</v>
      </c>
      <c r="BQ264">
        <v>0.1</v>
      </c>
      <c r="BR264">
        <v>0.9</v>
      </c>
      <c r="BV264">
        <v>1.5</v>
      </c>
      <c r="BW264">
        <v>4</v>
      </c>
      <c r="BZ264">
        <v>7.7</v>
      </c>
      <c r="CW264">
        <v>0.1</v>
      </c>
      <c r="DA264" s="2"/>
      <c r="DD264" s="1">
        <v>41143</v>
      </c>
      <c r="DE264" s="2">
        <f t="shared" si="59"/>
        <v>4.5263157894736841</v>
      </c>
      <c r="DF264" s="2">
        <f t="shared" si="67"/>
        <v>0.83495145631067957</v>
      </c>
      <c r="DG264" s="2">
        <f t="shared" si="60"/>
        <v>21</v>
      </c>
      <c r="DH264" s="2">
        <f t="shared" si="61"/>
        <v>0.1</v>
      </c>
      <c r="DI264" s="3">
        <f t="shared" si="68"/>
        <v>0.18446601941747573</v>
      </c>
    </row>
    <row r="265" spans="1:113">
      <c r="A265" s="17" t="s">
        <v>269</v>
      </c>
      <c r="C265">
        <v>13.8</v>
      </c>
      <c r="G265">
        <v>0.2</v>
      </c>
      <c r="L265">
        <v>13</v>
      </c>
      <c r="Q265">
        <v>1.8</v>
      </c>
      <c r="AD265">
        <v>1.6</v>
      </c>
      <c r="AY265">
        <v>18</v>
      </c>
      <c r="BH265">
        <v>0.1</v>
      </c>
      <c r="BI265">
        <v>0.1</v>
      </c>
      <c r="BN265">
        <v>0.1</v>
      </c>
      <c r="BR265">
        <v>43</v>
      </c>
      <c r="BW265">
        <v>0.2</v>
      </c>
      <c r="BZ265">
        <v>24.5</v>
      </c>
      <c r="CC265">
        <v>0.3</v>
      </c>
      <c r="CD265">
        <v>0.2</v>
      </c>
      <c r="CI265">
        <v>6.6</v>
      </c>
      <c r="CL265">
        <v>19</v>
      </c>
      <c r="DA265" s="2"/>
      <c r="DD265" s="1">
        <v>41144</v>
      </c>
      <c r="DE265" s="2">
        <f t="shared" si="59"/>
        <v>8.90625</v>
      </c>
      <c r="DF265" s="2">
        <f t="shared" si="67"/>
        <v>1.383495145631068</v>
      </c>
      <c r="DG265" s="2">
        <f t="shared" si="60"/>
        <v>43</v>
      </c>
      <c r="DH265" s="2">
        <f t="shared" si="61"/>
        <v>0.1</v>
      </c>
      <c r="DI265" s="3">
        <f t="shared" si="68"/>
        <v>0.1553398058252427</v>
      </c>
    </row>
    <row r="266" spans="1:113">
      <c r="A266" s="17" t="s">
        <v>270</v>
      </c>
      <c r="D266">
        <v>1.6</v>
      </c>
      <c r="E266">
        <v>13</v>
      </c>
      <c r="G266">
        <v>1</v>
      </c>
      <c r="Q266">
        <v>11.6</v>
      </c>
      <c r="AG266">
        <v>0.2</v>
      </c>
      <c r="AR266">
        <v>2.4</v>
      </c>
      <c r="AU266">
        <v>5.9</v>
      </c>
      <c r="BC266">
        <v>1</v>
      </c>
      <c r="BK266">
        <v>2.5</v>
      </c>
      <c r="BN266">
        <v>0.1</v>
      </c>
      <c r="BO266">
        <v>15</v>
      </c>
      <c r="BR266">
        <v>4.5999999999999996</v>
      </c>
      <c r="BU266">
        <v>1.4</v>
      </c>
      <c r="BZ266">
        <v>1.6</v>
      </c>
      <c r="CC266">
        <v>0.2</v>
      </c>
      <c r="CI266">
        <v>0.6</v>
      </c>
      <c r="CJ266">
        <v>7.4</v>
      </c>
      <c r="CL266">
        <v>33.700000000000003</v>
      </c>
      <c r="DA266" s="2"/>
      <c r="DD266" s="1">
        <v>41145</v>
      </c>
      <c r="DE266" s="2">
        <f t="shared" si="59"/>
        <v>5.7666666666666675</v>
      </c>
      <c r="DF266" s="2">
        <f t="shared" si="67"/>
        <v>1.0077669902912623</v>
      </c>
      <c r="DG266" s="2">
        <f t="shared" si="60"/>
        <v>33.700000000000003</v>
      </c>
      <c r="DH266" s="2">
        <f t="shared" si="61"/>
        <v>0.1</v>
      </c>
      <c r="DI266" s="3">
        <f t="shared" si="68"/>
        <v>0.17475728155339806</v>
      </c>
    </row>
    <row r="267" spans="1:113">
      <c r="A267" s="17" t="s">
        <v>271</v>
      </c>
      <c r="D267">
        <v>85.4</v>
      </c>
      <c r="E267">
        <v>2.2000000000000002</v>
      </c>
      <c r="J267">
        <v>2</v>
      </c>
      <c r="AB267">
        <v>6.4</v>
      </c>
      <c r="AI267">
        <v>60.8</v>
      </c>
      <c r="AR267">
        <v>1.4</v>
      </c>
      <c r="BG267">
        <v>0.1</v>
      </c>
      <c r="BH267">
        <v>0.2</v>
      </c>
      <c r="BI267">
        <v>0.1</v>
      </c>
      <c r="BJ267">
        <v>0.8</v>
      </c>
      <c r="BK267">
        <v>1.8</v>
      </c>
      <c r="BN267">
        <v>0.1</v>
      </c>
      <c r="BO267">
        <v>0.5</v>
      </c>
      <c r="BT267">
        <v>9.9</v>
      </c>
      <c r="BU267">
        <v>18.3</v>
      </c>
      <c r="BW267">
        <v>0.7</v>
      </c>
      <c r="CJ267">
        <v>2.1</v>
      </c>
      <c r="CL267">
        <v>3.5</v>
      </c>
      <c r="DA267" s="2"/>
      <c r="DD267" s="1">
        <v>41146</v>
      </c>
      <c r="DE267" s="2">
        <f t="shared" si="59"/>
        <v>10.905555555555557</v>
      </c>
      <c r="DF267" s="2">
        <f t="shared" si="67"/>
        <v>1.9058252427184468</v>
      </c>
      <c r="DG267" s="2">
        <f t="shared" si="60"/>
        <v>85.4</v>
      </c>
      <c r="DH267" s="2">
        <f t="shared" si="61"/>
        <v>0.1</v>
      </c>
      <c r="DI267" s="3">
        <f t="shared" si="68"/>
        <v>0.17475728155339806</v>
      </c>
    </row>
    <row r="268" spans="1:113">
      <c r="A268" s="17" t="s">
        <v>272</v>
      </c>
      <c r="E268">
        <v>10</v>
      </c>
      <c r="AB268">
        <v>2.6</v>
      </c>
      <c r="AI268">
        <v>5.4</v>
      </c>
      <c r="AK268">
        <v>0.6</v>
      </c>
      <c r="AP268">
        <v>0.2</v>
      </c>
      <c r="AR268">
        <v>0.5</v>
      </c>
      <c r="BG268">
        <v>0.1</v>
      </c>
      <c r="BH268">
        <v>0.1</v>
      </c>
      <c r="BI268">
        <v>2.7</v>
      </c>
      <c r="BK268">
        <v>15.4</v>
      </c>
      <c r="BQ268">
        <v>0.1</v>
      </c>
      <c r="BU268">
        <v>1.7</v>
      </c>
      <c r="CG268">
        <v>4.3</v>
      </c>
      <c r="CK268">
        <v>0.1</v>
      </c>
      <c r="CL268">
        <v>9.5</v>
      </c>
      <c r="CM268">
        <v>12.1</v>
      </c>
      <c r="DA268" s="2"/>
      <c r="DD268" s="1">
        <v>41147</v>
      </c>
      <c r="DE268" s="2">
        <f t="shared" si="59"/>
        <v>4.0875000000000004</v>
      </c>
      <c r="DF268" s="2">
        <f t="shared" si="67"/>
        <v>0.63495145631067962</v>
      </c>
      <c r="DG268" s="2">
        <f t="shared" si="60"/>
        <v>15.4</v>
      </c>
      <c r="DH268" s="2">
        <f t="shared" si="61"/>
        <v>0.1</v>
      </c>
      <c r="DI268" s="3">
        <f t="shared" si="68"/>
        <v>0.1553398058252427</v>
      </c>
    </row>
    <row r="269" spans="1:113">
      <c r="A269" s="17" t="s">
        <v>273</v>
      </c>
      <c r="E269">
        <v>0.1</v>
      </c>
      <c r="F269">
        <v>5</v>
      </c>
      <c r="K269">
        <v>16.5</v>
      </c>
      <c r="M269">
        <v>15.3</v>
      </c>
      <c r="T269">
        <v>0.5</v>
      </c>
      <c r="AB269">
        <v>40.799999999999997</v>
      </c>
      <c r="AG269">
        <v>0.6</v>
      </c>
      <c r="AJ269">
        <v>0.2</v>
      </c>
      <c r="AK269">
        <v>44.2</v>
      </c>
      <c r="BI269">
        <v>2.7</v>
      </c>
      <c r="BK269">
        <v>0.1</v>
      </c>
      <c r="BO269">
        <v>0.4</v>
      </c>
      <c r="BP269">
        <v>0.3</v>
      </c>
      <c r="BW269">
        <v>18.100000000000001</v>
      </c>
      <c r="CG269">
        <v>7.9</v>
      </c>
      <c r="CH269">
        <v>23.4</v>
      </c>
      <c r="CL269">
        <v>10.5</v>
      </c>
      <c r="CM269">
        <v>24.2</v>
      </c>
      <c r="CY269">
        <v>11.1</v>
      </c>
      <c r="DA269" s="2"/>
      <c r="DD269" s="1">
        <v>41148</v>
      </c>
      <c r="DE269" s="2">
        <f t="shared" si="59"/>
        <v>11.678947368421053</v>
      </c>
      <c r="DF269" s="2">
        <f t="shared" si="67"/>
        <v>2.1543689320388348</v>
      </c>
      <c r="DG269" s="2">
        <f t="shared" si="60"/>
        <v>44.2</v>
      </c>
      <c r="DH269" s="2">
        <f t="shared" si="61"/>
        <v>0.1</v>
      </c>
      <c r="DI269" s="3">
        <f t="shared" si="68"/>
        <v>0.18446601941747573</v>
      </c>
    </row>
    <row r="270" spans="1:113">
      <c r="A270" s="17" t="s">
        <v>274</v>
      </c>
      <c r="D270">
        <v>13.3</v>
      </c>
      <c r="E270">
        <v>0.1</v>
      </c>
      <c r="M270">
        <v>6.5</v>
      </c>
      <c r="AB270">
        <v>3</v>
      </c>
      <c r="AD270">
        <v>0.5</v>
      </c>
      <c r="AL270">
        <v>3.2</v>
      </c>
      <c r="AP270">
        <v>0.3</v>
      </c>
      <c r="BD270">
        <v>5</v>
      </c>
      <c r="BG270">
        <v>0.2</v>
      </c>
      <c r="BJ270">
        <v>6.5</v>
      </c>
      <c r="BN270">
        <v>0.1</v>
      </c>
      <c r="BW270">
        <v>1.9</v>
      </c>
      <c r="CA270">
        <v>1.1000000000000001</v>
      </c>
      <c r="CD270">
        <v>0.1</v>
      </c>
      <c r="CG270">
        <v>5.3</v>
      </c>
      <c r="CH270">
        <v>2.8</v>
      </c>
      <c r="CS270">
        <v>8.5</v>
      </c>
      <c r="CY270">
        <v>7.5</v>
      </c>
      <c r="DA270" s="2"/>
      <c r="DD270" s="1">
        <v>41149</v>
      </c>
      <c r="DE270" s="2">
        <f t="shared" si="59"/>
        <v>3.6611111111111114</v>
      </c>
      <c r="DF270" s="2">
        <f t="shared" si="67"/>
        <v>0.63980582524271845</v>
      </c>
      <c r="DG270" s="2">
        <f t="shared" si="60"/>
        <v>13.3</v>
      </c>
      <c r="DH270" s="2">
        <f t="shared" si="61"/>
        <v>0.1</v>
      </c>
      <c r="DI270" s="3">
        <f t="shared" si="68"/>
        <v>0.17475728155339806</v>
      </c>
    </row>
    <row r="271" spans="1:113">
      <c r="A271" s="17" t="s">
        <v>275</v>
      </c>
      <c r="C271">
        <v>3.2</v>
      </c>
      <c r="D271">
        <v>14.4</v>
      </c>
      <c r="M271">
        <v>28</v>
      </c>
      <c r="O271">
        <v>3.8</v>
      </c>
      <c r="P271">
        <v>0.2</v>
      </c>
      <c r="U271">
        <v>0.4</v>
      </c>
      <c r="X271">
        <v>0.2</v>
      </c>
      <c r="AA271">
        <v>34</v>
      </c>
      <c r="AD271">
        <v>42.1</v>
      </c>
      <c r="AG271">
        <v>37.5</v>
      </c>
      <c r="AK271">
        <v>2.1</v>
      </c>
      <c r="AL271">
        <v>1.8</v>
      </c>
      <c r="AY271">
        <v>1.5</v>
      </c>
      <c r="BC271">
        <v>4.8</v>
      </c>
      <c r="BD271">
        <v>0.5</v>
      </c>
      <c r="BE271">
        <v>31.1</v>
      </c>
      <c r="BF271">
        <v>3.2</v>
      </c>
      <c r="BJ271">
        <v>1.1000000000000001</v>
      </c>
      <c r="BO271">
        <v>0.2</v>
      </c>
      <c r="BR271">
        <v>36.700000000000003</v>
      </c>
      <c r="CH271">
        <v>2.9</v>
      </c>
      <c r="CN271">
        <v>0.5</v>
      </c>
      <c r="CW271">
        <v>0.1</v>
      </c>
      <c r="DA271" s="2"/>
      <c r="DD271" s="1">
        <v>41150</v>
      </c>
      <c r="DE271" s="2">
        <f t="shared" si="59"/>
        <v>10.882608695652175</v>
      </c>
      <c r="DF271" s="2">
        <f t="shared" si="67"/>
        <v>2.4300970873786407</v>
      </c>
      <c r="DG271" s="2">
        <f t="shared" si="60"/>
        <v>42.1</v>
      </c>
      <c r="DH271" s="2">
        <f t="shared" si="61"/>
        <v>0.1</v>
      </c>
      <c r="DI271" s="3">
        <f t="shared" si="68"/>
        <v>0.22330097087378642</v>
      </c>
    </row>
    <row r="272" spans="1:113">
      <c r="A272" s="17" t="s">
        <v>276</v>
      </c>
      <c r="B272">
        <v>13.3</v>
      </c>
      <c r="D272">
        <v>1.1000000000000001</v>
      </c>
      <c r="M272">
        <v>2.5</v>
      </c>
      <c r="O272">
        <v>0.1</v>
      </c>
      <c r="Q272">
        <v>4.7</v>
      </c>
      <c r="X272">
        <v>3.8</v>
      </c>
      <c r="AD272">
        <v>0.6</v>
      </c>
      <c r="AG272">
        <v>2.7</v>
      </c>
      <c r="AS272">
        <v>27.4</v>
      </c>
      <c r="BD272">
        <v>1.5</v>
      </c>
      <c r="BG272">
        <v>0.1</v>
      </c>
      <c r="BJ272">
        <v>1.5</v>
      </c>
      <c r="BK272">
        <v>2.4</v>
      </c>
      <c r="BM272">
        <v>8.8000000000000007</v>
      </c>
      <c r="BP272">
        <v>0.2</v>
      </c>
      <c r="BQ272">
        <v>0.1</v>
      </c>
      <c r="BR272">
        <v>18</v>
      </c>
      <c r="CF272">
        <v>4.4000000000000004</v>
      </c>
      <c r="CH272">
        <v>6</v>
      </c>
      <c r="CJ272">
        <v>1.3</v>
      </c>
      <c r="CS272">
        <v>0.3</v>
      </c>
      <c r="CU272">
        <v>32.299999999999997</v>
      </c>
      <c r="DA272" s="2"/>
      <c r="DD272" s="1">
        <v>41151</v>
      </c>
      <c r="DE272" s="2">
        <f t="shared" si="59"/>
        <v>6.05</v>
      </c>
      <c r="DF272" s="2">
        <f t="shared" si="67"/>
        <v>1.2922330097087378</v>
      </c>
      <c r="DG272" s="2">
        <f t="shared" si="60"/>
        <v>32.299999999999997</v>
      </c>
      <c r="DH272" s="2">
        <f t="shared" si="61"/>
        <v>0.1</v>
      </c>
      <c r="DI272" s="3">
        <f t="shared" si="68"/>
        <v>0.21359223300970873</v>
      </c>
    </row>
    <row r="273" spans="1:113">
      <c r="A273" s="17" t="s">
        <v>277</v>
      </c>
      <c r="D273">
        <v>42.9</v>
      </c>
      <c r="L273">
        <v>0.1</v>
      </c>
      <c r="Q273">
        <v>2.2999999999999998</v>
      </c>
      <c r="AD273">
        <v>1.1000000000000001</v>
      </c>
      <c r="AG273">
        <v>0.1</v>
      </c>
      <c r="AW273">
        <v>1.8</v>
      </c>
      <c r="AZ273">
        <v>0.6</v>
      </c>
      <c r="BB273">
        <v>0.3</v>
      </c>
      <c r="BM273">
        <v>22.8</v>
      </c>
      <c r="BN273">
        <v>0.1</v>
      </c>
      <c r="BP273">
        <v>0.1</v>
      </c>
      <c r="BR273">
        <v>0.1</v>
      </c>
      <c r="BX273">
        <v>2.2999999999999998</v>
      </c>
      <c r="BY273">
        <v>0.1</v>
      </c>
      <c r="CB273">
        <v>8.5</v>
      </c>
      <c r="CD273">
        <v>29</v>
      </c>
      <c r="CO273">
        <v>1.8</v>
      </c>
      <c r="CS273">
        <v>0.5</v>
      </c>
      <c r="CV273">
        <v>0.9</v>
      </c>
      <c r="CZ273">
        <v>7.1</v>
      </c>
      <c r="DA273" s="2"/>
      <c r="DD273" s="1">
        <v>41152</v>
      </c>
      <c r="DE273" s="2">
        <f t="shared" si="59"/>
        <v>6.1249999999999982</v>
      </c>
      <c r="DF273" s="2">
        <f t="shared" si="67"/>
        <v>1.1893203883495143</v>
      </c>
      <c r="DG273" s="2">
        <f t="shared" si="60"/>
        <v>42.9</v>
      </c>
      <c r="DH273" s="2">
        <f t="shared" si="61"/>
        <v>0.1</v>
      </c>
      <c r="DI273" s="3">
        <f t="shared" si="68"/>
        <v>0.1941747572815534</v>
      </c>
    </row>
    <row r="274" spans="1:113">
      <c r="A274" s="17"/>
      <c r="B274">
        <v>1911</v>
      </c>
      <c r="C274">
        <v>1912</v>
      </c>
      <c r="D274">
        <v>1913</v>
      </c>
      <c r="E274">
        <v>1914</v>
      </c>
      <c r="F274">
        <v>1915</v>
      </c>
      <c r="G274">
        <v>1916</v>
      </c>
      <c r="H274">
        <v>1917</v>
      </c>
      <c r="I274">
        <v>1918</v>
      </c>
      <c r="J274">
        <v>1919</v>
      </c>
      <c r="K274">
        <v>1920</v>
      </c>
      <c r="L274">
        <v>1921</v>
      </c>
      <c r="M274">
        <v>1922</v>
      </c>
      <c r="N274">
        <v>1923</v>
      </c>
      <c r="O274">
        <v>1924</v>
      </c>
      <c r="P274">
        <v>1925</v>
      </c>
      <c r="Q274">
        <v>1926</v>
      </c>
      <c r="R274">
        <v>1927</v>
      </c>
      <c r="S274">
        <v>1928</v>
      </c>
      <c r="T274">
        <v>1929</v>
      </c>
      <c r="U274">
        <v>1930</v>
      </c>
      <c r="V274">
        <v>1931</v>
      </c>
      <c r="W274">
        <v>1932</v>
      </c>
      <c r="X274">
        <v>1933</v>
      </c>
      <c r="Y274">
        <v>1934</v>
      </c>
      <c r="Z274">
        <v>1935</v>
      </c>
      <c r="AA274">
        <v>1936</v>
      </c>
      <c r="AB274">
        <v>1937</v>
      </c>
      <c r="AC274">
        <v>1938</v>
      </c>
      <c r="AD274">
        <v>1939</v>
      </c>
      <c r="AE274">
        <v>1940</v>
      </c>
      <c r="AF274">
        <v>1941</v>
      </c>
      <c r="AG274">
        <v>1942</v>
      </c>
      <c r="AH274">
        <v>1943</v>
      </c>
      <c r="AI274">
        <v>1944</v>
      </c>
      <c r="AJ274">
        <v>1945</v>
      </c>
      <c r="AK274">
        <v>1946</v>
      </c>
      <c r="AL274">
        <v>1947</v>
      </c>
      <c r="AM274">
        <v>1948</v>
      </c>
      <c r="AN274">
        <v>1949</v>
      </c>
      <c r="AO274">
        <v>1950</v>
      </c>
      <c r="AP274">
        <v>1951</v>
      </c>
      <c r="AQ274">
        <v>1952</v>
      </c>
      <c r="AR274">
        <v>1953</v>
      </c>
      <c r="AS274">
        <v>1954</v>
      </c>
      <c r="AT274">
        <v>1955</v>
      </c>
      <c r="AU274">
        <v>1956</v>
      </c>
      <c r="AV274">
        <v>1957</v>
      </c>
      <c r="AW274">
        <v>1958</v>
      </c>
      <c r="AX274">
        <v>1959</v>
      </c>
      <c r="AY274">
        <v>1960</v>
      </c>
      <c r="AZ274">
        <v>1961</v>
      </c>
      <c r="BA274">
        <v>1962</v>
      </c>
      <c r="BB274">
        <v>1963</v>
      </c>
      <c r="BC274">
        <v>1964</v>
      </c>
      <c r="BD274">
        <v>1965</v>
      </c>
      <c r="BE274">
        <v>1966</v>
      </c>
      <c r="BF274">
        <v>1967</v>
      </c>
      <c r="BG274">
        <v>1968</v>
      </c>
      <c r="BH274">
        <v>1969</v>
      </c>
      <c r="BI274">
        <v>1970</v>
      </c>
      <c r="BJ274">
        <v>1971</v>
      </c>
      <c r="BK274">
        <v>1972</v>
      </c>
      <c r="BL274">
        <v>1973</v>
      </c>
      <c r="BM274">
        <v>1974</v>
      </c>
      <c r="BN274">
        <v>1975</v>
      </c>
      <c r="BO274">
        <v>1976</v>
      </c>
      <c r="BP274">
        <v>1977</v>
      </c>
      <c r="BQ274">
        <v>1978</v>
      </c>
      <c r="BR274">
        <v>1979</v>
      </c>
      <c r="BS274">
        <v>1980</v>
      </c>
      <c r="BT274">
        <v>1981</v>
      </c>
      <c r="BU274">
        <v>1982</v>
      </c>
      <c r="BV274">
        <v>1983</v>
      </c>
      <c r="BW274">
        <v>1984</v>
      </c>
      <c r="BX274">
        <v>1985</v>
      </c>
      <c r="BY274">
        <v>1986</v>
      </c>
      <c r="BZ274">
        <v>1987</v>
      </c>
      <c r="CA274">
        <v>1988</v>
      </c>
      <c r="CB274">
        <v>1989</v>
      </c>
      <c r="CC274">
        <v>1990</v>
      </c>
      <c r="CD274">
        <v>1991</v>
      </c>
      <c r="CE274">
        <v>1992</v>
      </c>
      <c r="CF274">
        <v>1993</v>
      </c>
      <c r="CG274">
        <v>1994</v>
      </c>
      <c r="CH274">
        <v>1995</v>
      </c>
      <c r="CI274">
        <v>1996</v>
      </c>
      <c r="CJ274">
        <v>1997</v>
      </c>
      <c r="CK274">
        <v>1998</v>
      </c>
      <c r="CL274">
        <v>1999</v>
      </c>
      <c r="CM274">
        <v>2000</v>
      </c>
      <c r="CN274">
        <v>2001</v>
      </c>
      <c r="CO274">
        <v>2002</v>
      </c>
      <c r="CP274">
        <v>2003</v>
      </c>
      <c r="CQ274">
        <v>2004</v>
      </c>
      <c r="CR274">
        <v>2005</v>
      </c>
      <c r="CS274">
        <v>2006</v>
      </c>
      <c r="CT274">
        <v>2007</v>
      </c>
      <c r="CU274">
        <v>2008</v>
      </c>
      <c r="CV274">
        <v>2009</v>
      </c>
      <c r="CW274">
        <v>2010</v>
      </c>
      <c r="CX274">
        <v>2011</v>
      </c>
      <c r="CY274">
        <v>2012</v>
      </c>
      <c r="CZ274">
        <v>2013</v>
      </c>
      <c r="DA274" s="2"/>
      <c r="DD274" s="1"/>
    </row>
    <row r="275" spans="1:113">
      <c r="A275" s="17" t="s">
        <v>30</v>
      </c>
      <c r="B275">
        <f>SUM(B243:B273)</f>
        <v>30.900000000000002</v>
      </c>
      <c r="C275">
        <f>SUM(C243:C273)</f>
        <v>17</v>
      </c>
      <c r="D275">
        <f>SUM(D243:D273)</f>
        <v>177.1</v>
      </c>
      <c r="E275">
        <f t="shared" ref="E275:BP275" si="69">SUM(E243:E273)</f>
        <v>140.6</v>
      </c>
      <c r="F275">
        <f t="shared" si="69"/>
        <v>5.8</v>
      </c>
      <c r="G275">
        <f t="shared" si="69"/>
        <v>26.099999999999998</v>
      </c>
      <c r="H275">
        <f t="shared" si="69"/>
        <v>0</v>
      </c>
      <c r="I275">
        <f t="shared" si="69"/>
        <v>34.700000000000003</v>
      </c>
      <c r="J275">
        <f t="shared" si="69"/>
        <v>28.4</v>
      </c>
      <c r="K275">
        <f t="shared" si="69"/>
        <v>16.5</v>
      </c>
      <c r="L275">
        <f t="shared" si="69"/>
        <v>13.299999999999999</v>
      </c>
      <c r="M275">
        <f t="shared" si="69"/>
        <v>57.2</v>
      </c>
      <c r="N275">
        <f t="shared" si="69"/>
        <v>9.6</v>
      </c>
      <c r="O275">
        <f t="shared" si="69"/>
        <v>172.1</v>
      </c>
      <c r="P275">
        <f t="shared" si="69"/>
        <v>33.100000000000009</v>
      </c>
      <c r="Q275">
        <f t="shared" si="69"/>
        <v>33.9</v>
      </c>
      <c r="R275">
        <f t="shared" si="69"/>
        <v>3.7</v>
      </c>
      <c r="S275">
        <f t="shared" si="69"/>
        <v>0.6</v>
      </c>
      <c r="T275">
        <f t="shared" si="69"/>
        <v>0.5</v>
      </c>
      <c r="U275">
        <f t="shared" si="69"/>
        <v>25.6</v>
      </c>
      <c r="V275">
        <f t="shared" si="69"/>
        <v>0</v>
      </c>
      <c r="W275">
        <f t="shared" si="69"/>
        <v>0</v>
      </c>
      <c r="X275">
        <f t="shared" si="69"/>
        <v>9.6999999999999993</v>
      </c>
      <c r="Y275">
        <f t="shared" si="69"/>
        <v>6.1999999999999993</v>
      </c>
      <c r="Z275">
        <f t="shared" si="69"/>
        <v>9.8000000000000007</v>
      </c>
      <c r="AA275">
        <f t="shared" si="69"/>
        <v>53</v>
      </c>
      <c r="AB275">
        <f t="shared" si="69"/>
        <v>83.5</v>
      </c>
      <c r="AC275">
        <f t="shared" si="69"/>
        <v>24.5</v>
      </c>
      <c r="AD275">
        <f t="shared" si="69"/>
        <v>123.49999999999997</v>
      </c>
      <c r="AE275">
        <f t="shared" si="69"/>
        <v>4.2</v>
      </c>
      <c r="AF275">
        <f t="shared" si="69"/>
        <v>0.4</v>
      </c>
      <c r="AG275">
        <f t="shared" si="69"/>
        <v>68.5</v>
      </c>
      <c r="AH275">
        <f t="shared" si="69"/>
        <v>0</v>
      </c>
      <c r="AI275">
        <f t="shared" si="69"/>
        <v>68</v>
      </c>
      <c r="AJ275">
        <f t="shared" si="69"/>
        <v>49.400000000000006</v>
      </c>
      <c r="AK275">
        <f t="shared" si="69"/>
        <v>46.900000000000006</v>
      </c>
      <c r="AL275">
        <f t="shared" si="69"/>
        <v>10.8</v>
      </c>
      <c r="AM275">
        <f t="shared" si="69"/>
        <v>2.9</v>
      </c>
      <c r="AN275">
        <f t="shared" si="69"/>
        <v>11.7</v>
      </c>
      <c r="AO275">
        <f t="shared" si="69"/>
        <v>23.4</v>
      </c>
      <c r="AP275">
        <f t="shared" si="69"/>
        <v>93.6</v>
      </c>
      <c r="AQ275">
        <f t="shared" si="69"/>
        <v>2.1</v>
      </c>
      <c r="AR275">
        <f t="shared" si="69"/>
        <v>7</v>
      </c>
      <c r="AS275">
        <f t="shared" si="69"/>
        <v>39.799999999999997</v>
      </c>
      <c r="AT275">
        <f t="shared" si="69"/>
        <v>81.599999999999994</v>
      </c>
      <c r="AU275">
        <f t="shared" si="69"/>
        <v>5.9</v>
      </c>
      <c r="AV275">
        <f t="shared" si="69"/>
        <v>21</v>
      </c>
      <c r="AW275">
        <f t="shared" si="69"/>
        <v>14.900000000000002</v>
      </c>
      <c r="AX275">
        <f t="shared" si="69"/>
        <v>4.8999999999999995</v>
      </c>
      <c r="AY275">
        <f t="shared" si="69"/>
        <v>45.1</v>
      </c>
      <c r="AZ275">
        <f t="shared" si="69"/>
        <v>1.9</v>
      </c>
      <c r="BA275">
        <f t="shared" si="69"/>
        <v>1.7</v>
      </c>
      <c r="BB275">
        <f t="shared" si="69"/>
        <v>0.3</v>
      </c>
      <c r="BC275">
        <f t="shared" si="69"/>
        <v>54.099999999999994</v>
      </c>
      <c r="BD275">
        <f t="shared" si="69"/>
        <v>10.199999999999999</v>
      </c>
      <c r="BE275">
        <f t="shared" si="69"/>
        <v>41.900000000000006</v>
      </c>
      <c r="BF275">
        <f t="shared" si="69"/>
        <v>3.2</v>
      </c>
      <c r="BG275">
        <f t="shared" si="69"/>
        <v>48.70000000000001</v>
      </c>
      <c r="BH275">
        <f t="shared" si="69"/>
        <v>0.9</v>
      </c>
      <c r="BI275">
        <f t="shared" si="69"/>
        <v>5.8000000000000007</v>
      </c>
      <c r="BJ275">
        <f t="shared" si="69"/>
        <v>12.4</v>
      </c>
      <c r="BK275">
        <f t="shared" si="69"/>
        <v>39.400000000000006</v>
      </c>
      <c r="BL275">
        <f t="shared" si="69"/>
        <v>22.4</v>
      </c>
      <c r="BM275">
        <f t="shared" si="69"/>
        <v>141.19999999999999</v>
      </c>
      <c r="BN275">
        <f t="shared" si="69"/>
        <v>106.89999999999998</v>
      </c>
      <c r="BO275">
        <f t="shared" si="69"/>
        <v>42.4</v>
      </c>
      <c r="BP275">
        <f t="shared" si="69"/>
        <v>4.1999999999999993</v>
      </c>
      <c r="BQ275">
        <f t="shared" ref="BQ275:CZ275" si="70">SUM(BQ243:BQ273)</f>
        <v>38.600000000000009</v>
      </c>
      <c r="BR275">
        <f t="shared" si="70"/>
        <v>111.3</v>
      </c>
      <c r="BS275">
        <f t="shared" si="70"/>
        <v>53.9</v>
      </c>
      <c r="BT275">
        <f t="shared" si="70"/>
        <v>61.6</v>
      </c>
      <c r="BU275">
        <f t="shared" si="70"/>
        <v>30.599999999999998</v>
      </c>
      <c r="BV275">
        <f t="shared" si="70"/>
        <v>11.899999999999999</v>
      </c>
      <c r="BW275">
        <f t="shared" si="70"/>
        <v>40.9</v>
      </c>
      <c r="BX275">
        <f t="shared" si="70"/>
        <v>2.4</v>
      </c>
      <c r="BY275">
        <f t="shared" si="70"/>
        <v>0.1</v>
      </c>
      <c r="BZ275">
        <f t="shared" si="70"/>
        <v>106.2</v>
      </c>
      <c r="CA275">
        <f t="shared" si="70"/>
        <v>1.1000000000000001</v>
      </c>
      <c r="CB275">
        <f t="shared" si="70"/>
        <v>17.5</v>
      </c>
      <c r="CC275">
        <f t="shared" si="70"/>
        <v>80.5</v>
      </c>
      <c r="CD275">
        <f t="shared" si="70"/>
        <v>29.8</v>
      </c>
      <c r="CE275">
        <f t="shared" si="70"/>
        <v>0</v>
      </c>
      <c r="CF275">
        <f t="shared" si="70"/>
        <v>8.6000000000000014</v>
      </c>
      <c r="CG275">
        <f t="shared" si="70"/>
        <v>24.2</v>
      </c>
      <c r="CH275">
        <f t="shared" si="70"/>
        <v>54.699999999999996</v>
      </c>
      <c r="CI275">
        <f t="shared" si="70"/>
        <v>18.100000000000001</v>
      </c>
      <c r="CJ275">
        <f t="shared" si="70"/>
        <v>134.5</v>
      </c>
      <c r="CK275">
        <f t="shared" si="70"/>
        <v>0.1</v>
      </c>
      <c r="CL275">
        <f t="shared" si="70"/>
        <v>76.2</v>
      </c>
      <c r="CM275">
        <f t="shared" si="70"/>
        <v>45.8</v>
      </c>
      <c r="CN275">
        <f t="shared" si="70"/>
        <v>46.6</v>
      </c>
      <c r="CO275">
        <f t="shared" si="70"/>
        <v>164.70000000000002</v>
      </c>
      <c r="CP275">
        <f t="shared" si="70"/>
        <v>0</v>
      </c>
      <c r="CQ275">
        <f t="shared" si="70"/>
        <v>96.4</v>
      </c>
      <c r="CR275">
        <f t="shared" si="70"/>
        <v>10.600000000000001</v>
      </c>
      <c r="CS275">
        <f t="shared" si="70"/>
        <v>9.5</v>
      </c>
      <c r="CT275">
        <f t="shared" si="70"/>
        <v>7.6999999999999993</v>
      </c>
      <c r="CU275">
        <f t="shared" si="70"/>
        <v>32.299999999999997</v>
      </c>
      <c r="CV275">
        <f t="shared" si="70"/>
        <v>6.4</v>
      </c>
      <c r="CW275">
        <f t="shared" si="70"/>
        <v>6.2999999999999989</v>
      </c>
      <c r="CX275">
        <f t="shared" si="70"/>
        <v>14</v>
      </c>
      <c r="CY275">
        <f t="shared" si="70"/>
        <v>45</v>
      </c>
      <c r="CZ275">
        <f t="shared" si="70"/>
        <v>11.899999999999999</v>
      </c>
      <c r="DA275" s="2"/>
      <c r="DD275" s="1"/>
    </row>
    <row r="276" spans="1:113">
      <c r="A276" s="17" t="s">
        <v>4</v>
      </c>
      <c r="B276">
        <f>MAX(B243:B273)</f>
        <v>13.3</v>
      </c>
      <c r="C276">
        <f>MAX(C243:C273)</f>
        <v>13.8</v>
      </c>
      <c r="D276">
        <f>MAX(D243:D273)</f>
        <v>85.4</v>
      </c>
      <c r="E276">
        <f t="shared" ref="E276:BP276" si="71">MAX(E243:E273)</f>
        <v>82.1</v>
      </c>
      <c r="F276">
        <f t="shared" si="71"/>
        <v>5</v>
      </c>
      <c r="G276">
        <f t="shared" si="71"/>
        <v>15.5</v>
      </c>
      <c r="H276">
        <f t="shared" si="71"/>
        <v>0</v>
      </c>
      <c r="I276">
        <f t="shared" si="71"/>
        <v>24</v>
      </c>
      <c r="J276">
        <f t="shared" si="71"/>
        <v>11.6</v>
      </c>
      <c r="K276">
        <f t="shared" si="71"/>
        <v>16.5</v>
      </c>
      <c r="L276">
        <f t="shared" si="71"/>
        <v>13</v>
      </c>
      <c r="M276">
        <f t="shared" si="71"/>
        <v>28</v>
      </c>
      <c r="N276">
        <f t="shared" si="71"/>
        <v>7.5</v>
      </c>
      <c r="O276">
        <f t="shared" si="71"/>
        <v>88.7</v>
      </c>
      <c r="P276">
        <f t="shared" si="71"/>
        <v>26.6</v>
      </c>
      <c r="Q276">
        <f t="shared" si="71"/>
        <v>11.6</v>
      </c>
      <c r="R276">
        <f t="shared" si="71"/>
        <v>3.7</v>
      </c>
      <c r="S276">
        <f t="shared" si="71"/>
        <v>0.6</v>
      </c>
      <c r="T276">
        <f t="shared" si="71"/>
        <v>0.5</v>
      </c>
      <c r="U276">
        <f t="shared" si="71"/>
        <v>22.5</v>
      </c>
      <c r="V276">
        <f t="shared" si="71"/>
        <v>0</v>
      </c>
      <c r="W276">
        <f t="shared" si="71"/>
        <v>0</v>
      </c>
      <c r="X276">
        <f t="shared" si="71"/>
        <v>5.3</v>
      </c>
      <c r="Y276">
        <f t="shared" si="71"/>
        <v>3.8</v>
      </c>
      <c r="Z276">
        <f t="shared" si="71"/>
        <v>8.8000000000000007</v>
      </c>
      <c r="AA276">
        <f t="shared" si="71"/>
        <v>34</v>
      </c>
      <c r="AB276">
        <f t="shared" si="71"/>
        <v>40.799999999999997</v>
      </c>
      <c r="AC276">
        <f t="shared" si="71"/>
        <v>14.5</v>
      </c>
      <c r="AD276">
        <f t="shared" si="71"/>
        <v>49.5</v>
      </c>
      <c r="AE276">
        <f t="shared" si="71"/>
        <v>3</v>
      </c>
      <c r="AF276">
        <f t="shared" si="71"/>
        <v>0.4</v>
      </c>
      <c r="AG276">
        <f t="shared" si="71"/>
        <v>37.5</v>
      </c>
      <c r="AH276">
        <f t="shared" si="71"/>
        <v>0</v>
      </c>
      <c r="AI276">
        <f t="shared" si="71"/>
        <v>60.8</v>
      </c>
      <c r="AJ276">
        <f t="shared" si="71"/>
        <v>35</v>
      </c>
      <c r="AK276">
        <f t="shared" si="71"/>
        <v>44.2</v>
      </c>
      <c r="AL276">
        <f t="shared" si="71"/>
        <v>3.2</v>
      </c>
      <c r="AM276">
        <f t="shared" si="71"/>
        <v>2.9</v>
      </c>
      <c r="AN276">
        <f t="shared" si="71"/>
        <v>11.7</v>
      </c>
      <c r="AO276">
        <f t="shared" si="71"/>
        <v>23.4</v>
      </c>
      <c r="AP276">
        <f t="shared" si="71"/>
        <v>56</v>
      </c>
      <c r="AQ276">
        <f t="shared" si="71"/>
        <v>2.1</v>
      </c>
      <c r="AR276">
        <f t="shared" si="71"/>
        <v>2.7</v>
      </c>
      <c r="AS276">
        <f t="shared" si="71"/>
        <v>27.4</v>
      </c>
      <c r="AT276">
        <f t="shared" si="71"/>
        <v>18.5</v>
      </c>
      <c r="AU276">
        <f t="shared" si="71"/>
        <v>5.9</v>
      </c>
      <c r="AV276">
        <f t="shared" si="71"/>
        <v>21</v>
      </c>
      <c r="AW276">
        <f t="shared" si="71"/>
        <v>7.2</v>
      </c>
      <c r="AX276">
        <f t="shared" si="71"/>
        <v>4.3</v>
      </c>
      <c r="AY276">
        <f t="shared" si="71"/>
        <v>19.5</v>
      </c>
      <c r="AZ276">
        <f t="shared" si="71"/>
        <v>0.6</v>
      </c>
      <c r="BA276">
        <f t="shared" si="71"/>
        <v>1.4</v>
      </c>
      <c r="BB276">
        <f t="shared" si="71"/>
        <v>0.3</v>
      </c>
      <c r="BC276">
        <f t="shared" si="71"/>
        <v>38.9</v>
      </c>
      <c r="BD276">
        <f t="shared" si="71"/>
        <v>5</v>
      </c>
      <c r="BE276">
        <f t="shared" si="71"/>
        <v>31.1</v>
      </c>
      <c r="BF276">
        <f t="shared" si="71"/>
        <v>3.2</v>
      </c>
      <c r="BG276">
        <f t="shared" si="71"/>
        <v>26.5</v>
      </c>
      <c r="BH276">
        <f t="shared" si="71"/>
        <v>0.2</v>
      </c>
      <c r="BI276">
        <f t="shared" si="71"/>
        <v>2.7</v>
      </c>
      <c r="BJ276">
        <f t="shared" si="71"/>
        <v>6.5</v>
      </c>
      <c r="BK276">
        <f t="shared" si="71"/>
        <v>16.8</v>
      </c>
      <c r="BL276">
        <f t="shared" si="71"/>
        <v>13.5</v>
      </c>
      <c r="BM276">
        <f t="shared" si="71"/>
        <v>84</v>
      </c>
      <c r="BN276">
        <f t="shared" si="71"/>
        <v>30.9</v>
      </c>
      <c r="BO276">
        <f t="shared" si="71"/>
        <v>15</v>
      </c>
      <c r="BP276">
        <f t="shared" si="71"/>
        <v>2.8</v>
      </c>
      <c r="BQ276">
        <f t="shared" ref="BQ276:CZ276" si="72">MAX(BQ243:BQ273)</f>
        <v>18.100000000000001</v>
      </c>
      <c r="BR276">
        <f t="shared" si="72"/>
        <v>43</v>
      </c>
      <c r="BS276">
        <f t="shared" si="72"/>
        <v>43.8</v>
      </c>
      <c r="BT276">
        <f t="shared" si="72"/>
        <v>47</v>
      </c>
      <c r="BU276">
        <f t="shared" si="72"/>
        <v>18.3</v>
      </c>
      <c r="BV276">
        <f t="shared" si="72"/>
        <v>4.3</v>
      </c>
      <c r="BW276">
        <f t="shared" si="72"/>
        <v>18.100000000000001</v>
      </c>
      <c r="BX276">
        <f t="shared" si="72"/>
        <v>2.2999999999999998</v>
      </c>
      <c r="BY276">
        <f t="shared" si="72"/>
        <v>0.1</v>
      </c>
      <c r="BZ276">
        <f t="shared" si="72"/>
        <v>27.4</v>
      </c>
      <c r="CA276">
        <f t="shared" si="72"/>
        <v>1.1000000000000001</v>
      </c>
      <c r="CB276">
        <f t="shared" si="72"/>
        <v>8.5</v>
      </c>
      <c r="CC276">
        <f t="shared" si="72"/>
        <v>77.5</v>
      </c>
      <c r="CD276">
        <f t="shared" si="72"/>
        <v>29</v>
      </c>
      <c r="CE276">
        <f t="shared" si="72"/>
        <v>0</v>
      </c>
      <c r="CF276">
        <f t="shared" si="72"/>
        <v>4.4000000000000004</v>
      </c>
      <c r="CG276">
        <f t="shared" si="72"/>
        <v>7.9</v>
      </c>
      <c r="CH276">
        <f t="shared" si="72"/>
        <v>23.4</v>
      </c>
      <c r="CI276">
        <f t="shared" si="72"/>
        <v>6.6</v>
      </c>
      <c r="CJ276">
        <f t="shared" si="72"/>
        <v>46</v>
      </c>
      <c r="CK276">
        <f t="shared" si="72"/>
        <v>0.1</v>
      </c>
      <c r="CL276">
        <f t="shared" si="72"/>
        <v>33.700000000000003</v>
      </c>
      <c r="CM276">
        <f t="shared" si="72"/>
        <v>24.2</v>
      </c>
      <c r="CN276">
        <f t="shared" si="72"/>
        <v>21</v>
      </c>
      <c r="CO276">
        <f t="shared" si="72"/>
        <v>56.3</v>
      </c>
      <c r="CP276">
        <f t="shared" si="72"/>
        <v>0</v>
      </c>
      <c r="CQ276">
        <f t="shared" si="72"/>
        <v>41.6</v>
      </c>
      <c r="CR276">
        <f t="shared" si="72"/>
        <v>6.9</v>
      </c>
      <c r="CS276">
        <f t="shared" si="72"/>
        <v>8.5</v>
      </c>
      <c r="CT276">
        <f t="shared" si="72"/>
        <v>6.8</v>
      </c>
      <c r="CU276">
        <f t="shared" si="72"/>
        <v>32.299999999999997</v>
      </c>
      <c r="CV276">
        <f t="shared" si="72"/>
        <v>1.8</v>
      </c>
      <c r="CW276">
        <f t="shared" si="72"/>
        <v>6</v>
      </c>
      <c r="CX276">
        <f t="shared" si="72"/>
        <v>13.3</v>
      </c>
      <c r="CY276">
        <f t="shared" si="72"/>
        <v>20.7</v>
      </c>
      <c r="CZ276">
        <f t="shared" si="72"/>
        <v>7.1</v>
      </c>
      <c r="DA276" s="2"/>
      <c r="DD276" s="1"/>
    </row>
    <row r="277" spans="1:113">
      <c r="A277" s="17"/>
      <c r="DA277" s="2"/>
      <c r="DD277" s="1"/>
    </row>
    <row r="278" spans="1:113">
      <c r="A278" s="17" t="s">
        <v>278</v>
      </c>
      <c r="B278">
        <v>7.6</v>
      </c>
      <c r="D278">
        <v>2.5</v>
      </c>
      <c r="F278">
        <v>2.9</v>
      </c>
      <c r="I278">
        <v>8.1999999999999993</v>
      </c>
      <c r="N278">
        <v>0.2</v>
      </c>
      <c r="Q278">
        <v>7.5</v>
      </c>
      <c r="S278">
        <v>1.2</v>
      </c>
      <c r="T278">
        <v>1.7</v>
      </c>
      <c r="AA278">
        <v>3.7</v>
      </c>
      <c r="AB278">
        <v>3.6</v>
      </c>
      <c r="AE278">
        <v>11.6</v>
      </c>
      <c r="AF278">
        <v>14.2</v>
      </c>
      <c r="AH278">
        <v>7.5</v>
      </c>
      <c r="AL278">
        <v>10.7</v>
      </c>
      <c r="AW278">
        <v>16.8</v>
      </c>
      <c r="AX278">
        <v>7.5</v>
      </c>
      <c r="AY278">
        <v>3.6</v>
      </c>
      <c r="AZ278">
        <v>1.5</v>
      </c>
      <c r="BB278">
        <v>11.6</v>
      </c>
      <c r="BC278">
        <v>14.2</v>
      </c>
      <c r="BE278">
        <v>4.5999999999999996</v>
      </c>
      <c r="BG278">
        <v>0.6</v>
      </c>
      <c r="BJ278">
        <v>3.4</v>
      </c>
      <c r="BM278">
        <v>12</v>
      </c>
      <c r="BN278">
        <v>0.2</v>
      </c>
      <c r="BQ278">
        <v>3.6</v>
      </c>
      <c r="BT278">
        <v>16.8</v>
      </c>
      <c r="BU278">
        <v>7.5</v>
      </c>
      <c r="BW278">
        <v>1.5</v>
      </c>
      <c r="CD278">
        <v>35.5</v>
      </c>
      <c r="CG278">
        <v>3.4</v>
      </c>
      <c r="CH278">
        <v>5.2</v>
      </c>
      <c r="CJ278">
        <v>1</v>
      </c>
      <c r="CL278">
        <v>4</v>
      </c>
      <c r="CO278">
        <v>37.799999999999997</v>
      </c>
      <c r="CQ278">
        <v>0.4</v>
      </c>
      <c r="CS278">
        <v>32.299999999999997</v>
      </c>
      <c r="CT278">
        <v>0.2</v>
      </c>
      <c r="CV278">
        <v>5</v>
      </c>
      <c r="CW278">
        <v>8</v>
      </c>
      <c r="DA278" s="2"/>
      <c r="DD278" s="1">
        <v>41153</v>
      </c>
      <c r="DE278" s="2">
        <f t="shared" si="59"/>
        <v>8.0324999999999989</v>
      </c>
      <c r="DF278" s="2">
        <f t="shared" ref="DF278:DF307" si="73">SUM(B278:DA278)/(COUNTA(B278:CZ278)+COUNTBLANK(B278:CZ278))</f>
        <v>3.119417475728155</v>
      </c>
      <c r="DG278" s="2">
        <f t="shared" si="60"/>
        <v>37.799999999999997</v>
      </c>
      <c r="DH278" s="2">
        <f t="shared" si="61"/>
        <v>0.2</v>
      </c>
      <c r="DI278" s="3">
        <f t="shared" si="68"/>
        <v>0.38834951456310679</v>
      </c>
    </row>
    <row r="279" spans="1:113">
      <c r="A279" s="17" t="s">
        <v>279</v>
      </c>
      <c r="B279">
        <v>0.3</v>
      </c>
      <c r="G279">
        <v>0.1</v>
      </c>
      <c r="J279">
        <v>5.4</v>
      </c>
      <c r="AB279">
        <v>16</v>
      </c>
      <c r="AE279">
        <v>32.9</v>
      </c>
      <c r="AF279">
        <v>3.7</v>
      </c>
      <c r="AJ279">
        <v>0.2</v>
      </c>
      <c r="AS279">
        <v>2.2000000000000002</v>
      </c>
      <c r="AW279">
        <v>0.3</v>
      </c>
      <c r="AY279">
        <v>16</v>
      </c>
      <c r="BB279">
        <v>32.9</v>
      </c>
      <c r="BC279">
        <v>2.7</v>
      </c>
      <c r="BE279">
        <v>1.2</v>
      </c>
      <c r="BG279">
        <v>5.8</v>
      </c>
      <c r="BI279">
        <v>0.1</v>
      </c>
      <c r="BJ279">
        <v>0.1</v>
      </c>
      <c r="BK279">
        <v>3.8</v>
      </c>
      <c r="BM279">
        <v>0.2</v>
      </c>
      <c r="BO279">
        <v>4.2</v>
      </c>
      <c r="BP279">
        <v>2.2000000000000002</v>
      </c>
      <c r="BR279">
        <v>0.7</v>
      </c>
      <c r="BS279">
        <v>7.6</v>
      </c>
      <c r="BT279">
        <v>0.3</v>
      </c>
      <c r="BX279">
        <v>0.1</v>
      </c>
      <c r="BY279">
        <v>16.899999999999999</v>
      </c>
      <c r="CD279">
        <v>11.3</v>
      </c>
      <c r="CF279">
        <v>16.5</v>
      </c>
      <c r="CG279">
        <v>0.1</v>
      </c>
      <c r="CH279">
        <v>3.8</v>
      </c>
      <c r="CJ279">
        <v>5.5</v>
      </c>
      <c r="CL279">
        <v>4.5</v>
      </c>
      <c r="CO279">
        <v>15.5</v>
      </c>
      <c r="CR279">
        <v>0.1</v>
      </c>
      <c r="CS279">
        <v>5.9</v>
      </c>
      <c r="DA279" s="2"/>
      <c r="DD279" s="1">
        <v>41154</v>
      </c>
      <c r="DE279" s="2">
        <f t="shared" si="59"/>
        <v>6.4441176470588237</v>
      </c>
      <c r="DF279" s="2">
        <f t="shared" si="73"/>
        <v>2.1271844660194175</v>
      </c>
      <c r="DG279" s="2">
        <f t="shared" si="60"/>
        <v>32.9</v>
      </c>
      <c r="DH279" s="2">
        <f t="shared" si="61"/>
        <v>0.1</v>
      </c>
      <c r="DI279" s="3">
        <f t="shared" si="68"/>
        <v>0.3300970873786408</v>
      </c>
    </row>
    <row r="280" spans="1:113">
      <c r="A280" s="17" t="s">
        <v>280</v>
      </c>
      <c r="C280">
        <v>0.4</v>
      </c>
      <c r="D280">
        <v>2.5</v>
      </c>
      <c r="E280">
        <v>0.5</v>
      </c>
      <c r="G280">
        <v>0.7</v>
      </c>
      <c r="J280">
        <v>31.2</v>
      </c>
      <c r="S280">
        <v>0.6</v>
      </c>
      <c r="T280">
        <v>5.9</v>
      </c>
      <c r="V280">
        <v>37</v>
      </c>
      <c r="Y280">
        <v>1</v>
      </c>
      <c r="AB280">
        <v>6.7</v>
      </c>
      <c r="AF280">
        <v>0.1</v>
      </c>
      <c r="AL280">
        <v>2.2000000000000002</v>
      </c>
      <c r="AS280">
        <v>10.8</v>
      </c>
      <c r="AV280">
        <v>1</v>
      </c>
      <c r="AW280">
        <v>9.3000000000000007</v>
      </c>
      <c r="AY280">
        <v>6.7</v>
      </c>
      <c r="BC280">
        <v>2.2999999999999998</v>
      </c>
      <c r="BG280">
        <v>18.100000000000001</v>
      </c>
      <c r="BI280">
        <v>2.2999999999999998</v>
      </c>
      <c r="BM280">
        <v>0.2</v>
      </c>
      <c r="BP280">
        <v>10.8</v>
      </c>
      <c r="BS280">
        <v>27.7</v>
      </c>
      <c r="BT280">
        <v>9.3000000000000007</v>
      </c>
      <c r="BU280">
        <v>1.5</v>
      </c>
      <c r="BY280">
        <v>0.1</v>
      </c>
      <c r="CC280">
        <v>12.3</v>
      </c>
      <c r="CD280">
        <v>2.4</v>
      </c>
      <c r="CF280">
        <v>2.2999999999999998</v>
      </c>
      <c r="CI280">
        <v>8.3000000000000007</v>
      </c>
      <c r="CP280">
        <v>0.7</v>
      </c>
      <c r="CR280">
        <v>9.1999999999999993</v>
      </c>
      <c r="CT280">
        <v>1.4</v>
      </c>
      <c r="CZ280">
        <v>0.8</v>
      </c>
      <c r="DA280" s="2"/>
      <c r="DD280" s="1">
        <v>41155</v>
      </c>
      <c r="DE280" s="2">
        <f t="shared" si="59"/>
        <v>6.8575757575757592</v>
      </c>
      <c r="DF280" s="2">
        <f t="shared" si="73"/>
        <v>2.1970873786407772</v>
      </c>
      <c r="DG280" s="2">
        <f t="shared" si="60"/>
        <v>37</v>
      </c>
      <c r="DH280" s="2">
        <f t="shared" si="61"/>
        <v>0.1</v>
      </c>
      <c r="DI280" s="3">
        <f t="shared" si="68"/>
        <v>0.32038834951456313</v>
      </c>
    </row>
    <row r="281" spans="1:113">
      <c r="A281" s="17" t="s">
        <v>281</v>
      </c>
      <c r="C281">
        <v>1.7</v>
      </c>
      <c r="D281">
        <v>2</v>
      </c>
      <c r="G281">
        <v>11</v>
      </c>
      <c r="H281">
        <v>4.5</v>
      </c>
      <c r="J281">
        <v>13.1</v>
      </c>
      <c r="N281">
        <v>0.1</v>
      </c>
      <c r="X281">
        <v>5.9</v>
      </c>
      <c r="AF281">
        <v>6.7</v>
      </c>
      <c r="AL281">
        <v>2.2000000000000002</v>
      </c>
      <c r="AS281">
        <v>0.8</v>
      </c>
      <c r="AW281">
        <v>23.7</v>
      </c>
      <c r="BC281">
        <v>0.5</v>
      </c>
      <c r="BG281">
        <v>0.2</v>
      </c>
      <c r="BI281">
        <v>2.2000000000000002</v>
      </c>
      <c r="BK281">
        <v>0.6</v>
      </c>
      <c r="BM281">
        <v>0.1</v>
      </c>
      <c r="BP281">
        <v>0.1</v>
      </c>
      <c r="BR281">
        <v>0.1</v>
      </c>
      <c r="BS281">
        <v>0.8</v>
      </c>
      <c r="BT281">
        <v>23.7</v>
      </c>
      <c r="CD281">
        <v>1.6</v>
      </c>
      <c r="CH281">
        <v>0.6</v>
      </c>
      <c r="CI281">
        <v>0.6</v>
      </c>
      <c r="CL281">
        <v>4.7</v>
      </c>
      <c r="CO281">
        <v>11.5</v>
      </c>
      <c r="CP281">
        <v>19.7</v>
      </c>
      <c r="CR281">
        <v>12.1</v>
      </c>
      <c r="CZ281">
        <v>1.7</v>
      </c>
      <c r="DA281" s="2"/>
      <c r="DD281" s="1">
        <v>41156</v>
      </c>
      <c r="DE281" s="2">
        <f t="shared" si="59"/>
        <v>5.4464285714285694</v>
      </c>
      <c r="DF281" s="2">
        <f t="shared" si="73"/>
        <v>1.480582524271844</v>
      </c>
      <c r="DG281" s="2">
        <f t="shared" si="60"/>
        <v>23.7</v>
      </c>
      <c r="DH281" s="2">
        <f t="shared" si="61"/>
        <v>0.1</v>
      </c>
      <c r="DI281" s="3">
        <f t="shared" si="68"/>
        <v>0.27184466019417475</v>
      </c>
    </row>
    <row r="282" spans="1:113">
      <c r="A282" s="17" t="s">
        <v>282</v>
      </c>
      <c r="D282">
        <v>3.6</v>
      </c>
      <c r="J282">
        <v>1.1000000000000001</v>
      </c>
      <c r="K282">
        <v>2.2999999999999998</v>
      </c>
      <c r="AF282">
        <v>2.5</v>
      </c>
      <c r="AL282">
        <v>19.8</v>
      </c>
      <c r="AN282">
        <v>18.3</v>
      </c>
      <c r="AO282">
        <v>12.6</v>
      </c>
      <c r="AT282">
        <v>3.5</v>
      </c>
      <c r="AW282">
        <v>0.3</v>
      </c>
      <c r="BC282">
        <v>2.5</v>
      </c>
      <c r="BE282">
        <v>8.5</v>
      </c>
      <c r="BH282">
        <v>0.1</v>
      </c>
      <c r="BK282">
        <v>0.1</v>
      </c>
      <c r="BL282">
        <v>12.6</v>
      </c>
      <c r="BP282">
        <v>0.1</v>
      </c>
      <c r="BQ282">
        <v>3.5</v>
      </c>
      <c r="BS282">
        <v>2.6</v>
      </c>
      <c r="BT282">
        <v>0.3</v>
      </c>
      <c r="CB282">
        <v>0.4</v>
      </c>
      <c r="CC282">
        <v>0.1</v>
      </c>
      <c r="CF282">
        <v>19.8</v>
      </c>
      <c r="CH282">
        <v>0.1</v>
      </c>
      <c r="CI282">
        <v>0.5</v>
      </c>
      <c r="CL282">
        <v>14</v>
      </c>
      <c r="CM282">
        <v>14.5</v>
      </c>
      <c r="CO282">
        <v>11.2</v>
      </c>
      <c r="CP282">
        <v>1.1000000000000001</v>
      </c>
      <c r="CQ282">
        <v>3.3</v>
      </c>
      <c r="CW282">
        <v>11.8</v>
      </c>
      <c r="DA282" s="2"/>
      <c r="DD282" s="1">
        <v>41157</v>
      </c>
      <c r="DE282" s="2">
        <f t="shared" si="59"/>
        <v>5.8999999999999986</v>
      </c>
      <c r="DF282" s="2">
        <f t="shared" si="73"/>
        <v>1.6611650485436891</v>
      </c>
      <c r="DG282" s="2">
        <f t="shared" si="60"/>
        <v>19.8</v>
      </c>
      <c r="DH282" s="2">
        <f t="shared" si="61"/>
        <v>0.1</v>
      </c>
      <c r="DI282" s="3">
        <f t="shared" si="68"/>
        <v>0.28155339805825241</v>
      </c>
    </row>
    <row r="283" spans="1:113">
      <c r="A283" s="17" t="s">
        <v>283</v>
      </c>
      <c r="B283">
        <v>20.6</v>
      </c>
      <c r="H283">
        <v>1.7</v>
      </c>
      <c r="J283">
        <v>0.9</v>
      </c>
      <c r="L283">
        <v>1.4</v>
      </c>
      <c r="AH283">
        <v>7.4</v>
      </c>
      <c r="AN283">
        <v>66.400000000000006</v>
      </c>
      <c r="AO283">
        <v>14.7</v>
      </c>
      <c r="AR283">
        <v>7.2</v>
      </c>
      <c r="AS283">
        <v>0.9</v>
      </c>
      <c r="AT283">
        <v>27.5</v>
      </c>
      <c r="AV283">
        <v>0.4</v>
      </c>
      <c r="AW283">
        <v>19.7</v>
      </c>
      <c r="BE283">
        <v>23.2</v>
      </c>
      <c r="BH283">
        <v>2.6</v>
      </c>
      <c r="BK283">
        <v>66.400000000000006</v>
      </c>
      <c r="BL283">
        <v>14.7</v>
      </c>
      <c r="BM283">
        <v>0.1</v>
      </c>
      <c r="BO283">
        <v>7.2</v>
      </c>
      <c r="BP283">
        <v>0.9</v>
      </c>
      <c r="BQ283">
        <v>27.5</v>
      </c>
      <c r="BS283">
        <v>0.4</v>
      </c>
      <c r="BT283">
        <v>2.2999999999999998</v>
      </c>
      <c r="CA283">
        <v>0.1</v>
      </c>
      <c r="CB283">
        <v>2.2999999999999998</v>
      </c>
      <c r="CF283">
        <v>0.1</v>
      </c>
      <c r="CH283">
        <v>20.2</v>
      </c>
      <c r="CI283">
        <v>20.2</v>
      </c>
      <c r="CM283">
        <v>1.8</v>
      </c>
      <c r="CN283">
        <v>0.9</v>
      </c>
      <c r="CP283">
        <v>2.1</v>
      </c>
      <c r="CQ283">
        <v>3.5</v>
      </c>
      <c r="CT283">
        <v>0.2</v>
      </c>
      <c r="DA283" s="2"/>
      <c r="DD283" s="1">
        <v>41158</v>
      </c>
      <c r="DE283" s="2">
        <f t="shared" si="59"/>
        <v>11.421875</v>
      </c>
      <c r="DF283" s="2">
        <f t="shared" si="73"/>
        <v>3.5485436893203883</v>
      </c>
      <c r="DG283" s="2">
        <f t="shared" si="60"/>
        <v>66.400000000000006</v>
      </c>
      <c r="DH283" s="2">
        <f t="shared" si="61"/>
        <v>0.1</v>
      </c>
      <c r="DI283" s="3">
        <f t="shared" si="68"/>
        <v>0.31067961165048541</v>
      </c>
    </row>
    <row r="284" spans="1:113">
      <c r="A284" s="17" t="s">
        <v>284</v>
      </c>
      <c r="D284">
        <v>2</v>
      </c>
      <c r="L284">
        <v>1.2</v>
      </c>
      <c r="M284">
        <v>27.1</v>
      </c>
      <c r="T284">
        <v>6.1</v>
      </c>
      <c r="X284">
        <v>0.1</v>
      </c>
      <c r="AA284">
        <v>23.1</v>
      </c>
      <c r="AB284">
        <v>3.2</v>
      </c>
      <c r="AH284">
        <v>43.8</v>
      </c>
      <c r="AJ284">
        <v>6.3</v>
      </c>
      <c r="AN284">
        <v>80.099999999999994</v>
      </c>
      <c r="AR284">
        <v>27.5</v>
      </c>
      <c r="AW284">
        <v>20</v>
      </c>
      <c r="AX284">
        <v>10.4</v>
      </c>
      <c r="AY284">
        <v>3.2</v>
      </c>
      <c r="BE284">
        <v>43.8</v>
      </c>
      <c r="BF284">
        <v>0.4</v>
      </c>
      <c r="BG284">
        <v>4.5</v>
      </c>
      <c r="BH284">
        <v>25.4</v>
      </c>
      <c r="BJ284">
        <v>8</v>
      </c>
      <c r="BO284">
        <v>27.5</v>
      </c>
      <c r="BP284">
        <v>0.7</v>
      </c>
      <c r="BQ284">
        <v>14</v>
      </c>
      <c r="BT284">
        <v>0.2</v>
      </c>
      <c r="BU284">
        <v>10.4</v>
      </c>
      <c r="CA284">
        <v>15.8</v>
      </c>
      <c r="CB284">
        <v>1.9</v>
      </c>
      <c r="CG284">
        <v>8</v>
      </c>
      <c r="CH284">
        <v>2.9</v>
      </c>
      <c r="CI284">
        <v>2.7</v>
      </c>
      <c r="CN284">
        <v>1.5</v>
      </c>
      <c r="CP284">
        <v>4.3</v>
      </c>
      <c r="CQ284">
        <v>0.6</v>
      </c>
      <c r="CT284">
        <v>12.3</v>
      </c>
      <c r="CV284">
        <v>1</v>
      </c>
      <c r="CY284">
        <v>0.1</v>
      </c>
      <c r="DA284" s="2"/>
      <c r="DD284" s="1">
        <v>41159</v>
      </c>
      <c r="DE284" s="2">
        <f t="shared" si="59"/>
        <v>12.574285714285711</v>
      </c>
      <c r="DF284" s="2">
        <f t="shared" si="73"/>
        <v>4.272815533980582</v>
      </c>
      <c r="DG284" s="2">
        <f t="shared" si="60"/>
        <v>80.099999999999994</v>
      </c>
      <c r="DH284" s="2">
        <f t="shared" si="61"/>
        <v>0.1</v>
      </c>
      <c r="DI284" s="3">
        <f t="shared" si="68"/>
        <v>0.33980582524271846</v>
      </c>
    </row>
    <row r="285" spans="1:113">
      <c r="A285" s="17" t="s">
        <v>285</v>
      </c>
      <c r="C285">
        <v>5.6</v>
      </c>
      <c r="E285">
        <v>0.2</v>
      </c>
      <c r="K285">
        <v>1.4</v>
      </c>
      <c r="N285">
        <v>6.2</v>
      </c>
      <c r="T285">
        <v>7.3</v>
      </c>
      <c r="Y285">
        <v>0.8</v>
      </c>
      <c r="AA285">
        <v>4.5</v>
      </c>
      <c r="AH285">
        <v>76.400000000000006</v>
      </c>
      <c r="AJ285">
        <v>2.4</v>
      </c>
      <c r="AN285">
        <v>1.1000000000000001</v>
      </c>
      <c r="AR285">
        <v>24.9</v>
      </c>
      <c r="AT285">
        <v>40.700000000000003</v>
      </c>
      <c r="AV285">
        <v>0.5</v>
      </c>
      <c r="AX285">
        <v>0.3</v>
      </c>
      <c r="BE285">
        <v>76.400000000000006</v>
      </c>
      <c r="BG285">
        <v>8.9</v>
      </c>
      <c r="BH285">
        <v>8.1999999999999993</v>
      </c>
      <c r="BJ285">
        <v>0.1</v>
      </c>
      <c r="BN285">
        <v>0.1</v>
      </c>
      <c r="BO285">
        <v>24.9</v>
      </c>
      <c r="BQ285">
        <v>4.2</v>
      </c>
      <c r="BS285">
        <v>0.1</v>
      </c>
      <c r="BT285">
        <v>0.2</v>
      </c>
      <c r="BU285">
        <v>0.3</v>
      </c>
      <c r="CA285">
        <v>0.1</v>
      </c>
      <c r="CB285">
        <v>0.2</v>
      </c>
      <c r="CD285">
        <v>2.2999999999999998</v>
      </c>
      <c r="CG285">
        <v>0.1</v>
      </c>
      <c r="CI285">
        <v>16</v>
      </c>
      <c r="CV285">
        <v>28.6</v>
      </c>
      <c r="DA285" s="2"/>
      <c r="DD285" s="1">
        <v>41160</v>
      </c>
      <c r="DE285" s="2">
        <f t="shared" si="59"/>
        <v>11.433333333333337</v>
      </c>
      <c r="DF285" s="2">
        <f t="shared" si="73"/>
        <v>3.330097087378642</v>
      </c>
      <c r="DG285" s="2">
        <f t="shared" si="60"/>
        <v>76.400000000000006</v>
      </c>
      <c r="DH285" s="2">
        <f t="shared" si="61"/>
        <v>0.1</v>
      </c>
      <c r="DI285" s="3">
        <f t="shared" si="68"/>
        <v>0.29126213592233008</v>
      </c>
    </row>
    <row r="286" spans="1:113">
      <c r="A286" s="17" t="s">
        <v>286</v>
      </c>
      <c r="G286">
        <v>0.7</v>
      </c>
      <c r="L286">
        <v>7.7</v>
      </c>
      <c r="T286">
        <v>9.6999999999999993</v>
      </c>
      <c r="Y286">
        <v>0.1</v>
      </c>
      <c r="AG286">
        <v>6.3</v>
      </c>
      <c r="AM286">
        <v>0.1</v>
      </c>
      <c r="AV286">
        <v>0.1</v>
      </c>
      <c r="BA286">
        <v>0.3</v>
      </c>
      <c r="BC286">
        <v>14.2</v>
      </c>
      <c r="BD286">
        <v>6.3</v>
      </c>
      <c r="BE286">
        <v>0.7</v>
      </c>
      <c r="BG286">
        <v>5.9</v>
      </c>
      <c r="BJ286">
        <v>0.1</v>
      </c>
      <c r="BN286">
        <v>0.2</v>
      </c>
      <c r="BQ286">
        <v>6.4</v>
      </c>
      <c r="BS286">
        <v>0.1</v>
      </c>
      <c r="BT286">
        <v>78.2</v>
      </c>
      <c r="CA286">
        <v>5.8</v>
      </c>
      <c r="CP286">
        <v>0.1</v>
      </c>
      <c r="CQ286">
        <v>4.0999999999999996</v>
      </c>
      <c r="CS286">
        <v>0.1</v>
      </c>
      <c r="CV286">
        <v>2.5</v>
      </c>
      <c r="DA286" s="2"/>
      <c r="DD286" s="1">
        <v>41161</v>
      </c>
      <c r="DE286" s="2">
        <f t="shared" si="59"/>
        <v>6.8045454545454556</v>
      </c>
      <c r="DF286" s="2">
        <f t="shared" si="73"/>
        <v>1.4533980582524273</v>
      </c>
      <c r="DG286" s="2">
        <f t="shared" si="60"/>
        <v>78.2</v>
      </c>
      <c r="DH286" s="2">
        <f t="shared" si="61"/>
        <v>0.1</v>
      </c>
      <c r="DI286" s="3">
        <f t="shared" si="68"/>
        <v>0.21359223300970873</v>
      </c>
    </row>
    <row r="287" spans="1:113">
      <c r="A287" s="17" t="s">
        <v>287</v>
      </c>
      <c r="F287">
        <v>2.5</v>
      </c>
      <c r="L287">
        <v>7</v>
      </c>
      <c r="R287">
        <v>3.8</v>
      </c>
      <c r="V287">
        <v>2.2999999999999998</v>
      </c>
      <c r="Y287">
        <v>3.4</v>
      </c>
      <c r="AA287">
        <v>10.8</v>
      </c>
      <c r="AG287">
        <v>37.5</v>
      </c>
      <c r="AM287">
        <v>0.2</v>
      </c>
      <c r="AP287">
        <v>1.7</v>
      </c>
      <c r="AV287">
        <v>3.4</v>
      </c>
      <c r="AX287">
        <v>29.6</v>
      </c>
      <c r="AZ287">
        <v>123</v>
      </c>
      <c r="BC287">
        <v>12.7</v>
      </c>
      <c r="BD287">
        <v>37.5</v>
      </c>
      <c r="BG287">
        <v>1.5</v>
      </c>
      <c r="BJ287">
        <v>0.2</v>
      </c>
      <c r="BL287">
        <v>0.1</v>
      </c>
      <c r="BM287">
        <v>1.7</v>
      </c>
      <c r="BP287">
        <v>3.3</v>
      </c>
      <c r="BQ287">
        <v>7.1</v>
      </c>
      <c r="BS287">
        <v>0.1</v>
      </c>
      <c r="BT287">
        <v>2.9</v>
      </c>
      <c r="BU287">
        <v>29.6</v>
      </c>
      <c r="BW287">
        <v>123</v>
      </c>
      <c r="BX287">
        <v>11.4</v>
      </c>
      <c r="CB287">
        <v>0.1</v>
      </c>
      <c r="CD287">
        <v>0.1</v>
      </c>
      <c r="CU287">
        <v>6</v>
      </c>
      <c r="DA287" s="2"/>
      <c r="DD287" s="1">
        <v>41162</v>
      </c>
      <c r="DE287" s="2">
        <f t="shared" si="59"/>
        <v>16.517857142857146</v>
      </c>
      <c r="DF287" s="2">
        <f t="shared" si="73"/>
        <v>4.4902912621359228</v>
      </c>
      <c r="DG287" s="2">
        <f t="shared" si="60"/>
        <v>123</v>
      </c>
      <c r="DH287" s="2">
        <f t="shared" si="61"/>
        <v>0.1</v>
      </c>
      <c r="DI287" s="3">
        <f t="shared" si="68"/>
        <v>0.27184466019417475</v>
      </c>
    </row>
    <row r="288" spans="1:113">
      <c r="A288" s="17" t="s">
        <v>288</v>
      </c>
      <c r="F288">
        <v>0.2</v>
      </c>
      <c r="R288">
        <v>0.3</v>
      </c>
      <c r="T288">
        <v>0.5</v>
      </c>
      <c r="X288">
        <v>27</v>
      </c>
      <c r="Y288">
        <v>2.1</v>
      </c>
      <c r="Z288">
        <v>0.5</v>
      </c>
      <c r="AB288">
        <v>0.8</v>
      </c>
      <c r="AC288">
        <v>0.6</v>
      </c>
      <c r="AG288">
        <v>17.2</v>
      </c>
      <c r="AU288">
        <v>2.6</v>
      </c>
      <c r="AV288">
        <v>2.1</v>
      </c>
      <c r="AW288">
        <v>0.3</v>
      </c>
      <c r="AX288">
        <v>2.6</v>
      </c>
      <c r="AY288">
        <v>0.8</v>
      </c>
      <c r="AZ288">
        <v>21.6</v>
      </c>
      <c r="BD288">
        <v>17.2</v>
      </c>
      <c r="BL288">
        <v>7.8</v>
      </c>
      <c r="BP288">
        <v>8.1</v>
      </c>
      <c r="BR288">
        <v>2.6</v>
      </c>
      <c r="BT288">
        <v>0.3</v>
      </c>
      <c r="BU288">
        <v>2.6</v>
      </c>
      <c r="BW288">
        <v>21.6</v>
      </c>
      <c r="CC288">
        <v>0.1</v>
      </c>
      <c r="CN288">
        <v>19.5</v>
      </c>
      <c r="CO288">
        <v>1.5</v>
      </c>
      <c r="CP288">
        <v>2.6</v>
      </c>
      <c r="CS288">
        <v>0.9</v>
      </c>
      <c r="CV288">
        <v>0.8</v>
      </c>
      <c r="CW288">
        <v>0.2</v>
      </c>
      <c r="DA288" s="2"/>
      <c r="DD288" s="1">
        <v>41163</v>
      </c>
      <c r="DE288" s="2">
        <f t="shared" si="59"/>
        <v>5.6896551724137918</v>
      </c>
      <c r="DF288" s="2">
        <f t="shared" si="73"/>
        <v>1.6019417475728153</v>
      </c>
      <c r="DG288" s="2">
        <f t="shared" si="60"/>
        <v>27</v>
      </c>
      <c r="DH288" s="2">
        <f t="shared" si="61"/>
        <v>0.1</v>
      </c>
      <c r="DI288" s="3">
        <f t="shared" si="68"/>
        <v>0.28155339805825241</v>
      </c>
    </row>
    <row r="289" spans="1:113">
      <c r="A289" s="17" t="s">
        <v>289</v>
      </c>
      <c r="B289">
        <v>2.2000000000000002</v>
      </c>
      <c r="K289">
        <v>10.5</v>
      </c>
      <c r="Z289">
        <v>1.2</v>
      </c>
      <c r="AC289">
        <v>1</v>
      </c>
      <c r="AN289">
        <v>0.1</v>
      </c>
      <c r="AP289">
        <v>1</v>
      </c>
      <c r="AU289">
        <v>3.3</v>
      </c>
      <c r="AW289">
        <v>0.2</v>
      </c>
      <c r="AX289">
        <v>4</v>
      </c>
      <c r="AZ289">
        <v>1</v>
      </c>
      <c r="BF289">
        <v>0.1</v>
      </c>
      <c r="BK289">
        <v>0.3</v>
      </c>
      <c r="BL289">
        <v>13.8</v>
      </c>
      <c r="BM289">
        <v>1</v>
      </c>
      <c r="BR289">
        <v>0.1</v>
      </c>
      <c r="BS289">
        <v>2</v>
      </c>
      <c r="BT289">
        <v>9.1999999999999993</v>
      </c>
      <c r="BU289">
        <v>4</v>
      </c>
      <c r="BW289">
        <v>1</v>
      </c>
      <c r="CC289">
        <v>26.3</v>
      </c>
      <c r="CH289">
        <v>0.3</v>
      </c>
      <c r="CM289">
        <v>0.5</v>
      </c>
      <c r="CN289">
        <v>5</v>
      </c>
      <c r="CP289">
        <v>6.7</v>
      </c>
      <c r="CV289">
        <v>5.6</v>
      </c>
      <c r="CW289">
        <v>30.9</v>
      </c>
      <c r="DA289" s="2"/>
      <c r="DD289" s="1">
        <v>41164</v>
      </c>
      <c r="DE289" s="2">
        <f t="shared" si="59"/>
        <v>5.0499999999999989</v>
      </c>
      <c r="DF289" s="2">
        <f t="shared" si="73"/>
        <v>1.2747572815533978</v>
      </c>
      <c r="DG289" s="2">
        <f t="shared" si="60"/>
        <v>30.9</v>
      </c>
      <c r="DH289" s="2">
        <f t="shared" si="61"/>
        <v>0.1</v>
      </c>
      <c r="DI289" s="3">
        <f t="shared" si="68"/>
        <v>0.25242718446601942</v>
      </c>
    </row>
    <row r="290" spans="1:113">
      <c r="A290" s="17" t="s">
        <v>290</v>
      </c>
      <c r="E290">
        <v>1.5</v>
      </c>
      <c r="F290">
        <v>0.8</v>
      </c>
      <c r="K290">
        <v>9.8000000000000007</v>
      </c>
      <c r="AA290">
        <v>1</v>
      </c>
      <c r="AC290">
        <v>14.4</v>
      </c>
      <c r="AI290">
        <v>1</v>
      </c>
      <c r="AJ290">
        <v>0.8</v>
      </c>
      <c r="AN290">
        <v>18</v>
      </c>
      <c r="AR290">
        <v>0.2</v>
      </c>
      <c r="AU290">
        <v>7.8</v>
      </c>
      <c r="AX290">
        <v>1</v>
      </c>
      <c r="AY290">
        <v>23.8</v>
      </c>
      <c r="AZ290">
        <v>14.4</v>
      </c>
      <c r="BF290">
        <v>1</v>
      </c>
      <c r="BG290">
        <v>0.8</v>
      </c>
      <c r="BH290">
        <v>0.2</v>
      </c>
      <c r="BK290">
        <v>4.5999999999999996</v>
      </c>
      <c r="BO290">
        <v>0.2</v>
      </c>
      <c r="BV290">
        <v>23.8</v>
      </c>
      <c r="BX290">
        <v>1.5</v>
      </c>
      <c r="CC290">
        <v>7.9</v>
      </c>
      <c r="CH290">
        <v>4.5999999999999996</v>
      </c>
      <c r="CK290">
        <v>0.2</v>
      </c>
      <c r="CP290">
        <v>0.3</v>
      </c>
      <c r="CT290">
        <v>1.7</v>
      </c>
      <c r="CV290">
        <v>2.6</v>
      </c>
      <c r="CZ290">
        <v>2.5</v>
      </c>
      <c r="DA290" s="2"/>
      <c r="DD290" s="1">
        <v>41165</v>
      </c>
      <c r="DE290" s="2">
        <f t="shared" si="59"/>
        <v>5.4222222222222216</v>
      </c>
      <c r="DF290" s="2">
        <f t="shared" si="73"/>
        <v>1.4213592233009706</v>
      </c>
      <c r="DG290" s="2">
        <f t="shared" si="60"/>
        <v>23.8</v>
      </c>
      <c r="DH290" s="2">
        <f t="shared" si="61"/>
        <v>0.2</v>
      </c>
      <c r="DI290" s="3">
        <f t="shared" si="68"/>
        <v>0.26213592233009708</v>
      </c>
    </row>
    <row r="291" spans="1:113">
      <c r="A291" s="17" t="s">
        <v>291</v>
      </c>
      <c r="E291">
        <v>8.8000000000000007</v>
      </c>
      <c r="F291">
        <v>0.7</v>
      </c>
      <c r="G291">
        <v>0.2</v>
      </c>
      <c r="I291">
        <v>0.7</v>
      </c>
      <c r="K291">
        <v>2.2999999999999998</v>
      </c>
      <c r="W291">
        <v>2.5</v>
      </c>
      <c r="AA291">
        <v>6.5</v>
      </c>
      <c r="AC291">
        <v>77.8</v>
      </c>
      <c r="AI291">
        <v>0.3</v>
      </c>
      <c r="AN291">
        <v>12.7</v>
      </c>
      <c r="AW291">
        <v>10.4</v>
      </c>
      <c r="AX291">
        <v>6.5</v>
      </c>
      <c r="AY291">
        <v>3.7</v>
      </c>
      <c r="AZ291">
        <v>77.8</v>
      </c>
      <c r="BA291">
        <v>3.5</v>
      </c>
      <c r="BB291">
        <v>2</v>
      </c>
      <c r="BF291">
        <v>0.3</v>
      </c>
      <c r="BI291">
        <v>0.1</v>
      </c>
      <c r="BK291">
        <v>12.7</v>
      </c>
      <c r="BP291">
        <v>4.4000000000000004</v>
      </c>
      <c r="BT291">
        <v>10.4</v>
      </c>
      <c r="BV291">
        <v>3.7</v>
      </c>
      <c r="CC291">
        <v>30.7</v>
      </c>
      <c r="CF291">
        <v>0.1</v>
      </c>
      <c r="CI291">
        <v>12.4</v>
      </c>
      <c r="CO291">
        <v>22.1</v>
      </c>
      <c r="CP291">
        <v>1.2</v>
      </c>
      <c r="CT291">
        <v>0.1</v>
      </c>
      <c r="CZ291">
        <v>0.1</v>
      </c>
      <c r="DA291" s="2"/>
      <c r="DD291" s="1">
        <v>41166</v>
      </c>
      <c r="DE291" s="2">
        <f t="shared" ref="DE291:DE362" si="74">AVERAGE(B291:DA291)</f>
        <v>10.851724137931036</v>
      </c>
      <c r="DF291" s="2">
        <f t="shared" si="73"/>
        <v>3.055339805825243</v>
      </c>
      <c r="DG291" s="2">
        <f t="shared" ref="DG291:DG362" si="75">MAX(B291:DA291)</f>
        <v>77.8</v>
      </c>
      <c r="DH291" s="2">
        <f t="shared" ref="DH291:DH362" si="76">MIN(B291:DA291)</f>
        <v>0.1</v>
      </c>
      <c r="DI291" s="3">
        <f t="shared" si="68"/>
        <v>0.28155339805825241</v>
      </c>
    </row>
    <row r="292" spans="1:113">
      <c r="A292" s="17" t="s">
        <v>292</v>
      </c>
      <c r="C292">
        <v>22.5</v>
      </c>
      <c r="G292">
        <v>23.3</v>
      </c>
      <c r="H292">
        <v>19.5</v>
      </c>
      <c r="K292">
        <v>5.5</v>
      </c>
      <c r="T292">
        <v>0.3</v>
      </c>
      <c r="X292">
        <v>7.2</v>
      </c>
      <c r="AA292">
        <v>4.5999999999999996</v>
      </c>
      <c r="AC292">
        <v>79.900000000000006</v>
      </c>
      <c r="AF292">
        <v>6.5</v>
      </c>
      <c r="AQ292">
        <v>0.3</v>
      </c>
      <c r="AU292">
        <v>5.5</v>
      </c>
      <c r="AW292">
        <v>4.5</v>
      </c>
      <c r="AX292">
        <v>4.5999999999999996</v>
      </c>
      <c r="AZ292">
        <v>79.900000000000006</v>
      </c>
      <c r="BB292">
        <v>2.2999999999999998</v>
      </c>
      <c r="BC292">
        <v>6.5</v>
      </c>
      <c r="BM292">
        <v>0.5</v>
      </c>
      <c r="BN292">
        <v>0.3</v>
      </c>
      <c r="BQ292">
        <v>16.899999999999999</v>
      </c>
      <c r="BR292">
        <v>0.1</v>
      </c>
      <c r="BT292">
        <v>9.3000000000000007</v>
      </c>
      <c r="CB292">
        <v>0.1</v>
      </c>
      <c r="CK292">
        <v>3</v>
      </c>
      <c r="CO292">
        <v>5.5</v>
      </c>
      <c r="CP292">
        <v>0.3</v>
      </c>
      <c r="CR292">
        <v>6</v>
      </c>
      <c r="CU292">
        <v>0.1</v>
      </c>
      <c r="DA292" s="2"/>
      <c r="DD292" s="1">
        <v>41167</v>
      </c>
      <c r="DE292" s="2">
        <f t="shared" si="74"/>
        <v>11.666666666666671</v>
      </c>
      <c r="DF292" s="2">
        <f t="shared" si="73"/>
        <v>3.0582524271844673</v>
      </c>
      <c r="DG292" s="2">
        <f t="shared" si="75"/>
        <v>79.900000000000006</v>
      </c>
      <c r="DH292" s="2">
        <f t="shared" si="76"/>
        <v>0.1</v>
      </c>
      <c r="DI292" s="3">
        <f t="shared" si="68"/>
        <v>0.26213592233009708</v>
      </c>
    </row>
    <row r="293" spans="1:113">
      <c r="A293" s="17" t="s">
        <v>293</v>
      </c>
      <c r="H293">
        <v>2.5</v>
      </c>
      <c r="K293">
        <v>1.1000000000000001</v>
      </c>
      <c r="T293">
        <v>12.5</v>
      </c>
      <c r="X293">
        <v>0.3</v>
      </c>
      <c r="Z293">
        <v>0.2</v>
      </c>
      <c r="AA293">
        <v>0.8</v>
      </c>
      <c r="AC293">
        <v>15.3</v>
      </c>
      <c r="AE293">
        <v>2.5</v>
      </c>
      <c r="AK293">
        <v>0.5</v>
      </c>
      <c r="AQ293">
        <v>0.5</v>
      </c>
      <c r="AW293">
        <v>0.2</v>
      </c>
      <c r="AX293">
        <v>0.8</v>
      </c>
      <c r="AZ293">
        <v>15.3</v>
      </c>
      <c r="BB293">
        <v>2.7</v>
      </c>
      <c r="BD293">
        <v>1.6</v>
      </c>
      <c r="BF293">
        <v>1.6</v>
      </c>
      <c r="BH293">
        <v>0.5</v>
      </c>
      <c r="BM293">
        <v>6.3</v>
      </c>
      <c r="BN293">
        <v>0.5</v>
      </c>
      <c r="BQ293">
        <v>1</v>
      </c>
      <c r="BR293">
        <v>25.2</v>
      </c>
      <c r="CB293">
        <v>1.6</v>
      </c>
      <c r="CJ293">
        <v>0.6</v>
      </c>
      <c r="CM293">
        <v>1.8</v>
      </c>
      <c r="CO293">
        <v>4.2</v>
      </c>
      <c r="CP293">
        <v>11.8</v>
      </c>
      <c r="CR293">
        <v>2</v>
      </c>
      <c r="CY293">
        <v>2.4</v>
      </c>
      <c r="DA293" s="2"/>
      <c r="DD293" s="1">
        <v>41168</v>
      </c>
      <c r="DE293" s="2">
        <f t="shared" si="74"/>
        <v>4.1535714285714285</v>
      </c>
      <c r="DF293" s="2">
        <f t="shared" si="73"/>
        <v>1.1291262135922331</v>
      </c>
      <c r="DG293" s="2">
        <f t="shared" si="75"/>
        <v>25.2</v>
      </c>
      <c r="DH293" s="2">
        <f t="shared" si="76"/>
        <v>0.2</v>
      </c>
      <c r="DI293" s="3">
        <f t="shared" si="68"/>
        <v>0.27184466019417475</v>
      </c>
    </row>
    <row r="294" spans="1:113">
      <c r="A294" s="17" t="s">
        <v>294</v>
      </c>
      <c r="C294">
        <v>0.2</v>
      </c>
      <c r="G294">
        <v>4.5</v>
      </c>
      <c r="M294">
        <v>2.2000000000000002</v>
      </c>
      <c r="U294">
        <v>2.2999999999999998</v>
      </c>
      <c r="Z294">
        <v>0.2</v>
      </c>
      <c r="AC294">
        <v>44</v>
      </c>
      <c r="AF294">
        <v>1.2</v>
      </c>
      <c r="AW294">
        <v>0.2</v>
      </c>
      <c r="AZ294">
        <v>4.4000000000000004</v>
      </c>
      <c r="BC294">
        <v>1.2</v>
      </c>
      <c r="BJ294">
        <v>0.1</v>
      </c>
      <c r="BQ294">
        <v>2.2000000000000002</v>
      </c>
      <c r="BR294">
        <v>0.1</v>
      </c>
      <c r="BW294">
        <v>4.4000000000000004</v>
      </c>
      <c r="BY294">
        <v>0.1</v>
      </c>
      <c r="CG294">
        <v>0.1</v>
      </c>
      <c r="CI294">
        <v>1</v>
      </c>
      <c r="CU294">
        <v>12.8</v>
      </c>
      <c r="CY294">
        <v>2</v>
      </c>
      <c r="CZ294">
        <v>0.1</v>
      </c>
      <c r="DA294" s="2"/>
      <c r="DD294" s="1">
        <v>41169</v>
      </c>
      <c r="DE294" s="2">
        <f t="shared" si="74"/>
        <v>4.165</v>
      </c>
      <c r="DF294" s="2">
        <f t="shared" si="73"/>
        <v>0.8087378640776699</v>
      </c>
      <c r="DG294" s="2">
        <f t="shared" si="75"/>
        <v>44</v>
      </c>
      <c r="DH294" s="2">
        <f t="shared" si="76"/>
        <v>0.1</v>
      </c>
      <c r="DI294" s="3">
        <f t="shared" si="68"/>
        <v>0.1941747572815534</v>
      </c>
    </row>
    <row r="295" spans="1:113">
      <c r="A295" s="17" t="s">
        <v>295</v>
      </c>
      <c r="G295">
        <v>1.3</v>
      </c>
      <c r="M295">
        <v>4.8</v>
      </c>
      <c r="N295">
        <v>0.1</v>
      </c>
      <c r="O295">
        <v>1.7</v>
      </c>
      <c r="T295">
        <v>13</v>
      </c>
      <c r="U295">
        <v>19.399999999999999</v>
      </c>
      <c r="AA295">
        <v>0.2</v>
      </c>
      <c r="AF295">
        <v>0.2</v>
      </c>
      <c r="AI295">
        <v>9.1</v>
      </c>
      <c r="AT295">
        <v>0.9</v>
      </c>
      <c r="AX295">
        <v>5.9</v>
      </c>
      <c r="BC295">
        <v>0.2</v>
      </c>
      <c r="BF295">
        <v>18.3</v>
      </c>
      <c r="BH295">
        <v>0.8</v>
      </c>
      <c r="BQ295">
        <v>0.9</v>
      </c>
      <c r="BT295">
        <v>0.5</v>
      </c>
      <c r="BU295">
        <v>5.9</v>
      </c>
      <c r="CD295">
        <v>19.600000000000001</v>
      </c>
      <c r="CH295">
        <v>7.7</v>
      </c>
      <c r="CS295">
        <v>1.1000000000000001</v>
      </c>
      <c r="CY295">
        <v>2.4</v>
      </c>
      <c r="CZ295">
        <v>0.8</v>
      </c>
      <c r="DA295" s="2"/>
      <c r="DD295" s="1">
        <v>41170</v>
      </c>
      <c r="DE295" s="2">
        <f t="shared" si="74"/>
        <v>5.2181818181818187</v>
      </c>
      <c r="DF295" s="2">
        <f t="shared" si="73"/>
        <v>1.1145631067961166</v>
      </c>
      <c r="DG295" s="2">
        <f t="shared" si="75"/>
        <v>19.600000000000001</v>
      </c>
      <c r="DH295" s="2">
        <f t="shared" si="76"/>
        <v>0.1</v>
      </c>
      <c r="DI295" s="3">
        <f t="shared" si="68"/>
        <v>0.21359223300970873</v>
      </c>
    </row>
    <row r="296" spans="1:113">
      <c r="A296" s="17" t="s">
        <v>296</v>
      </c>
      <c r="E296">
        <v>0.1</v>
      </c>
      <c r="F296">
        <v>5.8</v>
      </c>
      <c r="L296">
        <v>6.8</v>
      </c>
      <c r="M296">
        <v>0.7</v>
      </c>
      <c r="T296">
        <v>7.9</v>
      </c>
      <c r="X296">
        <v>4.5</v>
      </c>
      <c r="AB296">
        <v>3.4</v>
      </c>
      <c r="AF296">
        <v>2.2999999999999998</v>
      </c>
      <c r="AI296">
        <v>27.1</v>
      </c>
      <c r="AT296">
        <v>2.5</v>
      </c>
      <c r="AU296">
        <v>3.8</v>
      </c>
      <c r="AY296">
        <v>3.4</v>
      </c>
      <c r="BC296">
        <v>2.2999999999999998</v>
      </c>
      <c r="BF296">
        <v>18</v>
      </c>
      <c r="BJ296">
        <v>4.2</v>
      </c>
      <c r="BO296">
        <v>33</v>
      </c>
      <c r="BQ296">
        <v>2.5</v>
      </c>
      <c r="BR296">
        <v>3.8</v>
      </c>
      <c r="BY296">
        <v>1</v>
      </c>
      <c r="CC296">
        <v>6</v>
      </c>
      <c r="CD296">
        <v>11.5</v>
      </c>
      <c r="CG296">
        <v>0.3</v>
      </c>
      <c r="CJ296">
        <v>1.4</v>
      </c>
      <c r="CK296">
        <v>2.7</v>
      </c>
      <c r="CR296">
        <v>1.2</v>
      </c>
      <c r="CV296">
        <v>4.5999999999999996</v>
      </c>
      <c r="CZ296">
        <v>2</v>
      </c>
      <c r="DA296" s="2"/>
      <c r="DD296" s="1">
        <v>41171</v>
      </c>
      <c r="DE296" s="2">
        <f t="shared" si="74"/>
        <v>6.0296296296296301</v>
      </c>
      <c r="DF296" s="2">
        <f t="shared" si="73"/>
        <v>1.5805825242718448</v>
      </c>
      <c r="DG296" s="2">
        <f t="shared" si="75"/>
        <v>33</v>
      </c>
      <c r="DH296" s="2">
        <f t="shared" si="76"/>
        <v>0.1</v>
      </c>
      <c r="DI296" s="3">
        <f t="shared" si="68"/>
        <v>0.26213592233009708</v>
      </c>
    </row>
    <row r="297" spans="1:113">
      <c r="A297" s="17" t="s">
        <v>297</v>
      </c>
      <c r="B297">
        <v>3.1</v>
      </c>
      <c r="D297">
        <v>0.4</v>
      </c>
      <c r="F297">
        <v>1.2</v>
      </c>
      <c r="L297">
        <v>8.4</v>
      </c>
      <c r="O297">
        <v>0.8</v>
      </c>
      <c r="Q297">
        <v>0.6</v>
      </c>
      <c r="AF297">
        <v>0.4</v>
      </c>
      <c r="AI297">
        <v>2.9</v>
      </c>
      <c r="AP297">
        <v>12.6</v>
      </c>
      <c r="AT297">
        <v>1.5</v>
      </c>
      <c r="AU297">
        <v>6.1</v>
      </c>
      <c r="BC297">
        <v>0.4</v>
      </c>
      <c r="BF297">
        <v>2.9</v>
      </c>
      <c r="BG297">
        <v>5</v>
      </c>
      <c r="BL297">
        <v>0.1</v>
      </c>
      <c r="BM297">
        <v>12.6</v>
      </c>
      <c r="BO297">
        <v>0.5</v>
      </c>
      <c r="BQ297">
        <v>1.5</v>
      </c>
      <c r="BR297">
        <v>6.1</v>
      </c>
      <c r="CF297">
        <v>0.2</v>
      </c>
      <c r="CG297">
        <v>1</v>
      </c>
      <c r="CK297">
        <v>4.5</v>
      </c>
      <c r="CR297">
        <v>3.4</v>
      </c>
      <c r="CT297">
        <v>1.3</v>
      </c>
      <c r="CU297">
        <v>17.2</v>
      </c>
      <c r="CV297">
        <v>3.5</v>
      </c>
      <c r="CW297">
        <v>2.1</v>
      </c>
      <c r="CY297">
        <v>0.6</v>
      </c>
      <c r="DA297" s="2"/>
      <c r="DD297" s="1">
        <v>41172</v>
      </c>
      <c r="DE297" s="2">
        <f t="shared" si="74"/>
        <v>3.6035714285714282</v>
      </c>
      <c r="DF297" s="2">
        <f t="shared" si="73"/>
        <v>0.97961165048543686</v>
      </c>
      <c r="DG297" s="2">
        <f t="shared" si="75"/>
        <v>17.2</v>
      </c>
      <c r="DH297" s="2">
        <f t="shared" si="76"/>
        <v>0.1</v>
      </c>
      <c r="DI297" s="3">
        <f t="shared" si="68"/>
        <v>0.27184466019417475</v>
      </c>
    </row>
    <row r="298" spans="1:113">
      <c r="A298" s="17" t="s">
        <v>298</v>
      </c>
      <c r="L298">
        <v>23.8</v>
      </c>
      <c r="V298">
        <v>11.5</v>
      </c>
      <c r="AQ298">
        <v>4</v>
      </c>
      <c r="AT298">
        <v>0.3</v>
      </c>
      <c r="BA298">
        <v>7.3</v>
      </c>
      <c r="BG298">
        <v>5</v>
      </c>
      <c r="BH298">
        <v>0.1</v>
      </c>
      <c r="BI298">
        <v>55</v>
      </c>
      <c r="BK298">
        <v>0.9</v>
      </c>
      <c r="BL298">
        <v>1.7</v>
      </c>
      <c r="BN298">
        <v>4</v>
      </c>
      <c r="BQ298">
        <v>2.7</v>
      </c>
      <c r="BV298">
        <v>52.1</v>
      </c>
      <c r="CF298">
        <v>2.4</v>
      </c>
      <c r="CH298">
        <v>0.8</v>
      </c>
      <c r="CI298">
        <v>0.2</v>
      </c>
      <c r="CK298">
        <v>1.5</v>
      </c>
      <c r="CR298">
        <v>6</v>
      </c>
      <c r="CS298">
        <v>1.4</v>
      </c>
      <c r="CT298">
        <v>0.9</v>
      </c>
      <c r="CU298">
        <v>11.3</v>
      </c>
      <c r="CV298">
        <v>7.9</v>
      </c>
      <c r="CX298">
        <v>9.6</v>
      </c>
      <c r="CY298">
        <v>6.3</v>
      </c>
      <c r="CZ298">
        <v>1.4</v>
      </c>
      <c r="DA298" s="2"/>
      <c r="DD298" s="1">
        <v>41173</v>
      </c>
      <c r="DE298" s="2">
        <f t="shared" si="74"/>
        <v>8.724000000000002</v>
      </c>
      <c r="DF298" s="2">
        <f t="shared" si="73"/>
        <v>2.1174757281553402</v>
      </c>
      <c r="DG298" s="2">
        <f t="shared" si="75"/>
        <v>55</v>
      </c>
      <c r="DH298" s="2">
        <f t="shared" si="76"/>
        <v>0.1</v>
      </c>
      <c r="DI298" s="3">
        <f t="shared" si="68"/>
        <v>0.24271844660194175</v>
      </c>
    </row>
    <row r="299" spans="1:113">
      <c r="A299" s="17" t="s">
        <v>299</v>
      </c>
      <c r="D299">
        <v>0.2</v>
      </c>
      <c r="F299">
        <v>0.6</v>
      </c>
      <c r="L299">
        <v>26.1</v>
      </c>
      <c r="O299">
        <v>0.3</v>
      </c>
      <c r="Q299">
        <v>6</v>
      </c>
      <c r="T299">
        <v>6.6</v>
      </c>
      <c r="AZ299">
        <v>16.3</v>
      </c>
      <c r="BA299">
        <v>23.2</v>
      </c>
      <c r="BC299">
        <v>50.8</v>
      </c>
      <c r="BG299">
        <v>1</v>
      </c>
      <c r="BI299">
        <v>20.2</v>
      </c>
      <c r="BJ299">
        <v>5.3</v>
      </c>
      <c r="BL299">
        <v>0.1</v>
      </c>
      <c r="BN299">
        <v>17.5</v>
      </c>
      <c r="BO299">
        <v>2.5</v>
      </c>
      <c r="BP299">
        <v>0.1</v>
      </c>
      <c r="BQ299">
        <v>7.8</v>
      </c>
      <c r="BV299">
        <v>9.6999999999999993</v>
      </c>
      <c r="BW299">
        <v>16.3</v>
      </c>
      <c r="CA299">
        <v>1.7</v>
      </c>
      <c r="CF299">
        <v>20.2</v>
      </c>
      <c r="CG299">
        <v>5.3</v>
      </c>
      <c r="CH299">
        <v>0.5</v>
      </c>
      <c r="CK299">
        <v>19.5</v>
      </c>
      <c r="CQ299">
        <v>0.2</v>
      </c>
      <c r="CS299">
        <v>4.5999999999999996</v>
      </c>
      <c r="CT299">
        <v>2.4</v>
      </c>
      <c r="CU299">
        <v>0.1</v>
      </c>
      <c r="CZ299">
        <v>2.4</v>
      </c>
      <c r="DA299" s="2"/>
      <c r="DD299" s="1">
        <v>41174</v>
      </c>
      <c r="DE299" s="2">
        <f t="shared" si="74"/>
        <v>9.2241379310344822</v>
      </c>
      <c r="DF299" s="2">
        <f t="shared" si="73"/>
        <v>2.5970873786407767</v>
      </c>
      <c r="DG299" s="2">
        <f t="shared" si="75"/>
        <v>50.8</v>
      </c>
      <c r="DH299" s="2">
        <f t="shared" si="76"/>
        <v>0.1</v>
      </c>
      <c r="DI299" s="3">
        <f t="shared" si="68"/>
        <v>0.28155339805825241</v>
      </c>
    </row>
    <row r="300" spans="1:113">
      <c r="A300" s="17" t="s">
        <v>300</v>
      </c>
      <c r="D300">
        <v>8</v>
      </c>
      <c r="F300">
        <v>11.2</v>
      </c>
      <c r="G300">
        <v>24.1</v>
      </c>
      <c r="L300">
        <v>7.4</v>
      </c>
      <c r="T300">
        <v>0.2</v>
      </c>
      <c r="V300">
        <v>15.6</v>
      </c>
      <c r="AC300">
        <v>38.299999999999997</v>
      </c>
      <c r="AL300">
        <v>5.6</v>
      </c>
      <c r="AP300">
        <v>0.2</v>
      </c>
      <c r="AQ300">
        <v>22.8</v>
      </c>
      <c r="AS300">
        <v>0.2</v>
      </c>
      <c r="AT300">
        <v>0.1</v>
      </c>
      <c r="AV300">
        <v>0.3</v>
      </c>
      <c r="AY300">
        <v>17.7</v>
      </c>
      <c r="AZ300">
        <v>40.4</v>
      </c>
      <c r="BA300">
        <v>27</v>
      </c>
      <c r="BC300">
        <v>8.6</v>
      </c>
      <c r="BI300">
        <v>1.2</v>
      </c>
      <c r="BJ300">
        <v>2.2999999999999998</v>
      </c>
      <c r="BM300">
        <v>0.2</v>
      </c>
      <c r="BN300">
        <v>0.1</v>
      </c>
      <c r="BO300">
        <v>4.7</v>
      </c>
      <c r="BP300">
        <v>1</v>
      </c>
      <c r="BQ300">
        <v>0.1</v>
      </c>
      <c r="BS300">
        <v>0.3</v>
      </c>
      <c r="BU300">
        <v>0.9</v>
      </c>
      <c r="BV300">
        <v>9.5</v>
      </c>
      <c r="BW300">
        <v>40.4</v>
      </c>
      <c r="CA300">
        <v>1.2</v>
      </c>
      <c r="CF300">
        <v>1.2</v>
      </c>
      <c r="CG300">
        <v>2.2999999999999998</v>
      </c>
      <c r="CH300">
        <v>12.3</v>
      </c>
      <c r="CI300">
        <v>6.6</v>
      </c>
      <c r="CK300">
        <v>1.5</v>
      </c>
      <c r="CM300">
        <v>19.600000000000001</v>
      </c>
      <c r="CS300">
        <v>47.6</v>
      </c>
      <c r="CU300">
        <v>2.7</v>
      </c>
      <c r="CZ300">
        <v>0.2</v>
      </c>
      <c r="DA300" s="2"/>
      <c r="DD300" s="1">
        <v>41175</v>
      </c>
      <c r="DE300" s="2">
        <f t="shared" si="74"/>
        <v>10.094736842105263</v>
      </c>
      <c r="DF300" s="2">
        <f t="shared" si="73"/>
        <v>3.7242718446601946</v>
      </c>
      <c r="DG300" s="2">
        <f t="shared" si="75"/>
        <v>47.6</v>
      </c>
      <c r="DH300" s="2">
        <f t="shared" si="76"/>
        <v>0.1</v>
      </c>
      <c r="DI300" s="3">
        <f t="shared" si="68"/>
        <v>0.36893203883495146</v>
      </c>
    </row>
    <row r="301" spans="1:113">
      <c r="A301" s="17" t="s">
        <v>301</v>
      </c>
      <c r="F301">
        <v>6.3</v>
      </c>
      <c r="G301">
        <v>4.8</v>
      </c>
      <c r="O301">
        <v>0.2</v>
      </c>
      <c r="Q301">
        <v>3</v>
      </c>
      <c r="T301">
        <v>0.5</v>
      </c>
      <c r="V301">
        <v>2.2000000000000002</v>
      </c>
      <c r="Z301">
        <v>0.2</v>
      </c>
      <c r="AC301">
        <v>4</v>
      </c>
      <c r="AD301">
        <v>7</v>
      </c>
      <c r="AF301">
        <v>9.9</v>
      </c>
      <c r="AN301">
        <v>4.5999999999999996</v>
      </c>
      <c r="AQ301">
        <v>10.6</v>
      </c>
      <c r="AS301">
        <v>17.5</v>
      </c>
      <c r="AT301">
        <v>0.2</v>
      </c>
      <c r="AU301">
        <v>2.9</v>
      </c>
      <c r="AW301">
        <v>0.2</v>
      </c>
      <c r="AY301">
        <v>10.4</v>
      </c>
      <c r="AZ301">
        <v>2.9</v>
      </c>
      <c r="BA301">
        <v>0.6</v>
      </c>
      <c r="BC301">
        <v>34.4</v>
      </c>
      <c r="BG301">
        <v>1.2</v>
      </c>
      <c r="BJ301">
        <v>0.1</v>
      </c>
      <c r="BK301">
        <v>4.5999999999999996</v>
      </c>
      <c r="BN301">
        <v>10.6</v>
      </c>
      <c r="BO301">
        <v>25.3</v>
      </c>
      <c r="BP301">
        <v>11</v>
      </c>
      <c r="BQ301">
        <v>0.1</v>
      </c>
      <c r="BR301">
        <v>2.9</v>
      </c>
      <c r="BU301">
        <v>0.2</v>
      </c>
      <c r="BV301">
        <v>10.4</v>
      </c>
      <c r="BW301">
        <v>2.9</v>
      </c>
      <c r="CA301">
        <v>0.6</v>
      </c>
      <c r="CE301">
        <v>4</v>
      </c>
      <c r="CG301">
        <v>0.1</v>
      </c>
      <c r="CH301">
        <v>1.3</v>
      </c>
      <c r="CK301">
        <v>0.4</v>
      </c>
      <c r="CM301">
        <v>4</v>
      </c>
      <c r="CO301">
        <v>0.1</v>
      </c>
      <c r="CS301">
        <v>3</v>
      </c>
      <c r="CT301">
        <v>1.4</v>
      </c>
      <c r="CW301">
        <v>0.4</v>
      </c>
      <c r="DA301" s="2"/>
      <c r="DD301" s="1">
        <v>41176</v>
      </c>
      <c r="DE301" s="2">
        <f t="shared" si="74"/>
        <v>5.0487804878048799</v>
      </c>
      <c r="DF301" s="2">
        <f t="shared" si="73"/>
        <v>2.0097087378640781</v>
      </c>
      <c r="DG301" s="2">
        <f t="shared" si="75"/>
        <v>34.4</v>
      </c>
      <c r="DH301" s="2">
        <f t="shared" si="76"/>
        <v>0.1</v>
      </c>
      <c r="DI301" s="3">
        <f t="shared" si="68"/>
        <v>0.39805825242718446</v>
      </c>
    </row>
    <row r="302" spans="1:113">
      <c r="A302" s="17" t="s">
        <v>302</v>
      </c>
      <c r="D302">
        <v>1.1000000000000001</v>
      </c>
      <c r="Q302">
        <v>0.2</v>
      </c>
      <c r="T302">
        <v>3.9</v>
      </c>
      <c r="U302">
        <v>2</v>
      </c>
      <c r="V302">
        <v>1.8</v>
      </c>
      <c r="Y302">
        <v>0.6</v>
      </c>
      <c r="AD302">
        <v>10.5</v>
      </c>
      <c r="AF302">
        <v>0.9</v>
      </c>
      <c r="AL302">
        <v>1</v>
      </c>
      <c r="AN302">
        <v>0.2</v>
      </c>
      <c r="AS302">
        <v>39</v>
      </c>
      <c r="AV302">
        <v>0.6</v>
      </c>
      <c r="BA302">
        <v>10.5</v>
      </c>
      <c r="BC302">
        <v>21.3</v>
      </c>
      <c r="BG302">
        <v>13.3</v>
      </c>
      <c r="BK302">
        <v>6.4</v>
      </c>
      <c r="BP302">
        <v>2.4</v>
      </c>
      <c r="BU302">
        <v>0.5</v>
      </c>
      <c r="CE302">
        <v>7.5</v>
      </c>
      <c r="CH302">
        <v>6.4</v>
      </c>
      <c r="CI302">
        <v>3.9</v>
      </c>
      <c r="CO302">
        <v>0.1</v>
      </c>
      <c r="CR302">
        <v>6.8</v>
      </c>
      <c r="CS302">
        <v>0.1</v>
      </c>
      <c r="CU302">
        <v>0.6</v>
      </c>
      <c r="DA302" s="2"/>
      <c r="DD302" s="1">
        <v>41177</v>
      </c>
      <c r="DE302" s="2">
        <f t="shared" si="74"/>
        <v>5.6640000000000006</v>
      </c>
      <c r="DF302" s="2">
        <f t="shared" si="73"/>
        <v>1.3747572815533984</v>
      </c>
      <c r="DG302" s="2">
        <f t="shared" si="75"/>
        <v>39</v>
      </c>
      <c r="DH302" s="2">
        <f t="shared" si="76"/>
        <v>0.1</v>
      </c>
      <c r="DI302" s="3">
        <f t="shared" si="68"/>
        <v>0.24271844660194175</v>
      </c>
    </row>
    <row r="303" spans="1:113">
      <c r="A303" s="17" t="s">
        <v>303</v>
      </c>
      <c r="D303">
        <v>0.3</v>
      </c>
      <c r="E303">
        <v>0.2</v>
      </c>
      <c r="M303">
        <v>0.3</v>
      </c>
      <c r="T303">
        <v>2.1</v>
      </c>
      <c r="U303">
        <v>1.1000000000000001</v>
      </c>
      <c r="V303">
        <v>0.2</v>
      </c>
      <c r="X303">
        <v>4.5</v>
      </c>
      <c r="Y303">
        <v>2.8</v>
      </c>
      <c r="Z303">
        <v>35.700000000000003</v>
      </c>
      <c r="AB303">
        <v>2</v>
      </c>
      <c r="AC303">
        <v>0.9</v>
      </c>
      <c r="AN303">
        <v>1.2</v>
      </c>
      <c r="AS303">
        <v>2.2000000000000002</v>
      </c>
      <c r="AT303">
        <v>1</v>
      </c>
      <c r="AV303">
        <v>2.8</v>
      </c>
      <c r="AW303">
        <v>35.700000000000003</v>
      </c>
      <c r="AY303">
        <v>2</v>
      </c>
      <c r="AZ303">
        <v>0.9</v>
      </c>
      <c r="BA303">
        <v>5.7</v>
      </c>
      <c r="BC303">
        <v>5.2</v>
      </c>
      <c r="BI303">
        <v>0.1</v>
      </c>
      <c r="BK303">
        <v>0.1</v>
      </c>
      <c r="BM303">
        <v>12.8</v>
      </c>
      <c r="BO303">
        <v>5.4</v>
      </c>
      <c r="BP303">
        <v>2.2000000000000002</v>
      </c>
      <c r="BQ303">
        <v>1</v>
      </c>
      <c r="BU303">
        <v>3.2</v>
      </c>
      <c r="BW303">
        <v>0.4</v>
      </c>
      <c r="CE303">
        <v>0.7</v>
      </c>
      <c r="CF303">
        <v>0.1</v>
      </c>
      <c r="CH303">
        <v>0.1</v>
      </c>
      <c r="CM303">
        <v>6.5</v>
      </c>
      <c r="CO303">
        <v>4.7</v>
      </c>
      <c r="CP303">
        <v>0.9</v>
      </c>
      <c r="CR303">
        <v>0.5</v>
      </c>
      <c r="CU303">
        <v>11.3</v>
      </c>
      <c r="CW303">
        <v>1</v>
      </c>
      <c r="DA303" s="2"/>
      <c r="DD303" s="1">
        <v>41178</v>
      </c>
      <c r="DE303" s="2">
        <f t="shared" si="74"/>
        <v>4.2648648648648644</v>
      </c>
      <c r="DF303" s="2">
        <f t="shared" si="73"/>
        <v>1.5320388349514562</v>
      </c>
      <c r="DG303" s="2">
        <f t="shared" si="75"/>
        <v>35.700000000000003</v>
      </c>
      <c r="DH303" s="2">
        <f t="shared" si="76"/>
        <v>0.1</v>
      </c>
      <c r="DI303" s="3">
        <f t="shared" si="68"/>
        <v>0.35922330097087379</v>
      </c>
    </row>
    <row r="304" spans="1:113">
      <c r="A304" s="17" t="s">
        <v>304</v>
      </c>
      <c r="B304">
        <v>70.099999999999994</v>
      </c>
      <c r="D304">
        <v>7.2</v>
      </c>
      <c r="F304">
        <v>0.1</v>
      </c>
      <c r="H304">
        <v>2.8</v>
      </c>
      <c r="K304">
        <v>0.3</v>
      </c>
      <c r="L304">
        <v>0.4</v>
      </c>
      <c r="O304">
        <v>0.3</v>
      </c>
      <c r="S304">
        <v>0.2</v>
      </c>
      <c r="T304">
        <v>5.0999999999999996</v>
      </c>
      <c r="V304">
        <v>10.9</v>
      </c>
      <c r="X304">
        <v>8</v>
      </c>
      <c r="Z304">
        <v>27.3</v>
      </c>
      <c r="AA304">
        <v>6.5</v>
      </c>
      <c r="AB304">
        <v>0.6</v>
      </c>
      <c r="AI304">
        <v>5.0999999999999996</v>
      </c>
      <c r="AJ304">
        <v>5.5</v>
      </c>
      <c r="AK304">
        <v>7.8</v>
      </c>
      <c r="AV304">
        <v>7.7</v>
      </c>
      <c r="AW304">
        <v>27.3</v>
      </c>
      <c r="AX304">
        <v>6.5</v>
      </c>
      <c r="AY304">
        <v>0.6</v>
      </c>
      <c r="BA304">
        <v>0.2</v>
      </c>
      <c r="BC304">
        <v>28.3</v>
      </c>
      <c r="BF304">
        <v>5.0999999999999996</v>
      </c>
      <c r="BG304">
        <v>5.5</v>
      </c>
      <c r="BH304">
        <v>7.8</v>
      </c>
      <c r="BI304">
        <v>15.1</v>
      </c>
      <c r="BM304">
        <v>0.1</v>
      </c>
      <c r="BQ304">
        <v>0.2</v>
      </c>
      <c r="BS304">
        <v>7.7</v>
      </c>
      <c r="CC304">
        <v>8.1999999999999993</v>
      </c>
      <c r="CF304">
        <v>15.1</v>
      </c>
      <c r="CI304">
        <v>8.4</v>
      </c>
      <c r="CM304">
        <v>7.5</v>
      </c>
      <c r="CN304">
        <v>15.6</v>
      </c>
      <c r="CO304">
        <v>2.4</v>
      </c>
      <c r="CP304">
        <v>0.3</v>
      </c>
      <c r="CS304">
        <v>0.6</v>
      </c>
      <c r="CU304">
        <v>37.9</v>
      </c>
      <c r="CV304">
        <v>0.1</v>
      </c>
      <c r="CZ304">
        <v>4</v>
      </c>
      <c r="DA304" s="2"/>
      <c r="DD304" s="1">
        <v>41179</v>
      </c>
      <c r="DE304" s="2">
        <f t="shared" si="74"/>
        <v>9.0341463414634156</v>
      </c>
      <c r="DF304" s="2">
        <f t="shared" si="73"/>
        <v>3.5961165048543693</v>
      </c>
      <c r="DG304" s="2">
        <f t="shared" si="75"/>
        <v>70.099999999999994</v>
      </c>
      <c r="DH304" s="2">
        <f t="shared" si="76"/>
        <v>0.1</v>
      </c>
      <c r="DI304" s="3">
        <f t="shared" si="68"/>
        <v>0.39805825242718446</v>
      </c>
    </row>
    <row r="305" spans="1:113">
      <c r="A305" s="17" t="s">
        <v>305</v>
      </c>
      <c r="B305">
        <v>45.9</v>
      </c>
      <c r="D305">
        <v>2.7</v>
      </c>
      <c r="E305">
        <v>0.9</v>
      </c>
      <c r="J305">
        <v>1.5</v>
      </c>
      <c r="K305">
        <v>1.2</v>
      </c>
      <c r="R305">
        <v>0.6</v>
      </c>
      <c r="S305">
        <v>0.8</v>
      </c>
      <c r="T305">
        <v>43.3</v>
      </c>
      <c r="Z305">
        <v>12.6</v>
      </c>
      <c r="AA305">
        <v>14.8</v>
      </c>
      <c r="AD305">
        <v>45.8</v>
      </c>
      <c r="AF305">
        <v>1.4</v>
      </c>
      <c r="AJ305">
        <v>3.7</v>
      </c>
      <c r="AM305">
        <v>4.2</v>
      </c>
      <c r="AN305">
        <v>15.4</v>
      </c>
      <c r="AW305">
        <v>4.0999999999999996</v>
      </c>
      <c r="AX305">
        <v>14.8</v>
      </c>
      <c r="BA305">
        <v>45.8</v>
      </c>
      <c r="BC305">
        <v>25.4</v>
      </c>
      <c r="BG305">
        <v>3.7</v>
      </c>
      <c r="BI305">
        <v>4</v>
      </c>
      <c r="BJ305">
        <v>4.2</v>
      </c>
      <c r="BK305">
        <v>25.2</v>
      </c>
      <c r="BP305">
        <v>11.5</v>
      </c>
      <c r="BT305">
        <v>4.0999999999999996</v>
      </c>
      <c r="CB305">
        <v>0.3</v>
      </c>
      <c r="CC305">
        <v>6.4</v>
      </c>
      <c r="CF305">
        <v>4</v>
      </c>
      <c r="CH305">
        <v>25.2</v>
      </c>
      <c r="CI305">
        <v>13.8</v>
      </c>
      <c r="CM305">
        <v>0.4</v>
      </c>
      <c r="CO305">
        <v>0.6</v>
      </c>
      <c r="CR305">
        <v>4.5999999999999996</v>
      </c>
      <c r="CS305">
        <v>13.6</v>
      </c>
      <c r="CU305">
        <v>0.8</v>
      </c>
      <c r="CW305">
        <v>0.1</v>
      </c>
      <c r="DA305" s="2"/>
      <c r="DD305" s="1">
        <v>41180</v>
      </c>
      <c r="DE305" s="2">
        <f t="shared" si="74"/>
        <v>11.316666666666668</v>
      </c>
      <c r="DF305" s="2">
        <f t="shared" si="73"/>
        <v>3.9553398058252429</v>
      </c>
      <c r="DG305" s="2">
        <f t="shared" si="75"/>
        <v>45.9</v>
      </c>
      <c r="DH305" s="2">
        <f t="shared" si="76"/>
        <v>0.1</v>
      </c>
      <c r="DI305" s="3">
        <f t="shared" si="68"/>
        <v>0.34951456310679613</v>
      </c>
    </row>
    <row r="306" spans="1:113">
      <c r="A306" s="17" t="s">
        <v>306</v>
      </c>
      <c r="B306">
        <v>1.4</v>
      </c>
      <c r="C306">
        <v>4.8</v>
      </c>
      <c r="D306">
        <v>19.600000000000001</v>
      </c>
      <c r="E306">
        <v>0.5</v>
      </c>
      <c r="K306">
        <v>0.6</v>
      </c>
      <c r="L306">
        <v>1.7</v>
      </c>
      <c r="T306">
        <v>2.2000000000000002</v>
      </c>
      <c r="V306">
        <v>0.7</v>
      </c>
      <c r="X306">
        <v>0.2</v>
      </c>
      <c r="AD306">
        <v>1</v>
      </c>
      <c r="AF306">
        <v>0.4</v>
      </c>
      <c r="AK306">
        <v>2</v>
      </c>
      <c r="AM306">
        <v>7</v>
      </c>
      <c r="AN306">
        <v>1.1000000000000001</v>
      </c>
      <c r="AT306">
        <v>11.1</v>
      </c>
      <c r="AW306">
        <v>0.3</v>
      </c>
      <c r="AX306">
        <v>0.5</v>
      </c>
      <c r="AY306">
        <v>0.4</v>
      </c>
      <c r="BA306">
        <v>1</v>
      </c>
      <c r="BB306">
        <v>11.1</v>
      </c>
      <c r="BC306">
        <v>0.4</v>
      </c>
      <c r="BF306">
        <v>2.6</v>
      </c>
      <c r="BH306">
        <v>2</v>
      </c>
      <c r="BI306">
        <v>5.3</v>
      </c>
      <c r="BJ306">
        <v>7</v>
      </c>
      <c r="BK306">
        <v>25.3</v>
      </c>
      <c r="BP306">
        <v>1.1000000000000001</v>
      </c>
      <c r="BQ306">
        <v>9.6999999999999993</v>
      </c>
      <c r="BS306">
        <v>4.8</v>
      </c>
      <c r="BT306">
        <v>0.3</v>
      </c>
      <c r="BU306">
        <v>0.5</v>
      </c>
      <c r="BV306">
        <v>0.4</v>
      </c>
      <c r="BZ306">
        <v>1.3</v>
      </c>
      <c r="CF306">
        <v>0.1</v>
      </c>
      <c r="CH306">
        <v>7.3</v>
      </c>
      <c r="CI306">
        <v>9</v>
      </c>
      <c r="CK306">
        <v>5.5</v>
      </c>
      <c r="CR306">
        <v>4.7</v>
      </c>
      <c r="CS306">
        <v>7.2</v>
      </c>
      <c r="CU306">
        <v>6.4</v>
      </c>
      <c r="CW306">
        <v>5</v>
      </c>
      <c r="CX306">
        <v>7.9</v>
      </c>
      <c r="DA306" s="2"/>
      <c r="DD306" s="1">
        <v>41181</v>
      </c>
      <c r="DE306" s="2">
        <f t="shared" si="74"/>
        <v>4.3190476190476188</v>
      </c>
      <c r="DF306" s="2">
        <f t="shared" si="73"/>
        <v>1.7611650485436892</v>
      </c>
      <c r="DG306" s="2">
        <f t="shared" si="75"/>
        <v>25.3</v>
      </c>
      <c r="DH306" s="2">
        <f t="shared" si="76"/>
        <v>0.1</v>
      </c>
      <c r="DI306" s="3">
        <f t="shared" si="68"/>
        <v>0.40776699029126212</v>
      </c>
    </row>
    <row r="307" spans="1:113">
      <c r="A307" s="17" t="s">
        <v>307</v>
      </c>
      <c r="C307">
        <v>1.1000000000000001</v>
      </c>
      <c r="D307">
        <v>85.7</v>
      </c>
      <c r="E307">
        <v>7.3</v>
      </c>
      <c r="I307">
        <v>4.5</v>
      </c>
      <c r="L307">
        <v>2.5</v>
      </c>
      <c r="T307">
        <v>1.1000000000000001</v>
      </c>
      <c r="V307">
        <v>12.9</v>
      </c>
      <c r="Y307">
        <v>1.5</v>
      </c>
      <c r="AM307">
        <v>26.9</v>
      </c>
      <c r="AN307">
        <v>3.2</v>
      </c>
      <c r="AO307">
        <v>0.2</v>
      </c>
      <c r="AS307">
        <v>8.4</v>
      </c>
      <c r="AT307">
        <v>0.3</v>
      </c>
      <c r="AV307">
        <v>1.5</v>
      </c>
      <c r="AX307">
        <v>25.8</v>
      </c>
      <c r="AY307">
        <v>1</v>
      </c>
      <c r="BI307">
        <v>1.5</v>
      </c>
      <c r="BJ307">
        <v>26.9</v>
      </c>
      <c r="BK307">
        <v>0.1</v>
      </c>
      <c r="BL307">
        <v>0.1</v>
      </c>
      <c r="BP307">
        <v>2.7</v>
      </c>
      <c r="BQ307">
        <v>0.3</v>
      </c>
      <c r="BS307">
        <v>1.3</v>
      </c>
      <c r="BU307">
        <v>0.9</v>
      </c>
      <c r="BV307">
        <v>1</v>
      </c>
      <c r="BX307">
        <v>1.7</v>
      </c>
      <c r="BY307">
        <v>9.6</v>
      </c>
      <c r="BZ307">
        <v>2.1</v>
      </c>
      <c r="CB307">
        <v>4.3</v>
      </c>
      <c r="CF307">
        <v>14.5</v>
      </c>
      <c r="CH307">
        <v>0.1</v>
      </c>
      <c r="CI307">
        <v>0.8</v>
      </c>
      <c r="CK307">
        <v>9.5</v>
      </c>
      <c r="CX307">
        <v>9.8000000000000007</v>
      </c>
      <c r="DA307" s="2"/>
      <c r="DD307" s="1">
        <v>41182</v>
      </c>
      <c r="DE307" s="2">
        <f t="shared" si="74"/>
        <v>7.9735294117647069</v>
      </c>
      <c r="DF307" s="2">
        <f t="shared" si="73"/>
        <v>2.6320388349514565</v>
      </c>
      <c r="DG307" s="2">
        <f t="shared" si="75"/>
        <v>85.7</v>
      </c>
      <c r="DH307" s="2">
        <f t="shared" si="76"/>
        <v>0.1</v>
      </c>
      <c r="DI307" s="3">
        <f t="shared" si="68"/>
        <v>0.3300970873786408</v>
      </c>
    </row>
    <row r="308" spans="1:113">
      <c r="A308" s="17"/>
      <c r="B308">
        <v>1911</v>
      </c>
      <c r="C308">
        <v>1912</v>
      </c>
      <c r="D308">
        <v>1913</v>
      </c>
      <c r="E308">
        <v>1914</v>
      </c>
      <c r="F308">
        <v>1915</v>
      </c>
      <c r="G308">
        <v>1916</v>
      </c>
      <c r="H308">
        <v>1917</v>
      </c>
      <c r="I308">
        <v>1918</v>
      </c>
      <c r="J308">
        <v>1919</v>
      </c>
      <c r="K308">
        <v>1920</v>
      </c>
      <c r="L308">
        <v>1921</v>
      </c>
      <c r="M308">
        <v>1922</v>
      </c>
      <c r="N308">
        <v>1923</v>
      </c>
      <c r="O308">
        <v>1924</v>
      </c>
      <c r="P308">
        <v>1925</v>
      </c>
      <c r="Q308">
        <v>1926</v>
      </c>
      <c r="R308">
        <v>1927</v>
      </c>
      <c r="S308">
        <v>1928</v>
      </c>
      <c r="T308">
        <v>1929</v>
      </c>
      <c r="U308">
        <v>1930</v>
      </c>
      <c r="V308">
        <v>1931</v>
      </c>
      <c r="W308">
        <v>1932</v>
      </c>
      <c r="X308">
        <v>1933</v>
      </c>
      <c r="Y308">
        <v>1934</v>
      </c>
      <c r="Z308">
        <v>1935</v>
      </c>
      <c r="AA308">
        <v>1936</v>
      </c>
      <c r="AB308">
        <v>1937</v>
      </c>
      <c r="AC308">
        <v>1938</v>
      </c>
      <c r="AD308">
        <v>1939</v>
      </c>
      <c r="AE308">
        <v>1940</v>
      </c>
      <c r="AF308">
        <v>1941</v>
      </c>
      <c r="AG308">
        <v>1942</v>
      </c>
      <c r="AH308">
        <v>1943</v>
      </c>
      <c r="AI308">
        <v>1944</v>
      </c>
      <c r="AJ308">
        <v>1945</v>
      </c>
      <c r="AK308">
        <v>1946</v>
      </c>
      <c r="AL308">
        <v>1947</v>
      </c>
      <c r="AM308">
        <v>1948</v>
      </c>
      <c r="AN308">
        <v>1949</v>
      </c>
      <c r="AO308">
        <v>1950</v>
      </c>
      <c r="AP308">
        <v>1951</v>
      </c>
      <c r="AQ308">
        <v>1952</v>
      </c>
      <c r="AR308">
        <v>1953</v>
      </c>
      <c r="AS308">
        <v>1954</v>
      </c>
      <c r="AT308">
        <v>1955</v>
      </c>
      <c r="AU308">
        <v>1956</v>
      </c>
      <c r="AV308">
        <v>1957</v>
      </c>
      <c r="AW308">
        <v>1958</v>
      </c>
      <c r="AX308">
        <v>1959</v>
      </c>
      <c r="AY308">
        <v>1960</v>
      </c>
      <c r="AZ308">
        <v>1961</v>
      </c>
      <c r="BA308">
        <v>1962</v>
      </c>
      <c r="BB308">
        <v>1963</v>
      </c>
      <c r="BC308">
        <v>1964</v>
      </c>
      <c r="BD308">
        <v>1965</v>
      </c>
      <c r="BE308">
        <v>1966</v>
      </c>
      <c r="BF308">
        <v>1967</v>
      </c>
      <c r="BG308">
        <v>1968</v>
      </c>
      <c r="BH308">
        <v>1969</v>
      </c>
      <c r="BI308">
        <v>1970</v>
      </c>
      <c r="BJ308">
        <v>1971</v>
      </c>
      <c r="BK308">
        <v>1972</v>
      </c>
      <c r="BL308">
        <v>1973</v>
      </c>
      <c r="BM308">
        <v>1974</v>
      </c>
      <c r="BN308">
        <v>1975</v>
      </c>
      <c r="BO308">
        <v>1976</v>
      </c>
      <c r="BP308">
        <v>1977</v>
      </c>
      <c r="BQ308">
        <v>1978</v>
      </c>
      <c r="BR308">
        <v>1979</v>
      </c>
      <c r="BS308">
        <v>1980</v>
      </c>
      <c r="BT308">
        <v>1981</v>
      </c>
      <c r="BU308">
        <v>1982</v>
      </c>
      <c r="BV308">
        <v>1983</v>
      </c>
      <c r="BW308">
        <v>1984</v>
      </c>
      <c r="BX308">
        <v>1985</v>
      </c>
      <c r="BY308">
        <v>1986</v>
      </c>
      <c r="BZ308">
        <v>1987</v>
      </c>
      <c r="CA308">
        <v>1988</v>
      </c>
      <c r="CB308">
        <v>1989</v>
      </c>
      <c r="CC308">
        <v>1990</v>
      </c>
      <c r="CD308">
        <v>1991</v>
      </c>
      <c r="CE308">
        <v>1992</v>
      </c>
      <c r="CF308">
        <v>1993</v>
      </c>
      <c r="CG308">
        <v>1994</v>
      </c>
      <c r="CH308">
        <v>1995</v>
      </c>
      <c r="CI308">
        <v>1996</v>
      </c>
      <c r="CJ308">
        <v>1997</v>
      </c>
      <c r="CK308">
        <v>1998</v>
      </c>
      <c r="CL308">
        <v>1999</v>
      </c>
      <c r="CM308">
        <v>2000</v>
      </c>
      <c r="CN308">
        <v>2001</v>
      </c>
      <c r="CO308">
        <v>2002</v>
      </c>
      <c r="CP308">
        <v>2003</v>
      </c>
      <c r="CQ308">
        <v>2004</v>
      </c>
      <c r="CR308">
        <v>2005</v>
      </c>
      <c r="CS308">
        <v>2006</v>
      </c>
      <c r="CT308">
        <v>2007</v>
      </c>
      <c r="CU308">
        <v>2008</v>
      </c>
      <c r="CV308">
        <v>2009</v>
      </c>
      <c r="CW308">
        <v>2010</v>
      </c>
      <c r="CX308">
        <v>2011</v>
      </c>
      <c r="CY308">
        <v>2012</v>
      </c>
      <c r="CZ308">
        <v>2013</v>
      </c>
      <c r="DA308" s="2"/>
      <c r="DD308" s="1"/>
    </row>
    <row r="309" spans="1:113">
      <c r="A309" s="17" t="s">
        <v>30</v>
      </c>
      <c r="B309">
        <f>SUM(B278:B307)</f>
        <v>151.19999999999999</v>
      </c>
      <c r="C309">
        <f>SUM(C278:C307)</f>
        <v>36.299999999999997</v>
      </c>
      <c r="D309">
        <f>SUM(D278:D307)</f>
        <v>137.80000000000001</v>
      </c>
      <c r="E309">
        <f t="shared" ref="E309:BP309" si="77">SUM(E278:E307)</f>
        <v>20</v>
      </c>
      <c r="F309">
        <f t="shared" si="77"/>
        <v>32.299999999999997</v>
      </c>
      <c r="G309">
        <f t="shared" si="77"/>
        <v>70.7</v>
      </c>
      <c r="H309">
        <f t="shared" si="77"/>
        <v>31</v>
      </c>
      <c r="I309">
        <f t="shared" si="77"/>
        <v>13.399999999999999</v>
      </c>
      <c r="J309">
        <f t="shared" si="77"/>
        <v>53.2</v>
      </c>
      <c r="K309">
        <f t="shared" si="77"/>
        <v>35</v>
      </c>
      <c r="L309">
        <f t="shared" si="77"/>
        <v>94.40000000000002</v>
      </c>
      <c r="M309">
        <f t="shared" si="77"/>
        <v>35.1</v>
      </c>
      <c r="N309">
        <f t="shared" si="77"/>
        <v>6.6</v>
      </c>
      <c r="O309">
        <f t="shared" si="77"/>
        <v>3.3</v>
      </c>
      <c r="P309">
        <f t="shared" si="77"/>
        <v>0</v>
      </c>
      <c r="Q309">
        <f t="shared" si="77"/>
        <v>17.3</v>
      </c>
      <c r="R309">
        <f t="shared" si="77"/>
        <v>4.6999999999999993</v>
      </c>
      <c r="S309">
        <f t="shared" si="77"/>
        <v>2.8</v>
      </c>
      <c r="T309">
        <f t="shared" si="77"/>
        <v>129.89999999999998</v>
      </c>
      <c r="U309">
        <f t="shared" si="77"/>
        <v>24.8</v>
      </c>
      <c r="V309">
        <f t="shared" si="77"/>
        <v>95.100000000000009</v>
      </c>
      <c r="W309">
        <f t="shared" si="77"/>
        <v>2.5</v>
      </c>
      <c r="X309">
        <f t="shared" si="77"/>
        <v>57.7</v>
      </c>
      <c r="Y309">
        <f t="shared" si="77"/>
        <v>12.3</v>
      </c>
      <c r="Z309">
        <f t="shared" si="77"/>
        <v>77.899999999999991</v>
      </c>
      <c r="AA309">
        <f t="shared" si="77"/>
        <v>76.5</v>
      </c>
      <c r="AB309">
        <f t="shared" si="77"/>
        <v>36.300000000000004</v>
      </c>
      <c r="AC309">
        <f t="shared" si="77"/>
        <v>276.2</v>
      </c>
      <c r="AD309">
        <f t="shared" si="77"/>
        <v>64.3</v>
      </c>
      <c r="AE309">
        <f t="shared" si="77"/>
        <v>47</v>
      </c>
      <c r="AF309">
        <f t="shared" si="77"/>
        <v>50.4</v>
      </c>
      <c r="AG309">
        <f t="shared" si="77"/>
        <v>61</v>
      </c>
      <c r="AH309">
        <f t="shared" si="77"/>
        <v>135.1</v>
      </c>
      <c r="AI309">
        <f t="shared" si="77"/>
        <v>45.5</v>
      </c>
      <c r="AJ309">
        <f t="shared" si="77"/>
        <v>18.900000000000002</v>
      </c>
      <c r="AK309">
        <f t="shared" si="77"/>
        <v>10.3</v>
      </c>
      <c r="AL309">
        <f t="shared" si="77"/>
        <v>41.5</v>
      </c>
      <c r="AM309">
        <f t="shared" si="77"/>
        <v>38.4</v>
      </c>
      <c r="AN309">
        <f t="shared" si="77"/>
        <v>222.39999999999995</v>
      </c>
      <c r="AO309">
        <f t="shared" si="77"/>
        <v>27.499999999999996</v>
      </c>
      <c r="AP309">
        <f t="shared" si="77"/>
        <v>15.5</v>
      </c>
      <c r="AQ309">
        <f t="shared" si="77"/>
        <v>38.200000000000003</v>
      </c>
      <c r="AR309">
        <f t="shared" si="77"/>
        <v>59.800000000000004</v>
      </c>
      <c r="AS309">
        <f t="shared" si="77"/>
        <v>82.000000000000014</v>
      </c>
      <c r="AT309">
        <f t="shared" si="77"/>
        <v>89.6</v>
      </c>
      <c r="AU309">
        <f t="shared" si="77"/>
        <v>32</v>
      </c>
      <c r="AV309">
        <f t="shared" si="77"/>
        <v>20.399999999999999</v>
      </c>
      <c r="AW309">
        <f t="shared" si="77"/>
        <v>173.50000000000003</v>
      </c>
      <c r="AX309">
        <f t="shared" si="77"/>
        <v>120.8</v>
      </c>
      <c r="AY309">
        <f t="shared" si="77"/>
        <v>93.300000000000011</v>
      </c>
      <c r="AZ309">
        <f t="shared" si="77"/>
        <v>399.4</v>
      </c>
      <c r="BA309">
        <f t="shared" si="77"/>
        <v>125.10000000000001</v>
      </c>
      <c r="BB309">
        <f t="shared" si="77"/>
        <v>62.6</v>
      </c>
      <c r="BC309">
        <f t="shared" si="77"/>
        <v>234.10000000000002</v>
      </c>
      <c r="BD309">
        <f t="shared" si="77"/>
        <v>62.6</v>
      </c>
      <c r="BE309">
        <f t="shared" si="77"/>
        <v>158.39999999999998</v>
      </c>
      <c r="BF309">
        <f t="shared" si="77"/>
        <v>50.300000000000004</v>
      </c>
      <c r="BG309">
        <f t="shared" si="77"/>
        <v>81</v>
      </c>
      <c r="BH309">
        <f t="shared" si="77"/>
        <v>47.699999999999996</v>
      </c>
      <c r="BI309">
        <f t="shared" si="77"/>
        <v>107.1</v>
      </c>
      <c r="BJ309">
        <f t="shared" si="77"/>
        <v>62</v>
      </c>
      <c r="BK309">
        <f t="shared" si="77"/>
        <v>151.1</v>
      </c>
      <c r="BL309">
        <f t="shared" si="77"/>
        <v>51.000000000000007</v>
      </c>
      <c r="BM309">
        <f t="shared" si="77"/>
        <v>47.800000000000004</v>
      </c>
      <c r="BN309">
        <f t="shared" si="77"/>
        <v>33.5</v>
      </c>
      <c r="BO309">
        <f t="shared" si="77"/>
        <v>135.4</v>
      </c>
      <c r="BP309">
        <f t="shared" si="77"/>
        <v>62.6</v>
      </c>
      <c r="BQ309">
        <f t="shared" ref="BQ309:CZ309" si="78">SUM(BQ278:BQ307)</f>
        <v>113.19999999999999</v>
      </c>
      <c r="BR309">
        <f t="shared" si="78"/>
        <v>41.7</v>
      </c>
      <c r="BS309">
        <f t="shared" si="78"/>
        <v>55.499999999999993</v>
      </c>
      <c r="BT309">
        <f t="shared" si="78"/>
        <v>168.30000000000004</v>
      </c>
      <c r="BU309">
        <f t="shared" si="78"/>
        <v>68</v>
      </c>
      <c r="BV309">
        <f t="shared" si="78"/>
        <v>110.60000000000001</v>
      </c>
      <c r="BW309">
        <f t="shared" si="78"/>
        <v>211.50000000000003</v>
      </c>
      <c r="BX309">
        <f t="shared" si="78"/>
        <v>14.7</v>
      </c>
      <c r="BY309">
        <f t="shared" si="78"/>
        <v>27.700000000000003</v>
      </c>
      <c r="BZ309">
        <f t="shared" si="78"/>
        <v>3.4000000000000004</v>
      </c>
      <c r="CA309">
        <f t="shared" si="78"/>
        <v>25.3</v>
      </c>
      <c r="CB309">
        <f t="shared" si="78"/>
        <v>11.2</v>
      </c>
      <c r="CC309">
        <f t="shared" si="78"/>
        <v>98</v>
      </c>
      <c r="CD309">
        <f t="shared" si="78"/>
        <v>84.3</v>
      </c>
      <c r="CE309">
        <f t="shared" si="78"/>
        <v>12.2</v>
      </c>
      <c r="CF309">
        <f t="shared" si="78"/>
        <v>96.600000000000009</v>
      </c>
      <c r="CG309">
        <f t="shared" si="78"/>
        <v>20.700000000000003</v>
      </c>
      <c r="CH309">
        <f t="shared" si="78"/>
        <v>99.399999999999991</v>
      </c>
      <c r="CI309">
        <f t="shared" si="78"/>
        <v>104.4</v>
      </c>
      <c r="CJ309">
        <f t="shared" si="78"/>
        <v>8.5</v>
      </c>
      <c r="CK309">
        <f t="shared" si="78"/>
        <v>48.3</v>
      </c>
      <c r="CL309">
        <f t="shared" si="78"/>
        <v>27.2</v>
      </c>
      <c r="CM309">
        <f t="shared" si="78"/>
        <v>56.6</v>
      </c>
      <c r="CN309">
        <f t="shared" si="78"/>
        <v>42.5</v>
      </c>
      <c r="CO309">
        <f t="shared" si="78"/>
        <v>117.19999999999999</v>
      </c>
      <c r="CP309">
        <f t="shared" si="78"/>
        <v>52.1</v>
      </c>
      <c r="CQ309">
        <f t="shared" si="78"/>
        <v>12.099999999999998</v>
      </c>
      <c r="CR309">
        <f t="shared" si="78"/>
        <v>56.6</v>
      </c>
      <c r="CS309">
        <f t="shared" si="78"/>
        <v>118.39999999999999</v>
      </c>
      <c r="CT309">
        <f t="shared" si="78"/>
        <v>21.899999999999995</v>
      </c>
      <c r="CU309">
        <f t="shared" si="78"/>
        <v>107.2</v>
      </c>
      <c r="CV309">
        <f t="shared" si="78"/>
        <v>62.2</v>
      </c>
      <c r="CW309">
        <f t="shared" si="78"/>
        <v>59.5</v>
      </c>
      <c r="CX309">
        <f t="shared" si="78"/>
        <v>27.3</v>
      </c>
      <c r="CY309">
        <f t="shared" si="78"/>
        <v>13.8</v>
      </c>
      <c r="CZ309">
        <f t="shared" si="78"/>
        <v>15.999999999999998</v>
      </c>
      <c r="DA309" s="2"/>
      <c r="DD309" s="1"/>
    </row>
    <row r="310" spans="1:113">
      <c r="A310" s="17" t="s">
        <v>4</v>
      </c>
      <c r="B310">
        <f>MAX(B278:B307)</f>
        <v>70.099999999999994</v>
      </c>
      <c r="C310">
        <f>MAX(C278:C307)</f>
        <v>22.5</v>
      </c>
      <c r="D310">
        <f>MAX(D278:D307)</f>
        <v>85.7</v>
      </c>
      <c r="E310">
        <f t="shared" ref="E310:BP310" si="79">MAX(E278:E307)</f>
        <v>8.8000000000000007</v>
      </c>
      <c r="F310">
        <f t="shared" si="79"/>
        <v>11.2</v>
      </c>
      <c r="G310">
        <f t="shared" si="79"/>
        <v>24.1</v>
      </c>
      <c r="H310">
        <f t="shared" si="79"/>
        <v>19.5</v>
      </c>
      <c r="I310">
        <f t="shared" si="79"/>
        <v>8.1999999999999993</v>
      </c>
      <c r="J310">
        <f t="shared" si="79"/>
        <v>31.2</v>
      </c>
      <c r="K310">
        <f t="shared" si="79"/>
        <v>10.5</v>
      </c>
      <c r="L310">
        <f t="shared" si="79"/>
        <v>26.1</v>
      </c>
      <c r="M310">
        <f t="shared" si="79"/>
        <v>27.1</v>
      </c>
      <c r="N310">
        <f t="shared" si="79"/>
        <v>6.2</v>
      </c>
      <c r="O310">
        <f t="shared" si="79"/>
        <v>1.7</v>
      </c>
      <c r="P310">
        <f t="shared" si="79"/>
        <v>0</v>
      </c>
      <c r="Q310">
        <f t="shared" si="79"/>
        <v>7.5</v>
      </c>
      <c r="R310">
        <f t="shared" si="79"/>
        <v>3.8</v>
      </c>
      <c r="S310">
        <f t="shared" si="79"/>
        <v>1.2</v>
      </c>
      <c r="T310">
        <f t="shared" si="79"/>
        <v>43.3</v>
      </c>
      <c r="U310">
        <f t="shared" si="79"/>
        <v>19.399999999999999</v>
      </c>
      <c r="V310">
        <f t="shared" si="79"/>
        <v>37</v>
      </c>
      <c r="W310">
        <f t="shared" si="79"/>
        <v>2.5</v>
      </c>
      <c r="X310">
        <f t="shared" si="79"/>
        <v>27</v>
      </c>
      <c r="Y310">
        <f t="shared" si="79"/>
        <v>3.4</v>
      </c>
      <c r="Z310">
        <f t="shared" si="79"/>
        <v>35.700000000000003</v>
      </c>
      <c r="AA310">
        <f t="shared" si="79"/>
        <v>23.1</v>
      </c>
      <c r="AB310">
        <f t="shared" si="79"/>
        <v>16</v>
      </c>
      <c r="AC310">
        <f t="shared" si="79"/>
        <v>79.900000000000006</v>
      </c>
      <c r="AD310">
        <f t="shared" si="79"/>
        <v>45.8</v>
      </c>
      <c r="AE310">
        <f t="shared" si="79"/>
        <v>32.9</v>
      </c>
      <c r="AF310">
        <f t="shared" si="79"/>
        <v>14.2</v>
      </c>
      <c r="AG310">
        <f t="shared" si="79"/>
        <v>37.5</v>
      </c>
      <c r="AH310">
        <f t="shared" si="79"/>
        <v>76.400000000000006</v>
      </c>
      <c r="AI310">
        <f t="shared" si="79"/>
        <v>27.1</v>
      </c>
      <c r="AJ310">
        <f t="shared" si="79"/>
        <v>6.3</v>
      </c>
      <c r="AK310">
        <f t="shared" si="79"/>
        <v>7.8</v>
      </c>
      <c r="AL310">
        <f t="shared" si="79"/>
        <v>19.8</v>
      </c>
      <c r="AM310">
        <f t="shared" si="79"/>
        <v>26.9</v>
      </c>
      <c r="AN310">
        <f t="shared" si="79"/>
        <v>80.099999999999994</v>
      </c>
      <c r="AO310">
        <f t="shared" si="79"/>
        <v>14.7</v>
      </c>
      <c r="AP310">
        <f t="shared" si="79"/>
        <v>12.6</v>
      </c>
      <c r="AQ310">
        <f t="shared" si="79"/>
        <v>22.8</v>
      </c>
      <c r="AR310">
        <f t="shared" si="79"/>
        <v>27.5</v>
      </c>
      <c r="AS310">
        <f t="shared" si="79"/>
        <v>39</v>
      </c>
      <c r="AT310">
        <f t="shared" si="79"/>
        <v>40.700000000000003</v>
      </c>
      <c r="AU310">
        <f t="shared" si="79"/>
        <v>7.8</v>
      </c>
      <c r="AV310">
        <f t="shared" si="79"/>
        <v>7.7</v>
      </c>
      <c r="AW310">
        <f t="shared" si="79"/>
        <v>35.700000000000003</v>
      </c>
      <c r="AX310">
        <f t="shared" si="79"/>
        <v>29.6</v>
      </c>
      <c r="AY310">
        <f t="shared" si="79"/>
        <v>23.8</v>
      </c>
      <c r="AZ310">
        <f t="shared" si="79"/>
        <v>123</v>
      </c>
      <c r="BA310">
        <f t="shared" si="79"/>
        <v>45.8</v>
      </c>
      <c r="BB310">
        <f t="shared" si="79"/>
        <v>32.9</v>
      </c>
      <c r="BC310">
        <f t="shared" si="79"/>
        <v>50.8</v>
      </c>
      <c r="BD310">
        <f t="shared" si="79"/>
        <v>37.5</v>
      </c>
      <c r="BE310">
        <f t="shared" si="79"/>
        <v>76.400000000000006</v>
      </c>
      <c r="BF310">
        <f t="shared" si="79"/>
        <v>18.3</v>
      </c>
      <c r="BG310">
        <f t="shared" si="79"/>
        <v>18.100000000000001</v>
      </c>
      <c r="BH310">
        <f t="shared" si="79"/>
        <v>25.4</v>
      </c>
      <c r="BI310">
        <f t="shared" si="79"/>
        <v>55</v>
      </c>
      <c r="BJ310">
        <f t="shared" si="79"/>
        <v>26.9</v>
      </c>
      <c r="BK310">
        <f t="shared" si="79"/>
        <v>66.400000000000006</v>
      </c>
      <c r="BL310">
        <f t="shared" si="79"/>
        <v>14.7</v>
      </c>
      <c r="BM310">
        <f t="shared" si="79"/>
        <v>12.8</v>
      </c>
      <c r="BN310">
        <f t="shared" si="79"/>
        <v>17.5</v>
      </c>
      <c r="BO310">
        <f t="shared" si="79"/>
        <v>33</v>
      </c>
      <c r="BP310">
        <f t="shared" si="79"/>
        <v>11.5</v>
      </c>
      <c r="BQ310">
        <f t="shared" ref="BQ310:CZ310" si="80">MAX(BQ278:BQ307)</f>
        <v>27.5</v>
      </c>
      <c r="BR310">
        <f t="shared" si="80"/>
        <v>25.2</v>
      </c>
      <c r="BS310">
        <f t="shared" si="80"/>
        <v>27.7</v>
      </c>
      <c r="BT310">
        <f t="shared" si="80"/>
        <v>78.2</v>
      </c>
      <c r="BU310">
        <f t="shared" si="80"/>
        <v>29.6</v>
      </c>
      <c r="BV310">
        <f t="shared" si="80"/>
        <v>52.1</v>
      </c>
      <c r="BW310">
        <f t="shared" si="80"/>
        <v>123</v>
      </c>
      <c r="BX310">
        <f t="shared" si="80"/>
        <v>11.4</v>
      </c>
      <c r="BY310">
        <f t="shared" si="80"/>
        <v>16.899999999999999</v>
      </c>
      <c r="BZ310">
        <f t="shared" si="80"/>
        <v>2.1</v>
      </c>
      <c r="CA310">
        <f t="shared" si="80"/>
        <v>15.8</v>
      </c>
      <c r="CB310">
        <f t="shared" si="80"/>
        <v>4.3</v>
      </c>
      <c r="CC310">
        <f t="shared" si="80"/>
        <v>30.7</v>
      </c>
      <c r="CD310">
        <f t="shared" si="80"/>
        <v>35.5</v>
      </c>
      <c r="CE310">
        <f t="shared" si="80"/>
        <v>7.5</v>
      </c>
      <c r="CF310">
        <f t="shared" si="80"/>
        <v>20.2</v>
      </c>
      <c r="CG310">
        <f t="shared" si="80"/>
        <v>8</v>
      </c>
      <c r="CH310">
        <f t="shared" si="80"/>
        <v>25.2</v>
      </c>
      <c r="CI310">
        <f t="shared" si="80"/>
        <v>20.2</v>
      </c>
      <c r="CJ310">
        <f t="shared" si="80"/>
        <v>5.5</v>
      </c>
      <c r="CK310">
        <f t="shared" si="80"/>
        <v>19.5</v>
      </c>
      <c r="CL310">
        <f t="shared" si="80"/>
        <v>14</v>
      </c>
      <c r="CM310">
        <f t="shared" si="80"/>
        <v>19.600000000000001</v>
      </c>
      <c r="CN310">
        <f t="shared" si="80"/>
        <v>19.5</v>
      </c>
      <c r="CO310">
        <f t="shared" si="80"/>
        <v>37.799999999999997</v>
      </c>
      <c r="CP310">
        <f t="shared" si="80"/>
        <v>19.7</v>
      </c>
      <c r="CQ310">
        <f t="shared" si="80"/>
        <v>4.0999999999999996</v>
      </c>
      <c r="CR310">
        <f t="shared" si="80"/>
        <v>12.1</v>
      </c>
      <c r="CS310">
        <f t="shared" si="80"/>
        <v>47.6</v>
      </c>
      <c r="CT310">
        <f t="shared" si="80"/>
        <v>12.3</v>
      </c>
      <c r="CU310">
        <f t="shared" si="80"/>
        <v>37.9</v>
      </c>
      <c r="CV310">
        <f t="shared" si="80"/>
        <v>28.6</v>
      </c>
      <c r="CW310">
        <f t="shared" si="80"/>
        <v>30.9</v>
      </c>
      <c r="CX310">
        <f t="shared" si="80"/>
        <v>9.8000000000000007</v>
      </c>
      <c r="CY310">
        <f t="shared" si="80"/>
        <v>6.3</v>
      </c>
      <c r="CZ310">
        <f t="shared" si="80"/>
        <v>4</v>
      </c>
      <c r="DA310" s="2"/>
      <c r="DD310" s="1"/>
    </row>
    <row r="311" spans="1:113">
      <c r="A311" s="17"/>
      <c r="DA311" s="2"/>
      <c r="DD311" s="1"/>
    </row>
    <row r="312" spans="1:113">
      <c r="A312" s="17" t="s">
        <v>308</v>
      </c>
      <c r="L312">
        <v>1.3</v>
      </c>
      <c r="T312">
        <v>0.1</v>
      </c>
      <c r="V312">
        <v>0.8</v>
      </c>
      <c r="X312">
        <v>4</v>
      </c>
      <c r="AA312">
        <v>14.5</v>
      </c>
      <c r="AC312">
        <v>0.2</v>
      </c>
      <c r="AD312">
        <v>2.4</v>
      </c>
      <c r="AG312">
        <v>16</v>
      </c>
      <c r="AI312">
        <v>6.6</v>
      </c>
      <c r="AJ312">
        <v>23</v>
      </c>
      <c r="AL312">
        <v>3.3</v>
      </c>
      <c r="AM312">
        <v>11.3</v>
      </c>
      <c r="AO312">
        <v>0.2</v>
      </c>
      <c r="AS312">
        <v>6.3</v>
      </c>
      <c r="AT312">
        <v>4.7</v>
      </c>
      <c r="AX312">
        <v>3.5</v>
      </c>
      <c r="BA312">
        <v>21.4</v>
      </c>
      <c r="BH312">
        <v>0.1</v>
      </c>
      <c r="BJ312">
        <v>0.3</v>
      </c>
      <c r="BK312">
        <v>0.2</v>
      </c>
      <c r="BQ312">
        <v>0.1</v>
      </c>
      <c r="BR312">
        <v>0.6</v>
      </c>
      <c r="BS312">
        <v>3.3</v>
      </c>
      <c r="BT312">
        <v>2.5</v>
      </c>
      <c r="BU312">
        <v>0.1</v>
      </c>
      <c r="BV312">
        <v>14.3</v>
      </c>
      <c r="BY312">
        <v>11</v>
      </c>
      <c r="BZ312">
        <v>31</v>
      </c>
      <c r="CB312">
        <v>17.100000000000001</v>
      </c>
      <c r="CE312">
        <v>1.2</v>
      </c>
      <c r="CH312">
        <v>2.6</v>
      </c>
      <c r="CI312">
        <v>2</v>
      </c>
      <c r="CJ312">
        <v>21</v>
      </c>
      <c r="CO312">
        <v>1.3</v>
      </c>
      <c r="CP312">
        <v>6.9</v>
      </c>
      <c r="CR312">
        <v>3.5</v>
      </c>
      <c r="CS312">
        <v>0.6</v>
      </c>
      <c r="CZ312">
        <v>16.899999999999999</v>
      </c>
      <c r="DA312" s="2"/>
      <c r="DD312" s="1">
        <v>41183</v>
      </c>
      <c r="DE312" s="2">
        <f t="shared" si="74"/>
        <v>6.7421052631578933</v>
      </c>
      <c r="DF312" s="2">
        <f t="shared" ref="DF312:DF342" si="81">SUM(B312:DA312)/(COUNTA(B312:CZ312)+COUNTBLANK(B312:CZ312))</f>
        <v>2.4873786407766985</v>
      </c>
      <c r="DG312" s="2">
        <f t="shared" si="75"/>
        <v>31</v>
      </c>
      <c r="DH312" s="2">
        <f t="shared" si="76"/>
        <v>0.1</v>
      </c>
      <c r="DI312" s="3">
        <f t="shared" si="68"/>
        <v>0.36893203883495146</v>
      </c>
    </row>
    <row r="313" spans="1:113">
      <c r="A313" s="17" t="s">
        <v>309</v>
      </c>
      <c r="F313">
        <v>0.3</v>
      </c>
      <c r="G313">
        <v>8.4</v>
      </c>
      <c r="I313">
        <v>2</v>
      </c>
      <c r="S313">
        <v>1.8</v>
      </c>
      <c r="T313">
        <v>0.1</v>
      </c>
      <c r="U313">
        <v>15.9</v>
      </c>
      <c r="V313">
        <v>1</v>
      </c>
      <c r="X313">
        <v>11</v>
      </c>
      <c r="AA313">
        <v>3.3</v>
      </c>
      <c r="AB313">
        <v>19.8</v>
      </c>
      <c r="AC313">
        <v>0.2</v>
      </c>
      <c r="AG313">
        <v>16.3</v>
      </c>
      <c r="AJ313">
        <v>0.4</v>
      </c>
      <c r="AM313">
        <v>26</v>
      </c>
      <c r="AO313">
        <v>2.2999999999999998</v>
      </c>
      <c r="AP313">
        <v>2</v>
      </c>
      <c r="AS313">
        <v>0.9</v>
      </c>
      <c r="AT313">
        <v>8.9</v>
      </c>
      <c r="AX313">
        <v>0.7</v>
      </c>
      <c r="BA313">
        <v>2.4</v>
      </c>
      <c r="BG313">
        <v>0.4</v>
      </c>
      <c r="BJ313">
        <v>0.1</v>
      </c>
      <c r="BM313">
        <v>0.1</v>
      </c>
      <c r="BR313">
        <v>0.1</v>
      </c>
      <c r="BS313">
        <v>0.8</v>
      </c>
      <c r="BT313">
        <v>4.5999999999999996</v>
      </c>
      <c r="BU313">
        <v>0.1</v>
      </c>
      <c r="BV313">
        <v>19</v>
      </c>
      <c r="BY313">
        <v>2.1</v>
      </c>
      <c r="BZ313">
        <v>0.2</v>
      </c>
      <c r="CA313">
        <v>0.1</v>
      </c>
      <c r="CP313">
        <v>0.1</v>
      </c>
      <c r="CR313">
        <v>6.2</v>
      </c>
      <c r="CU313">
        <v>0.5</v>
      </c>
      <c r="CW313">
        <v>1</v>
      </c>
      <c r="CY313">
        <v>0.1</v>
      </c>
      <c r="CZ313">
        <v>9.8000000000000007</v>
      </c>
      <c r="DA313" s="2"/>
      <c r="DD313" s="1">
        <v>41184</v>
      </c>
      <c r="DE313" s="2">
        <f t="shared" si="74"/>
        <v>4.5675675675675667</v>
      </c>
      <c r="DF313" s="2">
        <f t="shared" si="81"/>
        <v>1.6407766990291259</v>
      </c>
      <c r="DG313" s="2">
        <f t="shared" si="75"/>
        <v>26</v>
      </c>
      <c r="DH313" s="2">
        <f t="shared" si="76"/>
        <v>0.1</v>
      </c>
      <c r="DI313" s="3">
        <f t="shared" si="68"/>
        <v>0.35922330097087379</v>
      </c>
    </row>
    <row r="314" spans="1:113">
      <c r="A314" s="17" t="s">
        <v>310</v>
      </c>
      <c r="E314">
        <v>0.5</v>
      </c>
      <c r="F314">
        <v>0.5</v>
      </c>
      <c r="M314">
        <v>21.7</v>
      </c>
      <c r="O314">
        <v>0.2</v>
      </c>
      <c r="Q314">
        <v>0.8</v>
      </c>
      <c r="T314">
        <v>0.1</v>
      </c>
      <c r="U314">
        <v>18</v>
      </c>
      <c r="X314">
        <v>0.2</v>
      </c>
      <c r="AA314">
        <v>18</v>
      </c>
      <c r="AB314">
        <v>12.2</v>
      </c>
      <c r="AC314">
        <v>0.1</v>
      </c>
      <c r="AD314">
        <v>4.7</v>
      </c>
      <c r="AG314">
        <v>131.30000000000001</v>
      </c>
      <c r="AJ314">
        <v>0.1</v>
      </c>
      <c r="AP314">
        <v>2.2000000000000002</v>
      </c>
      <c r="AS314">
        <v>3.2</v>
      </c>
      <c r="AT314">
        <v>0.3</v>
      </c>
      <c r="AW314">
        <v>0.5</v>
      </c>
      <c r="BA314">
        <v>8.6</v>
      </c>
      <c r="BC314">
        <v>2.7</v>
      </c>
      <c r="BG314">
        <v>0.1</v>
      </c>
      <c r="BH314">
        <v>0.2</v>
      </c>
      <c r="BJ314">
        <v>0.1</v>
      </c>
      <c r="BN314">
        <v>0.3</v>
      </c>
      <c r="BP314">
        <v>18.8</v>
      </c>
      <c r="BQ314">
        <v>0.1</v>
      </c>
      <c r="BR314">
        <v>1.7</v>
      </c>
      <c r="BS314">
        <v>2.1</v>
      </c>
      <c r="BU314">
        <v>1.4</v>
      </c>
      <c r="BZ314">
        <v>4.5999999999999996</v>
      </c>
      <c r="CA314">
        <v>3.1</v>
      </c>
      <c r="CC314">
        <v>2.6</v>
      </c>
      <c r="CD314">
        <v>16.5</v>
      </c>
      <c r="CJ314">
        <v>23.5</v>
      </c>
      <c r="CK314">
        <v>0.3</v>
      </c>
      <c r="CO314">
        <v>2.2999999999999998</v>
      </c>
      <c r="CQ314">
        <v>0.1</v>
      </c>
      <c r="CR314">
        <v>6.8</v>
      </c>
      <c r="CU314">
        <v>22.6</v>
      </c>
      <c r="CW314">
        <v>3.5</v>
      </c>
      <c r="CZ314">
        <v>5.4</v>
      </c>
      <c r="DA314" s="2"/>
      <c r="DD314" s="1">
        <v>41185</v>
      </c>
      <c r="DE314" s="2">
        <f t="shared" si="74"/>
        <v>8.3414634146341484</v>
      </c>
      <c r="DF314" s="2">
        <f t="shared" si="81"/>
        <v>3.3203883495145639</v>
      </c>
      <c r="DG314" s="2">
        <f t="shared" si="75"/>
        <v>131.30000000000001</v>
      </c>
      <c r="DH314" s="2">
        <f t="shared" si="76"/>
        <v>0.1</v>
      </c>
      <c r="DI314" s="3">
        <f t="shared" si="68"/>
        <v>0.39805825242718446</v>
      </c>
    </row>
    <row r="315" spans="1:113">
      <c r="A315" s="17" t="s">
        <v>311</v>
      </c>
      <c r="E315">
        <v>0.4</v>
      </c>
      <c r="F315">
        <v>0.2</v>
      </c>
      <c r="G315">
        <v>4.9000000000000004</v>
      </c>
      <c r="K315">
        <v>3.7</v>
      </c>
      <c r="M315">
        <v>14.4</v>
      </c>
      <c r="Q315">
        <v>1.5</v>
      </c>
      <c r="R315">
        <v>20.3</v>
      </c>
      <c r="S315">
        <v>6.4</v>
      </c>
      <c r="AA315">
        <v>0.8</v>
      </c>
      <c r="AD315">
        <v>0.2</v>
      </c>
      <c r="AG315">
        <v>6.5</v>
      </c>
      <c r="AH315">
        <v>0.5</v>
      </c>
      <c r="AI315">
        <v>0.3</v>
      </c>
      <c r="AJ315">
        <v>0.1</v>
      </c>
      <c r="AK315">
        <v>2.1</v>
      </c>
      <c r="AO315">
        <v>0.2</v>
      </c>
      <c r="AP315">
        <v>15</v>
      </c>
      <c r="AQ315">
        <v>17.7</v>
      </c>
      <c r="BA315">
        <v>18.3</v>
      </c>
      <c r="BE315">
        <v>0.5</v>
      </c>
      <c r="BG315">
        <v>0.5</v>
      </c>
      <c r="BI315">
        <v>38.5</v>
      </c>
      <c r="BJ315">
        <v>0.1</v>
      </c>
      <c r="BK315">
        <v>0.7</v>
      </c>
      <c r="BL315">
        <v>30</v>
      </c>
      <c r="BP315">
        <v>1</v>
      </c>
      <c r="BQ315">
        <v>0.2</v>
      </c>
      <c r="BR315">
        <v>0.1</v>
      </c>
      <c r="BS315">
        <v>0.1</v>
      </c>
      <c r="BU315">
        <v>1.6</v>
      </c>
      <c r="BZ315">
        <v>2.8</v>
      </c>
      <c r="CB315">
        <v>4.4000000000000004</v>
      </c>
      <c r="CD315">
        <v>10</v>
      </c>
      <c r="CF315">
        <v>1.8</v>
      </c>
      <c r="CJ315">
        <v>0.7</v>
      </c>
      <c r="CK315">
        <v>16</v>
      </c>
      <c r="CQ315">
        <v>0.5</v>
      </c>
      <c r="CV315">
        <v>11</v>
      </c>
      <c r="CW315">
        <v>0.1</v>
      </c>
      <c r="CZ315">
        <v>3.9</v>
      </c>
      <c r="DA315" s="2"/>
      <c r="DD315" s="1">
        <v>41186</v>
      </c>
      <c r="DE315" s="2">
        <f t="shared" si="74"/>
        <v>5.9499999999999993</v>
      </c>
      <c r="DF315" s="2">
        <f t="shared" si="81"/>
        <v>2.3106796116504853</v>
      </c>
      <c r="DG315" s="2">
        <f t="shared" si="75"/>
        <v>38.5</v>
      </c>
      <c r="DH315" s="2">
        <f t="shared" si="76"/>
        <v>0.1</v>
      </c>
      <c r="DI315" s="3">
        <f t="shared" si="68"/>
        <v>0.38834951456310679</v>
      </c>
    </row>
    <row r="316" spans="1:113">
      <c r="A316" s="17" t="s">
        <v>312</v>
      </c>
      <c r="C316">
        <v>2.7</v>
      </c>
      <c r="I316">
        <v>0.1</v>
      </c>
      <c r="J316">
        <v>3.2</v>
      </c>
      <c r="K316">
        <v>14.8</v>
      </c>
      <c r="L316">
        <v>0.7</v>
      </c>
      <c r="P316">
        <v>0.1</v>
      </c>
      <c r="T316">
        <v>0.1</v>
      </c>
      <c r="V316">
        <v>0.7</v>
      </c>
      <c r="AA316">
        <v>2.2000000000000002</v>
      </c>
      <c r="AF316">
        <v>0.1</v>
      </c>
      <c r="AG316">
        <v>10.3</v>
      </c>
      <c r="AP316">
        <v>0.3</v>
      </c>
      <c r="AT316">
        <v>2.7</v>
      </c>
      <c r="AV316">
        <v>20.8</v>
      </c>
      <c r="AX316">
        <v>0.1</v>
      </c>
      <c r="BE316" t="s">
        <v>0</v>
      </c>
      <c r="BH316">
        <v>2.5</v>
      </c>
      <c r="BI316">
        <v>0.4</v>
      </c>
      <c r="BJ316">
        <v>15.6</v>
      </c>
      <c r="BK316">
        <v>0.4</v>
      </c>
      <c r="BL316">
        <v>34.5</v>
      </c>
      <c r="BN316">
        <v>8.6999999999999993</v>
      </c>
      <c r="BO316">
        <v>0.1</v>
      </c>
      <c r="CB316">
        <v>0.1</v>
      </c>
      <c r="CD316">
        <v>12.5</v>
      </c>
      <c r="CF316">
        <v>7.4</v>
      </c>
      <c r="CU316">
        <v>3.6</v>
      </c>
      <c r="CV316">
        <v>1.7</v>
      </c>
      <c r="DA316" s="2"/>
      <c r="DD316" s="1">
        <v>41187</v>
      </c>
      <c r="DE316" s="2">
        <f t="shared" si="74"/>
        <v>5.4222222222222216</v>
      </c>
      <c r="DF316" s="2">
        <f t="shared" si="81"/>
        <v>1.4213592233009706</v>
      </c>
      <c r="DG316" s="2">
        <f t="shared" si="75"/>
        <v>34.5</v>
      </c>
      <c r="DH316" s="2">
        <f t="shared" si="76"/>
        <v>0.1</v>
      </c>
      <c r="DI316" s="3">
        <f t="shared" ref="DI316:DI387" si="82">(COUNTA(B316:CZ316)/(COUNTA(B316:CZ316)+COUNTBLANK(B316:CZ316)))</f>
        <v>0.27184466019417475</v>
      </c>
    </row>
    <row r="317" spans="1:113">
      <c r="A317" s="17" t="s">
        <v>313</v>
      </c>
      <c r="C317">
        <v>0.4</v>
      </c>
      <c r="E317">
        <v>1.5</v>
      </c>
      <c r="I317">
        <v>0.3</v>
      </c>
      <c r="J317">
        <v>7.5</v>
      </c>
      <c r="K317">
        <v>37.700000000000003</v>
      </c>
      <c r="N317">
        <v>1.5</v>
      </c>
      <c r="S317">
        <v>1.4</v>
      </c>
      <c r="Z317">
        <v>0.1</v>
      </c>
      <c r="AF317">
        <v>0.5</v>
      </c>
      <c r="AG317">
        <v>0.2</v>
      </c>
      <c r="AJ317">
        <v>18</v>
      </c>
      <c r="AK317">
        <v>4.2</v>
      </c>
      <c r="AM317">
        <v>0.4</v>
      </c>
      <c r="AO317">
        <v>0.6</v>
      </c>
      <c r="AP317">
        <v>4.4000000000000004</v>
      </c>
      <c r="AQ317">
        <v>4.7</v>
      </c>
      <c r="AR317">
        <v>9.1999999999999993</v>
      </c>
      <c r="AS317">
        <v>1</v>
      </c>
      <c r="BB317">
        <v>1.1000000000000001</v>
      </c>
      <c r="BD317">
        <v>0.5</v>
      </c>
      <c r="BE317">
        <v>0.6</v>
      </c>
      <c r="BF317">
        <v>22.4</v>
      </c>
      <c r="BI317">
        <v>0.1</v>
      </c>
      <c r="BJ317">
        <v>12.5</v>
      </c>
      <c r="BK317">
        <v>0.5</v>
      </c>
      <c r="BL317">
        <v>35.5</v>
      </c>
      <c r="BM317">
        <v>0.1</v>
      </c>
      <c r="BN317">
        <v>13.2</v>
      </c>
      <c r="BU317">
        <v>0.9</v>
      </c>
      <c r="CB317">
        <v>0.1</v>
      </c>
      <c r="CD317">
        <v>0.7</v>
      </c>
      <c r="CO317">
        <v>1.5</v>
      </c>
      <c r="CQ317">
        <v>33.6</v>
      </c>
      <c r="CW317">
        <v>3.1</v>
      </c>
      <c r="CZ317">
        <v>0.1</v>
      </c>
      <c r="DA317" s="2"/>
      <c r="DD317" s="1">
        <v>41188</v>
      </c>
      <c r="DE317" s="2">
        <f t="shared" si="74"/>
        <v>6.2885714285714274</v>
      </c>
      <c r="DF317" s="2">
        <f t="shared" si="81"/>
        <v>2.1368932038834947</v>
      </c>
      <c r="DG317" s="2">
        <f t="shared" si="75"/>
        <v>37.700000000000003</v>
      </c>
      <c r="DH317" s="2">
        <f t="shared" si="76"/>
        <v>0.1</v>
      </c>
      <c r="DI317" s="3">
        <f t="shared" si="82"/>
        <v>0.33980582524271846</v>
      </c>
    </row>
    <row r="318" spans="1:113">
      <c r="A318" s="17" t="s">
        <v>314</v>
      </c>
      <c r="E318">
        <v>9.5</v>
      </c>
      <c r="H318">
        <v>0.6</v>
      </c>
      <c r="J318">
        <v>0.6</v>
      </c>
      <c r="K318">
        <v>16.100000000000001</v>
      </c>
      <c r="N318">
        <v>2.4</v>
      </c>
      <c r="T318">
        <v>0.1</v>
      </c>
      <c r="U318">
        <v>71</v>
      </c>
      <c r="X318">
        <v>0.7</v>
      </c>
      <c r="AA318">
        <v>0.2</v>
      </c>
      <c r="AC318">
        <v>0.1</v>
      </c>
      <c r="AG318">
        <v>0.1</v>
      </c>
      <c r="AJ318">
        <v>1.3</v>
      </c>
      <c r="AK318">
        <v>16</v>
      </c>
      <c r="AO318">
        <v>3.3</v>
      </c>
      <c r="AP318">
        <v>0.7</v>
      </c>
      <c r="AR318">
        <v>70.3</v>
      </c>
      <c r="AU318">
        <v>15</v>
      </c>
      <c r="AY318">
        <v>10.6</v>
      </c>
      <c r="BA318">
        <v>1.2</v>
      </c>
      <c r="BB318">
        <v>1</v>
      </c>
      <c r="BD318">
        <v>2</v>
      </c>
      <c r="BF318">
        <v>0.3</v>
      </c>
      <c r="BJ318">
        <v>1.7</v>
      </c>
      <c r="BL318">
        <v>29</v>
      </c>
      <c r="BM318">
        <v>0.1</v>
      </c>
      <c r="BN318">
        <v>1.4</v>
      </c>
      <c r="BR318">
        <v>2.2999999999999998</v>
      </c>
      <c r="CD318">
        <v>0.3</v>
      </c>
      <c r="CL318">
        <v>1</v>
      </c>
      <c r="CQ318">
        <v>120.5</v>
      </c>
      <c r="CW318">
        <v>12.5</v>
      </c>
      <c r="CY318">
        <v>0.8</v>
      </c>
      <c r="DA318" s="2"/>
      <c r="DD318" s="1">
        <v>41189</v>
      </c>
      <c r="DE318" s="2">
        <f t="shared" si="74"/>
        <v>12.271875</v>
      </c>
      <c r="DF318" s="2">
        <f t="shared" si="81"/>
        <v>3.8126213592233009</v>
      </c>
      <c r="DG318" s="2">
        <f t="shared" si="75"/>
        <v>120.5</v>
      </c>
      <c r="DH318" s="2">
        <f t="shared" si="76"/>
        <v>0.1</v>
      </c>
      <c r="DI318" s="3">
        <f t="shared" si="82"/>
        <v>0.31067961165048541</v>
      </c>
    </row>
    <row r="319" spans="1:113">
      <c r="A319" s="17" t="s">
        <v>315</v>
      </c>
      <c r="E319">
        <v>45.4</v>
      </c>
      <c r="F319">
        <v>0.7</v>
      </c>
      <c r="K319">
        <v>5.8</v>
      </c>
      <c r="M319">
        <v>0.1</v>
      </c>
      <c r="U319">
        <v>2.2999999999999998</v>
      </c>
      <c r="AA319">
        <v>2.6</v>
      </c>
      <c r="AC319">
        <v>0.1</v>
      </c>
      <c r="AD319">
        <v>4.2</v>
      </c>
      <c r="AF319">
        <v>0.3</v>
      </c>
      <c r="AG319">
        <v>0.1</v>
      </c>
      <c r="AJ319">
        <v>5.9</v>
      </c>
      <c r="AK319">
        <v>7.7</v>
      </c>
      <c r="AO319">
        <v>1.1000000000000001</v>
      </c>
      <c r="AR319">
        <v>3.1</v>
      </c>
      <c r="AY319">
        <v>0.5</v>
      </c>
      <c r="AZ319">
        <v>1.4</v>
      </c>
      <c r="BA319">
        <v>20.5</v>
      </c>
      <c r="BC319">
        <v>0.2</v>
      </c>
      <c r="BK319">
        <v>0.1</v>
      </c>
      <c r="BN319">
        <v>4.5</v>
      </c>
      <c r="BR319">
        <v>0.1</v>
      </c>
      <c r="BT319">
        <v>5.5</v>
      </c>
      <c r="BZ319">
        <v>0.3</v>
      </c>
      <c r="CA319">
        <v>20.8</v>
      </c>
      <c r="CD319">
        <v>4.5</v>
      </c>
      <c r="CE319">
        <v>0.7</v>
      </c>
      <c r="CL319">
        <v>1</v>
      </c>
      <c r="CM319">
        <v>0.2</v>
      </c>
      <c r="CO319">
        <v>22.1</v>
      </c>
      <c r="CP319">
        <v>11.9</v>
      </c>
      <c r="CQ319">
        <v>43</v>
      </c>
      <c r="CS319">
        <v>0.3</v>
      </c>
      <c r="CT319">
        <v>0.1</v>
      </c>
      <c r="CU319">
        <v>2.9</v>
      </c>
      <c r="CW319">
        <v>91.2</v>
      </c>
      <c r="CX319">
        <v>12</v>
      </c>
      <c r="DA319" s="2"/>
      <c r="DD319" s="1">
        <v>41190</v>
      </c>
      <c r="DE319" s="2">
        <f t="shared" si="74"/>
        <v>8.9777777777777779</v>
      </c>
      <c r="DF319" s="2">
        <f t="shared" si="81"/>
        <v>3.1378640776699029</v>
      </c>
      <c r="DG319" s="2">
        <f t="shared" si="75"/>
        <v>91.2</v>
      </c>
      <c r="DH319" s="2">
        <f t="shared" si="76"/>
        <v>0.1</v>
      </c>
      <c r="DI319" s="3">
        <f t="shared" si="82"/>
        <v>0.34951456310679613</v>
      </c>
    </row>
    <row r="320" spans="1:113">
      <c r="A320" s="17" t="s">
        <v>316</v>
      </c>
      <c r="E320">
        <v>1.6</v>
      </c>
      <c r="F320">
        <v>2</v>
      </c>
      <c r="G320">
        <v>1</v>
      </c>
      <c r="I320">
        <v>1.4</v>
      </c>
      <c r="M320">
        <v>0.3</v>
      </c>
      <c r="O320">
        <v>42</v>
      </c>
      <c r="P320">
        <v>3.8</v>
      </c>
      <c r="R320">
        <v>14.5</v>
      </c>
      <c r="S320">
        <v>7.8</v>
      </c>
      <c r="T320">
        <v>0.1</v>
      </c>
      <c r="AH320">
        <v>0.8</v>
      </c>
      <c r="AJ320">
        <v>12.7</v>
      </c>
      <c r="AO320">
        <v>15</v>
      </c>
      <c r="AP320">
        <v>6.7</v>
      </c>
      <c r="AQ320">
        <v>2.4</v>
      </c>
      <c r="AR320">
        <v>5.0999999999999996</v>
      </c>
      <c r="AS320">
        <v>0.4</v>
      </c>
      <c r="AU320">
        <v>5.2</v>
      </c>
      <c r="AV320">
        <v>0.1</v>
      </c>
      <c r="AZ320">
        <v>1.2</v>
      </c>
      <c r="BA320">
        <v>3.1</v>
      </c>
      <c r="BC320">
        <v>1.2</v>
      </c>
      <c r="BF320">
        <v>14.8</v>
      </c>
      <c r="BG320">
        <v>0.2</v>
      </c>
      <c r="BH320">
        <v>0.1</v>
      </c>
      <c r="BK320">
        <v>0.1</v>
      </c>
      <c r="BY320">
        <v>8.6</v>
      </c>
      <c r="CA320">
        <v>1</v>
      </c>
      <c r="CB320">
        <v>0.1</v>
      </c>
      <c r="CC320">
        <v>10.7</v>
      </c>
      <c r="CI320">
        <v>1</v>
      </c>
      <c r="CL320">
        <v>1.8</v>
      </c>
      <c r="CM320">
        <v>3</v>
      </c>
      <c r="CP320">
        <v>0.9</v>
      </c>
      <c r="CS320">
        <v>7.6</v>
      </c>
      <c r="CW320">
        <v>2</v>
      </c>
      <c r="CX320">
        <v>9.8000000000000007</v>
      </c>
      <c r="DA320" s="2"/>
      <c r="DD320" s="1">
        <v>41191</v>
      </c>
      <c r="DE320" s="2">
        <f t="shared" si="74"/>
        <v>5.1378378378378367</v>
      </c>
      <c r="DF320" s="2">
        <f t="shared" si="81"/>
        <v>1.8456310679611647</v>
      </c>
      <c r="DG320" s="2">
        <f t="shared" si="75"/>
        <v>42</v>
      </c>
      <c r="DH320" s="2">
        <f t="shared" si="76"/>
        <v>0.1</v>
      </c>
      <c r="DI320" s="3">
        <f t="shared" si="82"/>
        <v>0.35922330097087379</v>
      </c>
    </row>
    <row r="321" spans="1:113">
      <c r="A321" s="17" t="s">
        <v>317</v>
      </c>
      <c r="B321">
        <v>3.2</v>
      </c>
      <c r="F321">
        <v>0.3</v>
      </c>
      <c r="J321">
        <v>4.5</v>
      </c>
      <c r="O321">
        <v>12.5</v>
      </c>
      <c r="P321">
        <v>3.4</v>
      </c>
      <c r="R321">
        <v>0.4</v>
      </c>
      <c r="Y321">
        <v>53</v>
      </c>
      <c r="Z321">
        <v>0.5</v>
      </c>
      <c r="AB321">
        <v>10.4</v>
      </c>
      <c r="AG321">
        <v>0.4</v>
      </c>
      <c r="AH321">
        <v>4</v>
      </c>
      <c r="AK321">
        <v>3.9</v>
      </c>
      <c r="AM321">
        <v>13.5</v>
      </c>
      <c r="AO321">
        <v>0.6</v>
      </c>
      <c r="AQ321">
        <v>19.3</v>
      </c>
      <c r="AS321">
        <v>0.1</v>
      </c>
      <c r="AU321">
        <v>4.5999999999999996</v>
      </c>
      <c r="AX321">
        <v>31.1</v>
      </c>
      <c r="AZ321">
        <v>0.6</v>
      </c>
      <c r="BA321">
        <v>10.199999999999999</v>
      </c>
      <c r="BD321">
        <v>35.6</v>
      </c>
      <c r="BF321">
        <v>9.3000000000000007</v>
      </c>
      <c r="BG321">
        <v>0.1</v>
      </c>
      <c r="BI321">
        <v>0.1</v>
      </c>
      <c r="BJ321">
        <v>0.1</v>
      </c>
      <c r="BK321">
        <v>1.7</v>
      </c>
      <c r="BN321">
        <v>0.2</v>
      </c>
      <c r="BP321">
        <v>1.6</v>
      </c>
      <c r="BR321">
        <v>2</v>
      </c>
      <c r="BU321">
        <v>1.2</v>
      </c>
      <c r="BV321">
        <v>17.7</v>
      </c>
      <c r="BY321">
        <v>10.1</v>
      </c>
      <c r="CC321">
        <v>1.8</v>
      </c>
      <c r="CG321">
        <v>4.5</v>
      </c>
      <c r="CH321">
        <v>5.8</v>
      </c>
      <c r="CI321">
        <v>1.4</v>
      </c>
      <c r="CM321">
        <v>6.5</v>
      </c>
      <c r="CP321">
        <v>4.9000000000000004</v>
      </c>
      <c r="CR321">
        <v>1.7</v>
      </c>
      <c r="CS321">
        <v>3.1</v>
      </c>
      <c r="CU321">
        <v>6.1</v>
      </c>
      <c r="CX321">
        <v>28</v>
      </c>
      <c r="DA321" s="2"/>
      <c r="DD321" s="1">
        <v>41192</v>
      </c>
      <c r="DE321" s="2">
        <f t="shared" si="74"/>
        <v>7.6190476190476177</v>
      </c>
      <c r="DF321" s="2">
        <f t="shared" si="81"/>
        <v>3.1067961165048539</v>
      </c>
      <c r="DG321" s="2">
        <f t="shared" si="75"/>
        <v>53</v>
      </c>
      <c r="DH321" s="2">
        <f t="shared" si="76"/>
        <v>0.1</v>
      </c>
      <c r="DI321" s="3">
        <f t="shared" si="82"/>
        <v>0.40776699029126212</v>
      </c>
    </row>
    <row r="322" spans="1:113">
      <c r="A322" s="17" t="s">
        <v>318</v>
      </c>
      <c r="B322">
        <v>4.7</v>
      </c>
      <c r="C322">
        <v>7.9</v>
      </c>
      <c r="D322">
        <v>0.5</v>
      </c>
      <c r="F322">
        <v>4.2</v>
      </c>
      <c r="O322">
        <v>32.799999999999997</v>
      </c>
      <c r="P322">
        <v>0.3</v>
      </c>
      <c r="S322">
        <v>4.2</v>
      </c>
      <c r="X322">
        <v>0.2</v>
      </c>
      <c r="Y322">
        <v>2.7</v>
      </c>
      <c r="Z322">
        <v>0.3</v>
      </c>
      <c r="AB322">
        <v>3.3</v>
      </c>
      <c r="AG322">
        <v>19.7</v>
      </c>
      <c r="AH322">
        <v>14.6</v>
      </c>
      <c r="AI322">
        <v>0.7</v>
      </c>
      <c r="AK322">
        <v>20.6</v>
      </c>
      <c r="AM322">
        <v>39</v>
      </c>
      <c r="AN322">
        <v>0.2</v>
      </c>
      <c r="AR322">
        <v>12.5</v>
      </c>
      <c r="AT322">
        <v>0.2</v>
      </c>
      <c r="AU322">
        <v>1.4</v>
      </c>
      <c r="AX322">
        <v>0.3</v>
      </c>
      <c r="BB322">
        <v>0.4</v>
      </c>
      <c r="BD322">
        <v>0.6</v>
      </c>
      <c r="BG322">
        <v>0.5</v>
      </c>
      <c r="BH322">
        <v>0.3</v>
      </c>
      <c r="BL322">
        <v>0.1</v>
      </c>
      <c r="BN322">
        <v>0.9</v>
      </c>
      <c r="BX322">
        <v>2.1</v>
      </c>
      <c r="BY322">
        <v>0.5</v>
      </c>
      <c r="CB322">
        <v>12</v>
      </c>
      <c r="CG322">
        <v>47.9</v>
      </c>
      <c r="CH322">
        <v>0.8</v>
      </c>
      <c r="CQ322">
        <v>18</v>
      </c>
      <c r="CR322">
        <v>0.8</v>
      </c>
      <c r="CU322">
        <v>9.6999999999999993</v>
      </c>
      <c r="CW322">
        <v>1</v>
      </c>
      <c r="DA322" s="2"/>
      <c r="DD322" s="1">
        <v>41193</v>
      </c>
      <c r="DE322" s="2">
        <f t="shared" si="74"/>
        <v>7.386111111111112</v>
      </c>
      <c r="DF322" s="2">
        <f t="shared" si="81"/>
        <v>2.5815533980582526</v>
      </c>
      <c r="DG322" s="2">
        <f t="shared" si="75"/>
        <v>47.9</v>
      </c>
      <c r="DH322" s="2">
        <f t="shared" si="76"/>
        <v>0.1</v>
      </c>
      <c r="DI322" s="3">
        <f t="shared" si="82"/>
        <v>0.34951456310679613</v>
      </c>
    </row>
    <row r="323" spans="1:113">
      <c r="A323" s="17" t="s">
        <v>319</v>
      </c>
      <c r="D323">
        <v>1.1000000000000001</v>
      </c>
      <c r="F323">
        <v>27.4</v>
      </c>
      <c r="J323">
        <v>0.5</v>
      </c>
      <c r="K323">
        <v>1.3</v>
      </c>
      <c r="O323">
        <v>8.3000000000000007</v>
      </c>
      <c r="P323">
        <v>0.3</v>
      </c>
      <c r="S323">
        <v>2.4</v>
      </c>
      <c r="T323">
        <v>15.6</v>
      </c>
      <c r="X323">
        <v>0.1</v>
      </c>
      <c r="Y323">
        <v>0.7</v>
      </c>
      <c r="AA323">
        <v>0.3</v>
      </c>
      <c r="AB323">
        <v>7.8</v>
      </c>
      <c r="AF323">
        <v>0.2</v>
      </c>
      <c r="AG323">
        <v>2.5</v>
      </c>
      <c r="AH323">
        <v>4.8</v>
      </c>
      <c r="AI323">
        <v>6.3</v>
      </c>
      <c r="AM323">
        <v>12.9</v>
      </c>
      <c r="AO323">
        <v>17.100000000000001</v>
      </c>
      <c r="AP323">
        <v>8.5</v>
      </c>
      <c r="AQ323">
        <v>22.5</v>
      </c>
      <c r="AS323">
        <v>0.2</v>
      </c>
      <c r="AV323">
        <v>0.2</v>
      </c>
      <c r="AX323">
        <v>0.5</v>
      </c>
      <c r="AZ323">
        <v>18.5</v>
      </c>
      <c r="BB323">
        <v>1.2</v>
      </c>
      <c r="BD323">
        <v>10.1</v>
      </c>
      <c r="BG323">
        <v>8.6</v>
      </c>
      <c r="BI323">
        <v>4.9000000000000004</v>
      </c>
      <c r="BM323">
        <v>0.1</v>
      </c>
      <c r="BN323">
        <v>2.6</v>
      </c>
      <c r="BO323">
        <v>0.1</v>
      </c>
      <c r="BR323">
        <v>0.1</v>
      </c>
      <c r="BT323">
        <v>2.4</v>
      </c>
      <c r="BU323">
        <v>2.2000000000000002</v>
      </c>
      <c r="BV323">
        <v>11.7</v>
      </c>
      <c r="BX323">
        <v>0.8</v>
      </c>
      <c r="CE323">
        <v>26.5</v>
      </c>
      <c r="CG323">
        <v>14.6</v>
      </c>
      <c r="CI323">
        <v>0.2</v>
      </c>
      <c r="CJ323">
        <v>4</v>
      </c>
      <c r="CO323">
        <v>1.6</v>
      </c>
      <c r="CQ323">
        <v>2.5</v>
      </c>
      <c r="CT323">
        <v>0.7</v>
      </c>
      <c r="CW323">
        <v>2.5</v>
      </c>
      <c r="DA323" s="2"/>
      <c r="DD323" s="1">
        <v>41194</v>
      </c>
      <c r="DE323" s="2">
        <f t="shared" si="74"/>
        <v>5.849999999999997</v>
      </c>
      <c r="DF323" s="2">
        <f t="shared" si="81"/>
        <v>2.4990291262135909</v>
      </c>
      <c r="DG323" s="2">
        <f t="shared" si="75"/>
        <v>27.4</v>
      </c>
      <c r="DH323" s="2">
        <f t="shared" si="76"/>
        <v>0.1</v>
      </c>
      <c r="DI323" s="3">
        <f t="shared" si="82"/>
        <v>0.42718446601941745</v>
      </c>
    </row>
    <row r="324" spans="1:113">
      <c r="A324" s="17" t="s">
        <v>320</v>
      </c>
      <c r="E324">
        <v>1.3</v>
      </c>
      <c r="F324">
        <v>11</v>
      </c>
      <c r="K324">
        <v>13.5</v>
      </c>
      <c r="O324">
        <v>2.6</v>
      </c>
      <c r="R324">
        <v>7.3</v>
      </c>
      <c r="T324">
        <v>17.399999999999999</v>
      </c>
      <c r="AA324">
        <v>6.1</v>
      </c>
      <c r="AB324">
        <v>35.200000000000003</v>
      </c>
      <c r="AD324">
        <v>4.2</v>
      </c>
      <c r="AF324">
        <v>53.6</v>
      </c>
      <c r="AH324">
        <v>21.8</v>
      </c>
      <c r="AI324">
        <v>5.3</v>
      </c>
      <c r="AK324">
        <v>5.5</v>
      </c>
      <c r="AN324">
        <v>0.2</v>
      </c>
      <c r="AO324">
        <v>12.1</v>
      </c>
      <c r="AP324">
        <v>11.2</v>
      </c>
      <c r="AQ324">
        <v>5.0999999999999996</v>
      </c>
      <c r="AR324">
        <v>9.8000000000000007</v>
      </c>
      <c r="AS324">
        <v>0.3</v>
      </c>
      <c r="AX324">
        <v>1.1000000000000001</v>
      </c>
      <c r="AZ324">
        <v>22.3</v>
      </c>
      <c r="BD324">
        <v>5.8</v>
      </c>
      <c r="BG324">
        <v>1.7</v>
      </c>
      <c r="BI324">
        <v>0.1</v>
      </c>
      <c r="BJ324">
        <v>0.1</v>
      </c>
      <c r="BL324">
        <v>0.4</v>
      </c>
      <c r="BM324">
        <v>0.1</v>
      </c>
      <c r="BP324">
        <v>0.2</v>
      </c>
      <c r="BT324">
        <v>28.7</v>
      </c>
      <c r="BU324">
        <v>0.2</v>
      </c>
      <c r="BV324">
        <v>5</v>
      </c>
      <c r="BW324">
        <v>1.4</v>
      </c>
      <c r="BX324">
        <v>1.3</v>
      </c>
      <c r="BY324">
        <v>4.3</v>
      </c>
      <c r="BZ324">
        <v>0.3</v>
      </c>
      <c r="CE324">
        <v>1</v>
      </c>
      <c r="CG324">
        <v>18.399999999999999</v>
      </c>
      <c r="CI324">
        <v>2.2999999999999998</v>
      </c>
      <c r="CJ324">
        <v>117</v>
      </c>
      <c r="CO324">
        <v>5.9</v>
      </c>
      <c r="CQ324">
        <v>0.1</v>
      </c>
      <c r="CS324">
        <v>4.8</v>
      </c>
      <c r="CT324">
        <v>97</v>
      </c>
      <c r="CV324">
        <v>7.1</v>
      </c>
      <c r="CW324">
        <v>34.5</v>
      </c>
      <c r="CX324">
        <v>8</v>
      </c>
      <c r="DA324" s="2"/>
      <c r="DD324" s="1">
        <v>41195</v>
      </c>
      <c r="DE324" s="2">
        <f t="shared" si="74"/>
        <v>12.882608695652175</v>
      </c>
      <c r="DF324" s="2">
        <f t="shared" si="81"/>
        <v>5.7533980582524276</v>
      </c>
      <c r="DG324" s="2">
        <f t="shared" si="75"/>
        <v>117</v>
      </c>
      <c r="DH324" s="2">
        <f t="shared" si="76"/>
        <v>0.1</v>
      </c>
      <c r="DI324" s="3">
        <f t="shared" si="82"/>
        <v>0.44660194174757284</v>
      </c>
    </row>
    <row r="325" spans="1:113">
      <c r="A325" s="17" t="s">
        <v>321</v>
      </c>
      <c r="D325">
        <v>4.7</v>
      </c>
      <c r="E325">
        <v>0.1</v>
      </c>
      <c r="F325">
        <v>0.6</v>
      </c>
      <c r="K325">
        <v>2</v>
      </c>
      <c r="M325">
        <v>0.2</v>
      </c>
      <c r="P325">
        <v>1.1000000000000001</v>
      </c>
      <c r="R325">
        <v>1.8</v>
      </c>
      <c r="S325">
        <v>12.3</v>
      </c>
      <c r="T325">
        <v>44.5</v>
      </c>
      <c r="X325">
        <v>0.2</v>
      </c>
      <c r="AA325">
        <v>2</v>
      </c>
      <c r="AB325">
        <v>33.799999999999997</v>
      </c>
      <c r="AE325">
        <v>2.6</v>
      </c>
      <c r="AF325">
        <v>31.4</v>
      </c>
      <c r="AG325">
        <v>1.5</v>
      </c>
      <c r="AH325">
        <v>1</v>
      </c>
      <c r="AK325">
        <v>2.8</v>
      </c>
      <c r="AO325">
        <v>11.2</v>
      </c>
      <c r="AP325">
        <v>13.2</v>
      </c>
      <c r="AR325">
        <v>0.5</v>
      </c>
      <c r="AS325">
        <v>0.3</v>
      </c>
      <c r="AT325">
        <v>0.7</v>
      </c>
      <c r="AW325">
        <v>1</v>
      </c>
      <c r="AZ325">
        <v>18.899999999999999</v>
      </c>
      <c r="BD325">
        <v>0.2</v>
      </c>
      <c r="BH325">
        <v>0.1</v>
      </c>
      <c r="BK325">
        <v>1.6</v>
      </c>
      <c r="BO325">
        <v>0.7</v>
      </c>
      <c r="BP325">
        <v>2.8</v>
      </c>
      <c r="BR325">
        <v>0.1</v>
      </c>
      <c r="BX325">
        <v>23.2</v>
      </c>
      <c r="BY325">
        <v>7.8</v>
      </c>
      <c r="BZ325">
        <v>0.2</v>
      </c>
      <c r="CA325">
        <v>0.1</v>
      </c>
      <c r="CJ325">
        <v>30.6</v>
      </c>
      <c r="CK325">
        <v>10</v>
      </c>
      <c r="CL325">
        <v>0.2</v>
      </c>
      <c r="CO325">
        <v>0.2</v>
      </c>
      <c r="CR325">
        <v>0.1</v>
      </c>
      <c r="CT325">
        <v>10.5</v>
      </c>
      <c r="CU325">
        <v>3</v>
      </c>
      <c r="CW325">
        <v>36.799999999999997</v>
      </c>
      <c r="CX325">
        <v>9</v>
      </c>
      <c r="DA325" s="2"/>
      <c r="DD325" s="1">
        <v>41196</v>
      </c>
      <c r="DE325" s="2">
        <f t="shared" si="74"/>
        <v>7.572093023255813</v>
      </c>
      <c r="DF325" s="2">
        <f t="shared" si="81"/>
        <v>3.1611650485436891</v>
      </c>
      <c r="DG325" s="2">
        <f t="shared" si="75"/>
        <v>44.5</v>
      </c>
      <c r="DH325" s="2">
        <f t="shared" si="76"/>
        <v>0.1</v>
      </c>
      <c r="DI325" s="3">
        <f t="shared" si="82"/>
        <v>0.41747572815533979</v>
      </c>
    </row>
    <row r="326" spans="1:113">
      <c r="A326" s="17" t="s">
        <v>322</v>
      </c>
      <c r="D326">
        <v>1.1000000000000001</v>
      </c>
      <c r="M326">
        <v>0.4</v>
      </c>
      <c r="O326">
        <v>41.8</v>
      </c>
      <c r="P326">
        <v>1</v>
      </c>
      <c r="S326">
        <v>17.5</v>
      </c>
      <c r="T326">
        <v>24.6</v>
      </c>
      <c r="AA326">
        <v>10.3</v>
      </c>
      <c r="AB326">
        <v>53</v>
      </c>
      <c r="AE326">
        <v>3.3</v>
      </c>
      <c r="AF326">
        <v>2.8</v>
      </c>
      <c r="AG326">
        <v>1.9</v>
      </c>
      <c r="AH326">
        <v>7.9</v>
      </c>
      <c r="AI326">
        <v>1.5</v>
      </c>
      <c r="AN326">
        <v>0.2</v>
      </c>
      <c r="AO326">
        <v>1.6</v>
      </c>
      <c r="AP326">
        <v>69.599999999999994</v>
      </c>
      <c r="AT326">
        <v>2.4</v>
      </c>
      <c r="AZ326">
        <v>17.8</v>
      </c>
      <c r="BA326">
        <v>10.1</v>
      </c>
      <c r="BE326">
        <v>5.3</v>
      </c>
      <c r="BK326">
        <v>38.1</v>
      </c>
      <c r="BL326">
        <v>5.2</v>
      </c>
      <c r="BN326">
        <v>0.1</v>
      </c>
      <c r="BO326">
        <v>0.1</v>
      </c>
      <c r="BP326">
        <v>15.7</v>
      </c>
      <c r="BQ326">
        <v>0.2</v>
      </c>
      <c r="BX326">
        <v>111.8</v>
      </c>
      <c r="BY326">
        <v>1.1000000000000001</v>
      </c>
      <c r="CB326">
        <v>3.7</v>
      </c>
      <c r="CE326">
        <v>3.5</v>
      </c>
      <c r="CJ326">
        <v>31.4</v>
      </c>
      <c r="CK326">
        <v>9</v>
      </c>
      <c r="CL326">
        <v>0.5</v>
      </c>
      <c r="CO326">
        <v>2.6</v>
      </c>
      <c r="CQ326">
        <v>0.1</v>
      </c>
      <c r="CR326">
        <v>3.4</v>
      </c>
      <c r="CS326">
        <v>1.2</v>
      </c>
      <c r="CT326">
        <v>0.5</v>
      </c>
      <c r="CU326">
        <v>6</v>
      </c>
      <c r="CW326">
        <v>6.3</v>
      </c>
      <c r="CX326">
        <v>16</v>
      </c>
      <c r="DA326" s="2"/>
      <c r="DD326" s="1">
        <v>41197</v>
      </c>
      <c r="DE326" s="2">
        <f t="shared" si="74"/>
        <v>12.941463414634146</v>
      </c>
      <c r="DF326" s="2">
        <f t="shared" si="81"/>
        <v>5.1514563106796123</v>
      </c>
      <c r="DG326" s="2">
        <f t="shared" si="75"/>
        <v>111.8</v>
      </c>
      <c r="DH326" s="2">
        <f t="shared" si="76"/>
        <v>0.1</v>
      </c>
      <c r="DI326" s="3">
        <f t="shared" si="82"/>
        <v>0.39805825242718446</v>
      </c>
    </row>
    <row r="327" spans="1:113">
      <c r="A327" s="17" t="s">
        <v>323</v>
      </c>
      <c r="B327">
        <v>4.5</v>
      </c>
      <c r="C327">
        <v>6.8</v>
      </c>
      <c r="D327">
        <v>0.2</v>
      </c>
      <c r="I327">
        <v>0.4</v>
      </c>
      <c r="M327">
        <v>2.4</v>
      </c>
      <c r="N327">
        <v>8.9</v>
      </c>
      <c r="P327">
        <v>31</v>
      </c>
      <c r="S327">
        <v>1</v>
      </c>
      <c r="X327">
        <v>1.1000000000000001</v>
      </c>
      <c r="AB327">
        <v>14.5</v>
      </c>
      <c r="AE327">
        <v>2.1</v>
      </c>
      <c r="AG327">
        <v>0.2</v>
      </c>
      <c r="AH327">
        <v>0.9</v>
      </c>
      <c r="AI327">
        <v>16.600000000000001</v>
      </c>
      <c r="AL327">
        <v>12.4</v>
      </c>
      <c r="AO327">
        <v>0.7</v>
      </c>
      <c r="AP327">
        <v>7.4</v>
      </c>
      <c r="AT327">
        <v>0.6</v>
      </c>
      <c r="AW327">
        <v>1.7</v>
      </c>
      <c r="BA327">
        <v>12.6</v>
      </c>
      <c r="BB327">
        <v>0.3</v>
      </c>
      <c r="BG327">
        <v>1.8</v>
      </c>
      <c r="BI327">
        <v>0.1</v>
      </c>
      <c r="BK327">
        <v>16.399999999999999</v>
      </c>
      <c r="BO327">
        <v>0.4</v>
      </c>
      <c r="BP327">
        <v>1</v>
      </c>
      <c r="BQ327">
        <v>0.1</v>
      </c>
      <c r="BU327">
        <v>11.3</v>
      </c>
      <c r="BW327">
        <v>29.4</v>
      </c>
      <c r="BX327">
        <v>103.7</v>
      </c>
      <c r="BY327">
        <v>3</v>
      </c>
      <c r="CA327">
        <v>8.1999999999999993</v>
      </c>
      <c r="CB327">
        <v>29.2</v>
      </c>
      <c r="CJ327">
        <v>1.5</v>
      </c>
      <c r="CK327">
        <v>6.5</v>
      </c>
      <c r="CN327">
        <v>0.5</v>
      </c>
      <c r="CP327">
        <v>7.9</v>
      </c>
      <c r="CR327">
        <v>0.7</v>
      </c>
      <c r="CS327">
        <v>21.1</v>
      </c>
      <c r="CV327">
        <v>6</v>
      </c>
      <c r="CW327">
        <v>1.2</v>
      </c>
      <c r="CX327">
        <v>11.7</v>
      </c>
      <c r="CZ327">
        <v>18.5</v>
      </c>
      <c r="DA327" s="2"/>
      <c r="DD327" s="1">
        <v>41198</v>
      </c>
      <c r="DE327" s="2">
        <f t="shared" si="74"/>
        <v>9.4534883720930232</v>
      </c>
      <c r="DF327" s="2">
        <f t="shared" si="81"/>
        <v>3.9466019417475726</v>
      </c>
      <c r="DG327" s="2">
        <f t="shared" si="75"/>
        <v>103.7</v>
      </c>
      <c r="DH327" s="2">
        <f t="shared" si="76"/>
        <v>0.1</v>
      </c>
      <c r="DI327" s="3">
        <f t="shared" si="82"/>
        <v>0.41747572815533979</v>
      </c>
    </row>
    <row r="328" spans="1:113">
      <c r="A328" s="17" t="s">
        <v>324</v>
      </c>
      <c r="B328">
        <v>1.6</v>
      </c>
      <c r="C328">
        <v>3.7</v>
      </c>
      <c r="E328">
        <v>0.8</v>
      </c>
      <c r="F328">
        <v>1.2</v>
      </c>
      <c r="G328">
        <v>2.7</v>
      </c>
      <c r="K328">
        <v>0.1</v>
      </c>
      <c r="M328">
        <v>0.3</v>
      </c>
      <c r="N328">
        <v>51.4</v>
      </c>
      <c r="P328">
        <v>14.3</v>
      </c>
      <c r="AB328">
        <v>1</v>
      </c>
      <c r="AE328">
        <v>2.4</v>
      </c>
      <c r="AK328">
        <v>2.6</v>
      </c>
      <c r="AL328">
        <v>0.4</v>
      </c>
      <c r="AP328">
        <v>2.5</v>
      </c>
      <c r="AW328">
        <v>24.3</v>
      </c>
      <c r="AY328">
        <v>2.4</v>
      </c>
      <c r="BB328">
        <v>1.2</v>
      </c>
      <c r="BD328">
        <v>0.4</v>
      </c>
      <c r="BG328">
        <v>3.9</v>
      </c>
      <c r="BI328">
        <v>0.1</v>
      </c>
      <c r="BJ328">
        <v>5.8</v>
      </c>
      <c r="BK328">
        <v>4.5</v>
      </c>
      <c r="BM328">
        <v>0.1</v>
      </c>
      <c r="BO328">
        <v>2.2999999999999998</v>
      </c>
      <c r="BP328">
        <v>2.4</v>
      </c>
      <c r="BR328">
        <v>0.2</v>
      </c>
      <c r="BU328">
        <v>1.9</v>
      </c>
      <c r="BV328">
        <v>0.1</v>
      </c>
      <c r="BW328">
        <v>27.6</v>
      </c>
      <c r="BX328">
        <v>10.5</v>
      </c>
      <c r="BY328">
        <v>2.5</v>
      </c>
      <c r="BZ328">
        <v>17</v>
      </c>
      <c r="CA328">
        <v>7.4</v>
      </c>
      <c r="CB328">
        <v>51.5</v>
      </c>
      <c r="CD328">
        <v>0.3</v>
      </c>
      <c r="CG328">
        <v>11.5</v>
      </c>
      <c r="CJ328">
        <v>4</v>
      </c>
      <c r="CP328">
        <v>3.5</v>
      </c>
      <c r="CR328">
        <v>0.2</v>
      </c>
      <c r="CS328">
        <v>12.2</v>
      </c>
      <c r="CV328">
        <v>4.8</v>
      </c>
      <c r="CW328">
        <v>0.1</v>
      </c>
      <c r="CX328">
        <v>10</v>
      </c>
      <c r="CZ328">
        <v>30.5</v>
      </c>
      <c r="DA328" s="2"/>
      <c r="DD328" s="1">
        <v>41199</v>
      </c>
      <c r="DE328" s="2">
        <f t="shared" si="74"/>
        <v>7.459090909090909</v>
      </c>
      <c r="DF328" s="2">
        <f t="shared" si="81"/>
        <v>3.1864077669902913</v>
      </c>
      <c r="DG328" s="2">
        <f t="shared" si="75"/>
        <v>51.5</v>
      </c>
      <c r="DH328" s="2">
        <f t="shared" si="76"/>
        <v>0.1</v>
      </c>
      <c r="DI328" s="3">
        <f t="shared" si="82"/>
        <v>0.42718446601941745</v>
      </c>
    </row>
    <row r="329" spans="1:113">
      <c r="A329" s="17" t="s">
        <v>325</v>
      </c>
      <c r="E329">
        <v>7.3</v>
      </c>
      <c r="F329">
        <v>0.2</v>
      </c>
      <c r="J329">
        <v>5.5</v>
      </c>
      <c r="N329">
        <v>31.2</v>
      </c>
      <c r="V329">
        <v>2.7</v>
      </c>
      <c r="W329">
        <v>3.6</v>
      </c>
      <c r="Y329">
        <v>3.5</v>
      </c>
      <c r="AB329">
        <v>4.4000000000000004</v>
      </c>
      <c r="AK329">
        <v>1.4</v>
      </c>
      <c r="AL329">
        <v>7.5</v>
      </c>
      <c r="AQ329">
        <v>10</v>
      </c>
      <c r="AY329">
        <v>36.799999999999997</v>
      </c>
      <c r="BB329">
        <v>2.7</v>
      </c>
      <c r="BG329">
        <v>0.2</v>
      </c>
      <c r="BJ329">
        <v>31.3</v>
      </c>
      <c r="BK329">
        <v>5.6</v>
      </c>
      <c r="BO329">
        <v>9.1</v>
      </c>
      <c r="BP329">
        <v>1</v>
      </c>
      <c r="BQ329">
        <v>0.1</v>
      </c>
      <c r="BX329">
        <v>11.5</v>
      </c>
      <c r="BY329">
        <v>3.5</v>
      </c>
      <c r="BZ329">
        <v>1.9</v>
      </c>
      <c r="CA329">
        <v>4</v>
      </c>
      <c r="CB329">
        <v>7.4</v>
      </c>
      <c r="CG329">
        <v>4</v>
      </c>
      <c r="CI329">
        <v>0.5</v>
      </c>
      <c r="CJ329">
        <v>17.100000000000001</v>
      </c>
      <c r="CP329">
        <v>0.8</v>
      </c>
      <c r="CR329">
        <v>6</v>
      </c>
      <c r="CS329">
        <v>0.6</v>
      </c>
      <c r="CV329">
        <v>2.4</v>
      </c>
      <c r="CW329">
        <v>4.9000000000000004</v>
      </c>
      <c r="CX329">
        <v>3</v>
      </c>
      <c r="CZ329">
        <v>4.2</v>
      </c>
      <c r="DA329" s="2"/>
      <c r="DD329" s="1">
        <v>41200</v>
      </c>
      <c r="DE329" s="2">
        <f t="shared" si="74"/>
        <v>6.9382352941176473</v>
      </c>
      <c r="DF329" s="2">
        <f t="shared" si="81"/>
        <v>2.2902912621359226</v>
      </c>
      <c r="DG329" s="2">
        <f t="shared" si="75"/>
        <v>36.799999999999997</v>
      </c>
      <c r="DH329" s="2">
        <f t="shared" si="76"/>
        <v>0.1</v>
      </c>
      <c r="DI329" s="3">
        <f t="shared" si="82"/>
        <v>0.3300970873786408</v>
      </c>
    </row>
    <row r="330" spans="1:113">
      <c r="A330" s="17" t="s">
        <v>326</v>
      </c>
      <c r="C330">
        <v>3.7</v>
      </c>
      <c r="F330">
        <v>0.4</v>
      </c>
      <c r="J330">
        <v>30.4</v>
      </c>
      <c r="K330">
        <v>6</v>
      </c>
      <c r="N330">
        <v>0.6</v>
      </c>
      <c r="Q330">
        <v>6</v>
      </c>
      <c r="V330">
        <v>45.2</v>
      </c>
      <c r="X330">
        <v>13.5</v>
      </c>
      <c r="Y330">
        <v>17.899999999999999</v>
      </c>
      <c r="AB330">
        <v>2.1</v>
      </c>
      <c r="AE330">
        <v>1</v>
      </c>
      <c r="AF330">
        <v>5.9</v>
      </c>
      <c r="AG330">
        <v>10.1</v>
      </c>
      <c r="AH330">
        <v>6.1</v>
      </c>
      <c r="AK330">
        <v>14.3</v>
      </c>
      <c r="AL330">
        <v>10</v>
      </c>
      <c r="AO330">
        <v>13.8</v>
      </c>
      <c r="AQ330">
        <v>5.5</v>
      </c>
      <c r="AW330">
        <v>31.9</v>
      </c>
      <c r="AY330">
        <v>7.4</v>
      </c>
      <c r="BB330">
        <v>2.7</v>
      </c>
      <c r="BF330">
        <v>10.9</v>
      </c>
      <c r="BG330">
        <v>13.4</v>
      </c>
      <c r="BH330">
        <v>0.2</v>
      </c>
      <c r="BI330">
        <v>0.1</v>
      </c>
      <c r="BJ330">
        <v>4.5999999999999996</v>
      </c>
      <c r="BK330">
        <v>20.6</v>
      </c>
      <c r="BM330">
        <v>0.2</v>
      </c>
      <c r="BO330">
        <v>26.3</v>
      </c>
      <c r="BR330">
        <v>21.4</v>
      </c>
      <c r="BX330">
        <v>0.2</v>
      </c>
      <c r="CA330">
        <v>1.4</v>
      </c>
      <c r="CB330">
        <v>0.6</v>
      </c>
      <c r="CI330">
        <v>3.8</v>
      </c>
      <c r="CL330">
        <v>9.5</v>
      </c>
      <c r="CO330">
        <v>12.2</v>
      </c>
      <c r="CP330">
        <v>12</v>
      </c>
      <c r="CR330">
        <v>5.5</v>
      </c>
      <c r="CU330">
        <v>0.1</v>
      </c>
      <c r="CV330">
        <v>1</v>
      </c>
      <c r="CW330">
        <v>0.1</v>
      </c>
      <c r="CX330">
        <v>0.1</v>
      </c>
      <c r="CZ330">
        <v>0.2</v>
      </c>
      <c r="DA330" s="2"/>
      <c r="DD330" s="1">
        <v>41201</v>
      </c>
      <c r="DE330" s="2">
        <f t="shared" si="74"/>
        <v>8.8116279069767458</v>
      </c>
      <c r="DF330" s="2">
        <f t="shared" si="81"/>
        <v>3.6786407766990301</v>
      </c>
      <c r="DG330" s="2">
        <f t="shared" si="75"/>
        <v>45.2</v>
      </c>
      <c r="DH330" s="2">
        <f t="shared" si="76"/>
        <v>0.1</v>
      </c>
      <c r="DI330" s="3">
        <f t="shared" si="82"/>
        <v>0.41747572815533979</v>
      </c>
    </row>
    <row r="331" spans="1:113">
      <c r="A331" s="17" t="s">
        <v>327</v>
      </c>
      <c r="C331">
        <v>21.4</v>
      </c>
      <c r="H331">
        <v>0.4</v>
      </c>
      <c r="J331">
        <v>3.2</v>
      </c>
      <c r="K331">
        <v>0.5</v>
      </c>
      <c r="P331">
        <v>10.1</v>
      </c>
      <c r="Q331">
        <v>1.5</v>
      </c>
      <c r="V331">
        <v>3.2</v>
      </c>
      <c r="AH331">
        <v>0.9</v>
      </c>
      <c r="AK331">
        <v>2</v>
      </c>
      <c r="AL331">
        <v>1.6</v>
      </c>
      <c r="AN331">
        <v>1.3</v>
      </c>
      <c r="AO331">
        <v>19.5</v>
      </c>
      <c r="AV331">
        <v>4.5</v>
      </c>
      <c r="AW331">
        <v>5.9</v>
      </c>
      <c r="BA331">
        <v>20.7</v>
      </c>
      <c r="BF331">
        <v>5</v>
      </c>
      <c r="BG331">
        <v>18.600000000000001</v>
      </c>
      <c r="BI331">
        <v>0.2</v>
      </c>
      <c r="BO331">
        <v>0.7</v>
      </c>
      <c r="BR331">
        <v>2.6</v>
      </c>
      <c r="BY331">
        <v>5.6</v>
      </c>
      <c r="CA331">
        <v>0.7</v>
      </c>
      <c r="CG331">
        <v>8.1</v>
      </c>
      <c r="CJ331">
        <v>4</v>
      </c>
      <c r="CM331">
        <v>19.5</v>
      </c>
      <c r="CO331">
        <v>0.2</v>
      </c>
      <c r="CP331">
        <v>3.8</v>
      </c>
      <c r="CQ331">
        <v>0.3</v>
      </c>
      <c r="CR331">
        <v>0.1</v>
      </c>
      <c r="CT331">
        <v>5.4</v>
      </c>
      <c r="CW331">
        <v>0.2</v>
      </c>
      <c r="CY331">
        <v>2.4</v>
      </c>
      <c r="DA331" s="2"/>
      <c r="DD331" s="1">
        <v>41202</v>
      </c>
      <c r="DE331" s="2">
        <f t="shared" si="74"/>
        <v>5.4406249999999998</v>
      </c>
      <c r="DF331" s="2">
        <f t="shared" si="81"/>
        <v>1.6902912621359223</v>
      </c>
      <c r="DG331" s="2">
        <f t="shared" si="75"/>
        <v>21.4</v>
      </c>
      <c r="DH331" s="2">
        <f t="shared" si="76"/>
        <v>0.1</v>
      </c>
      <c r="DI331" s="3">
        <f t="shared" si="82"/>
        <v>0.31067961165048541</v>
      </c>
    </row>
    <row r="332" spans="1:113">
      <c r="A332" s="17" t="s">
        <v>328</v>
      </c>
      <c r="C332">
        <v>10.199999999999999</v>
      </c>
      <c r="F332">
        <v>0.6</v>
      </c>
      <c r="J332">
        <v>8.6</v>
      </c>
      <c r="K332">
        <v>2</v>
      </c>
      <c r="O332">
        <v>3.2</v>
      </c>
      <c r="W332">
        <v>0.5</v>
      </c>
      <c r="X332">
        <v>5.8</v>
      </c>
      <c r="AA332">
        <v>22</v>
      </c>
      <c r="AC332">
        <v>21.1</v>
      </c>
      <c r="AD332">
        <v>0.1</v>
      </c>
      <c r="AG332">
        <v>0.5</v>
      </c>
      <c r="AJ332">
        <v>2.5</v>
      </c>
      <c r="AL332">
        <v>6.8</v>
      </c>
      <c r="AN332">
        <v>0.2</v>
      </c>
      <c r="AP332">
        <v>3.2</v>
      </c>
      <c r="AR332">
        <v>2.2999999999999998</v>
      </c>
      <c r="AV332">
        <v>1.6</v>
      </c>
      <c r="AW332">
        <v>3.9</v>
      </c>
      <c r="BA332">
        <v>6.8</v>
      </c>
      <c r="BB332">
        <v>1</v>
      </c>
      <c r="BD332">
        <v>20.6</v>
      </c>
      <c r="BF332">
        <v>0.1</v>
      </c>
      <c r="BG332">
        <v>1.3</v>
      </c>
      <c r="BH332">
        <v>18.3</v>
      </c>
      <c r="BI332">
        <v>0.3</v>
      </c>
      <c r="BJ332">
        <v>0.1</v>
      </c>
      <c r="BN332">
        <v>20.2</v>
      </c>
      <c r="BQ332">
        <v>14</v>
      </c>
      <c r="BR332">
        <v>6.1</v>
      </c>
      <c r="BY332">
        <v>16.5</v>
      </c>
      <c r="BZ332">
        <v>30.9</v>
      </c>
      <c r="CA332">
        <v>4.4000000000000004</v>
      </c>
      <c r="CC332">
        <v>16.5</v>
      </c>
      <c r="CD332">
        <v>0.1</v>
      </c>
      <c r="CG332">
        <v>5.2</v>
      </c>
      <c r="CI332">
        <v>0.5</v>
      </c>
      <c r="CK332">
        <v>0.8</v>
      </c>
      <c r="CM332">
        <v>22.5</v>
      </c>
      <c r="CT332">
        <v>3.4</v>
      </c>
      <c r="CV332">
        <v>0.1</v>
      </c>
      <c r="CW332">
        <v>4.7</v>
      </c>
      <c r="CX332">
        <v>0.2</v>
      </c>
      <c r="CY332">
        <v>1.8</v>
      </c>
      <c r="CZ332">
        <v>0.2</v>
      </c>
      <c r="DA332" s="2"/>
      <c r="DD332" s="1">
        <v>41203</v>
      </c>
      <c r="DE332" s="2">
        <f t="shared" si="74"/>
        <v>6.629545454545454</v>
      </c>
      <c r="DF332" s="2">
        <f t="shared" si="81"/>
        <v>2.8320388349514563</v>
      </c>
      <c r="DG332" s="2">
        <f t="shared" si="75"/>
        <v>30.9</v>
      </c>
      <c r="DH332" s="2">
        <f t="shared" si="76"/>
        <v>0.1</v>
      </c>
      <c r="DI332" s="3">
        <f t="shared" si="82"/>
        <v>0.42718446601941745</v>
      </c>
    </row>
    <row r="333" spans="1:113">
      <c r="A333" s="17" t="s">
        <v>329</v>
      </c>
      <c r="C333">
        <v>0.1</v>
      </c>
      <c r="E333">
        <v>2</v>
      </c>
      <c r="F333">
        <v>12.8</v>
      </c>
      <c r="G333">
        <v>0.4</v>
      </c>
      <c r="H333">
        <v>8.3000000000000007</v>
      </c>
      <c r="J333">
        <v>1.4</v>
      </c>
      <c r="K333">
        <v>4.5999999999999996</v>
      </c>
      <c r="M333">
        <v>0.9</v>
      </c>
      <c r="O333">
        <v>15.7</v>
      </c>
      <c r="U333">
        <v>6.3</v>
      </c>
      <c r="V333">
        <v>0.5</v>
      </c>
      <c r="X333">
        <v>19</v>
      </c>
      <c r="Z333">
        <v>0.2</v>
      </c>
      <c r="AC333">
        <v>20</v>
      </c>
      <c r="AE333">
        <v>14</v>
      </c>
      <c r="AJ333">
        <v>0.4</v>
      </c>
      <c r="AL333">
        <v>7.7</v>
      </c>
      <c r="AM333">
        <v>1.5</v>
      </c>
      <c r="AR333">
        <v>0.3</v>
      </c>
      <c r="AZ333">
        <v>1.2</v>
      </c>
      <c r="BC333">
        <v>0.6</v>
      </c>
      <c r="BH333">
        <v>0.6</v>
      </c>
      <c r="BJ333">
        <v>1.8</v>
      </c>
      <c r="BK333">
        <v>22.4</v>
      </c>
      <c r="BN333">
        <v>0.2</v>
      </c>
      <c r="BO333">
        <v>9.3000000000000007</v>
      </c>
      <c r="BQ333">
        <v>4.5</v>
      </c>
      <c r="BR333">
        <v>9.1999999999999993</v>
      </c>
      <c r="BV333">
        <v>3.5</v>
      </c>
      <c r="BW333">
        <v>0.2</v>
      </c>
      <c r="BZ333">
        <v>0.5</v>
      </c>
      <c r="CC333">
        <v>18</v>
      </c>
      <c r="CE333">
        <v>3.6</v>
      </c>
      <c r="CG333">
        <v>0.1</v>
      </c>
      <c r="CH333">
        <v>2.1</v>
      </c>
      <c r="CI333">
        <v>6.5</v>
      </c>
      <c r="CL333">
        <v>9</v>
      </c>
      <c r="CM333">
        <v>34.5</v>
      </c>
      <c r="CN333">
        <v>2.5</v>
      </c>
      <c r="CS333">
        <v>3.5</v>
      </c>
      <c r="CT333">
        <v>3.3</v>
      </c>
      <c r="DA333" s="2"/>
      <c r="DD333" s="1">
        <v>41204</v>
      </c>
      <c r="DE333" s="2">
        <f t="shared" si="74"/>
        <v>6.1756097560975602</v>
      </c>
      <c r="DF333" s="2">
        <f t="shared" si="81"/>
        <v>2.4582524271844655</v>
      </c>
      <c r="DG333" s="2">
        <f t="shared" si="75"/>
        <v>34.5</v>
      </c>
      <c r="DH333" s="2">
        <f t="shared" si="76"/>
        <v>0.1</v>
      </c>
      <c r="DI333" s="3">
        <f t="shared" si="82"/>
        <v>0.39805825242718446</v>
      </c>
    </row>
    <row r="334" spans="1:113">
      <c r="A334" s="17" t="s">
        <v>330</v>
      </c>
      <c r="C334">
        <v>18.8</v>
      </c>
      <c r="E334">
        <v>0.5</v>
      </c>
      <c r="F334">
        <v>9.3000000000000007</v>
      </c>
      <c r="H334">
        <v>0.5</v>
      </c>
      <c r="K334">
        <v>5.3</v>
      </c>
      <c r="T334">
        <v>0.2</v>
      </c>
      <c r="X334">
        <v>14.5</v>
      </c>
      <c r="AC334">
        <v>3.7</v>
      </c>
      <c r="AE334">
        <v>2.2000000000000002</v>
      </c>
      <c r="AH334">
        <v>0.5</v>
      </c>
      <c r="AL334">
        <v>5.6</v>
      </c>
      <c r="AS334">
        <v>0.2</v>
      </c>
      <c r="AT334">
        <v>0.2</v>
      </c>
      <c r="AZ334">
        <v>0.6</v>
      </c>
      <c r="BB334">
        <v>1.7</v>
      </c>
      <c r="BD334">
        <v>1.4</v>
      </c>
      <c r="BE334">
        <v>2.2999999999999998</v>
      </c>
      <c r="BH334">
        <v>0.3</v>
      </c>
      <c r="BI334">
        <v>16</v>
      </c>
      <c r="BL334">
        <v>12.7</v>
      </c>
      <c r="BN334">
        <v>21.5</v>
      </c>
      <c r="BO334">
        <v>19.600000000000001</v>
      </c>
      <c r="BP334">
        <v>0.1</v>
      </c>
      <c r="BR334">
        <v>1.5</v>
      </c>
      <c r="BV334">
        <v>1</v>
      </c>
      <c r="BX334">
        <v>1.5</v>
      </c>
      <c r="BZ334">
        <v>3.1</v>
      </c>
      <c r="CC334">
        <v>16.8</v>
      </c>
      <c r="CD334">
        <v>0.1</v>
      </c>
      <c r="CE334">
        <v>22.3</v>
      </c>
      <c r="CG334">
        <v>5.6</v>
      </c>
      <c r="CH334">
        <v>5.7</v>
      </c>
      <c r="CI334">
        <v>4.2</v>
      </c>
      <c r="CL334">
        <v>2.5</v>
      </c>
      <c r="CM334">
        <v>12.5</v>
      </c>
      <c r="CP334">
        <v>1.7</v>
      </c>
      <c r="CT334">
        <v>4.2</v>
      </c>
      <c r="CW334">
        <v>0.6</v>
      </c>
      <c r="CX334">
        <v>0.1</v>
      </c>
      <c r="CY334">
        <v>21.7</v>
      </c>
      <c r="CZ334">
        <v>0.2</v>
      </c>
      <c r="DA334" s="2"/>
      <c r="DD334" s="1">
        <v>41205</v>
      </c>
      <c r="DE334" s="2">
        <f t="shared" si="74"/>
        <v>5.926829268292682</v>
      </c>
      <c r="DF334" s="2">
        <f t="shared" si="81"/>
        <v>2.3592233009708732</v>
      </c>
      <c r="DG334" s="2">
        <f t="shared" si="75"/>
        <v>22.3</v>
      </c>
      <c r="DH334" s="2">
        <f t="shared" si="76"/>
        <v>0.1</v>
      </c>
      <c r="DI334" s="3">
        <f t="shared" si="82"/>
        <v>0.39805825242718446</v>
      </c>
    </row>
    <row r="335" spans="1:113">
      <c r="A335" s="17" t="s">
        <v>331</v>
      </c>
      <c r="C335">
        <v>5.6</v>
      </c>
      <c r="D335">
        <v>3.2</v>
      </c>
      <c r="E335">
        <v>1.3</v>
      </c>
      <c r="F335">
        <v>9.6</v>
      </c>
      <c r="H335">
        <v>3.8</v>
      </c>
      <c r="M335">
        <v>36.5</v>
      </c>
      <c r="O335">
        <v>2.1</v>
      </c>
      <c r="T335">
        <v>0.6</v>
      </c>
      <c r="U335">
        <v>2.2000000000000002</v>
      </c>
      <c r="Y335">
        <v>7.5</v>
      </c>
      <c r="Z335">
        <v>3.6</v>
      </c>
      <c r="AA335">
        <v>8.3000000000000007</v>
      </c>
      <c r="AC335">
        <v>11.6</v>
      </c>
      <c r="AD335">
        <v>6.2</v>
      </c>
      <c r="AH335">
        <v>47</v>
      </c>
      <c r="AI335">
        <v>2.7</v>
      </c>
      <c r="AN335">
        <v>0.1</v>
      </c>
      <c r="AV335">
        <v>1</v>
      </c>
      <c r="AX335">
        <v>3.7</v>
      </c>
      <c r="AZ335">
        <v>5.7</v>
      </c>
      <c r="BB335">
        <v>10</v>
      </c>
      <c r="BD335">
        <v>2.2999999999999998</v>
      </c>
      <c r="BG335">
        <v>0.1</v>
      </c>
      <c r="BI335">
        <v>19.8</v>
      </c>
      <c r="BJ335">
        <v>0.4</v>
      </c>
      <c r="BK335">
        <v>31.5</v>
      </c>
      <c r="BL335">
        <v>27.6</v>
      </c>
      <c r="BN335">
        <v>11.5</v>
      </c>
      <c r="BO335">
        <v>11.2</v>
      </c>
      <c r="BR335">
        <v>13.5</v>
      </c>
      <c r="BX335">
        <v>8</v>
      </c>
      <c r="CA335">
        <v>0.1</v>
      </c>
      <c r="CC335">
        <v>5.8</v>
      </c>
      <c r="CD335">
        <v>0.1</v>
      </c>
      <c r="CE335">
        <v>12</v>
      </c>
      <c r="CH335">
        <v>3.2</v>
      </c>
      <c r="CI335">
        <v>12.6</v>
      </c>
      <c r="CJ335">
        <v>40.299999999999997</v>
      </c>
      <c r="CL335">
        <v>0.5</v>
      </c>
      <c r="CM335">
        <v>0.5</v>
      </c>
      <c r="CO335">
        <v>9.5</v>
      </c>
      <c r="CP335">
        <v>24.5</v>
      </c>
      <c r="CT335">
        <v>6.4</v>
      </c>
      <c r="CU335">
        <v>1</v>
      </c>
      <c r="CX335">
        <v>0.1</v>
      </c>
      <c r="DA335" s="2"/>
      <c r="DD335" s="1">
        <v>41206</v>
      </c>
      <c r="DE335" s="2">
        <f t="shared" si="74"/>
        <v>9.2177777777777798</v>
      </c>
      <c r="DF335" s="2">
        <f t="shared" si="81"/>
        <v>4.0271844660194178</v>
      </c>
      <c r="DG335" s="2">
        <f t="shared" si="75"/>
        <v>47</v>
      </c>
      <c r="DH335" s="2">
        <f t="shared" si="76"/>
        <v>0.1</v>
      </c>
      <c r="DI335" s="3">
        <f t="shared" si="82"/>
        <v>0.43689320388349512</v>
      </c>
    </row>
    <row r="336" spans="1:113">
      <c r="A336" s="17" t="s">
        <v>332</v>
      </c>
      <c r="E336">
        <v>3</v>
      </c>
      <c r="H336">
        <v>1.2</v>
      </c>
      <c r="J336">
        <v>7.6</v>
      </c>
      <c r="K336">
        <v>9.5</v>
      </c>
      <c r="L336">
        <v>3.1</v>
      </c>
      <c r="M336">
        <v>0.9</v>
      </c>
      <c r="O336">
        <v>0.7</v>
      </c>
      <c r="Q336">
        <v>4.5999999999999996</v>
      </c>
      <c r="R336">
        <v>14</v>
      </c>
      <c r="T336">
        <v>4.9000000000000004</v>
      </c>
      <c r="U336">
        <v>47.7</v>
      </c>
      <c r="W336">
        <v>0.6</v>
      </c>
      <c r="Y336">
        <v>1.1000000000000001</v>
      </c>
      <c r="AA336">
        <v>0.1</v>
      </c>
      <c r="AC336">
        <v>0.1</v>
      </c>
      <c r="AD336">
        <v>6.1</v>
      </c>
      <c r="AE336">
        <v>0.1</v>
      </c>
      <c r="AG336">
        <v>0.1</v>
      </c>
      <c r="AH336">
        <v>2.5</v>
      </c>
      <c r="AI336">
        <v>0.7</v>
      </c>
      <c r="AK336">
        <v>22.5</v>
      </c>
      <c r="AN336">
        <v>0.2</v>
      </c>
      <c r="AT336">
        <v>0.9</v>
      </c>
      <c r="AU336">
        <v>0.2</v>
      </c>
      <c r="AV336">
        <v>11.5</v>
      </c>
      <c r="AZ336">
        <v>43.5</v>
      </c>
      <c r="BB336">
        <v>5.0999999999999996</v>
      </c>
      <c r="BD336">
        <v>1.9</v>
      </c>
      <c r="BI336">
        <v>6.5</v>
      </c>
      <c r="BK336">
        <v>8.4</v>
      </c>
      <c r="BL336">
        <v>0.1</v>
      </c>
      <c r="BM336">
        <v>9.3000000000000007</v>
      </c>
      <c r="BN336">
        <v>3.8</v>
      </c>
      <c r="BO336">
        <v>1</v>
      </c>
      <c r="BQ336">
        <v>0.9</v>
      </c>
      <c r="BR336">
        <v>3.4</v>
      </c>
      <c r="BT336">
        <v>0.1</v>
      </c>
      <c r="BV336">
        <v>6.6</v>
      </c>
      <c r="BX336">
        <v>21.3</v>
      </c>
      <c r="BY336">
        <v>23.3</v>
      </c>
      <c r="CA336">
        <v>16.7</v>
      </c>
      <c r="CD336">
        <v>3.8</v>
      </c>
      <c r="CE336">
        <v>3.4</v>
      </c>
      <c r="CG336">
        <v>5.8</v>
      </c>
      <c r="CH336">
        <v>0.2</v>
      </c>
      <c r="CI336">
        <v>6.4</v>
      </c>
      <c r="CJ336">
        <v>18.399999999999999</v>
      </c>
      <c r="CN336">
        <v>0.7</v>
      </c>
      <c r="CP336">
        <v>15.2</v>
      </c>
      <c r="CT336">
        <v>0.2</v>
      </c>
      <c r="CU336">
        <v>55.8</v>
      </c>
      <c r="CW336">
        <v>0.5</v>
      </c>
      <c r="CZ336">
        <v>0.2</v>
      </c>
      <c r="DA336" s="2"/>
      <c r="DD336" s="1">
        <v>41207</v>
      </c>
      <c r="DE336" s="2">
        <f t="shared" si="74"/>
        <v>7.6679245283018842</v>
      </c>
      <c r="DF336" s="2">
        <f t="shared" si="81"/>
        <v>3.9456310679611639</v>
      </c>
      <c r="DG336" s="2">
        <f t="shared" si="75"/>
        <v>55.8</v>
      </c>
      <c r="DH336" s="2">
        <f t="shared" si="76"/>
        <v>0.1</v>
      </c>
      <c r="DI336" s="3">
        <f t="shared" si="82"/>
        <v>0.5145631067961165</v>
      </c>
    </row>
    <row r="337" spans="1:113">
      <c r="A337" s="17" t="s">
        <v>333</v>
      </c>
      <c r="C337">
        <v>20.100000000000001</v>
      </c>
      <c r="F337">
        <v>2</v>
      </c>
      <c r="H337">
        <v>6.6</v>
      </c>
      <c r="J337">
        <v>1.6</v>
      </c>
      <c r="R337">
        <v>2.6</v>
      </c>
      <c r="T337">
        <v>9.6999999999999993</v>
      </c>
      <c r="W337">
        <v>1.4</v>
      </c>
      <c r="AD337">
        <v>18.3</v>
      </c>
      <c r="AG337">
        <v>0.3</v>
      </c>
      <c r="AI337">
        <v>0.2</v>
      </c>
      <c r="AK337">
        <v>4.3</v>
      </c>
      <c r="AL337">
        <v>0.2</v>
      </c>
      <c r="AP337">
        <v>11.3</v>
      </c>
      <c r="AT337">
        <v>19.899999999999999</v>
      </c>
      <c r="AV337">
        <v>3</v>
      </c>
      <c r="AW337">
        <v>0.3</v>
      </c>
      <c r="AZ337">
        <v>1.4</v>
      </c>
      <c r="BB337">
        <v>5.8</v>
      </c>
      <c r="BD337">
        <v>2.2999999999999998</v>
      </c>
      <c r="BH337">
        <v>0.2</v>
      </c>
      <c r="BI337">
        <v>26</v>
      </c>
      <c r="BL337">
        <v>0.1</v>
      </c>
      <c r="BN337">
        <v>0.8</v>
      </c>
      <c r="BO337">
        <v>0.3</v>
      </c>
      <c r="BQ337">
        <v>4.7</v>
      </c>
      <c r="BR337">
        <v>0.3</v>
      </c>
      <c r="BV337">
        <v>0.1</v>
      </c>
      <c r="BX337">
        <v>0.2</v>
      </c>
      <c r="BZ337">
        <v>2.2999999999999998</v>
      </c>
      <c r="CA337">
        <v>19.3</v>
      </c>
      <c r="CD337">
        <v>2.2999999999999998</v>
      </c>
      <c r="CE337">
        <v>0.4</v>
      </c>
      <c r="CF337">
        <v>0.5</v>
      </c>
      <c r="CH337">
        <v>16.8</v>
      </c>
      <c r="CI337">
        <v>26.9</v>
      </c>
      <c r="CK337">
        <v>59.5</v>
      </c>
      <c r="CP337">
        <v>0.1</v>
      </c>
      <c r="CU337">
        <v>110</v>
      </c>
      <c r="CW337">
        <v>1.9</v>
      </c>
      <c r="DA337" s="2"/>
      <c r="DD337" s="1">
        <v>41208</v>
      </c>
      <c r="DE337" s="2">
        <f t="shared" si="74"/>
        <v>9.8461538461538485</v>
      </c>
      <c r="DF337" s="2">
        <f t="shared" si="81"/>
        <v>3.7281553398058258</v>
      </c>
      <c r="DG337" s="2">
        <f t="shared" si="75"/>
        <v>110</v>
      </c>
      <c r="DH337" s="2">
        <f t="shared" si="76"/>
        <v>0.1</v>
      </c>
      <c r="DI337" s="3">
        <f t="shared" si="82"/>
        <v>0.37864077669902912</v>
      </c>
    </row>
    <row r="338" spans="1:113">
      <c r="A338" s="17" t="s">
        <v>334</v>
      </c>
      <c r="C338">
        <v>1.4</v>
      </c>
      <c r="D338">
        <v>0.2</v>
      </c>
      <c r="G338">
        <v>3.7</v>
      </c>
      <c r="I338">
        <v>1.7</v>
      </c>
      <c r="M338">
        <v>10.6</v>
      </c>
      <c r="Q338">
        <v>23.4</v>
      </c>
      <c r="R338">
        <v>104.9</v>
      </c>
      <c r="U338">
        <v>21.8</v>
      </c>
      <c r="X338">
        <v>26</v>
      </c>
      <c r="Z338">
        <v>10.6</v>
      </c>
      <c r="AF338">
        <v>14.7</v>
      </c>
      <c r="AH338">
        <v>0.3</v>
      </c>
      <c r="AI338">
        <v>4.9000000000000004</v>
      </c>
      <c r="AK338">
        <v>0.3</v>
      </c>
      <c r="AL338">
        <v>2.7</v>
      </c>
      <c r="AO338">
        <v>6.9</v>
      </c>
      <c r="AP338">
        <v>4.5999999999999996</v>
      </c>
      <c r="AS338">
        <v>0.2</v>
      </c>
      <c r="AT338">
        <v>0.4</v>
      </c>
      <c r="BB338">
        <v>13.1</v>
      </c>
      <c r="BH338">
        <v>0.1</v>
      </c>
      <c r="BI338">
        <v>0.2</v>
      </c>
      <c r="BJ338">
        <v>0.1</v>
      </c>
      <c r="BK338">
        <v>0.1</v>
      </c>
      <c r="BM338">
        <v>4.5</v>
      </c>
      <c r="BN338">
        <v>2.2999999999999998</v>
      </c>
      <c r="BO338">
        <v>0.7</v>
      </c>
      <c r="BP338">
        <v>0.1</v>
      </c>
      <c r="BQ338">
        <v>1.5</v>
      </c>
      <c r="BZ338">
        <v>27.8</v>
      </c>
      <c r="CA338">
        <v>3.2</v>
      </c>
      <c r="CD338">
        <v>0.1</v>
      </c>
      <c r="CE338">
        <v>10.4</v>
      </c>
      <c r="CF338">
        <v>0.1</v>
      </c>
      <c r="CH338">
        <v>0.5</v>
      </c>
      <c r="CI338">
        <v>0.8</v>
      </c>
      <c r="CK338">
        <v>19.5</v>
      </c>
      <c r="CL338">
        <v>3.3</v>
      </c>
      <c r="CN338">
        <v>3.5</v>
      </c>
      <c r="CP338">
        <v>16.2</v>
      </c>
      <c r="CU338">
        <v>4.0999999999999996</v>
      </c>
      <c r="CW338">
        <v>40.799999999999997</v>
      </c>
      <c r="DA338" s="2"/>
      <c r="DD338" s="1">
        <v>41209</v>
      </c>
      <c r="DE338" s="2">
        <f t="shared" si="74"/>
        <v>9.3404761904761919</v>
      </c>
      <c r="DF338" s="2">
        <f t="shared" si="81"/>
        <v>3.8087378640776706</v>
      </c>
      <c r="DG338" s="2">
        <f t="shared" si="75"/>
        <v>104.9</v>
      </c>
      <c r="DH338" s="2">
        <f t="shared" si="76"/>
        <v>0.1</v>
      </c>
      <c r="DI338" s="3">
        <f t="shared" si="82"/>
        <v>0.40776699029126212</v>
      </c>
    </row>
    <row r="339" spans="1:113">
      <c r="A339" s="17" t="s">
        <v>335</v>
      </c>
      <c r="E339">
        <v>0.8</v>
      </c>
      <c r="G339">
        <v>1.7</v>
      </c>
      <c r="I339">
        <v>0.2</v>
      </c>
      <c r="R339">
        <v>2</v>
      </c>
      <c r="U339">
        <v>11.4</v>
      </c>
      <c r="Z339">
        <v>2.9</v>
      </c>
      <c r="AF339">
        <v>9.8000000000000007</v>
      </c>
      <c r="AI339">
        <v>22.2</v>
      </c>
      <c r="AL339">
        <v>17</v>
      </c>
      <c r="AM339">
        <v>0.2</v>
      </c>
      <c r="AN339">
        <v>0.1</v>
      </c>
      <c r="AO339">
        <v>2.1</v>
      </c>
      <c r="AQ339">
        <v>0.6</v>
      </c>
      <c r="AS339">
        <v>0.2</v>
      </c>
      <c r="AZ339">
        <v>5.0999999999999996</v>
      </c>
      <c r="BB339">
        <v>18.600000000000001</v>
      </c>
      <c r="BG339">
        <v>1.2</v>
      </c>
      <c r="BI339">
        <v>0.2</v>
      </c>
      <c r="BJ339">
        <v>26.7</v>
      </c>
      <c r="BO339">
        <v>2.6</v>
      </c>
      <c r="BP339">
        <v>0.1</v>
      </c>
      <c r="BQ339">
        <v>50.4</v>
      </c>
      <c r="BT339">
        <v>5.5</v>
      </c>
      <c r="BY339">
        <v>3.1</v>
      </c>
      <c r="BZ339">
        <v>17.8</v>
      </c>
      <c r="CA339">
        <v>0.6</v>
      </c>
      <c r="CB339">
        <v>0.1</v>
      </c>
      <c r="CH339">
        <v>6.1</v>
      </c>
      <c r="CI339">
        <v>1.7</v>
      </c>
      <c r="CN339">
        <v>11</v>
      </c>
      <c r="CP339">
        <v>12.3</v>
      </c>
      <c r="CR339">
        <v>3</v>
      </c>
      <c r="CV339">
        <v>5.6</v>
      </c>
      <c r="CW339">
        <v>50</v>
      </c>
      <c r="DA339" s="2"/>
      <c r="DD339" s="1">
        <v>41210</v>
      </c>
      <c r="DE339" s="2">
        <f t="shared" si="74"/>
        <v>8.6147058823529399</v>
      </c>
      <c r="DF339" s="2">
        <f t="shared" si="81"/>
        <v>2.8436893203883491</v>
      </c>
      <c r="DG339" s="2">
        <f t="shared" si="75"/>
        <v>50.4</v>
      </c>
      <c r="DH339" s="2">
        <f t="shared" si="76"/>
        <v>0.1</v>
      </c>
      <c r="DI339" s="3">
        <f t="shared" si="82"/>
        <v>0.3300970873786408</v>
      </c>
    </row>
    <row r="340" spans="1:113">
      <c r="A340" s="17" t="s">
        <v>336</v>
      </c>
      <c r="I340">
        <v>8.1</v>
      </c>
      <c r="J340">
        <v>3.9</v>
      </c>
      <c r="K340">
        <v>9.6</v>
      </c>
      <c r="L340">
        <v>5.6</v>
      </c>
      <c r="N340">
        <v>0.2</v>
      </c>
      <c r="O340">
        <v>0.2</v>
      </c>
      <c r="U340">
        <v>12</v>
      </c>
      <c r="Z340">
        <v>28.9</v>
      </c>
      <c r="AD340">
        <v>1.6</v>
      </c>
      <c r="AE340">
        <v>1.8</v>
      </c>
      <c r="AF340">
        <v>0.3</v>
      </c>
      <c r="AK340">
        <v>1</v>
      </c>
      <c r="AL340">
        <v>1.1000000000000001</v>
      </c>
      <c r="AM340">
        <v>0.1</v>
      </c>
      <c r="AS340">
        <v>0.4</v>
      </c>
      <c r="AU340">
        <v>6.5</v>
      </c>
      <c r="AW340">
        <v>1.1000000000000001</v>
      </c>
      <c r="AX340">
        <v>1.1000000000000001</v>
      </c>
      <c r="BB340">
        <v>2.9</v>
      </c>
      <c r="BG340">
        <v>1.4</v>
      </c>
      <c r="BJ340">
        <v>64</v>
      </c>
      <c r="BN340">
        <v>1.7</v>
      </c>
      <c r="BP340">
        <v>0.1</v>
      </c>
      <c r="BQ340">
        <v>91</v>
      </c>
      <c r="BR340">
        <v>0.5</v>
      </c>
      <c r="BT340">
        <v>1.8</v>
      </c>
      <c r="BV340">
        <v>9.4</v>
      </c>
      <c r="BZ340">
        <v>1.7</v>
      </c>
      <c r="CA340">
        <v>1</v>
      </c>
      <c r="CC340">
        <v>0.4</v>
      </c>
      <c r="CD340">
        <v>9.1999999999999993</v>
      </c>
      <c r="CJ340">
        <v>2.5</v>
      </c>
      <c r="CL340">
        <v>0.6</v>
      </c>
      <c r="CR340">
        <v>6</v>
      </c>
      <c r="CT340">
        <v>4.5</v>
      </c>
      <c r="CV340">
        <v>2.6</v>
      </c>
      <c r="CW340">
        <v>1.5</v>
      </c>
      <c r="CY340">
        <v>25</v>
      </c>
      <c r="DA340" s="2"/>
      <c r="DD340" s="1">
        <v>41211</v>
      </c>
      <c r="DE340" s="2">
        <f t="shared" si="74"/>
        <v>8.1921052631578934</v>
      </c>
      <c r="DF340" s="2">
        <f t="shared" si="81"/>
        <v>3.0223300970873783</v>
      </c>
      <c r="DG340" s="2">
        <f t="shared" si="75"/>
        <v>91</v>
      </c>
      <c r="DH340" s="2">
        <f t="shared" si="76"/>
        <v>0.1</v>
      </c>
      <c r="DI340" s="3">
        <f t="shared" si="82"/>
        <v>0.36893203883495146</v>
      </c>
    </row>
    <row r="341" spans="1:113">
      <c r="A341" s="17" t="s">
        <v>337</v>
      </c>
      <c r="E341">
        <v>1.7</v>
      </c>
      <c r="I341">
        <v>7.6</v>
      </c>
      <c r="K341">
        <v>2.4</v>
      </c>
      <c r="L341">
        <v>1</v>
      </c>
      <c r="M341">
        <v>0.4</v>
      </c>
      <c r="O341">
        <v>1.4</v>
      </c>
      <c r="T341">
        <v>3.2</v>
      </c>
      <c r="V341">
        <v>17</v>
      </c>
      <c r="Z341">
        <v>2.2999999999999998</v>
      </c>
      <c r="AB341">
        <v>2.9</v>
      </c>
      <c r="AE341">
        <v>0.3</v>
      </c>
      <c r="AF341">
        <v>0.3</v>
      </c>
      <c r="AN341">
        <v>0.1</v>
      </c>
      <c r="AS341">
        <v>0.5</v>
      </c>
      <c r="AT341">
        <v>8.8000000000000007</v>
      </c>
      <c r="AU341">
        <v>4.5999999999999996</v>
      </c>
      <c r="AX341">
        <v>0.9</v>
      </c>
      <c r="BB341">
        <v>7.7</v>
      </c>
      <c r="BH341">
        <v>0.1</v>
      </c>
      <c r="BJ341">
        <v>5.5</v>
      </c>
      <c r="BM341">
        <v>7.2</v>
      </c>
      <c r="BQ341">
        <v>1</v>
      </c>
      <c r="BR341">
        <v>9.3000000000000007</v>
      </c>
      <c r="BW341">
        <v>5.4</v>
      </c>
      <c r="BY341">
        <v>1.6</v>
      </c>
      <c r="BZ341">
        <v>2.4</v>
      </c>
      <c r="CC341">
        <v>8.8000000000000007</v>
      </c>
      <c r="CG341">
        <v>0.6</v>
      </c>
      <c r="CH341">
        <v>2.8</v>
      </c>
      <c r="CI341">
        <v>0.2</v>
      </c>
      <c r="CL341">
        <v>3.1</v>
      </c>
      <c r="CN341">
        <v>0.1</v>
      </c>
      <c r="CP341">
        <v>0.1</v>
      </c>
      <c r="CR341">
        <v>22</v>
      </c>
      <c r="CS341">
        <v>33.6</v>
      </c>
      <c r="CT341">
        <v>0.2</v>
      </c>
      <c r="CV341">
        <v>12.4</v>
      </c>
      <c r="CW341">
        <v>0.1</v>
      </c>
      <c r="CY341">
        <v>0.2</v>
      </c>
      <c r="DA341" s="2"/>
      <c r="DD341" s="1">
        <v>41212</v>
      </c>
      <c r="DE341" s="2">
        <f t="shared" si="74"/>
        <v>4.6102564102564081</v>
      </c>
      <c r="DF341" s="2">
        <f t="shared" si="81"/>
        <v>1.7456310679611644</v>
      </c>
      <c r="DG341" s="2">
        <f t="shared" si="75"/>
        <v>33.6</v>
      </c>
      <c r="DH341" s="2">
        <f t="shared" si="76"/>
        <v>0.1</v>
      </c>
      <c r="DI341" s="3">
        <f t="shared" si="82"/>
        <v>0.37864077669902912</v>
      </c>
    </row>
    <row r="342" spans="1:113">
      <c r="A342" s="17" t="s">
        <v>338</v>
      </c>
      <c r="F342">
        <v>8.3000000000000007</v>
      </c>
      <c r="I342">
        <v>4.7</v>
      </c>
      <c r="K342">
        <v>3.5</v>
      </c>
      <c r="L342">
        <v>7</v>
      </c>
      <c r="O342">
        <v>0.7</v>
      </c>
      <c r="P342">
        <v>0.6</v>
      </c>
      <c r="Z342">
        <v>2</v>
      </c>
      <c r="AB342">
        <v>3.2</v>
      </c>
      <c r="AC342">
        <v>1.3</v>
      </c>
      <c r="AD342">
        <v>0.2</v>
      </c>
      <c r="AE342">
        <v>13.3</v>
      </c>
      <c r="AF342">
        <v>5.2</v>
      </c>
      <c r="AJ342">
        <v>0.3</v>
      </c>
      <c r="AL342">
        <v>0.2</v>
      </c>
      <c r="AO342">
        <v>2</v>
      </c>
      <c r="BB342">
        <v>32</v>
      </c>
      <c r="BF342">
        <v>0.9</v>
      </c>
      <c r="BG342">
        <v>0.1</v>
      </c>
      <c r="BH342">
        <v>7.7</v>
      </c>
      <c r="BJ342">
        <v>0.1</v>
      </c>
      <c r="BL342">
        <v>2.1</v>
      </c>
      <c r="BM342">
        <v>0.1</v>
      </c>
      <c r="BQ342">
        <v>0.1</v>
      </c>
      <c r="BR342">
        <v>25</v>
      </c>
      <c r="BW342">
        <v>11.5</v>
      </c>
      <c r="BY342">
        <v>25.6</v>
      </c>
      <c r="BZ342">
        <v>14.3</v>
      </c>
      <c r="CA342">
        <v>8.5</v>
      </c>
      <c r="CD342">
        <v>7</v>
      </c>
      <c r="CI342">
        <v>5.6</v>
      </c>
      <c r="CK342">
        <v>3.3</v>
      </c>
      <c r="CR342">
        <v>34</v>
      </c>
      <c r="CS342">
        <v>39.700000000000003</v>
      </c>
      <c r="CV342">
        <v>57.5</v>
      </c>
      <c r="DA342" s="2"/>
      <c r="DD342" s="1">
        <v>41213</v>
      </c>
      <c r="DE342" s="2">
        <f t="shared" si="74"/>
        <v>9.6352941176470583</v>
      </c>
      <c r="DF342" s="2">
        <f t="shared" si="81"/>
        <v>3.1805825242718444</v>
      </c>
      <c r="DG342" s="2">
        <f t="shared" si="75"/>
        <v>57.5</v>
      </c>
      <c r="DH342" s="2">
        <f t="shared" si="76"/>
        <v>0.1</v>
      </c>
      <c r="DI342" s="3">
        <f t="shared" si="82"/>
        <v>0.3300970873786408</v>
      </c>
    </row>
    <row r="343" spans="1:113">
      <c r="A343" s="17"/>
      <c r="B343">
        <v>1911</v>
      </c>
      <c r="C343">
        <v>1912</v>
      </c>
      <c r="D343">
        <v>1913</v>
      </c>
      <c r="E343">
        <v>1914</v>
      </c>
      <c r="F343">
        <v>1915</v>
      </c>
      <c r="G343">
        <v>1916</v>
      </c>
      <c r="H343">
        <v>1917</v>
      </c>
      <c r="I343">
        <v>1918</v>
      </c>
      <c r="J343">
        <v>1919</v>
      </c>
      <c r="K343">
        <v>1920</v>
      </c>
      <c r="L343">
        <v>1921</v>
      </c>
      <c r="M343">
        <v>1922</v>
      </c>
      <c r="N343">
        <v>1923</v>
      </c>
      <c r="O343">
        <v>1924</v>
      </c>
      <c r="P343">
        <v>1925</v>
      </c>
      <c r="Q343">
        <v>1926</v>
      </c>
      <c r="R343">
        <v>1927</v>
      </c>
      <c r="S343">
        <v>1928</v>
      </c>
      <c r="T343">
        <v>1929</v>
      </c>
      <c r="U343">
        <v>1930</v>
      </c>
      <c r="V343">
        <v>1931</v>
      </c>
      <c r="W343">
        <v>1932</v>
      </c>
      <c r="X343">
        <v>1933</v>
      </c>
      <c r="Y343">
        <v>1934</v>
      </c>
      <c r="Z343">
        <v>1935</v>
      </c>
      <c r="AA343">
        <v>1936</v>
      </c>
      <c r="AB343">
        <v>1937</v>
      </c>
      <c r="AC343">
        <v>1938</v>
      </c>
      <c r="AD343">
        <v>1939</v>
      </c>
      <c r="AE343">
        <v>1940</v>
      </c>
      <c r="AF343">
        <v>1941</v>
      </c>
      <c r="AG343">
        <v>1942</v>
      </c>
      <c r="AH343">
        <v>1943</v>
      </c>
      <c r="AI343">
        <v>1944</v>
      </c>
      <c r="AJ343">
        <v>1945</v>
      </c>
      <c r="AK343">
        <v>1946</v>
      </c>
      <c r="AL343">
        <v>1947</v>
      </c>
      <c r="AM343">
        <v>1948</v>
      </c>
      <c r="AN343">
        <v>1949</v>
      </c>
      <c r="AO343">
        <v>1950</v>
      </c>
      <c r="AP343">
        <v>1951</v>
      </c>
      <c r="AQ343">
        <v>1952</v>
      </c>
      <c r="AR343">
        <v>1953</v>
      </c>
      <c r="AS343">
        <v>1954</v>
      </c>
      <c r="AT343">
        <v>1955</v>
      </c>
      <c r="AU343">
        <v>1956</v>
      </c>
      <c r="AV343">
        <v>1957</v>
      </c>
      <c r="AW343">
        <v>1958</v>
      </c>
      <c r="AX343">
        <v>1959</v>
      </c>
      <c r="AY343">
        <v>1960</v>
      </c>
      <c r="AZ343">
        <v>1961</v>
      </c>
      <c r="BA343">
        <v>1962</v>
      </c>
      <c r="BB343">
        <v>1963</v>
      </c>
      <c r="BC343">
        <v>1964</v>
      </c>
      <c r="BD343">
        <v>1965</v>
      </c>
      <c r="BE343">
        <v>1966</v>
      </c>
      <c r="BF343">
        <v>1967</v>
      </c>
      <c r="BG343">
        <v>1968</v>
      </c>
      <c r="BH343">
        <v>1969</v>
      </c>
      <c r="BI343">
        <v>1970</v>
      </c>
      <c r="BJ343">
        <v>1971</v>
      </c>
      <c r="BK343">
        <v>1972</v>
      </c>
      <c r="BL343">
        <v>1973</v>
      </c>
      <c r="BM343">
        <v>1974</v>
      </c>
      <c r="BN343">
        <v>1975</v>
      </c>
      <c r="BO343">
        <v>1976</v>
      </c>
      <c r="BP343">
        <v>1977</v>
      </c>
      <c r="BQ343">
        <v>1978</v>
      </c>
      <c r="BR343">
        <v>1979</v>
      </c>
      <c r="BS343">
        <v>1980</v>
      </c>
      <c r="BT343">
        <v>1981</v>
      </c>
      <c r="BU343">
        <v>1982</v>
      </c>
      <c r="BV343">
        <v>1983</v>
      </c>
      <c r="BW343">
        <v>1984</v>
      </c>
      <c r="BX343">
        <v>1985</v>
      </c>
      <c r="BY343">
        <v>1986</v>
      </c>
      <c r="BZ343">
        <v>1987</v>
      </c>
      <c r="CA343">
        <v>1988</v>
      </c>
      <c r="CB343">
        <v>1989</v>
      </c>
      <c r="CC343">
        <v>1990</v>
      </c>
      <c r="CD343">
        <v>1991</v>
      </c>
      <c r="CE343">
        <v>1992</v>
      </c>
      <c r="CF343">
        <v>1993</v>
      </c>
      <c r="CG343">
        <v>1994</v>
      </c>
      <c r="CH343">
        <v>1995</v>
      </c>
      <c r="CI343">
        <v>1996</v>
      </c>
      <c r="CJ343">
        <v>1997</v>
      </c>
      <c r="CK343">
        <v>1998</v>
      </c>
      <c r="CL343">
        <v>1999</v>
      </c>
      <c r="CM343">
        <v>2000</v>
      </c>
      <c r="CN343">
        <v>2001</v>
      </c>
      <c r="CO343">
        <v>2002</v>
      </c>
      <c r="CP343">
        <v>2003</v>
      </c>
      <c r="CQ343">
        <v>2004</v>
      </c>
      <c r="CR343">
        <v>2005</v>
      </c>
      <c r="CS343">
        <v>2006</v>
      </c>
      <c r="CT343">
        <v>2007</v>
      </c>
      <c r="CU343">
        <v>2008</v>
      </c>
      <c r="CV343">
        <v>2009</v>
      </c>
      <c r="CW343">
        <v>2010</v>
      </c>
      <c r="CX343">
        <v>2011</v>
      </c>
      <c r="CY343">
        <v>2012</v>
      </c>
      <c r="CZ343">
        <v>2013</v>
      </c>
      <c r="DA343" s="2"/>
      <c r="DD343" s="1"/>
    </row>
    <row r="344" spans="1:113">
      <c r="A344" s="17" t="s">
        <v>30</v>
      </c>
      <c r="B344">
        <f>SUM(B312:B342)</f>
        <v>14</v>
      </c>
      <c r="C344">
        <f>SUM(C312:C342)</f>
        <v>102.80000000000001</v>
      </c>
      <c r="D344">
        <f>SUM(D312:D342)</f>
        <v>11</v>
      </c>
      <c r="E344">
        <f t="shared" ref="E344:BP344" si="83">SUM(E312:E342)</f>
        <v>77.699999999999989</v>
      </c>
      <c r="F344">
        <f t="shared" si="83"/>
        <v>91.6</v>
      </c>
      <c r="G344">
        <f t="shared" si="83"/>
        <v>22.799999999999997</v>
      </c>
      <c r="H344">
        <f t="shared" si="83"/>
        <v>21.4</v>
      </c>
      <c r="I344">
        <f t="shared" si="83"/>
        <v>26.499999999999996</v>
      </c>
      <c r="J344">
        <f t="shared" si="83"/>
        <v>78.5</v>
      </c>
      <c r="K344">
        <f t="shared" si="83"/>
        <v>138.4</v>
      </c>
      <c r="L344">
        <f t="shared" si="83"/>
        <v>18.7</v>
      </c>
      <c r="M344">
        <f t="shared" si="83"/>
        <v>89.1</v>
      </c>
      <c r="N344">
        <f t="shared" si="83"/>
        <v>96.2</v>
      </c>
      <c r="O344">
        <f t="shared" si="83"/>
        <v>164.19999999999993</v>
      </c>
      <c r="P344">
        <f t="shared" si="83"/>
        <v>65.999999999999986</v>
      </c>
      <c r="Q344">
        <f t="shared" si="83"/>
        <v>37.799999999999997</v>
      </c>
      <c r="R344">
        <f t="shared" si="83"/>
        <v>167.8</v>
      </c>
      <c r="S344">
        <f t="shared" si="83"/>
        <v>54.8</v>
      </c>
      <c r="T344">
        <f t="shared" si="83"/>
        <v>121.3</v>
      </c>
      <c r="U344">
        <f t="shared" si="83"/>
        <v>208.60000000000002</v>
      </c>
      <c r="V344">
        <f t="shared" si="83"/>
        <v>71.100000000000009</v>
      </c>
      <c r="W344">
        <f t="shared" si="83"/>
        <v>6.1</v>
      </c>
      <c r="X344">
        <f t="shared" si="83"/>
        <v>96.3</v>
      </c>
      <c r="Y344">
        <f t="shared" si="83"/>
        <v>86.4</v>
      </c>
      <c r="Z344">
        <f t="shared" si="83"/>
        <v>51.399999999999991</v>
      </c>
      <c r="AA344">
        <f t="shared" si="83"/>
        <v>90.699999999999989</v>
      </c>
      <c r="AB344">
        <f t="shared" si="83"/>
        <v>203.6</v>
      </c>
      <c r="AC344">
        <f t="shared" si="83"/>
        <v>58.5</v>
      </c>
      <c r="AD344">
        <f t="shared" si="83"/>
        <v>48.20000000000001</v>
      </c>
      <c r="AE344">
        <f t="shared" si="83"/>
        <v>43.1</v>
      </c>
      <c r="AF344">
        <f t="shared" si="83"/>
        <v>125.1</v>
      </c>
      <c r="AG344">
        <f t="shared" si="83"/>
        <v>218</v>
      </c>
      <c r="AH344">
        <f t="shared" si="83"/>
        <v>113.6</v>
      </c>
      <c r="AI344">
        <f t="shared" si="83"/>
        <v>68</v>
      </c>
      <c r="AJ344">
        <f t="shared" si="83"/>
        <v>64.7</v>
      </c>
      <c r="AK344">
        <f t="shared" si="83"/>
        <v>111.19999999999999</v>
      </c>
      <c r="AL344">
        <f t="shared" si="83"/>
        <v>76.5</v>
      </c>
      <c r="AM344">
        <f t="shared" si="83"/>
        <v>104.89999999999999</v>
      </c>
      <c r="AN344">
        <f t="shared" si="83"/>
        <v>2.6000000000000005</v>
      </c>
      <c r="AO344">
        <f t="shared" si="83"/>
        <v>110.3</v>
      </c>
      <c r="AP344">
        <f t="shared" si="83"/>
        <v>162.80000000000001</v>
      </c>
      <c r="AQ344">
        <f t="shared" si="83"/>
        <v>87.799999999999983</v>
      </c>
      <c r="AR344">
        <f t="shared" si="83"/>
        <v>113.09999999999998</v>
      </c>
      <c r="AS344">
        <f t="shared" si="83"/>
        <v>14.2</v>
      </c>
      <c r="AT344">
        <f t="shared" si="83"/>
        <v>50.7</v>
      </c>
      <c r="AU344">
        <f t="shared" si="83"/>
        <v>37.499999999999993</v>
      </c>
      <c r="AV344">
        <f t="shared" si="83"/>
        <v>42.7</v>
      </c>
      <c r="AW344">
        <f t="shared" si="83"/>
        <v>70.599999999999994</v>
      </c>
      <c r="AX344">
        <f t="shared" si="83"/>
        <v>43</v>
      </c>
      <c r="AY344">
        <f t="shared" si="83"/>
        <v>57.699999999999996</v>
      </c>
      <c r="AZ344">
        <f t="shared" si="83"/>
        <v>138.19999999999999</v>
      </c>
      <c r="BA344">
        <f t="shared" si="83"/>
        <v>135.9</v>
      </c>
      <c r="BB344">
        <f t="shared" si="83"/>
        <v>108.50000000000001</v>
      </c>
      <c r="BC344">
        <f t="shared" si="83"/>
        <v>4.7</v>
      </c>
      <c r="BD344">
        <f t="shared" si="83"/>
        <v>83.700000000000017</v>
      </c>
      <c r="BE344">
        <f t="shared" si="83"/>
        <v>8.6999999999999993</v>
      </c>
      <c r="BF344">
        <f t="shared" si="83"/>
        <v>63.699999999999996</v>
      </c>
      <c r="BG344">
        <f t="shared" si="83"/>
        <v>54.1</v>
      </c>
      <c r="BH344">
        <f t="shared" si="83"/>
        <v>30.800000000000004</v>
      </c>
      <c r="BI344">
        <f t="shared" si="83"/>
        <v>113.60000000000001</v>
      </c>
      <c r="BJ344">
        <f t="shared" si="83"/>
        <v>170.99999999999997</v>
      </c>
      <c r="BK344">
        <f t="shared" si="83"/>
        <v>152.9</v>
      </c>
      <c r="BL344">
        <f t="shared" si="83"/>
        <v>177.29999999999995</v>
      </c>
      <c r="BM344">
        <f t="shared" si="83"/>
        <v>21.900000000000002</v>
      </c>
      <c r="BN344">
        <f t="shared" si="83"/>
        <v>93.899999999999991</v>
      </c>
      <c r="BO344">
        <f t="shared" si="83"/>
        <v>84.500000000000014</v>
      </c>
      <c r="BP344">
        <f t="shared" si="83"/>
        <v>44.900000000000006</v>
      </c>
      <c r="BQ344">
        <f t="shared" ref="BQ344:CZ344" si="84">SUM(BQ312:BQ342)</f>
        <v>168.9</v>
      </c>
      <c r="BR344">
        <f t="shared" si="84"/>
        <v>100.1</v>
      </c>
      <c r="BS344">
        <f t="shared" si="84"/>
        <v>6.2999999999999989</v>
      </c>
      <c r="BT344">
        <f t="shared" si="84"/>
        <v>51.1</v>
      </c>
      <c r="BU344">
        <f t="shared" si="84"/>
        <v>20.9</v>
      </c>
      <c r="BV344">
        <f t="shared" si="84"/>
        <v>88.399999999999991</v>
      </c>
      <c r="BW344">
        <f t="shared" si="84"/>
        <v>75.5</v>
      </c>
      <c r="BX344">
        <f t="shared" si="84"/>
        <v>296.09999999999997</v>
      </c>
      <c r="BY344">
        <f t="shared" si="84"/>
        <v>130.19999999999999</v>
      </c>
      <c r="BZ344">
        <f t="shared" si="84"/>
        <v>159.1</v>
      </c>
      <c r="CA344">
        <f t="shared" si="84"/>
        <v>100.6</v>
      </c>
      <c r="CB344">
        <f t="shared" si="84"/>
        <v>126.3</v>
      </c>
      <c r="CC344">
        <f t="shared" si="84"/>
        <v>81.400000000000006</v>
      </c>
      <c r="CD344">
        <f t="shared" si="84"/>
        <v>67.5</v>
      </c>
      <c r="CE344">
        <f t="shared" si="84"/>
        <v>85.000000000000014</v>
      </c>
      <c r="CF344">
        <f t="shared" si="84"/>
        <v>9.8000000000000007</v>
      </c>
      <c r="CG344">
        <f t="shared" si="84"/>
        <v>126.29999999999998</v>
      </c>
      <c r="CH344">
        <f t="shared" si="84"/>
        <v>46.6</v>
      </c>
      <c r="CI344">
        <f t="shared" si="84"/>
        <v>76.599999999999994</v>
      </c>
      <c r="CJ344">
        <f t="shared" si="84"/>
        <v>315.99999999999994</v>
      </c>
      <c r="CK344">
        <f t="shared" si="84"/>
        <v>124.89999999999999</v>
      </c>
      <c r="CL344">
        <f t="shared" si="84"/>
        <v>33</v>
      </c>
      <c r="CM344">
        <f t="shared" si="84"/>
        <v>99.2</v>
      </c>
      <c r="CN344">
        <f t="shared" si="84"/>
        <v>18.3</v>
      </c>
      <c r="CO344">
        <f t="shared" si="84"/>
        <v>59.400000000000006</v>
      </c>
      <c r="CP344">
        <f t="shared" si="84"/>
        <v>122.79999999999998</v>
      </c>
      <c r="CQ344">
        <f t="shared" si="84"/>
        <v>218.7</v>
      </c>
      <c r="CR344">
        <f t="shared" si="84"/>
        <v>100</v>
      </c>
      <c r="CS344">
        <f t="shared" si="84"/>
        <v>128.30000000000001</v>
      </c>
      <c r="CT344">
        <f t="shared" si="84"/>
        <v>136.39999999999998</v>
      </c>
      <c r="CU344">
        <f t="shared" si="84"/>
        <v>225.4</v>
      </c>
      <c r="CV344">
        <f t="shared" si="84"/>
        <v>112.2</v>
      </c>
      <c r="CW344">
        <f t="shared" si="84"/>
        <v>301.09999999999997</v>
      </c>
      <c r="CX344">
        <f t="shared" si="84"/>
        <v>107.99999999999999</v>
      </c>
      <c r="CY344">
        <f t="shared" si="84"/>
        <v>52</v>
      </c>
      <c r="CZ344">
        <f t="shared" si="84"/>
        <v>90.100000000000009</v>
      </c>
      <c r="DA344" s="2"/>
      <c r="DD344" s="1"/>
    </row>
    <row r="345" spans="1:113">
      <c r="A345" s="17" t="s">
        <v>4</v>
      </c>
      <c r="B345">
        <f>MAX(B312:B342)</f>
        <v>4.7</v>
      </c>
      <c r="C345">
        <f>MAX(C312:C342)</f>
        <v>21.4</v>
      </c>
      <c r="D345">
        <f>MAX(D312:D342)</f>
        <v>4.7</v>
      </c>
      <c r="E345">
        <f t="shared" ref="E345:BP345" si="85">MAX(E312:E342)</f>
        <v>45.4</v>
      </c>
      <c r="F345">
        <f t="shared" si="85"/>
        <v>27.4</v>
      </c>
      <c r="G345">
        <f t="shared" si="85"/>
        <v>8.4</v>
      </c>
      <c r="H345">
        <f t="shared" si="85"/>
        <v>8.3000000000000007</v>
      </c>
      <c r="I345">
        <f t="shared" si="85"/>
        <v>8.1</v>
      </c>
      <c r="J345">
        <f t="shared" si="85"/>
        <v>30.4</v>
      </c>
      <c r="K345">
        <f t="shared" si="85"/>
        <v>37.700000000000003</v>
      </c>
      <c r="L345">
        <f t="shared" si="85"/>
        <v>7</v>
      </c>
      <c r="M345">
        <f t="shared" si="85"/>
        <v>36.5</v>
      </c>
      <c r="N345">
        <f t="shared" si="85"/>
        <v>51.4</v>
      </c>
      <c r="O345">
        <f t="shared" si="85"/>
        <v>42</v>
      </c>
      <c r="P345">
        <f t="shared" si="85"/>
        <v>31</v>
      </c>
      <c r="Q345">
        <f t="shared" si="85"/>
        <v>23.4</v>
      </c>
      <c r="R345">
        <f t="shared" si="85"/>
        <v>104.9</v>
      </c>
      <c r="S345">
        <f t="shared" si="85"/>
        <v>17.5</v>
      </c>
      <c r="T345">
        <f t="shared" si="85"/>
        <v>44.5</v>
      </c>
      <c r="U345">
        <f t="shared" si="85"/>
        <v>71</v>
      </c>
      <c r="V345">
        <f t="shared" si="85"/>
        <v>45.2</v>
      </c>
      <c r="W345">
        <f t="shared" si="85"/>
        <v>3.6</v>
      </c>
      <c r="X345">
        <f t="shared" si="85"/>
        <v>26</v>
      </c>
      <c r="Y345">
        <f t="shared" si="85"/>
        <v>53</v>
      </c>
      <c r="Z345">
        <f t="shared" si="85"/>
        <v>28.9</v>
      </c>
      <c r="AA345">
        <f t="shared" si="85"/>
        <v>22</v>
      </c>
      <c r="AB345">
        <f t="shared" si="85"/>
        <v>53</v>
      </c>
      <c r="AC345">
        <f t="shared" si="85"/>
        <v>21.1</v>
      </c>
      <c r="AD345">
        <f t="shared" si="85"/>
        <v>18.3</v>
      </c>
      <c r="AE345">
        <f t="shared" si="85"/>
        <v>14</v>
      </c>
      <c r="AF345">
        <f t="shared" si="85"/>
        <v>53.6</v>
      </c>
      <c r="AG345">
        <f t="shared" si="85"/>
        <v>131.30000000000001</v>
      </c>
      <c r="AH345">
        <f t="shared" si="85"/>
        <v>47</v>
      </c>
      <c r="AI345">
        <f t="shared" si="85"/>
        <v>22.2</v>
      </c>
      <c r="AJ345">
        <f t="shared" si="85"/>
        <v>23</v>
      </c>
      <c r="AK345">
        <f t="shared" si="85"/>
        <v>22.5</v>
      </c>
      <c r="AL345">
        <f t="shared" si="85"/>
        <v>17</v>
      </c>
      <c r="AM345">
        <f t="shared" si="85"/>
        <v>39</v>
      </c>
      <c r="AN345">
        <f t="shared" si="85"/>
        <v>1.3</v>
      </c>
      <c r="AO345">
        <f t="shared" si="85"/>
        <v>19.5</v>
      </c>
      <c r="AP345">
        <f t="shared" si="85"/>
        <v>69.599999999999994</v>
      </c>
      <c r="AQ345">
        <f t="shared" si="85"/>
        <v>22.5</v>
      </c>
      <c r="AR345">
        <f t="shared" si="85"/>
        <v>70.3</v>
      </c>
      <c r="AS345">
        <f t="shared" si="85"/>
        <v>6.3</v>
      </c>
      <c r="AT345">
        <f t="shared" si="85"/>
        <v>19.899999999999999</v>
      </c>
      <c r="AU345">
        <f t="shared" si="85"/>
        <v>15</v>
      </c>
      <c r="AV345">
        <f t="shared" si="85"/>
        <v>20.8</v>
      </c>
      <c r="AW345">
        <f t="shared" si="85"/>
        <v>31.9</v>
      </c>
      <c r="AX345">
        <f t="shared" si="85"/>
        <v>31.1</v>
      </c>
      <c r="AY345">
        <f t="shared" si="85"/>
        <v>36.799999999999997</v>
      </c>
      <c r="AZ345">
        <f t="shared" si="85"/>
        <v>43.5</v>
      </c>
      <c r="BA345">
        <f t="shared" si="85"/>
        <v>21.4</v>
      </c>
      <c r="BB345">
        <f t="shared" si="85"/>
        <v>32</v>
      </c>
      <c r="BC345">
        <f t="shared" si="85"/>
        <v>2.7</v>
      </c>
      <c r="BD345">
        <f t="shared" si="85"/>
        <v>35.6</v>
      </c>
      <c r="BE345">
        <f t="shared" si="85"/>
        <v>5.3</v>
      </c>
      <c r="BF345">
        <f t="shared" si="85"/>
        <v>22.4</v>
      </c>
      <c r="BG345">
        <f t="shared" si="85"/>
        <v>18.600000000000001</v>
      </c>
      <c r="BH345">
        <f t="shared" si="85"/>
        <v>18.3</v>
      </c>
      <c r="BI345">
        <f t="shared" si="85"/>
        <v>38.5</v>
      </c>
      <c r="BJ345">
        <f t="shared" si="85"/>
        <v>64</v>
      </c>
      <c r="BK345">
        <f t="shared" si="85"/>
        <v>38.1</v>
      </c>
      <c r="BL345">
        <f t="shared" si="85"/>
        <v>35.5</v>
      </c>
      <c r="BM345">
        <f t="shared" si="85"/>
        <v>9.3000000000000007</v>
      </c>
      <c r="BN345">
        <f t="shared" si="85"/>
        <v>21.5</v>
      </c>
      <c r="BO345">
        <f t="shared" si="85"/>
        <v>26.3</v>
      </c>
      <c r="BP345">
        <f t="shared" si="85"/>
        <v>18.8</v>
      </c>
      <c r="BQ345">
        <f t="shared" ref="BQ345:CZ345" si="86">MAX(BQ312:BQ342)</f>
        <v>91</v>
      </c>
      <c r="BR345">
        <f t="shared" si="86"/>
        <v>25</v>
      </c>
      <c r="BS345">
        <f t="shared" si="86"/>
        <v>3.3</v>
      </c>
      <c r="BT345">
        <f t="shared" si="86"/>
        <v>28.7</v>
      </c>
      <c r="BU345">
        <f t="shared" si="86"/>
        <v>11.3</v>
      </c>
      <c r="BV345">
        <f t="shared" si="86"/>
        <v>19</v>
      </c>
      <c r="BW345">
        <f t="shared" si="86"/>
        <v>29.4</v>
      </c>
      <c r="BX345">
        <f t="shared" si="86"/>
        <v>111.8</v>
      </c>
      <c r="BY345">
        <f t="shared" si="86"/>
        <v>25.6</v>
      </c>
      <c r="BZ345">
        <f t="shared" si="86"/>
        <v>31</v>
      </c>
      <c r="CA345">
        <f t="shared" si="86"/>
        <v>20.8</v>
      </c>
      <c r="CB345">
        <f t="shared" si="86"/>
        <v>51.5</v>
      </c>
      <c r="CC345">
        <f t="shared" si="86"/>
        <v>18</v>
      </c>
      <c r="CD345">
        <f t="shared" si="86"/>
        <v>16.5</v>
      </c>
      <c r="CE345">
        <f t="shared" si="86"/>
        <v>26.5</v>
      </c>
      <c r="CF345">
        <f t="shared" si="86"/>
        <v>7.4</v>
      </c>
      <c r="CG345">
        <f t="shared" si="86"/>
        <v>47.9</v>
      </c>
      <c r="CH345">
        <f t="shared" si="86"/>
        <v>16.8</v>
      </c>
      <c r="CI345">
        <f t="shared" si="86"/>
        <v>26.9</v>
      </c>
      <c r="CJ345">
        <f t="shared" si="86"/>
        <v>117</v>
      </c>
      <c r="CK345">
        <f t="shared" si="86"/>
        <v>59.5</v>
      </c>
      <c r="CL345">
        <f t="shared" si="86"/>
        <v>9.5</v>
      </c>
      <c r="CM345">
        <f t="shared" si="86"/>
        <v>34.5</v>
      </c>
      <c r="CN345">
        <f t="shared" si="86"/>
        <v>11</v>
      </c>
      <c r="CO345">
        <f t="shared" si="86"/>
        <v>22.1</v>
      </c>
      <c r="CP345">
        <f t="shared" si="86"/>
        <v>24.5</v>
      </c>
      <c r="CQ345">
        <f t="shared" si="86"/>
        <v>120.5</v>
      </c>
      <c r="CR345">
        <f t="shared" si="86"/>
        <v>34</v>
      </c>
      <c r="CS345">
        <f t="shared" si="86"/>
        <v>39.700000000000003</v>
      </c>
      <c r="CT345">
        <f t="shared" si="86"/>
        <v>97</v>
      </c>
      <c r="CU345">
        <f t="shared" si="86"/>
        <v>110</v>
      </c>
      <c r="CV345">
        <f t="shared" si="86"/>
        <v>57.5</v>
      </c>
      <c r="CW345">
        <f t="shared" si="86"/>
        <v>91.2</v>
      </c>
      <c r="CX345">
        <f t="shared" si="86"/>
        <v>28</v>
      </c>
      <c r="CY345">
        <f t="shared" si="86"/>
        <v>25</v>
      </c>
      <c r="CZ345">
        <f t="shared" si="86"/>
        <v>30.5</v>
      </c>
      <c r="DA345" s="2"/>
      <c r="DD345" s="1"/>
    </row>
    <row r="346" spans="1:113">
      <c r="A346" s="17"/>
      <c r="DA346" s="2"/>
      <c r="DD346" s="1"/>
    </row>
    <row r="347" spans="1:113">
      <c r="A347" s="17" t="s">
        <v>339</v>
      </c>
      <c r="C347">
        <v>5.9</v>
      </c>
      <c r="F347">
        <v>2.7</v>
      </c>
      <c r="G347">
        <v>0.2</v>
      </c>
      <c r="K347">
        <v>10.1</v>
      </c>
      <c r="M347">
        <v>0.2</v>
      </c>
      <c r="N347">
        <v>0.2</v>
      </c>
      <c r="O347">
        <v>0.3</v>
      </c>
      <c r="T347">
        <v>0.1</v>
      </c>
      <c r="V347">
        <v>6.2</v>
      </c>
      <c r="W347">
        <v>1.7</v>
      </c>
      <c r="X347">
        <v>2.5</v>
      </c>
      <c r="Z347">
        <v>15.5</v>
      </c>
      <c r="AA347">
        <v>2.1</v>
      </c>
      <c r="AB347">
        <v>1.8</v>
      </c>
      <c r="AE347">
        <v>2.2999999999999998</v>
      </c>
      <c r="AG347">
        <v>0.2</v>
      </c>
      <c r="AJ347">
        <v>0.2</v>
      </c>
      <c r="AQ347">
        <v>5</v>
      </c>
      <c r="AT347">
        <v>9.1</v>
      </c>
      <c r="AX347">
        <v>2.6</v>
      </c>
      <c r="BA347">
        <v>0.2</v>
      </c>
      <c r="BB347">
        <v>1.4</v>
      </c>
      <c r="BE347">
        <v>0.3</v>
      </c>
      <c r="BH347">
        <v>0.1</v>
      </c>
      <c r="BI347">
        <v>0.2</v>
      </c>
      <c r="BJ347">
        <v>3.5</v>
      </c>
      <c r="BL347">
        <v>0.4</v>
      </c>
      <c r="BM347">
        <v>16.399999999999999</v>
      </c>
      <c r="BO347">
        <v>0.9</v>
      </c>
      <c r="BP347">
        <v>0.1</v>
      </c>
      <c r="BQ347">
        <v>1.1000000000000001</v>
      </c>
      <c r="BR347">
        <v>47</v>
      </c>
      <c r="BW347">
        <v>8</v>
      </c>
      <c r="BY347">
        <v>3.3</v>
      </c>
      <c r="BZ347">
        <v>19</v>
      </c>
      <c r="CA347">
        <v>15.9</v>
      </c>
      <c r="CD347">
        <v>2.5</v>
      </c>
      <c r="CL347">
        <v>0.1</v>
      </c>
      <c r="CQ347">
        <v>0.1</v>
      </c>
      <c r="CR347">
        <v>0.8</v>
      </c>
      <c r="CS347">
        <v>3.7</v>
      </c>
      <c r="CV347">
        <v>6.2</v>
      </c>
      <c r="CW347">
        <v>0.1</v>
      </c>
      <c r="CX347">
        <v>0.1</v>
      </c>
      <c r="CY347">
        <v>3.4</v>
      </c>
      <c r="DA347" s="2"/>
      <c r="DD347" s="1">
        <v>41214</v>
      </c>
      <c r="DE347" s="2">
        <f t="shared" si="74"/>
        <v>4.5266666666666664</v>
      </c>
      <c r="DF347" s="2">
        <f t="shared" ref="DF347:DF376" si="87">SUM(B347:DA347)/(COUNTA(B347:CZ347)+COUNTBLANK(B347:CZ347))</f>
        <v>1.9776699029126212</v>
      </c>
      <c r="DG347" s="2">
        <f t="shared" si="75"/>
        <v>47</v>
      </c>
      <c r="DH347" s="2">
        <f t="shared" si="76"/>
        <v>0.1</v>
      </c>
      <c r="DI347" s="3">
        <f t="shared" si="82"/>
        <v>0.43689320388349512</v>
      </c>
    </row>
    <row r="348" spans="1:113">
      <c r="A348" s="17" t="s">
        <v>340</v>
      </c>
      <c r="C348">
        <v>38.200000000000003</v>
      </c>
      <c r="D348">
        <v>0.7</v>
      </c>
      <c r="E348">
        <v>0.2</v>
      </c>
      <c r="G348">
        <v>2</v>
      </c>
      <c r="K348">
        <v>8.3000000000000007</v>
      </c>
      <c r="T348">
        <v>0.2</v>
      </c>
      <c r="V348">
        <v>5.2</v>
      </c>
      <c r="W348">
        <v>23.8</v>
      </c>
      <c r="Y348">
        <v>2.5</v>
      </c>
      <c r="Z348">
        <v>14.4</v>
      </c>
      <c r="AC348">
        <v>0.8</v>
      </c>
      <c r="AD348">
        <v>1.8</v>
      </c>
      <c r="AG348">
        <v>0.2</v>
      </c>
      <c r="AL348">
        <v>1.7</v>
      </c>
      <c r="AN348">
        <v>0.1</v>
      </c>
      <c r="AO348">
        <v>1.5</v>
      </c>
      <c r="AQ348">
        <v>34</v>
      </c>
      <c r="AT348">
        <v>0.7</v>
      </c>
      <c r="BF348">
        <v>0.4</v>
      </c>
      <c r="BG348">
        <v>0.1</v>
      </c>
      <c r="BH348">
        <v>0.1</v>
      </c>
      <c r="BI348">
        <v>0.1</v>
      </c>
      <c r="BJ348">
        <v>17.600000000000001</v>
      </c>
      <c r="BK348">
        <v>0.1</v>
      </c>
      <c r="BL348">
        <v>0.1</v>
      </c>
      <c r="BM348">
        <v>0.3</v>
      </c>
      <c r="BR348">
        <v>0.5</v>
      </c>
      <c r="BS348">
        <v>4.5</v>
      </c>
      <c r="BW348">
        <v>1.3</v>
      </c>
      <c r="BX348">
        <v>15.3</v>
      </c>
      <c r="BY348">
        <v>0.7</v>
      </c>
      <c r="BZ348">
        <v>0.6</v>
      </c>
      <c r="CD348">
        <v>11</v>
      </c>
      <c r="CL348">
        <v>2</v>
      </c>
      <c r="CN348">
        <v>25</v>
      </c>
      <c r="CR348">
        <v>1.4</v>
      </c>
      <c r="CS348">
        <v>8.3000000000000007</v>
      </c>
      <c r="CT348">
        <v>4.0999999999999996</v>
      </c>
      <c r="CV348">
        <v>6.7</v>
      </c>
      <c r="CW348">
        <v>0.2</v>
      </c>
      <c r="CX348">
        <v>2.2999999999999998</v>
      </c>
      <c r="CY348">
        <v>8.9</v>
      </c>
      <c r="DA348" s="2"/>
      <c r="DD348" s="1">
        <v>41215</v>
      </c>
      <c r="DE348" s="2">
        <f t="shared" si="74"/>
        <v>5.9023809523809527</v>
      </c>
      <c r="DF348" s="2">
        <f t="shared" si="87"/>
        <v>2.4067961165048546</v>
      </c>
      <c r="DG348" s="2">
        <f t="shared" si="75"/>
        <v>38.200000000000003</v>
      </c>
      <c r="DH348" s="2">
        <f t="shared" si="76"/>
        <v>0.1</v>
      </c>
      <c r="DI348" s="3">
        <f t="shared" si="82"/>
        <v>0.40776699029126212</v>
      </c>
    </row>
    <row r="349" spans="1:113">
      <c r="A349" s="17" t="s">
        <v>341</v>
      </c>
      <c r="D349">
        <v>0.2</v>
      </c>
      <c r="J349">
        <v>0.9</v>
      </c>
      <c r="T349">
        <v>0.2</v>
      </c>
      <c r="W349">
        <v>3.3</v>
      </c>
      <c r="Z349">
        <v>14.8</v>
      </c>
      <c r="AD349">
        <v>12.6</v>
      </c>
      <c r="AF349">
        <v>1.5</v>
      </c>
      <c r="AH349">
        <v>1.2</v>
      </c>
      <c r="AN349">
        <v>2.5</v>
      </c>
      <c r="AO349">
        <v>7.1</v>
      </c>
      <c r="AP349">
        <v>5.8</v>
      </c>
      <c r="AQ349">
        <v>5</v>
      </c>
      <c r="AT349">
        <v>1</v>
      </c>
      <c r="AX349">
        <v>3.5</v>
      </c>
      <c r="AY349">
        <v>0.3</v>
      </c>
      <c r="BA349">
        <v>44.5</v>
      </c>
      <c r="BF349">
        <v>2.8</v>
      </c>
      <c r="BH349">
        <v>0.1</v>
      </c>
      <c r="BJ349">
        <v>9.6</v>
      </c>
      <c r="BK349">
        <v>0.7</v>
      </c>
      <c r="BL349">
        <v>1.8</v>
      </c>
      <c r="BM349">
        <v>0.3</v>
      </c>
      <c r="BO349">
        <v>0.2</v>
      </c>
      <c r="BP349">
        <v>0.1</v>
      </c>
      <c r="BR349">
        <v>12</v>
      </c>
      <c r="BS349">
        <v>3.2</v>
      </c>
      <c r="BX349">
        <v>1.5</v>
      </c>
      <c r="CD349">
        <v>1.4</v>
      </c>
      <c r="CH349">
        <v>3.6</v>
      </c>
      <c r="CN349">
        <v>17.8</v>
      </c>
      <c r="CO349">
        <v>21</v>
      </c>
      <c r="CQ349">
        <v>0.1</v>
      </c>
      <c r="CR349">
        <v>9.3000000000000007</v>
      </c>
      <c r="CS349">
        <v>15.4</v>
      </c>
      <c r="CV349">
        <v>5.3</v>
      </c>
      <c r="CW349">
        <v>0.1</v>
      </c>
      <c r="CX349">
        <v>1.7</v>
      </c>
      <c r="CY349">
        <v>0.1</v>
      </c>
      <c r="DA349" s="2"/>
      <c r="DD349" s="1">
        <v>41216</v>
      </c>
      <c r="DE349" s="2">
        <f t="shared" si="74"/>
        <v>5.5921052631578947</v>
      </c>
      <c r="DF349" s="2">
        <f t="shared" si="87"/>
        <v>2.063106796116505</v>
      </c>
      <c r="DG349" s="2">
        <f t="shared" si="75"/>
        <v>44.5</v>
      </c>
      <c r="DH349" s="2">
        <f t="shared" si="76"/>
        <v>0.1</v>
      </c>
      <c r="DI349" s="3">
        <f t="shared" si="82"/>
        <v>0.36893203883495146</v>
      </c>
    </row>
    <row r="350" spans="1:113">
      <c r="A350" s="17" t="s">
        <v>342</v>
      </c>
      <c r="C350">
        <v>4.0999999999999996</v>
      </c>
      <c r="F350">
        <v>0.1</v>
      </c>
      <c r="P350">
        <v>0.3</v>
      </c>
      <c r="R350">
        <v>4.4000000000000004</v>
      </c>
      <c r="W350">
        <v>0.5</v>
      </c>
      <c r="Z350">
        <v>3.2</v>
      </c>
      <c r="AD350">
        <v>1.3</v>
      </c>
      <c r="AF350">
        <v>3</v>
      </c>
      <c r="AG350">
        <v>0.1</v>
      </c>
      <c r="AH350">
        <v>4.2</v>
      </c>
      <c r="AI350">
        <v>11.3</v>
      </c>
      <c r="AJ350">
        <v>0.1</v>
      </c>
      <c r="AM350">
        <v>0.1</v>
      </c>
      <c r="AN350">
        <v>3</v>
      </c>
      <c r="AP350">
        <v>16.600000000000001</v>
      </c>
      <c r="AT350">
        <v>5.4</v>
      </c>
      <c r="AU350">
        <v>29.3</v>
      </c>
      <c r="AW350">
        <v>2.2999999999999998</v>
      </c>
      <c r="AX350">
        <v>12.4</v>
      </c>
      <c r="BA350">
        <v>17</v>
      </c>
      <c r="BF350">
        <v>9.6</v>
      </c>
      <c r="BK350">
        <v>0.1</v>
      </c>
      <c r="BS350">
        <v>0.1</v>
      </c>
      <c r="BT350">
        <v>3.1</v>
      </c>
      <c r="BV350">
        <v>1</v>
      </c>
      <c r="BW350">
        <v>1.4</v>
      </c>
      <c r="BX350">
        <v>15.5</v>
      </c>
      <c r="BY350">
        <v>8.5</v>
      </c>
      <c r="BZ350">
        <v>6.6</v>
      </c>
      <c r="CA350">
        <v>6.2</v>
      </c>
      <c r="CC350">
        <v>0.1</v>
      </c>
      <c r="CF350">
        <v>2.5</v>
      </c>
      <c r="CH350">
        <v>28.2</v>
      </c>
      <c r="CN350">
        <v>2.5</v>
      </c>
      <c r="CP350">
        <v>2.9</v>
      </c>
      <c r="CR350">
        <v>0.8</v>
      </c>
      <c r="CS350">
        <v>7</v>
      </c>
      <c r="CT350">
        <v>4.4000000000000004</v>
      </c>
      <c r="CV350">
        <v>13.7</v>
      </c>
      <c r="CW350">
        <v>0.2</v>
      </c>
      <c r="CY350">
        <v>0.1</v>
      </c>
      <c r="DA350" s="2"/>
      <c r="DD350" s="1">
        <v>41217</v>
      </c>
      <c r="DE350" s="2">
        <f t="shared" si="74"/>
        <v>5.6878048780487793</v>
      </c>
      <c r="DF350" s="2">
        <f t="shared" si="87"/>
        <v>2.2640776699029121</v>
      </c>
      <c r="DG350" s="2">
        <f t="shared" si="75"/>
        <v>29.3</v>
      </c>
      <c r="DH350" s="2">
        <f t="shared" si="76"/>
        <v>0.1</v>
      </c>
      <c r="DI350" s="3">
        <f t="shared" si="82"/>
        <v>0.39805825242718446</v>
      </c>
    </row>
    <row r="351" spans="1:113">
      <c r="A351" s="17" t="s">
        <v>343</v>
      </c>
      <c r="B351">
        <v>0.4</v>
      </c>
      <c r="C351">
        <v>10.3</v>
      </c>
      <c r="E351">
        <v>1</v>
      </c>
      <c r="F351">
        <v>0.2</v>
      </c>
      <c r="H351">
        <v>0.6</v>
      </c>
      <c r="K351">
        <v>19.600000000000001</v>
      </c>
      <c r="N351">
        <v>2.1</v>
      </c>
      <c r="S351">
        <v>6.6</v>
      </c>
      <c r="U351">
        <v>3.4</v>
      </c>
      <c r="W351">
        <v>3</v>
      </c>
      <c r="AA351">
        <v>1.1000000000000001</v>
      </c>
      <c r="AB351">
        <v>1.4</v>
      </c>
      <c r="AC351">
        <v>0.3</v>
      </c>
      <c r="AF351">
        <v>6.2</v>
      </c>
      <c r="AH351">
        <v>0.5</v>
      </c>
      <c r="AI351">
        <v>0.9</v>
      </c>
      <c r="AJ351">
        <v>2.7</v>
      </c>
      <c r="AK351">
        <v>0.5</v>
      </c>
      <c r="AL351">
        <v>15</v>
      </c>
      <c r="AP351">
        <v>1.5</v>
      </c>
      <c r="AT351">
        <v>0.2</v>
      </c>
      <c r="AU351">
        <v>6</v>
      </c>
      <c r="AW351">
        <v>15</v>
      </c>
      <c r="AX351">
        <v>6.9</v>
      </c>
      <c r="BC351">
        <v>0.2</v>
      </c>
      <c r="BI351">
        <v>0.1</v>
      </c>
      <c r="BJ351">
        <v>0.2</v>
      </c>
      <c r="BK351">
        <v>0.1</v>
      </c>
      <c r="BP351">
        <v>0.1</v>
      </c>
      <c r="BQ351">
        <v>0.2</v>
      </c>
      <c r="BR351">
        <v>0.5</v>
      </c>
      <c r="BU351">
        <v>16.100000000000001</v>
      </c>
      <c r="BV351">
        <v>4.5</v>
      </c>
      <c r="BX351">
        <v>2.6</v>
      </c>
      <c r="BY351">
        <v>15.2</v>
      </c>
      <c r="BZ351">
        <v>3.5</v>
      </c>
      <c r="CA351">
        <v>22</v>
      </c>
      <c r="CC351">
        <v>34</v>
      </c>
      <c r="CE351">
        <v>0.2</v>
      </c>
      <c r="CF351">
        <v>0.2</v>
      </c>
      <c r="CG351">
        <v>0.8</v>
      </c>
      <c r="CH351">
        <v>5.5</v>
      </c>
      <c r="CL351">
        <v>0.6</v>
      </c>
      <c r="CN351">
        <v>26.5</v>
      </c>
      <c r="CO351">
        <v>25.5</v>
      </c>
      <c r="CP351">
        <v>5.7</v>
      </c>
      <c r="CR351">
        <v>3.5</v>
      </c>
      <c r="CT351">
        <v>32</v>
      </c>
      <c r="CW351">
        <v>0.1</v>
      </c>
      <c r="DA351" s="2"/>
      <c r="DD351" s="1">
        <v>41218</v>
      </c>
      <c r="DE351" s="2">
        <f t="shared" si="74"/>
        <v>6.2306122448979595</v>
      </c>
      <c r="DF351" s="2">
        <f t="shared" si="87"/>
        <v>2.9640776699029128</v>
      </c>
      <c r="DG351" s="2">
        <f t="shared" si="75"/>
        <v>34</v>
      </c>
      <c r="DH351" s="2">
        <f t="shared" si="76"/>
        <v>0.1</v>
      </c>
      <c r="DI351" s="3">
        <f t="shared" si="82"/>
        <v>0.47572815533980584</v>
      </c>
    </row>
    <row r="352" spans="1:113">
      <c r="A352" s="17" t="s">
        <v>344</v>
      </c>
      <c r="E352">
        <v>3</v>
      </c>
      <c r="K352">
        <v>2.1</v>
      </c>
      <c r="L352">
        <v>0.3</v>
      </c>
      <c r="M352">
        <v>7.6</v>
      </c>
      <c r="S352">
        <v>6.7</v>
      </c>
      <c r="U352">
        <v>0.3</v>
      </c>
      <c r="W352">
        <v>32.5</v>
      </c>
      <c r="X352">
        <v>0.1</v>
      </c>
      <c r="AC352">
        <v>13.6</v>
      </c>
      <c r="AD352">
        <v>4</v>
      </c>
      <c r="AF352">
        <v>14.2</v>
      </c>
      <c r="AI352">
        <v>0.6</v>
      </c>
      <c r="AK352">
        <v>8.6999999999999993</v>
      </c>
      <c r="AL352">
        <v>25.5</v>
      </c>
      <c r="AO352">
        <v>0.9</v>
      </c>
      <c r="AP352">
        <v>7.2</v>
      </c>
      <c r="AR352">
        <v>3.9</v>
      </c>
      <c r="AS352">
        <v>0.7</v>
      </c>
      <c r="AU352">
        <v>9.5</v>
      </c>
      <c r="BA352">
        <v>0.6</v>
      </c>
      <c r="BC352">
        <v>7.5</v>
      </c>
      <c r="BD352">
        <v>7.4</v>
      </c>
      <c r="BG352">
        <v>0.7</v>
      </c>
      <c r="BH352">
        <v>5.2</v>
      </c>
      <c r="BJ352">
        <v>0.1</v>
      </c>
      <c r="BQ352">
        <v>0.6</v>
      </c>
      <c r="BR352">
        <v>3</v>
      </c>
      <c r="BT352">
        <v>5.5</v>
      </c>
      <c r="BU352">
        <v>5.7</v>
      </c>
      <c r="BV352">
        <v>0.8</v>
      </c>
      <c r="BW352">
        <v>3.8</v>
      </c>
      <c r="BX352">
        <v>16.5</v>
      </c>
      <c r="BY352">
        <v>1.3</v>
      </c>
      <c r="CA352">
        <v>15</v>
      </c>
      <c r="CC352">
        <v>6.5</v>
      </c>
      <c r="CG352">
        <v>0.3</v>
      </c>
      <c r="CH352">
        <v>8.5</v>
      </c>
      <c r="CN352">
        <v>0.5</v>
      </c>
      <c r="CO352">
        <v>9.6</v>
      </c>
      <c r="CP352">
        <v>22.9</v>
      </c>
      <c r="CR352">
        <v>0.7</v>
      </c>
      <c r="CS352">
        <v>2.9</v>
      </c>
      <c r="CT352">
        <v>2.5</v>
      </c>
      <c r="CW352">
        <v>0.1</v>
      </c>
      <c r="CY352">
        <v>3.2</v>
      </c>
      <c r="CZ352">
        <v>8.9</v>
      </c>
      <c r="DA352" s="2"/>
      <c r="DD352" s="1">
        <v>41219</v>
      </c>
      <c r="DE352" s="2">
        <f t="shared" si="74"/>
        <v>6.1239130434782592</v>
      </c>
      <c r="DF352" s="2">
        <f t="shared" si="87"/>
        <v>2.7349514563106792</v>
      </c>
      <c r="DG352" s="2">
        <f t="shared" si="75"/>
        <v>32.5</v>
      </c>
      <c r="DH352" s="2">
        <f t="shared" si="76"/>
        <v>0.1</v>
      </c>
      <c r="DI352" s="3">
        <f t="shared" si="82"/>
        <v>0.44660194174757284</v>
      </c>
    </row>
    <row r="353" spans="1:149">
      <c r="A353" s="17" t="s">
        <v>345</v>
      </c>
      <c r="E353">
        <v>1.2</v>
      </c>
      <c r="F353">
        <v>0.3</v>
      </c>
      <c r="H353">
        <v>0.8</v>
      </c>
      <c r="I353">
        <v>1.3</v>
      </c>
      <c r="K353">
        <v>0.4</v>
      </c>
      <c r="L353">
        <v>0.6</v>
      </c>
      <c r="M353">
        <v>5.9</v>
      </c>
      <c r="O353">
        <v>0.4</v>
      </c>
      <c r="S353">
        <v>0.2</v>
      </c>
      <c r="T353">
        <v>0.1</v>
      </c>
      <c r="W353">
        <v>12.5</v>
      </c>
      <c r="AA353">
        <v>0.6</v>
      </c>
      <c r="AD353">
        <v>0.1</v>
      </c>
      <c r="AH353">
        <v>1</v>
      </c>
      <c r="AI353">
        <v>0.1</v>
      </c>
      <c r="AJ353">
        <v>0.4</v>
      </c>
      <c r="AK353">
        <v>1.3</v>
      </c>
      <c r="AO353">
        <v>0.8</v>
      </c>
      <c r="AR353">
        <v>1</v>
      </c>
      <c r="AS353">
        <v>3.6</v>
      </c>
      <c r="AU353">
        <v>1.6</v>
      </c>
      <c r="AV353">
        <v>0.5</v>
      </c>
      <c r="AZ353">
        <v>6.4</v>
      </c>
      <c r="BA353">
        <v>1.3</v>
      </c>
      <c r="BG353">
        <v>15.5</v>
      </c>
      <c r="BH353">
        <v>14.5</v>
      </c>
      <c r="BI353">
        <v>5.2</v>
      </c>
      <c r="BL353">
        <v>2.1</v>
      </c>
      <c r="BQ353">
        <v>9.6</v>
      </c>
      <c r="BR353">
        <v>11.5</v>
      </c>
      <c r="BT353">
        <v>22.2</v>
      </c>
      <c r="BU353">
        <v>1.5</v>
      </c>
      <c r="BV353">
        <v>3.5</v>
      </c>
      <c r="BX353">
        <v>25</v>
      </c>
      <c r="BY353">
        <v>10.6</v>
      </c>
      <c r="CD353">
        <v>3.9</v>
      </c>
      <c r="CH353">
        <v>4.0999999999999996</v>
      </c>
      <c r="CK353">
        <v>5.4</v>
      </c>
      <c r="CP353">
        <v>4.0999999999999996</v>
      </c>
      <c r="CR353">
        <v>0.2</v>
      </c>
      <c r="CT353">
        <v>1.8</v>
      </c>
      <c r="CY353">
        <v>35.299999999999997</v>
      </c>
      <c r="CZ353">
        <v>7.2</v>
      </c>
      <c r="DA353" s="2"/>
      <c r="DD353" s="1">
        <v>41220</v>
      </c>
      <c r="DE353" s="2">
        <f t="shared" si="74"/>
        <v>5.2465116279069761</v>
      </c>
      <c r="DF353" s="2">
        <f t="shared" si="87"/>
        <v>2.1902912621359221</v>
      </c>
      <c r="DG353" s="2">
        <f t="shared" si="75"/>
        <v>35.299999999999997</v>
      </c>
      <c r="DH353" s="2">
        <f t="shared" si="76"/>
        <v>0.1</v>
      </c>
      <c r="DI353" s="3">
        <f t="shared" si="82"/>
        <v>0.41747572815533979</v>
      </c>
    </row>
    <row r="354" spans="1:149">
      <c r="A354" s="17" t="s">
        <v>346</v>
      </c>
      <c r="D354">
        <v>18.7</v>
      </c>
      <c r="E354">
        <v>0.3</v>
      </c>
      <c r="K354">
        <v>0.2</v>
      </c>
      <c r="L354">
        <v>1.6</v>
      </c>
      <c r="M354">
        <v>0.2</v>
      </c>
      <c r="X354">
        <v>1</v>
      </c>
      <c r="AA354">
        <v>2.1</v>
      </c>
      <c r="AD354">
        <v>4.5999999999999996</v>
      </c>
      <c r="AE354">
        <v>1</v>
      </c>
      <c r="AG354">
        <v>2</v>
      </c>
      <c r="AH354">
        <v>12.7</v>
      </c>
      <c r="AI354">
        <v>0.2</v>
      </c>
      <c r="AJ354">
        <v>2.2999999999999998</v>
      </c>
      <c r="AK354">
        <v>9.1</v>
      </c>
      <c r="AL354">
        <v>0.3</v>
      </c>
      <c r="AN354">
        <v>17.2</v>
      </c>
      <c r="AO354">
        <v>0.3</v>
      </c>
      <c r="AR354">
        <v>1.2</v>
      </c>
      <c r="AS354">
        <v>4.2</v>
      </c>
      <c r="AT354">
        <v>1.3</v>
      </c>
      <c r="AU354">
        <v>3.5</v>
      </c>
      <c r="AX354">
        <v>10</v>
      </c>
      <c r="AY354">
        <v>1.4</v>
      </c>
      <c r="BB354">
        <v>1</v>
      </c>
      <c r="BE354">
        <v>5.5</v>
      </c>
      <c r="BG354">
        <v>14.1</v>
      </c>
      <c r="BH354">
        <v>0.1</v>
      </c>
      <c r="BI354">
        <v>0.9</v>
      </c>
      <c r="BJ354">
        <v>0.1</v>
      </c>
      <c r="BL354">
        <v>7.6</v>
      </c>
      <c r="BM354">
        <v>3</v>
      </c>
      <c r="BQ354">
        <v>4.4000000000000004</v>
      </c>
      <c r="BR354">
        <v>0.9</v>
      </c>
      <c r="BS354">
        <v>5.9</v>
      </c>
      <c r="BT354">
        <v>23.6</v>
      </c>
      <c r="BU354">
        <v>0.7</v>
      </c>
      <c r="BV354">
        <v>10.6</v>
      </c>
      <c r="CB354">
        <v>0.4</v>
      </c>
      <c r="CC354">
        <v>4.0999999999999996</v>
      </c>
      <c r="CD354">
        <v>5.5</v>
      </c>
      <c r="CF354">
        <v>0.8</v>
      </c>
      <c r="CG354">
        <v>0.5</v>
      </c>
      <c r="CK354">
        <v>2</v>
      </c>
      <c r="CN354">
        <v>3</v>
      </c>
      <c r="CP354">
        <v>1</v>
      </c>
      <c r="CT354">
        <v>10.9</v>
      </c>
      <c r="DA354" s="2"/>
      <c r="DD354" s="1">
        <v>41221</v>
      </c>
      <c r="DE354" s="2">
        <f t="shared" si="74"/>
        <v>4.3913043478260869</v>
      </c>
      <c r="DF354" s="2">
        <f t="shared" si="87"/>
        <v>1.9611650485436893</v>
      </c>
      <c r="DG354" s="2">
        <f t="shared" si="75"/>
        <v>23.6</v>
      </c>
      <c r="DH354" s="2">
        <f t="shared" si="76"/>
        <v>0.1</v>
      </c>
      <c r="DI354" s="3">
        <f t="shared" si="82"/>
        <v>0.44660194174757284</v>
      </c>
    </row>
    <row r="355" spans="1:149">
      <c r="A355" s="17" t="s">
        <v>347</v>
      </c>
      <c r="B355">
        <v>0.5</v>
      </c>
      <c r="E355">
        <v>8.9</v>
      </c>
      <c r="H355">
        <v>0.5</v>
      </c>
      <c r="I355">
        <v>14.5</v>
      </c>
      <c r="J355">
        <v>2.6</v>
      </c>
      <c r="K355">
        <v>3.4</v>
      </c>
      <c r="L355">
        <v>0.1</v>
      </c>
      <c r="M355">
        <v>2</v>
      </c>
      <c r="Q355">
        <v>0.2</v>
      </c>
      <c r="T355">
        <v>0.2</v>
      </c>
      <c r="U355">
        <v>7.7</v>
      </c>
      <c r="X355">
        <v>6.5</v>
      </c>
      <c r="Y355">
        <v>0.1</v>
      </c>
      <c r="Z355">
        <v>0.5</v>
      </c>
      <c r="AA355">
        <v>0.2</v>
      </c>
      <c r="AD355">
        <v>1.3</v>
      </c>
      <c r="AG355">
        <v>0.3</v>
      </c>
      <c r="AH355">
        <v>4.0999999999999996</v>
      </c>
      <c r="AK355">
        <v>0.2</v>
      </c>
      <c r="AL355">
        <v>0.9</v>
      </c>
      <c r="AM355">
        <v>22.4</v>
      </c>
      <c r="AN355">
        <v>21.5</v>
      </c>
      <c r="AO355">
        <v>30.7</v>
      </c>
      <c r="AQ355">
        <v>9.6999999999999993</v>
      </c>
      <c r="AT355">
        <v>0.5</v>
      </c>
      <c r="AV355">
        <v>11</v>
      </c>
      <c r="AX355">
        <v>15.6</v>
      </c>
      <c r="BE355">
        <v>15.3</v>
      </c>
      <c r="BI355">
        <v>0.8</v>
      </c>
      <c r="BK355">
        <v>0.1</v>
      </c>
      <c r="BL355">
        <v>0.1</v>
      </c>
      <c r="BM355">
        <v>10.8</v>
      </c>
      <c r="BN355">
        <v>1.1000000000000001</v>
      </c>
      <c r="BP355">
        <v>0.2</v>
      </c>
      <c r="BT355">
        <v>7.2</v>
      </c>
      <c r="BV355">
        <v>3</v>
      </c>
      <c r="BW355">
        <v>5.8</v>
      </c>
      <c r="CB355">
        <v>4.2</v>
      </c>
      <c r="CC355">
        <v>39.5</v>
      </c>
      <c r="CD355">
        <v>1.2</v>
      </c>
      <c r="CE355">
        <v>0.2</v>
      </c>
      <c r="CF355">
        <v>26.7</v>
      </c>
      <c r="CG355">
        <v>5.8</v>
      </c>
      <c r="CO355">
        <v>6.8</v>
      </c>
      <c r="CP355">
        <v>25.9</v>
      </c>
      <c r="CQ355">
        <v>0.1</v>
      </c>
      <c r="CX355">
        <v>0.1</v>
      </c>
      <c r="DA355" s="2"/>
      <c r="DD355" s="1">
        <v>41222</v>
      </c>
      <c r="DE355" s="2">
        <f t="shared" si="74"/>
        <v>6.8297872340425529</v>
      </c>
      <c r="DF355" s="2">
        <f t="shared" si="87"/>
        <v>3.116504854368932</v>
      </c>
      <c r="DG355" s="2">
        <f t="shared" si="75"/>
        <v>39.5</v>
      </c>
      <c r="DH355" s="2">
        <f t="shared" si="76"/>
        <v>0.1</v>
      </c>
      <c r="DI355" s="3">
        <f t="shared" si="82"/>
        <v>0.4563106796116505</v>
      </c>
    </row>
    <row r="356" spans="1:149">
      <c r="A356" s="17" t="s">
        <v>348</v>
      </c>
      <c r="D356">
        <v>2.2999999999999998</v>
      </c>
      <c r="E356">
        <v>1.8</v>
      </c>
      <c r="M356">
        <v>2.1</v>
      </c>
      <c r="T356">
        <v>0.1</v>
      </c>
      <c r="W356">
        <v>0.2</v>
      </c>
      <c r="X356">
        <v>6.3</v>
      </c>
      <c r="Y356">
        <v>2.4</v>
      </c>
      <c r="AE356">
        <v>16.399999999999999</v>
      </c>
      <c r="AG356">
        <v>5.9</v>
      </c>
      <c r="AH356">
        <v>1.9</v>
      </c>
      <c r="AM356">
        <v>0.2</v>
      </c>
      <c r="AN356">
        <v>6.6</v>
      </c>
      <c r="AO356">
        <v>1.1000000000000001</v>
      </c>
      <c r="AQ356">
        <v>30.5</v>
      </c>
      <c r="AR356">
        <v>0.9</v>
      </c>
      <c r="AX356">
        <v>11.4</v>
      </c>
      <c r="BE356">
        <v>3.9</v>
      </c>
      <c r="BF356">
        <v>0.2</v>
      </c>
      <c r="BI356">
        <v>16.399999999999999</v>
      </c>
      <c r="BK356">
        <v>0.1</v>
      </c>
      <c r="BM356">
        <v>1.8</v>
      </c>
      <c r="BN356">
        <v>0.4</v>
      </c>
      <c r="BP356">
        <v>0.4</v>
      </c>
      <c r="BQ356">
        <v>0.3</v>
      </c>
      <c r="BS356">
        <v>47.5</v>
      </c>
      <c r="BT356">
        <v>1.8</v>
      </c>
      <c r="BV356">
        <v>0.1</v>
      </c>
      <c r="BY356">
        <v>2.9</v>
      </c>
      <c r="CA356">
        <v>1</v>
      </c>
      <c r="CB356">
        <v>11.8</v>
      </c>
      <c r="CC356">
        <v>5.9</v>
      </c>
      <c r="CE356">
        <v>0.4</v>
      </c>
      <c r="CF356">
        <v>25.2</v>
      </c>
      <c r="CO356">
        <v>24</v>
      </c>
      <c r="CP356">
        <v>30.5</v>
      </c>
      <c r="CQ356">
        <v>0.1</v>
      </c>
      <c r="CS356">
        <v>18</v>
      </c>
      <c r="CT356">
        <v>17.600000000000001</v>
      </c>
      <c r="CV356">
        <v>7.5</v>
      </c>
      <c r="CX356">
        <v>0.8</v>
      </c>
      <c r="CY356">
        <v>9.1</v>
      </c>
      <c r="DA356" s="2"/>
      <c r="DD356" s="1">
        <v>41223</v>
      </c>
      <c r="DE356" s="2">
        <f t="shared" si="74"/>
        <v>7.7512195121951253</v>
      </c>
      <c r="DF356" s="2">
        <f t="shared" si="87"/>
        <v>3.0854368932038847</v>
      </c>
      <c r="DG356" s="2">
        <f t="shared" si="75"/>
        <v>47.5</v>
      </c>
      <c r="DH356" s="2">
        <f t="shared" si="76"/>
        <v>0.1</v>
      </c>
      <c r="DI356" s="3">
        <f t="shared" si="82"/>
        <v>0.39805825242718446</v>
      </c>
    </row>
    <row r="357" spans="1:149">
      <c r="A357" s="17" t="s">
        <v>349</v>
      </c>
      <c r="C357">
        <v>3.4</v>
      </c>
      <c r="F357">
        <v>55.5</v>
      </c>
      <c r="I357">
        <v>54.9</v>
      </c>
      <c r="M357">
        <v>2.2999999999999998</v>
      </c>
      <c r="T357">
        <v>0.1</v>
      </c>
      <c r="V357">
        <v>9</v>
      </c>
      <c r="X357">
        <v>16.5</v>
      </c>
      <c r="Y357">
        <v>11</v>
      </c>
      <c r="AE357">
        <v>0.3</v>
      </c>
      <c r="AF357">
        <v>1.3</v>
      </c>
      <c r="AI357">
        <v>2</v>
      </c>
      <c r="AJ357">
        <v>0.7</v>
      </c>
      <c r="AL357">
        <v>4.8</v>
      </c>
      <c r="AQ357">
        <v>17.100000000000001</v>
      </c>
      <c r="AR357">
        <v>0.9</v>
      </c>
      <c r="AV357">
        <v>15.6</v>
      </c>
      <c r="AX357">
        <v>17.899999999999999</v>
      </c>
      <c r="AY357">
        <v>2.9</v>
      </c>
      <c r="BA357">
        <v>6.5</v>
      </c>
      <c r="BD357">
        <v>1.8</v>
      </c>
      <c r="BE357">
        <v>0.2</v>
      </c>
      <c r="BF357">
        <v>0.4</v>
      </c>
      <c r="BG357">
        <v>0.2</v>
      </c>
      <c r="BH357">
        <v>0.1</v>
      </c>
      <c r="BI357">
        <v>9.3000000000000007</v>
      </c>
      <c r="BK357">
        <v>0.1</v>
      </c>
      <c r="BQ357">
        <v>4.3</v>
      </c>
      <c r="BS357">
        <v>36.799999999999997</v>
      </c>
      <c r="BV357">
        <v>0.1</v>
      </c>
      <c r="BW357">
        <v>8.8000000000000007</v>
      </c>
      <c r="BY357">
        <v>0.2</v>
      </c>
      <c r="BZ357">
        <v>1.7</v>
      </c>
      <c r="CA357">
        <v>7.6</v>
      </c>
      <c r="CB357">
        <v>0.3</v>
      </c>
      <c r="CC357">
        <v>5.3</v>
      </c>
      <c r="CF357">
        <v>4.4000000000000004</v>
      </c>
      <c r="CG357">
        <v>3.7</v>
      </c>
      <c r="CO357">
        <v>1.7</v>
      </c>
      <c r="CP357">
        <v>9.6999999999999993</v>
      </c>
      <c r="CS357">
        <v>0.1</v>
      </c>
      <c r="CT357">
        <v>1.8</v>
      </c>
      <c r="CV357">
        <v>8.3000000000000007</v>
      </c>
      <c r="CX357">
        <v>5.8</v>
      </c>
      <c r="CY357">
        <v>0.1</v>
      </c>
      <c r="DA357" s="2"/>
      <c r="DD357" s="1">
        <v>41224</v>
      </c>
      <c r="DE357" s="2">
        <f t="shared" si="74"/>
        <v>7.6250000000000027</v>
      </c>
      <c r="DF357" s="2">
        <f t="shared" si="87"/>
        <v>3.2572815533980592</v>
      </c>
      <c r="DG357" s="2">
        <f t="shared" si="75"/>
        <v>55.5</v>
      </c>
      <c r="DH357" s="2">
        <f t="shared" si="76"/>
        <v>0.1</v>
      </c>
      <c r="DI357" s="3">
        <f t="shared" si="82"/>
        <v>0.42718446601941745</v>
      </c>
    </row>
    <row r="358" spans="1:149">
      <c r="A358" s="17" t="s">
        <v>350</v>
      </c>
      <c r="F358">
        <v>7</v>
      </c>
      <c r="I358">
        <v>0.5</v>
      </c>
      <c r="L358">
        <v>1.1000000000000001</v>
      </c>
      <c r="M358">
        <v>2.5</v>
      </c>
      <c r="O358">
        <v>3.5</v>
      </c>
      <c r="T358">
        <v>0.1</v>
      </c>
      <c r="U358">
        <v>11.2</v>
      </c>
      <c r="V358">
        <v>3.7</v>
      </c>
      <c r="Z358">
        <v>0.4</v>
      </c>
      <c r="AA358">
        <v>4.5</v>
      </c>
      <c r="AB358">
        <v>2.8</v>
      </c>
      <c r="AF358">
        <v>0.2</v>
      </c>
      <c r="AG358">
        <v>16.2</v>
      </c>
      <c r="AH358">
        <v>0.1</v>
      </c>
      <c r="AI358">
        <v>3.2</v>
      </c>
      <c r="AJ358">
        <v>0.7</v>
      </c>
      <c r="AK358">
        <v>31</v>
      </c>
      <c r="AM358">
        <v>1.3</v>
      </c>
      <c r="AO358">
        <v>0.3</v>
      </c>
      <c r="AQ358">
        <v>0.4</v>
      </c>
      <c r="AR358">
        <v>2.9</v>
      </c>
      <c r="AS358">
        <v>0.2</v>
      </c>
      <c r="AV358">
        <v>5</v>
      </c>
      <c r="AW358">
        <v>0.4</v>
      </c>
      <c r="BA358">
        <v>0.3</v>
      </c>
      <c r="BE358">
        <v>0.2</v>
      </c>
      <c r="BG358">
        <v>0.1</v>
      </c>
      <c r="BH358">
        <v>0.1</v>
      </c>
      <c r="BI358">
        <v>0.1</v>
      </c>
      <c r="BK358">
        <v>37.6</v>
      </c>
      <c r="BL358">
        <v>0.1</v>
      </c>
      <c r="BN358">
        <v>5.9</v>
      </c>
      <c r="BQ358">
        <v>2.2000000000000002</v>
      </c>
      <c r="BR358">
        <v>3</v>
      </c>
      <c r="BS358">
        <v>1</v>
      </c>
      <c r="BV358">
        <v>2.5</v>
      </c>
      <c r="BW358">
        <v>0.3</v>
      </c>
      <c r="BZ358">
        <v>0.8</v>
      </c>
      <c r="CA358">
        <v>0.5</v>
      </c>
      <c r="CB358">
        <v>3.6</v>
      </c>
      <c r="CE358">
        <v>0.4</v>
      </c>
      <c r="CF358">
        <v>1.2</v>
      </c>
      <c r="CG358">
        <v>32.1</v>
      </c>
      <c r="CK358">
        <v>2.5</v>
      </c>
      <c r="CP358">
        <v>0.1</v>
      </c>
      <c r="CR358">
        <v>2.8</v>
      </c>
      <c r="CT358">
        <v>22.6</v>
      </c>
      <c r="CU358">
        <v>6.9</v>
      </c>
      <c r="CV358">
        <v>6.5</v>
      </c>
      <c r="CX358">
        <v>1.1000000000000001</v>
      </c>
      <c r="CZ358">
        <v>0.1</v>
      </c>
      <c r="DA358" s="2"/>
      <c r="DD358" s="1">
        <v>41225</v>
      </c>
      <c r="DE358" s="2">
        <f t="shared" si="74"/>
        <v>4.5843137254901967</v>
      </c>
      <c r="DF358" s="2">
        <f t="shared" si="87"/>
        <v>2.2699029126213595</v>
      </c>
      <c r="DG358" s="2">
        <f t="shared" si="75"/>
        <v>37.6</v>
      </c>
      <c r="DH358" s="2">
        <f t="shared" si="76"/>
        <v>0.1</v>
      </c>
      <c r="DI358" s="3">
        <f t="shared" si="82"/>
        <v>0.49514563106796117</v>
      </c>
    </row>
    <row r="359" spans="1:149">
      <c r="A359" s="17" t="s">
        <v>351</v>
      </c>
      <c r="I359">
        <v>10.4</v>
      </c>
      <c r="J359">
        <v>16</v>
      </c>
      <c r="M359">
        <v>2.9</v>
      </c>
      <c r="O359">
        <v>4.7</v>
      </c>
      <c r="R359">
        <v>1.5</v>
      </c>
      <c r="T359">
        <v>0.1</v>
      </c>
      <c r="U359">
        <v>10</v>
      </c>
      <c r="W359">
        <v>9</v>
      </c>
      <c r="Y359">
        <v>3.7</v>
      </c>
      <c r="Z359">
        <v>0.4</v>
      </c>
      <c r="AB359">
        <v>18</v>
      </c>
      <c r="AC359">
        <v>0.8</v>
      </c>
      <c r="AF359">
        <v>2.9</v>
      </c>
      <c r="AH359">
        <v>37.5</v>
      </c>
      <c r="AI359">
        <v>0.2</v>
      </c>
      <c r="AK359">
        <v>17.5</v>
      </c>
      <c r="AM359">
        <v>2.1</v>
      </c>
      <c r="AO359">
        <v>0.3</v>
      </c>
      <c r="AQ359">
        <v>10.5</v>
      </c>
      <c r="AS359">
        <v>0.5</v>
      </c>
      <c r="AV359">
        <v>2.5</v>
      </c>
      <c r="BA359">
        <v>7.2</v>
      </c>
      <c r="BD359">
        <v>0.3</v>
      </c>
      <c r="BE359">
        <v>1.3</v>
      </c>
      <c r="BG359">
        <v>17.2</v>
      </c>
      <c r="BH359">
        <v>0.3</v>
      </c>
      <c r="BI359">
        <v>0.1</v>
      </c>
      <c r="BK359">
        <v>5.9</v>
      </c>
      <c r="BM359">
        <v>0.2</v>
      </c>
      <c r="BN359">
        <v>5.0999999999999996</v>
      </c>
      <c r="BQ359">
        <v>2.2000000000000002</v>
      </c>
      <c r="BR359">
        <v>0.3</v>
      </c>
      <c r="BV359">
        <v>0.3</v>
      </c>
      <c r="BW359">
        <v>31</v>
      </c>
      <c r="CB359">
        <v>1.2</v>
      </c>
      <c r="CE359">
        <v>22.9</v>
      </c>
      <c r="CF359">
        <v>3.8</v>
      </c>
      <c r="CG359">
        <v>20.100000000000001</v>
      </c>
      <c r="CK359">
        <v>5.5</v>
      </c>
      <c r="CR359">
        <v>12.1</v>
      </c>
      <c r="CS359">
        <v>18.8</v>
      </c>
      <c r="CT359">
        <v>1.5</v>
      </c>
      <c r="CU359">
        <v>0.2</v>
      </c>
      <c r="CX359">
        <v>2.8</v>
      </c>
      <c r="DA359" s="2"/>
      <c r="DD359" s="1">
        <v>41226</v>
      </c>
      <c r="DE359" s="2">
        <f t="shared" si="74"/>
        <v>7.0863636363636378</v>
      </c>
      <c r="DF359" s="2">
        <f t="shared" si="87"/>
        <v>3.0271844660194183</v>
      </c>
      <c r="DG359" s="2">
        <f t="shared" si="75"/>
        <v>37.5</v>
      </c>
      <c r="DH359" s="2">
        <f t="shared" si="76"/>
        <v>0.1</v>
      </c>
      <c r="DI359" s="3">
        <f t="shared" si="82"/>
        <v>0.42718446601941745</v>
      </c>
    </row>
    <row r="360" spans="1:149">
      <c r="A360" s="17" t="s">
        <v>352</v>
      </c>
      <c r="E360">
        <v>10.199999999999999</v>
      </c>
      <c r="G360">
        <v>9.9</v>
      </c>
      <c r="H360">
        <v>1.3</v>
      </c>
      <c r="I360">
        <v>9.6</v>
      </c>
      <c r="M360">
        <v>40.5</v>
      </c>
      <c r="O360">
        <v>12.7</v>
      </c>
      <c r="R360">
        <v>4.2</v>
      </c>
      <c r="W360">
        <v>3.2</v>
      </c>
      <c r="Y360">
        <v>0.2</v>
      </c>
      <c r="Z360">
        <v>0.7</v>
      </c>
      <c r="AD360">
        <v>0.2</v>
      </c>
      <c r="AF360">
        <v>17.399999999999999</v>
      </c>
      <c r="AG360">
        <v>0.4</v>
      </c>
      <c r="AJ360">
        <v>0.1</v>
      </c>
      <c r="AM360">
        <v>9.5</v>
      </c>
      <c r="AO360">
        <v>0.2</v>
      </c>
      <c r="AV360">
        <v>12</v>
      </c>
      <c r="BB360">
        <v>4.5</v>
      </c>
      <c r="BC360">
        <v>26.8</v>
      </c>
      <c r="BD360">
        <v>16.8</v>
      </c>
      <c r="BE360">
        <v>0.2</v>
      </c>
      <c r="BG360">
        <v>6.7</v>
      </c>
      <c r="BH360">
        <v>0.1</v>
      </c>
      <c r="BI360">
        <v>0.1</v>
      </c>
      <c r="BL360">
        <v>3.8</v>
      </c>
      <c r="BM360">
        <v>0.1</v>
      </c>
      <c r="BN360">
        <v>0.6</v>
      </c>
      <c r="BO360">
        <v>1</v>
      </c>
      <c r="BS360">
        <v>27.4</v>
      </c>
      <c r="BV360">
        <v>0.8</v>
      </c>
      <c r="BW360">
        <v>2.7</v>
      </c>
      <c r="CA360">
        <v>36.299999999999997</v>
      </c>
      <c r="CB360">
        <v>15.3</v>
      </c>
      <c r="CE360">
        <v>15.5</v>
      </c>
      <c r="CF360">
        <v>16.7</v>
      </c>
      <c r="CH360">
        <v>0.7</v>
      </c>
      <c r="CJ360">
        <v>0.4</v>
      </c>
      <c r="CK360">
        <v>24.1</v>
      </c>
      <c r="CN360">
        <v>7.5</v>
      </c>
      <c r="CQ360">
        <v>1.4</v>
      </c>
      <c r="CR360">
        <v>2.7</v>
      </c>
      <c r="CT360">
        <v>2.2999999999999998</v>
      </c>
      <c r="CU360">
        <v>0.8</v>
      </c>
      <c r="CX360">
        <v>0.5</v>
      </c>
      <c r="CZ360">
        <v>0.4</v>
      </c>
      <c r="DA360" s="2"/>
      <c r="DD360" s="1">
        <v>41227</v>
      </c>
      <c r="DE360" s="2">
        <f t="shared" si="74"/>
        <v>7.7444444444444436</v>
      </c>
      <c r="DF360" s="2">
        <f t="shared" si="87"/>
        <v>3.3834951456310676</v>
      </c>
      <c r="DG360" s="2">
        <f t="shared" si="75"/>
        <v>40.5</v>
      </c>
      <c r="DH360" s="2">
        <f t="shared" si="76"/>
        <v>0.1</v>
      </c>
      <c r="DI360" s="3">
        <f t="shared" si="82"/>
        <v>0.43689320388349512</v>
      </c>
    </row>
    <row r="361" spans="1:149">
      <c r="A361" s="17" t="s">
        <v>353</v>
      </c>
      <c r="E361">
        <v>0.7</v>
      </c>
      <c r="F361">
        <v>1</v>
      </c>
      <c r="G361">
        <v>14.5</v>
      </c>
      <c r="H361">
        <v>4.2</v>
      </c>
      <c r="I361">
        <v>1.8</v>
      </c>
      <c r="M361">
        <v>8.1</v>
      </c>
      <c r="O361">
        <v>4</v>
      </c>
      <c r="R361">
        <v>3.8</v>
      </c>
      <c r="T361">
        <v>3.1</v>
      </c>
      <c r="V361">
        <v>3.4</v>
      </c>
      <c r="W361">
        <v>0.3</v>
      </c>
      <c r="Z361">
        <v>6</v>
      </c>
      <c r="AB361">
        <v>3.3</v>
      </c>
      <c r="AD361">
        <v>2.9</v>
      </c>
      <c r="AF361">
        <v>1.2</v>
      </c>
      <c r="AG361">
        <v>10</v>
      </c>
      <c r="AM361">
        <v>0.1</v>
      </c>
      <c r="AO361">
        <v>26</v>
      </c>
      <c r="AP361">
        <v>3</v>
      </c>
      <c r="AS361">
        <v>0.6</v>
      </c>
      <c r="AT361">
        <v>60.2</v>
      </c>
      <c r="AV361">
        <v>11.5</v>
      </c>
      <c r="AW361">
        <v>1.5</v>
      </c>
      <c r="AY361">
        <v>8.3000000000000007</v>
      </c>
      <c r="BC361">
        <v>0.2</v>
      </c>
      <c r="BD361">
        <v>33.5</v>
      </c>
      <c r="BF361">
        <v>0.1</v>
      </c>
      <c r="BG361">
        <v>0.1</v>
      </c>
      <c r="BH361">
        <v>0.1</v>
      </c>
      <c r="BJ361">
        <v>0.1</v>
      </c>
      <c r="BL361">
        <v>18.100000000000001</v>
      </c>
      <c r="BN361">
        <v>0.3</v>
      </c>
      <c r="BO361">
        <v>3.1</v>
      </c>
      <c r="BQ361">
        <v>0.1</v>
      </c>
      <c r="BT361">
        <v>6.3</v>
      </c>
      <c r="BU361">
        <v>3</v>
      </c>
      <c r="BV361">
        <v>22.5</v>
      </c>
      <c r="BW361">
        <v>0.2</v>
      </c>
      <c r="BX361">
        <v>1.3</v>
      </c>
      <c r="BY361">
        <v>0.6</v>
      </c>
      <c r="CA361">
        <v>0.8</v>
      </c>
      <c r="CB361">
        <v>0.2</v>
      </c>
      <c r="CF361">
        <v>0.3</v>
      </c>
      <c r="CH361">
        <v>0.9</v>
      </c>
      <c r="CJ361">
        <v>6.1</v>
      </c>
      <c r="CK361">
        <v>4</v>
      </c>
      <c r="CL361">
        <v>1.5</v>
      </c>
      <c r="CN361">
        <v>6</v>
      </c>
      <c r="CQ361">
        <v>22.3</v>
      </c>
      <c r="CU361">
        <v>0.3</v>
      </c>
      <c r="CV361">
        <v>6.5</v>
      </c>
      <c r="CX361">
        <v>6.1</v>
      </c>
      <c r="CZ361">
        <v>0.1</v>
      </c>
      <c r="DA361" s="2"/>
      <c r="DD361" s="1">
        <v>41228</v>
      </c>
      <c r="DE361" s="2">
        <f t="shared" si="74"/>
        <v>6.1169811320754732</v>
      </c>
      <c r="DF361" s="2">
        <f t="shared" si="87"/>
        <v>3.1475728155339815</v>
      </c>
      <c r="DG361" s="2">
        <f t="shared" si="75"/>
        <v>60.2</v>
      </c>
      <c r="DH361" s="2">
        <f t="shared" si="76"/>
        <v>0.1</v>
      </c>
      <c r="DI361" s="3">
        <f t="shared" si="82"/>
        <v>0.5145631067961165</v>
      </c>
    </row>
    <row r="362" spans="1:149">
      <c r="A362" s="17" t="s">
        <v>354</v>
      </c>
      <c r="D362">
        <v>9.6</v>
      </c>
      <c r="G362">
        <v>1.5</v>
      </c>
      <c r="H362">
        <v>4.3</v>
      </c>
      <c r="L362">
        <v>1.6</v>
      </c>
      <c r="M362">
        <v>16.899999999999999</v>
      </c>
      <c r="O362">
        <v>14.7</v>
      </c>
      <c r="R362">
        <v>15</v>
      </c>
      <c r="S362">
        <v>0.1</v>
      </c>
      <c r="T362">
        <v>7.2</v>
      </c>
      <c r="W362">
        <v>0.6</v>
      </c>
      <c r="Z362">
        <v>4.5</v>
      </c>
      <c r="AB362">
        <v>9.1</v>
      </c>
      <c r="AD362">
        <v>0.5</v>
      </c>
      <c r="AG362">
        <v>5</v>
      </c>
      <c r="AI362">
        <v>0.8</v>
      </c>
      <c r="AJ362">
        <v>0.2</v>
      </c>
      <c r="AK362">
        <v>1.4</v>
      </c>
      <c r="AO362">
        <v>20.2</v>
      </c>
      <c r="AP362">
        <v>9.1999999999999993</v>
      </c>
      <c r="AR362">
        <v>15.9</v>
      </c>
      <c r="AS362">
        <v>7.8</v>
      </c>
      <c r="AT362">
        <v>94.2</v>
      </c>
      <c r="AU362">
        <v>0.5</v>
      </c>
      <c r="AV362">
        <v>4.5999999999999996</v>
      </c>
      <c r="AW362">
        <v>0.3</v>
      </c>
      <c r="AX362">
        <v>6.4</v>
      </c>
      <c r="AY362">
        <v>13</v>
      </c>
      <c r="BC362">
        <v>0.2</v>
      </c>
      <c r="BD362">
        <v>14.1</v>
      </c>
      <c r="BE362">
        <v>11.3</v>
      </c>
      <c r="BF362">
        <v>0.2</v>
      </c>
      <c r="BH362">
        <v>0.2</v>
      </c>
      <c r="BI362">
        <v>3.2</v>
      </c>
      <c r="BJ362">
        <v>0.3</v>
      </c>
      <c r="BK362">
        <v>2.9</v>
      </c>
      <c r="BM362">
        <v>0.1</v>
      </c>
      <c r="BN362">
        <v>2.2999999999999998</v>
      </c>
      <c r="BO362">
        <v>0.1</v>
      </c>
      <c r="BQ362">
        <v>0.1</v>
      </c>
      <c r="BR362" t="s">
        <v>0</v>
      </c>
      <c r="BT362">
        <v>6.7</v>
      </c>
      <c r="BU362">
        <v>3.7</v>
      </c>
      <c r="BY362">
        <v>0.7</v>
      </c>
      <c r="CA362">
        <v>9.3000000000000007</v>
      </c>
      <c r="CB362">
        <v>12.6</v>
      </c>
      <c r="CF362">
        <v>7.7</v>
      </c>
      <c r="CG362">
        <v>0.2</v>
      </c>
      <c r="CH362">
        <v>1.2</v>
      </c>
      <c r="CJ362">
        <v>5.5</v>
      </c>
      <c r="CL362">
        <v>24</v>
      </c>
      <c r="CQ362">
        <v>15.7</v>
      </c>
      <c r="CT362">
        <v>18.5</v>
      </c>
      <c r="CV362">
        <v>1</v>
      </c>
      <c r="CW362">
        <v>0.1</v>
      </c>
      <c r="CX362">
        <v>3.5</v>
      </c>
      <c r="DA362" s="2"/>
      <c r="DD362" s="1">
        <v>41229</v>
      </c>
      <c r="DE362" s="2">
        <f t="shared" si="74"/>
        <v>7.601851851851853</v>
      </c>
      <c r="DF362" s="2">
        <f t="shared" si="87"/>
        <v>3.9854368932038842</v>
      </c>
      <c r="DG362" s="2">
        <f t="shared" si="75"/>
        <v>94.2</v>
      </c>
      <c r="DH362" s="2">
        <f t="shared" si="76"/>
        <v>0.1</v>
      </c>
      <c r="DI362" s="3">
        <f t="shared" si="82"/>
        <v>0.53398058252427183</v>
      </c>
    </row>
    <row r="363" spans="1:149">
      <c r="A363" s="17" t="s">
        <v>355</v>
      </c>
      <c r="D363">
        <v>7.4</v>
      </c>
      <c r="F363">
        <v>4.5999999999999996</v>
      </c>
      <c r="G363">
        <v>13.8</v>
      </c>
      <c r="H363">
        <v>19.7</v>
      </c>
      <c r="I363">
        <v>0.6</v>
      </c>
      <c r="J363">
        <v>33.1</v>
      </c>
      <c r="L363">
        <v>0.5</v>
      </c>
      <c r="M363">
        <v>8.4</v>
      </c>
      <c r="R363">
        <v>3.5</v>
      </c>
      <c r="S363">
        <v>0.1</v>
      </c>
      <c r="T363">
        <v>0.1</v>
      </c>
      <c r="W363">
        <v>15</v>
      </c>
      <c r="Z363">
        <v>7</v>
      </c>
      <c r="AA363">
        <v>8.4</v>
      </c>
      <c r="AD363">
        <v>21.3</v>
      </c>
      <c r="AF363">
        <v>0.2</v>
      </c>
      <c r="AI363">
        <v>18.600000000000001</v>
      </c>
      <c r="AJ363">
        <v>0.3</v>
      </c>
      <c r="AN363">
        <v>11</v>
      </c>
      <c r="AP363">
        <v>7.4</v>
      </c>
      <c r="AR363">
        <v>3.9</v>
      </c>
      <c r="AS363">
        <v>2</v>
      </c>
      <c r="AT363">
        <v>15.4</v>
      </c>
      <c r="AV363">
        <v>7.7</v>
      </c>
      <c r="AW363">
        <v>1.4</v>
      </c>
      <c r="AX363">
        <v>4.4000000000000004</v>
      </c>
      <c r="AY363">
        <v>2.7</v>
      </c>
      <c r="AZ363">
        <v>14.2</v>
      </c>
      <c r="BA363">
        <v>15.1</v>
      </c>
      <c r="BC363">
        <v>0.2</v>
      </c>
      <c r="BF363">
        <v>1.9</v>
      </c>
      <c r="BI363">
        <v>9.1</v>
      </c>
      <c r="BK363">
        <v>0.1</v>
      </c>
      <c r="BL363">
        <v>0.2</v>
      </c>
      <c r="BM363">
        <v>3.1</v>
      </c>
      <c r="BP363">
        <v>19.100000000000001</v>
      </c>
      <c r="BR363">
        <v>0.1</v>
      </c>
      <c r="BX363">
        <v>2.1</v>
      </c>
      <c r="BZ363">
        <v>0.1</v>
      </c>
      <c r="CA363">
        <v>1.1000000000000001</v>
      </c>
      <c r="CB363">
        <v>2.9</v>
      </c>
      <c r="CD363">
        <v>0.3</v>
      </c>
      <c r="CF363">
        <v>68.099999999999994</v>
      </c>
      <c r="CK363">
        <v>11.5</v>
      </c>
      <c r="CL363">
        <v>1</v>
      </c>
      <c r="CN363">
        <v>1</v>
      </c>
      <c r="CQ363">
        <v>1.1000000000000001</v>
      </c>
      <c r="CR363">
        <v>10</v>
      </c>
      <c r="CU363">
        <v>1.4</v>
      </c>
      <c r="CV363">
        <v>0.8</v>
      </c>
      <c r="CX363">
        <v>2</v>
      </c>
      <c r="DA363" s="2"/>
      <c r="DD363" s="1">
        <v>41230</v>
      </c>
      <c r="DE363" s="2">
        <f t="shared" ref="DE363:DE411" si="88">AVERAGE(B363:DA363)</f>
        <v>7.5490196078431406</v>
      </c>
      <c r="DF363" s="2">
        <f t="shared" si="87"/>
        <v>3.7378640776699044</v>
      </c>
      <c r="DG363" s="2">
        <f t="shared" ref="DG363:DG411" si="89">MAX(B363:DA363)</f>
        <v>68.099999999999994</v>
      </c>
      <c r="DH363" s="2">
        <f t="shared" ref="DH363:DH411" si="90">MIN(B363:DA363)</f>
        <v>0.1</v>
      </c>
      <c r="DI363" s="3">
        <f t="shared" si="82"/>
        <v>0.49514563106796117</v>
      </c>
    </row>
    <row r="364" spans="1:149">
      <c r="A364" s="17" t="s">
        <v>356</v>
      </c>
      <c r="B364">
        <v>0.5</v>
      </c>
      <c r="D364">
        <v>0.4</v>
      </c>
      <c r="E364">
        <v>17.8</v>
      </c>
      <c r="G364">
        <v>0.4</v>
      </c>
      <c r="H364">
        <v>1.1000000000000001</v>
      </c>
      <c r="J364">
        <v>8.1</v>
      </c>
      <c r="L364">
        <v>32.700000000000003</v>
      </c>
      <c r="O364">
        <v>13.5</v>
      </c>
      <c r="P364">
        <v>12.7</v>
      </c>
      <c r="S364">
        <v>4.0999999999999996</v>
      </c>
      <c r="W364">
        <v>0.7</v>
      </c>
      <c r="AA364">
        <v>0.8</v>
      </c>
      <c r="AD364">
        <v>11</v>
      </c>
      <c r="AF364">
        <v>7.6</v>
      </c>
      <c r="AG364">
        <v>1.2</v>
      </c>
      <c r="AJ364">
        <v>0.1</v>
      </c>
      <c r="AK364">
        <v>7.7</v>
      </c>
      <c r="AL364">
        <v>6.6</v>
      </c>
      <c r="AO364">
        <v>4.9000000000000004</v>
      </c>
      <c r="AP364">
        <v>0.7</v>
      </c>
      <c r="AR364">
        <v>0.6</v>
      </c>
      <c r="AS364">
        <v>5</v>
      </c>
      <c r="AT364">
        <v>0.6</v>
      </c>
      <c r="AV364">
        <v>5.7</v>
      </c>
      <c r="AW364">
        <v>0.6</v>
      </c>
      <c r="AZ364">
        <v>14</v>
      </c>
      <c r="BA364">
        <v>1</v>
      </c>
      <c r="BC364">
        <v>15.8</v>
      </c>
      <c r="BD364">
        <v>1.8</v>
      </c>
      <c r="BH364">
        <v>0.2</v>
      </c>
      <c r="BL364">
        <v>0.1</v>
      </c>
      <c r="BM364">
        <v>0.2</v>
      </c>
      <c r="BO364">
        <v>0.2</v>
      </c>
      <c r="BP364">
        <v>0.2</v>
      </c>
      <c r="BR364">
        <v>0.1</v>
      </c>
      <c r="BS364">
        <v>0.1</v>
      </c>
      <c r="BV364">
        <v>0.6</v>
      </c>
      <c r="BW364">
        <v>8</v>
      </c>
      <c r="BX364">
        <v>0.9</v>
      </c>
      <c r="BZ364">
        <v>20.6</v>
      </c>
      <c r="CD364">
        <v>6.7</v>
      </c>
      <c r="CF364">
        <v>3.5</v>
      </c>
      <c r="CG364">
        <v>10.199999999999999</v>
      </c>
      <c r="CH364">
        <v>15.4</v>
      </c>
      <c r="CK364">
        <v>0.5</v>
      </c>
      <c r="CL364">
        <v>45</v>
      </c>
      <c r="CP364">
        <v>7.3</v>
      </c>
      <c r="CR364">
        <v>9.6999999999999993</v>
      </c>
      <c r="CT364">
        <v>0.7</v>
      </c>
      <c r="CU364">
        <v>22.2</v>
      </c>
      <c r="CW364">
        <v>0.1</v>
      </c>
      <c r="CY364">
        <v>0.3</v>
      </c>
      <c r="DA364" s="2"/>
      <c r="DD364" s="1">
        <v>41231</v>
      </c>
      <c r="DE364" s="2">
        <f t="shared" si="88"/>
        <v>6.3557692307692282</v>
      </c>
      <c r="DF364" s="2">
        <f t="shared" si="87"/>
        <v>3.2087378640776687</v>
      </c>
      <c r="DG364" s="2">
        <f t="shared" si="89"/>
        <v>45</v>
      </c>
      <c r="DH364" s="2">
        <f t="shared" si="90"/>
        <v>0.1</v>
      </c>
      <c r="DI364" s="3">
        <f t="shared" si="82"/>
        <v>0.50485436893203883</v>
      </c>
    </row>
    <row r="365" spans="1:149">
      <c r="A365" s="17" t="s">
        <v>357</v>
      </c>
      <c r="B365">
        <v>5.7</v>
      </c>
      <c r="C365">
        <v>1.4</v>
      </c>
      <c r="D365">
        <v>1.3</v>
      </c>
      <c r="E365">
        <v>36.200000000000003</v>
      </c>
      <c r="H365">
        <v>0.4</v>
      </c>
      <c r="I365">
        <v>2</v>
      </c>
      <c r="L365">
        <v>2.2999999999999998</v>
      </c>
      <c r="M365">
        <v>30.8</v>
      </c>
      <c r="O365">
        <v>40.6</v>
      </c>
      <c r="P365">
        <v>5.3</v>
      </c>
      <c r="S365">
        <v>16.2</v>
      </c>
      <c r="V365">
        <v>19</v>
      </c>
      <c r="Y365">
        <v>0.2</v>
      </c>
      <c r="Z365">
        <v>2.5</v>
      </c>
      <c r="AB365">
        <v>6.3</v>
      </c>
      <c r="AD365">
        <v>0.8</v>
      </c>
      <c r="AF365">
        <v>0.6</v>
      </c>
      <c r="AG365">
        <v>60</v>
      </c>
      <c r="AJ365">
        <v>8.9</v>
      </c>
      <c r="AK365">
        <v>13.6</v>
      </c>
      <c r="AL365">
        <v>0.7</v>
      </c>
      <c r="AQ365">
        <v>3.7</v>
      </c>
      <c r="AR365">
        <v>2</v>
      </c>
      <c r="AS365">
        <v>7.5</v>
      </c>
      <c r="AT365">
        <v>1.4</v>
      </c>
      <c r="AU365">
        <v>2.8</v>
      </c>
      <c r="AV365">
        <v>2.5</v>
      </c>
      <c r="AW365">
        <v>0.3</v>
      </c>
      <c r="BC365">
        <v>18.2</v>
      </c>
      <c r="BD365">
        <v>61</v>
      </c>
      <c r="BF365">
        <v>3.8</v>
      </c>
      <c r="BH365">
        <v>7.9</v>
      </c>
      <c r="BI365">
        <v>0.1</v>
      </c>
      <c r="BK365">
        <v>6.5</v>
      </c>
      <c r="BM365">
        <v>0.2</v>
      </c>
      <c r="BP365">
        <v>18.7</v>
      </c>
      <c r="BQ365">
        <v>0.2</v>
      </c>
      <c r="BR365">
        <v>6.5</v>
      </c>
      <c r="BS365">
        <v>19</v>
      </c>
      <c r="BT365">
        <v>0.2</v>
      </c>
      <c r="BU365">
        <v>12.3</v>
      </c>
      <c r="BV365">
        <v>12.6</v>
      </c>
      <c r="BW365">
        <v>0.5</v>
      </c>
      <c r="BX365">
        <v>2.1</v>
      </c>
      <c r="BZ365">
        <v>9.1</v>
      </c>
      <c r="CG365">
        <v>6.8</v>
      </c>
      <c r="CH365">
        <v>4.5999999999999996</v>
      </c>
      <c r="CI365">
        <v>2.5</v>
      </c>
      <c r="CJ365">
        <v>5</v>
      </c>
      <c r="CN365">
        <v>19</v>
      </c>
      <c r="CR365">
        <v>18.100000000000001</v>
      </c>
      <c r="CT365">
        <v>5.3</v>
      </c>
      <c r="CU365">
        <v>9.1</v>
      </c>
      <c r="DA365" s="2"/>
      <c r="DD365" s="1">
        <v>41232</v>
      </c>
      <c r="DE365" s="2">
        <f t="shared" si="88"/>
        <v>9.8924528301886809</v>
      </c>
      <c r="DF365" s="2">
        <f t="shared" si="87"/>
        <v>5.0902912621359233</v>
      </c>
      <c r="DG365" s="2">
        <f t="shared" si="89"/>
        <v>61</v>
      </c>
      <c r="DH365" s="2">
        <f t="shared" si="90"/>
        <v>0.1</v>
      </c>
      <c r="DI365" s="3">
        <f t="shared" si="82"/>
        <v>0.5145631067961165</v>
      </c>
    </row>
    <row r="366" spans="1:149">
      <c r="A366" s="17" t="s">
        <v>358</v>
      </c>
      <c r="D366">
        <v>2.2999999999999998</v>
      </c>
      <c r="E366">
        <v>8.9</v>
      </c>
      <c r="I366">
        <v>49.6</v>
      </c>
      <c r="K366">
        <v>27.5</v>
      </c>
      <c r="L366">
        <v>0.9</v>
      </c>
      <c r="M366">
        <v>3.9</v>
      </c>
      <c r="O366">
        <v>20.6</v>
      </c>
      <c r="P366">
        <v>2.5</v>
      </c>
      <c r="S366">
        <v>17.7</v>
      </c>
      <c r="V366">
        <v>10.7</v>
      </c>
      <c r="X366">
        <v>1</v>
      </c>
      <c r="Y366">
        <v>15.2</v>
      </c>
      <c r="Z366">
        <v>10.3</v>
      </c>
      <c r="AA366">
        <v>2.2000000000000002</v>
      </c>
      <c r="AC366">
        <v>0.4</v>
      </c>
      <c r="AD366">
        <v>5.7</v>
      </c>
      <c r="AG366">
        <v>15.2</v>
      </c>
      <c r="AJ366">
        <v>2.6</v>
      </c>
      <c r="AS366">
        <v>2.9</v>
      </c>
      <c r="AT366">
        <v>3.2</v>
      </c>
      <c r="AU366">
        <v>6.5</v>
      </c>
      <c r="AV366">
        <v>1.7</v>
      </c>
      <c r="AX366">
        <v>1.8</v>
      </c>
      <c r="AY366">
        <v>3.5</v>
      </c>
      <c r="AZ366">
        <v>5</v>
      </c>
      <c r="BA366">
        <v>2.2000000000000002</v>
      </c>
      <c r="BB366">
        <v>0.2</v>
      </c>
      <c r="BC366">
        <v>4.2</v>
      </c>
      <c r="BD366">
        <v>16.8</v>
      </c>
      <c r="BE366">
        <v>1.9</v>
      </c>
      <c r="BF366">
        <v>16.399999999999999</v>
      </c>
      <c r="BH366">
        <v>0.1</v>
      </c>
      <c r="BJ366">
        <v>2.4</v>
      </c>
      <c r="BK366">
        <v>0.9</v>
      </c>
      <c r="BL366">
        <v>0.1</v>
      </c>
      <c r="BM366">
        <v>0.1</v>
      </c>
      <c r="BN366">
        <v>15.5</v>
      </c>
      <c r="BO366">
        <v>1.1000000000000001</v>
      </c>
      <c r="BP366">
        <v>4.8</v>
      </c>
      <c r="BR366">
        <v>0.1</v>
      </c>
      <c r="BS366">
        <v>4.5999999999999996</v>
      </c>
      <c r="BU366">
        <v>16.899999999999999</v>
      </c>
      <c r="BV366">
        <v>0.3</v>
      </c>
      <c r="BX366">
        <v>0.5</v>
      </c>
      <c r="BZ366">
        <v>0.4</v>
      </c>
      <c r="CA366">
        <v>8.8000000000000007</v>
      </c>
      <c r="CE366">
        <v>25.7</v>
      </c>
      <c r="CF366">
        <v>0.1</v>
      </c>
      <c r="CG366">
        <v>6.9</v>
      </c>
      <c r="CH366">
        <v>1.5</v>
      </c>
      <c r="CI366">
        <v>7.5</v>
      </c>
      <c r="CJ366">
        <v>5</v>
      </c>
      <c r="CK366">
        <v>11</v>
      </c>
      <c r="CL366">
        <v>24.5</v>
      </c>
      <c r="CM366">
        <v>3.5</v>
      </c>
      <c r="CN366">
        <v>32.5</v>
      </c>
      <c r="CQ366">
        <v>16.8</v>
      </c>
      <c r="CR366">
        <v>10.4</v>
      </c>
      <c r="CT366">
        <v>2.5</v>
      </c>
      <c r="CZ366">
        <v>2</v>
      </c>
      <c r="DA366" s="2"/>
      <c r="DD366" s="1">
        <v>41233</v>
      </c>
      <c r="DE366" s="2">
        <f t="shared" si="88"/>
        <v>7.833333333333333</v>
      </c>
      <c r="DF366" s="2">
        <f t="shared" si="87"/>
        <v>4.5631067961165046</v>
      </c>
      <c r="DG366" s="2">
        <f t="shared" si="89"/>
        <v>49.6</v>
      </c>
      <c r="DH366" s="2">
        <f t="shared" si="90"/>
        <v>0.1</v>
      </c>
      <c r="DI366" s="3">
        <f t="shared" si="82"/>
        <v>0.58252427184466016</v>
      </c>
    </row>
    <row r="367" spans="1:149">
      <c r="A367" s="17" t="s">
        <v>359</v>
      </c>
      <c r="C367">
        <v>0.3</v>
      </c>
      <c r="E367">
        <v>2.2000000000000002</v>
      </c>
      <c r="F367">
        <v>2.2000000000000002</v>
      </c>
      <c r="I367">
        <v>4.4000000000000004</v>
      </c>
      <c r="J367">
        <v>10.5</v>
      </c>
      <c r="K367">
        <v>9.6</v>
      </c>
      <c r="L367">
        <v>3.1</v>
      </c>
      <c r="M367">
        <v>1.8</v>
      </c>
      <c r="O367">
        <v>0.3</v>
      </c>
      <c r="S367">
        <v>5.5</v>
      </c>
      <c r="T367">
        <v>0.5</v>
      </c>
      <c r="V367">
        <v>1.1000000000000001</v>
      </c>
      <c r="X367">
        <v>2.2999999999999998</v>
      </c>
      <c r="Y367">
        <v>4</v>
      </c>
      <c r="Z367">
        <v>1.7</v>
      </c>
      <c r="AA367">
        <v>3.2</v>
      </c>
      <c r="AB367">
        <v>1.9</v>
      </c>
      <c r="AD367">
        <v>22.6</v>
      </c>
      <c r="AF367">
        <v>0.8</v>
      </c>
      <c r="AQ367">
        <v>1.1000000000000001</v>
      </c>
      <c r="AS367">
        <v>20.399999999999999</v>
      </c>
      <c r="AT367">
        <v>13.2</v>
      </c>
      <c r="AX367">
        <v>4</v>
      </c>
      <c r="AZ367">
        <v>12.6</v>
      </c>
      <c r="BA367">
        <v>11.2</v>
      </c>
      <c r="BB367">
        <v>23.8</v>
      </c>
      <c r="BF367">
        <v>4</v>
      </c>
      <c r="BG367">
        <v>0.1</v>
      </c>
      <c r="BH367">
        <v>0.1</v>
      </c>
      <c r="BJ367">
        <v>37</v>
      </c>
      <c r="BL367">
        <v>0.9</v>
      </c>
      <c r="BO367">
        <v>0.7</v>
      </c>
      <c r="BP367">
        <v>20.9</v>
      </c>
      <c r="BQ367">
        <v>0.1</v>
      </c>
      <c r="BR367">
        <v>0.3</v>
      </c>
      <c r="BW367">
        <v>11.6</v>
      </c>
      <c r="BY367">
        <v>0.1</v>
      </c>
      <c r="BZ367">
        <v>3.7</v>
      </c>
      <c r="CA367">
        <v>1.5</v>
      </c>
      <c r="CE367">
        <v>7.1</v>
      </c>
      <c r="CG367">
        <v>3.6</v>
      </c>
      <c r="CH367">
        <v>42.6</v>
      </c>
      <c r="CI367">
        <v>7.6</v>
      </c>
      <c r="CJ367">
        <v>11.5</v>
      </c>
      <c r="CK367">
        <v>2.6</v>
      </c>
      <c r="CL367">
        <v>6.5</v>
      </c>
      <c r="CN367">
        <v>0.8</v>
      </c>
      <c r="CQ367">
        <v>17.600000000000001</v>
      </c>
      <c r="CR367">
        <v>1.8</v>
      </c>
      <c r="CW367">
        <v>0.2</v>
      </c>
      <c r="CY367">
        <v>0.2</v>
      </c>
      <c r="CZ367">
        <v>2.8</v>
      </c>
      <c r="DA367" s="2"/>
      <c r="DD367" s="1">
        <v>41234</v>
      </c>
      <c r="DE367" s="2">
        <f t="shared" si="88"/>
        <v>6.7346153846153856</v>
      </c>
      <c r="DF367" s="2">
        <f t="shared" si="87"/>
        <v>3.4000000000000004</v>
      </c>
      <c r="DG367" s="2">
        <f t="shared" si="89"/>
        <v>42.6</v>
      </c>
      <c r="DH367" s="2">
        <f t="shared" si="90"/>
        <v>0.1</v>
      </c>
      <c r="DI367" s="3">
        <f t="shared" si="82"/>
        <v>0.50485436893203883</v>
      </c>
    </row>
    <row r="368" spans="1:149">
      <c r="A368" s="17" t="s">
        <v>360</v>
      </c>
      <c r="E368">
        <v>14</v>
      </c>
      <c r="F368">
        <v>0.3</v>
      </c>
      <c r="H368">
        <v>7.2</v>
      </c>
      <c r="I368">
        <v>11.2</v>
      </c>
      <c r="J368">
        <v>27.1</v>
      </c>
      <c r="K368">
        <v>1.1000000000000001</v>
      </c>
      <c r="L368">
        <v>5.6</v>
      </c>
      <c r="M368">
        <v>17.899999999999999</v>
      </c>
      <c r="O368">
        <v>1.9</v>
      </c>
      <c r="S368">
        <v>30.2</v>
      </c>
      <c r="T368">
        <v>1.2</v>
      </c>
      <c r="V368">
        <v>4.3</v>
      </c>
      <c r="Y368">
        <v>23.8</v>
      </c>
      <c r="AA368">
        <v>6.8</v>
      </c>
      <c r="AB368">
        <v>0.3</v>
      </c>
      <c r="AD368">
        <v>33.9</v>
      </c>
      <c r="AF368">
        <v>6</v>
      </c>
      <c r="AI368">
        <v>6.8</v>
      </c>
      <c r="AJ368">
        <v>5.4</v>
      </c>
      <c r="AQ368">
        <v>3.2</v>
      </c>
      <c r="AS368">
        <v>0.8</v>
      </c>
      <c r="AT368">
        <v>25.6</v>
      </c>
      <c r="AX368">
        <v>4.9000000000000004</v>
      </c>
      <c r="BA368">
        <v>0.6</v>
      </c>
      <c r="BB368">
        <v>0.9</v>
      </c>
      <c r="BC368">
        <v>16.2</v>
      </c>
      <c r="BE368">
        <v>0.2</v>
      </c>
      <c r="BF368">
        <v>2.8</v>
      </c>
      <c r="BG368">
        <v>1.2</v>
      </c>
      <c r="BH368">
        <v>0.1</v>
      </c>
      <c r="BI368">
        <v>1.8</v>
      </c>
      <c r="BJ368">
        <v>1.7</v>
      </c>
      <c r="BL368">
        <v>0.4</v>
      </c>
      <c r="BN368">
        <v>3</v>
      </c>
      <c r="BQ368">
        <v>0.1</v>
      </c>
      <c r="BR368">
        <v>0.5</v>
      </c>
      <c r="BT368">
        <v>0.2</v>
      </c>
      <c r="BV368">
        <v>21.2</v>
      </c>
      <c r="BW368">
        <v>1.2</v>
      </c>
      <c r="BX368">
        <v>0.6</v>
      </c>
      <c r="BZ368">
        <v>22.8</v>
      </c>
      <c r="CE368">
        <v>5.6</v>
      </c>
      <c r="CF368">
        <v>0.9</v>
      </c>
      <c r="CH368">
        <v>11</v>
      </c>
      <c r="CK368">
        <v>1</v>
      </c>
      <c r="CL368">
        <v>1</v>
      </c>
      <c r="CQ368">
        <v>24.7</v>
      </c>
      <c r="CU368">
        <v>24.1</v>
      </c>
      <c r="CY368">
        <v>8.4</v>
      </c>
      <c r="CZ368">
        <v>0.8</v>
      </c>
      <c r="DA368" s="2"/>
      <c r="DD368" s="1">
        <v>41235</v>
      </c>
      <c r="DE368" s="2">
        <f t="shared" si="88"/>
        <v>7.8500000000000014</v>
      </c>
      <c r="DF368" s="2">
        <f t="shared" si="87"/>
        <v>3.8106796116504862</v>
      </c>
      <c r="DG368" s="2">
        <f t="shared" si="89"/>
        <v>33.9</v>
      </c>
      <c r="DH368" s="2">
        <f t="shared" si="90"/>
        <v>0.1</v>
      </c>
      <c r="DI368" s="3">
        <f t="shared" si="82"/>
        <v>0.4854368932038835</v>
      </c>
      <c r="ES368" s="2"/>
    </row>
    <row r="369" spans="1:157" s="2" customFormat="1">
      <c r="A369" s="17" t="s">
        <v>361</v>
      </c>
      <c r="B369"/>
      <c r="C369">
        <v>2.4</v>
      </c>
      <c r="D369"/>
      <c r="E369">
        <v>25.1</v>
      </c>
      <c r="F369"/>
      <c r="G369">
        <v>0.4</v>
      </c>
      <c r="H369"/>
      <c r="I369">
        <v>1.5</v>
      </c>
      <c r="J369">
        <v>27.8</v>
      </c>
      <c r="K369"/>
      <c r="L369">
        <v>11</v>
      </c>
      <c r="M369"/>
      <c r="N369">
        <v>3.6</v>
      </c>
      <c r="O369">
        <v>5.6</v>
      </c>
      <c r="P369"/>
      <c r="Q369"/>
      <c r="R369"/>
      <c r="S369">
        <v>18.5</v>
      </c>
      <c r="T369"/>
      <c r="U369"/>
      <c r="V369">
        <v>1.5</v>
      </c>
      <c r="W369">
        <v>2.5</v>
      </c>
      <c r="X369"/>
      <c r="Y369">
        <v>18.7</v>
      </c>
      <c r="Z369">
        <v>26.9</v>
      </c>
      <c r="AA369">
        <v>5.0999999999999996</v>
      </c>
      <c r="AB369"/>
      <c r="AC369"/>
      <c r="AD369">
        <v>12.1</v>
      </c>
      <c r="AE369"/>
      <c r="AF369">
        <v>1.1000000000000001</v>
      </c>
      <c r="AG369"/>
      <c r="AH369"/>
      <c r="AI369">
        <v>7.5</v>
      </c>
      <c r="AJ369">
        <v>0.7</v>
      </c>
      <c r="AK369"/>
      <c r="AL369">
        <v>6.3</v>
      </c>
      <c r="AM369"/>
      <c r="AN369"/>
      <c r="AO369"/>
      <c r="AP369">
        <v>1.7</v>
      </c>
      <c r="AQ369">
        <v>19</v>
      </c>
      <c r="AR369"/>
      <c r="AS369">
        <v>3</v>
      </c>
      <c r="AT369">
        <v>2.1</v>
      </c>
      <c r="AU369">
        <v>4.5999999999999996</v>
      </c>
      <c r="AV369"/>
      <c r="AW369">
        <v>0.5</v>
      </c>
      <c r="AX369"/>
      <c r="AY369"/>
      <c r="AZ369"/>
      <c r="BA369">
        <v>0.3</v>
      </c>
      <c r="BB369"/>
      <c r="BC369">
        <v>6.2</v>
      </c>
      <c r="BD369"/>
      <c r="BE369"/>
      <c r="BF369">
        <v>1.7</v>
      </c>
      <c r="BG369">
        <v>19</v>
      </c>
      <c r="BH369">
        <v>0.1</v>
      </c>
      <c r="BI369">
        <v>13.4</v>
      </c>
      <c r="BJ369" t="s">
        <v>0</v>
      </c>
      <c r="BK369"/>
      <c r="BL369"/>
      <c r="BM369"/>
      <c r="BN369">
        <v>21.2</v>
      </c>
      <c r="BO369">
        <v>29.7</v>
      </c>
      <c r="BP369"/>
      <c r="BQ369"/>
      <c r="BR369">
        <v>6.2</v>
      </c>
      <c r="BS369"/>
      <c r="BT369"/>
      <c r="BU369"/>
      <c r="BV369"/>
      <c r="BW369">
        <v>0.3</v>
      </c>
      <c r="BX369">
        <v>0.2</v>
      </c>
      <c r="BY369"/>
      <c r="BZ369"/>
      <c r="CA369">
        <v>28.9</v>
      </c>
      <c r="CB369">
        <v>26.2</v>
      </c>
      <c r="CC369"/>
      <c r="CD369"/>
      <c r="CE369">
        <v>3.2</v>
      </c>
      <c r="CF369">
        <v>2.4</v>
      </c>
      <c r="CG369"/>
      <c r="CH369">
        <v>1.3</v>
      </c>
      <c r="CI369"/>
      <c r="CJ369"/>
      <c r="CK369">
        <v>6.5</v>
      </c>
      <c r="CL369">
        <v>16.5</v>
      </c>
      <c r="CM369"/>
      <c r="CN369">
        <v>5</v>
      </c>
      <c r="CO369">
        <v>10.8</v>
      </c>
      <c r="CP369"/>
      <c r="CQ369">
        <v>0.9</v>
      </c>
      <c r="CR369">
        <v>14.4</v>
      </c>
      <c r="CS369"/>
      <c r="CT369"/>
      <c r="CU369">
        <v>4</v>
      </c>
      <c r="CV369"/>
      <c r="CW369">
        <v>5.6</v>
      </c>
      <c r="CX369">
        <v>0.9</v>
      </c>
      <c r="CY369">
        <v>0.5</v>
      </c>
      <c r="CZ369">
        <v>0.2</v>
      </c>
      <c r="DB369"/>
      <c r="DC369"/>
      <c r="DD369" s="1">
        <v>41236</v>
      </c>
      <c r="DE369" s="2">
        <f t="shared" si="88"/>
        <v>8.3615384615384585</v>
      </c>
      <c r="DF369" s="2">
        <f t="shared" si="87"/>
        <v>4.2213592233009694</v>
      </c>
      <c r="DG369" s="2">
        <f t="shared" si="89"/>
        <v>29.7</v>
      </c>
      <c r="DH369" s="2">
        <f t="shared" si="90"/>
        <v>0.1</v>
      </c>
      <c r="DI369" s="3">
        <f t="shared" si="82"/>
        <v>0.5145631067961165</v>
      </c>
      <c r="DK369"/>
      <c r="DL369" s="9"/>
      <c r="DM369" s="9"/>
      <c r="DN369" s="9"/>
      <c r="DO369" s="9"/>
      <c r="DP369" s="9"/>
      <c r="DQ369" s="9"/>
      <c r="DR369"/>
      <c r="DU369"/>
      <c r="DV369"/>
      <c r="DW369"/>
      <c r="DX369"/>
      <c r="DY369"/>
      <c r="DZ369"/>
      <c r="EA369"/>
      <c r="EB369"/>
      <c r="EC369"/>
      <c r="ED369"/>
      <c r="EE369"/>
      <c r="EF369"/>
      <c r="EG369"/>
      <c r="ES369"/>
      <c r="FA369"/>
    </row>
    <row r="370" spans="1:157">
      <c r="A370" s="17" t="s">
        <v>362</v>
      </c>
      <c r="E370">
        <v>0.4</v>
      </c>
      <c r="F370">
        <v>1.6</v>
      </c>
      <c r="I370">
        <v>2.8</v>
      </c>
      <c r="J370">
        <v>16.899999999999999</v>
      </c>
      <c r="K370">
        <v>8.3000000000000007</v>
      </c>
      <c r="L370">
        <v>1.7</v>
      </c>
      <c r="O370">
        <v>6.2</v>
      </c>
      <c r="P370">
        <v>42.7</v>
      </c>
      <c r="S370">
        <v>0.3</v>
      </c>
      <c r="T370">
        <v>0.1</v>
      </c>
      <c r="U370">
        <v>18.100000000000001</v>
      </c>
      <c r="V370">
        <v>1.4</v>
      </c>
      <c r="W370">
        <v>31.1</v>
      </c>
      <c r="X370">
        <v>16.2</v>
      </c>
      <c r="Y370">
        <v>2.2999999999999998</v>
      </c>
      <c r="AA370">
        <v>20.399999999999999</v>
      </c>
      <c r="AB370">
        <v>5.5</v>
      </c>
      <c r="AE370">
        <v>4.0999999999999996</v>
      </c>
      <c r="AG370">
        <v>44.5</v>
      </c>
      <c r="AH370">
        <v>25.2</v>
      </c>
      <c r="AL370">
        <v>1.4</v>
      </c>
      <c r="AP370">
        <v>11.7</v>
      </c>
      <c r="AR370">
        <v>0.3</v>
      </c>
      <c r="AU370">
        <v>2.9</v>
      </c>
      <c r="AV370">
        <v>11.4</v>
      </c>
      <c r="BA370">
        <v>0.3</v>
      </c>
      <c r="BD370">
        <v>0.7</v>
      </c>
      <c r="BF370">
        <v>6.7</v>
      </c>
      <c r="BG370">
        <v>9.3000000000000007</v>
      </c>
      <c r="BI370">
        <v>19.8</v>
      </c>
      <c r="BJ370">
        <v>20.3</v>
      </c>
      <c r="BM370">
        <v>4.2</v>
      </c>
      <c r="BN370">
        <v>16.600000000000001</v>
      </c>
      <c r="BO370">
        <v>18.899999999999999</v>
      </c>
      <c r="BP370">
        <v>0.7</v>
      </c>
      <c r="BR370">
        <v>2</v>
      </c>
      <c r="CA370">
        <v>33.4</v>
      </c>
      <c r="CB370">
        <v>1.2</v>
      </c>
      <c r="CF370">
        <v>2.4</v>
      </c>
      <c r="CH370">
        <v>1.1000000000000001</v>
      </c>
      <c r="CJ370">
        <v>0.2</v>
      </c>
      <c r="CK370">
        <v>0.4</v>
      </c>
      <c r="CL370">
        <v>8</v>
      </c>
      <c r="CN370">
        <v>31.2</v>
      </c>
      <c r="CO370">
        <v>0.3</v>
      </c>
      <c r="CQ370">
        <v>7</v>
      </c>
      <c r="CR370">
        <v>4.5</v>
      </c>
      <c r="CY370">
        <v>7.5</v>
      </c>
      <c r="CZ370">
        <v>2.1</v>
      </c>
      <c r="DA370" s="2"/>
      <c r="DD370" s="1">
        <v>41237</v>
      </c>
      <c r="DE370" s="2">
        <f t="shared" si="88"/>
        <v>9.7204081632653043</v>
      </c>
      <c r="DF370" s="2">
        <f t="shared" si="87"/>
        <v>4.6242718446601936</v>
      </c>
      <c r="DG370" s="2">
        <f t="shared" si="89"/>
        <v>44.5</v>
      </c>
      <c r="DH370" s="2">
        <f t="shared" si="90"/>
        <v>0.1</v>
      </c>
      <c r="DI370" s="3">
        <f t="shared" si="82"/>
        <v>0.47572815533980584</v>
      </c>
      <c r="FA370" s="2"/>
    </row>
    <row r="371" spans="1:157">
      <c r="A371" s="17" t="s">
        <v>363</v>
      </c>
      <c r="E371">
        <v>1</v>
      </c>
      <c r="F371">
        <v>4</v>
      </c>
      <c r="I371">
        <v>0.6</v>
      </c>
      <c r="J371">
        <v>0.3</v>
      </c>
      <c r="K371">
        <v>4.0999999999999996</v>
      </c>
      <c r="O371">
        <v>2.2999999999999998</v>
      </c>
      <c r="P371">
        <v>0.5</v>
      </c>
      <c r="S371">
        <v>3.1</v>
      </c>
      <c r="T371">
        <v>58.2</v>
      </c>
      <c r="V371">
        <v>6</v>
      </c>
      <c r="W371">
        <v>13.6</v>
      </c>
      <c r="Y371">
        <v>17.399999999999999</v>
      </c>
      <c r="Z371">
        <v>2.7</v>
      </c>
      <c r="AA371">
        <v>3.7</v>
      </c>
      <c r="AB371">
        <v>6.2</v>
      </c>
      <c r="AD371">
        <v>1.8</v>
      </c>
      <c r="AE371">
        <v>7.6</v>
      </c>
      <c r="AF371">
        <v>8.4</v>
      </c>
      <c r="AG371">
        <v>8.5</v>
      </c>
      <c r="AI371">
        <v>1.1000000000000001</v>
      </c>
      <c r="AJ371">
        <v>5.0999999999999996</v>
      </c>
      <c r="AL371">
        <v>38.1</v>
      </c>
      <c r="AM371">
        <v>13.3</v>
      </c>
      <c r="AP371">
        <v>3.4</v>
      </c>
      <c r="AR371">
        <v>6.6</v>
      </c>
      <c r="AT371">
        <v>74.2</v>
      </c>
      <c r="AU371">
        <v>5.9</v>
      </c>
      <c r="AV371">
        <v>2.5</v>
      </c>
      <c r="BA371">
        <v>1</v>
      </c>
      <c r="BD371">
        <v>24.3</v>
      </c>
      <c r="BE371">
        <v>3.4</v>
      </c>
      <c r="BF371">
        <v>7.5</v>
      </c>
      <c r="BG371">
        <v>2.7</v>
      </c>
      <c r="BH371">
        <v>0.3</v>
      </c>
      <c r="BI371">
        <v>9.6999999999999993</v>
      </c>
      <c r="BJ371">
        <v>0.6</v>
      </c>
      <c r="BK371">
        <v>43</v>
      </c>
      <c r="BM371">
        <v>0.1</v>
      </c>
      <c r="BN371">
        <v>1.1000000000000001</v>
      </c>
      <c r="BO371">
        <v>0.4</v>
      </c>
      <c r="BR371" t="s">
        <v>0</v>
      </c>
      <c r="BT371">
        <v>3.3</v>
      </c>
      <c r="BV371">
        <v>0.1</v>
      </c>
      <c r="BX371">
        <v>3.5</v>
      </c>
      <c r="CA371">
        <v>23.6</v>
      </c>
      <c r="CB371">
        <v>33.4</v>
      </c>
      <c r="CC371">
        <v>5.0999999999999996</v>
      </c>
      <c r="CD371">
        <v>0.1</v>
      </c>
      <c r="CF371">
        <v>2.2999999999999998</v>
      </c>
      <c r="CG371">
        <v>0.6</v>
      </c>
      <c r="CI371">
        <v>13.5</v>
      </c>
      <c r="CJ371">
        <v>0.5</v>
      </c>
      <c r="CL371">
        <v>2</v>
      </c>
      <c r="CN371">
        <v>5.7</v>
      </c>
      <c r="CQ371">
        <v>2.6</v>
      </c>
      <c r="CR371">
        <v>8.6999999999999993</v>
      </c>
      <c r="CY371">
        <v>0.1</v>
      </c>
      <c r="CZ371">
        <v>5.4</v>
      </c>
      <c r="DA371" s="2"/>
      <c r="DD371" s="1">
        <v>41238</v>
      </c>
      <c r="DE371" s="2">
        <f t="shared" si="88"/>
        <v>8.8561403508771956</v>
      </c>
      <c r="DF371" s="2">
        <f t="shared" si="87"/>
        <v>4.9009708737864086</v>
      </c>
      <c r="DG371" s="2">
        <f t="shared" si="89"/>
        <v>74.2</v>
      </c>
      <c r="DH371" s="2">
        <f t="shared" si="90"/>
        <v>0.1</v>
      </c>
      <c r="DI371" s="3">
        <f t="shared" si="82"/>
        <v>0.56310679611650483</v>
      </c>
    </row>
    <row r="372" spans="1:157">
      <c r="A372" s="17" t="s">
        <v>364</v>
      </c>
      <c r="B372">
        <v>13.5</v>
      </c>
      <c r="C372">
        <v>0.6</v>
      </c>
      <c r="E372">
        <v>2.5</v>
      </c>
      <c r="F372">
        <v>14.4</v>
      </c>
      <c r="G372">
        <v>0.3</v>
      </c>
      <c r="I372">
        <v>0.4</v>
      </c>
      <c r="K372">
        <v>1.5</v>
      </c>
      <c r="L372">
        <v>0.2</v>
      </c>
      <c r="M372">
        <v>0.7</v>
      </c>
      <c r="P372">
        <v>27.5</v>
      </c>
      <c r="R372">
        <v>1.6</v>
      </c>
      <c r="S372">
        <v>29.1</v>
      </c>
      <c r="T372">
        <v>18.2</v>
      </c>
      <c r="V372">
        <v>0.8</v>
      </c>
      <c r="W372">
        <v>1.2</v>
      </c>
      <c r="Z372">
        <v>33.799999999999997</v>
      </c>
      <c r="AA372">
        <v>1.7</v>
      </c>
      <c r="AB372">
        <v>6</v>
      </c>
      <c r="AD372">
        <v>14.6</v>
      </c>
      <c r="AE372">
        <v>5.8</v>
      </c>
      <c r="AF372">
        <v>24.9</v>
      </c>
      <c r="AH372">
        <v>1.8</v>
      </c>
      <c r="AJ372">
        <v>2.4</v>
      </c>
      <c r="AL372">
        <v>9.6999999999999993</v>
      </c>
      <c r="AM372">
        <v>9.1999999999999993</v>
      </c>
      <c r="AR372">
        <v>2.1</v>
      </c>
      <c r="AS372">
        <v>0.6</v>
      </c>
      <c r="AT372">
        <v>37.200000000000003</v>
      </c>
      <c r="AW372">
        <v>6.7</v>
      </c>
      <c r="AZ372">
        <v>1</v>
      </c>
      <c r="BA372">
        <v>1.4</v>
      </c>
      <c r="BE372">
        <v>34.700000000000003</v>
      </c>
      <c r="BG372">
        <v>27.3</v>
      </c>
      <c r="BH372">
        <v>0.1</v>
      </c>
      <c r="BI372">
        <v>1.4</v>
      </c>
      <c r="BJ372">
        <v>2.5</v>
      </c>
      <c r="BK372">
        <v>12.3</v>
      </c>
      <c r="BN372">
        <v>0.7</v>
      </c>
      <c r="BP372">
        <v>0.3</v>
      </c>
      <c r="BR372">
        <v>4.5999999999999996</v>
      </c>
      <c r="BT372">
        <v>7.1</v>
      </c>
      <c r="BY372">
        <v>3.3</v>
      </c>
      <c r="CA372">
        <v>5.6</v>
      </c>
      <c r="CB372">
        <v>8.1999999999999993</v>
      </c>
      <c r="CD372">
        <v>1.5</v>
      </c>
      <c r="CF372">
        <v>3.4</v>
      </c>
      <c r="CG372">
        <v>8.4</v>
      </c>
      <c r="CI372">
        <v>11.7</v>
      </c>
      <c r="CM372">
        <v>1.5</v>
      </c>
      <c r="CN372">
        <v>3.7</v>
      </c>
      <c r="CR372">
        <v>1.7</v>
      </c>
      <c r="CT372">
        <v>1.7</v>
      </c>
      <c r="CU372">
        <v>21.2</v>
      </c>
      <c r="CW372">
        <v>2.2000000000000002</v>
      </c>
      <c r="CX372">
        <v>0.1</v>
      </c>
      <c r="CZ372">
        <v>2.4</v>
      </c>
      <c r="DA372" s="2"/>
      <c r="DD372" s="1">
        <v>41239</v>
      </c>
      <c r="DE372" s="2">
        <f t="shared" si="88"/>
        <v>7.8392857142857135</v>
      </c>
      <c r="DF372" s="2">
        <f t="shared" si="87"/>
        <v>4.2621359223300965</v>
      </c>
      <c r="DG372" s="2">
        <f t="shared" si="89"/>
        <v>37.200000000000003</v>
      </c>
      <c r="DH372" s="2">
        <f t="shared" si="90"/>
        <v>0.1</v>
      </c>
      <c r="DI372" s="3">
        <f t="shared" si="82"/>
        <v>0.5436893203883495</v>
      </c>
    </row>
    <row r="373" spans="1:157">
      <c r="A373" s="17" t="s">
        <v>365</v>
      </c>
      <c r="C373">
        <v>0.5</v>
      </c>
      <c r="E373">
        <v>8.4</v>
      </c>
      <c r="F373">
        <v>27.5</v>
      </c>
      <c r="G373">
        <v>0.1</v>
      </c>
      <c r="I373">
        <v>0.1</v>
      </c>
      <c r="K373">
        <v>0.1</v>
      </c>
      <c r="O373">
        <v>0.8</v>
      </c>
      <c r="P373">
        <v>3.3</v>
      </c>
      <c r="S373">
        <v>4.7</v>
      </c>
      <c r="T373">
        <v>5.3</v>
      </c>
      <c r="X373">
        <v>3.6</v>
      </c>
      <c r="Y373">
        <v>0.2</v>
      </c>
      <c r="Z373">
        <v>11.1</v>
      </c>
      <c r="AB373">
        <v>2.2999999999999998</v>
      </c>
      <c r="AE373">
        <v>0.1</v>
      </c>
      <c r="AF373">
        <v>18.600000000000001</v>
      </c>
      <c r="AG373">
        <v>1.9</v>
      </c>
      <c r="AJ373">
        <v>6.6</v>
      </c>
      <c r="AL373">
        <v>0.1</v>
      </c>
      <c r="AN373">
        <v>0.2</v>
      </c>
      <c r="AO373">
        <v>19.5</v>
      </c>
      <c r="AP373">
        <v>13.6</v>
      </c>
      <c r="AR373">
        <v>4.0999999999999996</v>
      </c>
      <c r="AS373">
        <v>0.4</v>
      </c>
      <c r="AT373">
        <v>0.1</v>
      </c>
      <c r="AW373">
        <v>9</v>
      </c>
      <c r="BA373">
        <v>1.1000000000000001</v>
      </c>
      <c r="BD373">
        <v>0.3</v>
      </c>
      <c r="BE373">
        <v>18.8</v>
      </c>
      <c r="BG373">
        <v>10.6</v>
      </c>
      <c r="BH373">
        <v>20.100000000000001</v>
      </c>
      <c r="BJ373" t="s">
        <v>0</v>
      </c>
      <c r="BK373">
        <v>0.1</v>
      </c>
      <c r="BL373">
        <v>23</v>
      </c>
      <c r="BM373">
        <v>12.1</v>
      </c>
      <c r="BO373">
        <v>14.1</v>
      </c>
      <c r="BP373">
        <v>15.7</v>
      </c>
      <c r="BR373">
        <v>0.1</v>
      </c>
      <c r="BT373">
        <v>10.6</v>
      </c>
      <c r="BW373">
        <v>0.5</v>
      </c>
      <c r="BX373">
        <v>51.5</v>
      </c>
      <c r="BZ373">
        <v>8.1</v>
      </c>
      <c r="CA373">
        <v>5.0999999999999996</v>
      </c>
      <c r="CC373">
        <v>0.1</v>
      </c>
      <c r="CD373">
        <v>6</v>
      </c>
      <c r="CE373">
        <v>0.3</v>
      </c>
      <c r="CF373">
        <v>1</v>
      </c>
      <c r="CG373">
        <v>4.7</v>
      </c>
      <c r="CK373">
        <v>2.5</v>
      </c>
      <c r="CM373">
        <v>3.4</v>
      </c>
      <c r="CP373">
        <v>0.1</v>
      </c>
      <c r="CR373">
        <v>0.3</v>
      </c>
      <c r="CT373">
        <v>1.1000000000000001</v>
      </c>
      <c r="CU373">
        <v>6.8</v>
      </c>
      <c r="CX373">
        <v>0.1</v>
      </c>
      <c r="CY373">
        <v>0.2</v>
      </c>
      <c r="CZ373">
        <v>6</v>
      </c>
      <c r="DA373" s="2"/>
      <c r="DD373" s="1">
        <v>41240</v>
      </c>
      <c r="DE373" s="2">
        <f t="shared" si="88"/>
        <v>6.5464285714285735</v>
      </c>
      <c r="DF373" s="2">
        <f t="shared" si="87"/>
        <v>3.5592233009708751</v>
      </c>
      <c r="DG373" s="2">
        <f t="shared" si="89"/>
        <v>51.5</v>
      </c>
      <c r="DH373" s="2">
        <f t="shared" si="90"/>
        <v>0.1</v>
      </c>
      <c r="DI373" s="3">
        <f t="shared" si="82"/>
        <v>0.55339805825242716</v>
      </c>
      <c r="DU373" s="2"/>
      <c r="DV373" s="2"/>
      <c r="DW373" s="2"/>
      <c r="DX373" s="2"/>
      <c r="DY373" s="2"/>
      <c r="DZ373" s="2"/>
      <c r="EA373" s="2"/>
      <c r="EB373" s="2"/>
      <c r="EC373" s="2"/>
      <c r="ED373" s="2"/>
      <c r="EE373" s="2"/>
      <c r="EF373" s="2"/>
      <c r="EG373" s="2"/>
    </row>
    <row r="374" spans="1:157">
      <c r="A374" s="17" t="s">
        <v>366</v>
      </c>
      <c r="B374">
        <v>1.6</v>
      </c>
      <c r="C374">
        <v>0.7</v>
      </c>
      <c r="E374">
        <v>0.8</v>
      </c>
      <c r="F374">
        <v>16</v>
      </c>
      <c r="M374">
        <v>16.8</v>
      </c>
      <c r="O374">
        <v>2.2000000000000002</v>
      </c>
      <c r="R374">
        <v>10.8</v>
      </c>
      <c r="S374">
        <v>18</v>
      </c>
      <c r="T374">
        <v>38.799999999999997</v>
      </c>
      <c r="X374">
        <v>26.8</v>
      </c>
      <c r="Y374">
        <v>0.4</v>
      </c>
      <c r="Z374">
        <v>2.5</v>
      </c>
      <c r="AB374">
        <v>14.8</v>
      </c>
      <c r="AE374">
        <v>0.1</v>
      </c>
      <c r="AG374">
        <v>10</v>
      </c>
      <c r="AH374">
        <v>29.2</v>
      </c>
      <c r="AJ374">
        <v>28.6</v>
      </c>
      <c r="AK374">
        <v>1.5</v>
      </c>
      <c r="AO374">
        <v>2.2000000000000002</v>
      </c>
      <c r="AP374">
        <v>1.3</v>
      </c>
      <c r="AR374">
        <v>4.2</v>
      </c>
      <c r="AS374">
        <v>0.8</v>
      </c>
      <c r="AV374">
        <v>2.5</v>
      </c>
      <c r="BB374">
        <v>2.7</v>
      </c>
      <c r="BD374">
        <v>31.8</v>
      </c>
      <c r="BE374">
        <v>10.8</v>
      </c>
      <c r="BF374">
        <v>0.6</v>
      </c>
      <c r="BG374">
        <v>17.7</v>
      </c>
      <c r="BI374">
        <v>1.9</v>
      </c>
      <c r="BJ374" t="s">
        <v>0</v>
      </c>
      <c r="BK374">
        <v>0.1</v>
      </c>
      <c r="BL374">
        <v>10.8</v>
      </c>
      <c r="BM374">
        <v>3</v>
      </c>
      <c r="BP374">
        <v>0.1</v>
      </c>
      <c r="BQ374">
        <v>40.200000000000003</v>
      </c>
      <c r="BR374">
        <v>17</v>
      </c>
      <c r="BS374">
        <v>8.5</v>
      </c>
      <c r="BT374">
        <v>0.6</v>
      </c>
      <c r="BV374">
        <v>9.1999999999999993</v>
      </c>
      <c r="BW374">
        <v>0.6</v>
      </c>
      <c r="BX374">
        <v>24.8</v>
      </c>
      <c r="BZ374">
        <v>0.3</v>
      </c>
      <c r="CA374">
        <v>0.1</v>
      </c>
      <c r="CC374">
        <v>29.4</v>
      </c>
      <c r="CD374">
        <v>3.5</v>
      </c>
      <c r="CF374">
        <v>1</v>
      </c>
      <c r="CJ374">
        <v>0.1</v>
      </c>
      <c r="CK374">
        <v>4.9000000000000004</v>
      </c>
      <c r="CM374">
        <v>25.6</v>
      </c>
      <c r="CR374">
        <v>2.9</v>
      </c>
      <c r="CT374">
        <v>0.2</v>
      </c>
      <c r="CV374">
        <v>1.3</v>
      </c>
      <c r="CZ374">
        <v>1.5</v>
      </c>
      <c r="DA374" s="2"/>
      <c r="DD374" s="1">
        <v>41241</v>
      </c>
      <c r="DE374" s="2">
        <f t="shared" si="88"/>
        <v>9.2653846153846171</v>
      </c>
      <c r="DF374" s="2">
        <f t="shared" si="87"/>
        <v>4.6776699029126219</v>
      </c>
      <c r="DG374" s="2">
        <f t="shared" si="89"/>
        <v>40.200000000000003</v>
      </c>
      <c r="DH374" s="2">
        <f t="shared" si="90"/>
        <v>0.1</v>
      </c>
      <c r="DI374" s="3">
        <f t="shared" si="82"/>
        <v>0.5145631067961165</v>
      </c>
    </row>
    <row r="375" spans="1:157">
      <c r="A375" s="17" t="s">
        <v>367</v>
      </c>
      <c r="C375">
        <v>1.1000000000000001</v>
      </c>
      <c r="F375">
        <v>2.6</v>
      </c>
      <c r="G375">
        <v>1.8</v>
      </c>
      <c r="I375">
        <v>0.8</v>
      </c>
      <c r="M375">
        <v>17.600000000000001</v>
      </c>
      <c r="P375">
        <v>12.5</v>
      </c>
      <c r="S375">
        <v>11.5</v>
      </c>
      <c r="T375">
        <v>4.8</v>
      </c>
      <c r="X375">
        <v>14.5</v>
      </c>
      <c r="Z375">
        <v>6.1</v>
      </c>
      <c r="AB375">
        <v>13.6</v>
      </c>
      <c r="AE375">
        <v>1.2</v>
      </c>
      <c r="AF375">
        <v>3.4</v>
      </c>
      <c r="AG375">
        <v>3.2</v>
      </c>
      <c r="AI375">
        <v>0.4</v>
      </c>
      <c r="AJ375">
        <v>2.1</v>
      </c>
      <c r="AK375">
        <v>2.7</v>
      </c>
      <c r="AM375">
        <v>0.6</v>
      </c>
      <c r="AP375">
        <v>1.5</v>
      </c>
      <c r="AV375">
        <v>5.7</v>
      </c>
      <c r="AY375">
        <v>3.6</v>
      </c>
      <c r="BA375">
        <v>0.3</v>
      </c>
      <c r="BC375">
        <v>0.4</v>
      </c>
      <c r="BD375">
        <v>4.2</v>
      </c>
      <c r="BE375">
        <v>1.5</v>
      </c>
      <c r="BF375">
        <v>1.4</v>
      </c>
      <c r="BG375">
        <v>2.5</v>
      </c>
      <c r="BJ375">
        <v>3.7</v>
      </c>
      <c r="BK375">
        <v>0.1</v>
      </c>
      <c r="BL375">
        <v>6.8</v>
      </c>
      <c r="BM375">
        <v>7</v>
      </c>
      <c r="BN375">
        <v>0.2</v>
      </c>
      <c r="BO375">
        <v>7.8</v>
      </c>
      <c r="BP375">
        <v>2</v>
      </c>
      <c r="BQ375">
        <v>10.199999999999999</v>
      </c>
      <c r="BS375">
        <v>0.2</v>
      </c>
      <c r="BT375">
        <v>17.399999999999999</v>
      </c>
      <c r="BX375">
        <v>13</v>
      </c>
      <c r="CB375">
        <v>3.7</v>
      </c>
      <c r="CC375">
        <v>4.9000000000000004</v>
      </c>
      <c r="CD375">
        <v>7.7</v>
      </c>
      <c r="CE375">
        <v>6</v>
      </c>
      <c r="CF375">
        <v>6.2</v>
      </c>
      <c r="CG375">
        <v>0.8</v>
      </c>
      <c r="CH375">
        <v>2.8</v>
      </c>
      <c r="CJ375">
        <v>2</v>
      </c>
      <c r="CK375">
        <v>5.5</v>
      </c>
      <c r="CM375">
        <v>10.5</v>
      </c>
      <c r="CN375">
        <v>16.8</v>
      </c>
      <c r="CQ375">
        <v>0.2</v>
      </c>
      <c r="CR375">
        <v>1.9</v>
      </c>
      <c r="CU375">
        <v>3.4</v>
      </c>
      <c r="CV375">
        <v>12.2</v>
      </c>
      <c r="DA375" s="2"/>
      <c r="DD375" s="1">
        <v>41242</v>
      </c>
      <c r="DE375" s="2">
        <f t="shared" si="88"/>
        <v>5.1811320754716963</v>
      </c>
      <c r="DF375" s="2">
        <f t="shared" si="87"/>
        <v>2.6660194174757272</v>
      </c>
      <c r="DG375" s="2">
        <f t="shared" si="89"/>
        <v>17.600000000000001</v>
      </c>
      <c r="DH375" s="2">
        <f t="shared" si="90"/>
        <v>0.1</v>
      </c>
      <c r="DI375" s="3">
        <f t="shared" si="82"/>
        <v>0.5145631067961165</v>
      </c>
    </row>
    <row r="376" spans="1:157">
      <c r="A376" s="17" t="s">
        <v>368</v>
      </c>
      <c r="C376">
        <v>4.7</v>
      </c>
      <c r="G376">
        <v>1.1000000000000001</v>
      </c>
      <c r="I376">
        <v>1.3</v>
      </c>
      <c r="L376">
        <v>0.8</v>
      </c>
      <c r="M376">
        <v>2.1</v>
      </c>
      <c r="P376">
        <v>2.1</v>
      </c>
      <c r="S376">
        <v>14.5</v>
      </c>
      <c r="T376">
        <v>1.3</v>
      </c>
      <c r="V376">
        <v>54.5</v>
      </c>
      <c r="X376">
        <v>0.5</v>
      </c>
      <c r="Y376">
        <v>0.8</v>
      </c>
      <c r="Z376">
        <v>1.4</v>
      </c>
      <c r="AA376">
        <v>10.8</v>
      </c>
      <c r="AB376">
        <v>7.7</v>
      </c>
      <c r="AC376">
        <v>1</v>
      </c>
      <c r="AE376">
        <v>12</v>
      </c>
      <c r="AG376">
        <v>7.2</v>
      </c>
      <c r="AI376">
        <v>11.1</v>
      </c>
      <c r="AL376">
        <v>0.3</v>
      </c>
      <c r="AM376">
        <v>9.8000000000000007</v>
      </c>
      <c r="AN376">
        <v>34.5</v>
      </c>
      <c r="AT376">
        <v>2.5</v>
      </c>
      <c r="AU376">
        <v>0.5</v>
      </c>
      <c r="AV376">
        <v>22</v>
      </c>
      <c r="AY376">
        <v>3.3</v>
      </c>
      <c r="BE376">
        <v>11.7</v>
      </c>
      <c r="BG376">
        <v>0.2</v>
      </c>
      <c r="BJ376">
        <v>0.1</v>
      </c>
      <c r="BK376">
        <v>0.1</v>
      </c>
      <c r="BL376">
        <v>12</v>
      </c>
      <c r="BM376">
        <v>22.3</v>
      </c>
      <c r="BO376">
        <v>0.9</v>
      </c>
      <c r="BP376">
        <v>0.1</v>
      </c>
      <c r="BQ376">
        <v>4.5999999999999996</v>
      </c>
      <c r="BT376">
        <v>49.8</v>
      </c>
      <c r="BV376">
        <v>5.7</v>
      </c>
      <c r="BX376">
        <v>0.1</v>
      </c>
      <c r="BY376">
        <v>1</v>
      </c>
      <c r="BZ376">
        <v>0.8</v>
      </c>
      <c r="CB376">
        <v>7.5</v>
      </c>
      <c r="CC376">
        <v>10.3</v>
      </c>
      <c r="CD376">
        <v>12.4</v>
      </c>
      <c r="CE376">
        <v>20.8</v>
      </c>
      <c r="CF376">
        <v>4.5</v>
      </c>
      <c r="CG376">
        <v>6.4</v>
      </c>
      <c r="CH376">
        <v>1.5</v>
      </c>
      <c r="CK376">
        <v>4.5</v>
      </c>
      <c r="CM376">
        <v>0.5</v>
      </c>
      <c r="CN376">
        <v>6.2</v>
      </c>
      <c r="CS376">
        <v>0.1</v>
      </c>
      <c r="CT376">
        <v>7.3</v>
      </c>
      <c r="CY376">
        <v>5.2</v>
      </c>
      <c r="DA376" s="2"/>
      <c r="DD376" s="1">
        <v>41243</v>
      </c>
      <c r="DE376" s="2">
        <f t="shared" si="88"/>
        <v>7.7769230769230777</v>
      </c>
      <c r="DF376" s="2">
        <f t="shared" si="87"/>
        <v>3.9262135922330099</v>
      </c>
      <c r="DG376" s="2">
        <f t="shared" si="89"/>
        <v>54.5</v>
      </c>
      <c r="DH376" s="2">
        <f t="shared" si="90"/>
        <v>0.1</v>
      </c>
      <c r="DI376" s="3">
        <f t="shared" si="82"/>
        <v>0.50485436893203883</v>
      </c>
    </row>
    <row r="377" spans="1:157">
      <c r="A377" s="17"/>
      <c r="B377">
        <v>1911</v>
      </c>
      <c r="C377">
        <v>1912</v>
      </c>
      <c r="D377">
        <v>1913</v>
      </c>
      <c r="E377">
        <v>1914</v>
      </c>
      <c r="F377">
        <v>1915</v>
      </c>
      <c r="G377">
        <v>1916</v>
      </c>
      <c r="H377">
        <v>1917</v>
      </c>
      <c r="I377">
        <v>1918</v>
      </c>
      <c r="J377">
        <v>1919</v>
      </c>
      <c r="K377">
        <v>1920</v>
      </c>
      <c r="L377">
        <v>1921</v>
      </c>
      <c r="M377">
        <v>1922</v>
      </c>
      <c r="N377">
        <v>1923</v>
      </c>
      <c r="O377">
        <v>1924</v>
      </c>
      <c r="P377">
        <v>1925</v>
      </c>
      <c r="Q377">
        <v>1926</v>
      </c>
      <c r="R377">
        <v>1927</v>
      </c>
      <c r="S377">
        <v>1928</v>
      </c>
      <c r="T377">
        <v>1929</v>
      </c>
      <c r="U377">
        <v>1930</v>
      </c>
      <c r="V377">
        <v>1931</v>
      </c>
      <c r="W377">
        <v>1932</v>
      </c>
      <c r="X377">
        <v>1933</v>
      </c>
      <c r="Y377">
        <v>1934</v>
      </c>
      <c r="Z377">
        <v>1935</v>
      </c>
      <c r="AA377">
        <v>1936</v>
      </c>
      <c r="AB377">
        <v>1937</v>
      </c>
      <c r="AC377">
        <v>1938</v>
      </c>
      <c r="AD377">
        <v>1939</v>
      </c>
      <c r="AE377">
        <v>1940</v>
      </c>
      <c r="AF377">
        <v>1941</v>
      </c>
      <c r="AG377">
        <v>1942</v>
      </c>
      <c r="AH377">
        <v>1943</v>
      </c>
      <c r="AI377">
        <v>1944</v>
      </c>
      <c r="AJ377">
        <v>1945</v>
      </c>
      <c r="AK377">
        <v>1946</v>
      </c>
      <c r="AL377">
        <v>1947</v>
      </c>
      <c r="AM377">
        <v>1948</v>
      </c>
      <c r="AN377">
        <v>1949</v>
      </c>
      <c r="AO377">
        <v>1950</v>
      </c>
      <c r="AP377">
        <v>1951</v>
      </c>
      <c r="AQ377">
        <v>1952</v>
      </c>
      <c r="AR377">
        <v>1953</v>
      </c>
      <c r="AS377">
        <v>1954</v>
      </c>
      <c r="AT377">
        <v>1955</v>
      </c>
      <c r="AU377">
        <v>1956</v>
      </c>
      <c r="AV377">
        <v>1957</v>
      </c>
      <c r="AW377">
        <v>1958</v>
      </c>
      <c r="AX377">
        <v>1959</v>
      </c>
      <c r="AY377">
        <v>1960</v>
      </c>
      <c r="AZ377">
        <v>1961</v>
      </c>
      <c r="BA377">
        <v>1962</v>
      </c>
      <c r="BB377">
        <v>1963</v>
      </c>
      <c r="BC377">
        <v>1964</v>
      </c>
      <c r="BD377">
        <v>1965</v>
      </c>
      <c r="BE377">
        <v>1966</v>
      </c>
      <c r="BF377">
        <v>1967</v>
      </c>
      <c r="BG377">
        <v>1968</v>
      </c>
      <c r="BH377">
        <v>1969</v>
      </c>
      <c r="BI377">
        <v>1970</v>
      </c>
      <c r="BJ377">
        <v>1971</v>
      </c>
      <c r="BK377">
        <v>1972</v>
      </c>
      <c r="BL377">
        <v>1973</v>
      </c>
      <c r="BM377">
        <v>1974</v>
      </c>
      <c r="BN377">
        <v>1975</v>
      </c>
      <c r="BO377">
        <v>1976</v>
      </c>
      <c r="BP377">
        <v>1977</v>
      </c>
      <c r="BQ377">
        <v>1978</v>
      </c>
      <c r="BR377">
        <v>1979</v>
      </c>
      <c r="BS377">
        <v>1980</v>
      </c>
      <c r="BT377">
        <v>1981</v>
      </c>
      <c r="BU377">
        <v>1982</v>
      </c>
      <c r="BV377">
        <v>1983</v>
      </c>
      <c r="BW377">
        <v>1984</v>
      </c>
      <c r="BX377">
        <v>1985</v>
      </c>
      <c r="BY377">
        <v>1986</v>
      </c>
      <c r="BZ377">
        <v>1987</v>
      </c>
      <c r="CA377">
        <v>1988</v>
      </c>
      <c r="CB377">
        <v>1989</v>
      </c>
      <c r="CC377">
        <v>1990</v>
      </c>
      <c r="CD377">
        <v>1991</v>
      </c>
      <c r="CE377">
        <v>1992</v>
      </c>
      <c r="CF377">
        <v>1993</v>
      </c>
      <c r="CG377">
        <v>1994</v>
      </c>
      <c r="CH377">
        <v>1995</v>
      </c>
      <c r="CI377">
        <v>1996</v>
      </c>
      <c r="CJ377">
        <v>1997</v>
      </c>
      <c r="CK377">
        <v>1998</v>
      </c>
      <c r="CL377">
        <v>1999</v>
      </c>
      <c r="CM377">
        <v>2000</v>
      </c>
      <c r="CN377">
        <v>2001</v>
      </c>
      <c r="CO377">
        <v>2002</v>
      </c>
      <c r="CP377">
        <v>2003</v>
      </c>
      <c r="CQ377">
        <v>2004</v>
      </c>
      <c r="CR377">
        <v>2005</v>
      </c>
      <c r="CS377">
        <v>2006</v>
      </c>
      <c r="CT377">
        <v>2007</v>
      </c>
      <c r="CU377">
        <v>2008</v>
      </c>
      <c r="CV377">
        <v>2009</v>
      </c>
      <c r="CW377">
        <v>2010</v>
      </c>
      <c r="CX377">
        <v>2011</v>
      </c>
      <c r="CY377">
        <v>2012</v>
      </c>
      <c r="CZ377">
        <v>2013</v>
      </c>
      <c r="DA377" s="2"/>
      <c r="DD377" s="1"/>
    </row>
    <row r="378" spans="1:157">
      <c r="A378" s="17" t="s">
        <v>30</v>
      </c>
      <c r="B378">
        <f>SUM(B347:B376)</f>
        <v>22.200000000000003</v>
      </c>
      <c r="C378">
        <f>SUM(C347:C376)</f>
        <v>73.599999999999994</v>
      </c>
      <c r="D378">
        <f>SUM(D347:D376)</f>
        <v>42.899999999999991</v>
      </c>
      <c r="E378">
        <f t="shared" ref="E378:BP378" si="91">SUM(E347:E376)</f>
        <v>144.60000000000005</v>
      </c>
      <c r="F378">
        <f t="shared" si="91"/>
        <v>139.99999999999997</v>
      </c>
      <c r="G378">
        <f t="shared" si="91"/>
        <v>46</v>
      </c>
      <c r="H378">
        <f t="shared" si="91"/>
        <v>40.1</v>
      </c>
      <c r="I378">
        <f t="shared" si="91"/>
        <v>168.3</v>
      </c>
      <c r="J378">
        <f t="shared" si="91"/>
        <v>143.30000000000001</v>
      </c>
      <c r="K378">
        <f t="shared" si="91"/>
        <v>96.299999999999969</v>
      </c>
      <c r="L378">
        <f t="shared" si="91"/>
        <v>64.100000000000009</v>
      </c>
      <c r="M378">
        <f t="shared" si="91"/>
        <v>191.20000000000002</v>
      </c>
      <c r="N378">
        <f t="shared" si="91"/>
        <v>5.9</v>
      </c>
      <c r="O378">
        <f t="shared" si="91"/>
        <v>134.30000000000001</v>
      </c>
      <c r="P378">
        <f t="shared" si="91"/>
        <v>109.39999999999999</v>
      </c>
      <c r="Q378">
        <f t="shared" si="91"/>
        <v>0.2</v>
      </c>
      <c r="R378">
        <f t="shared" si="91"/>
        <v>44.800000000000011</v>
      </c>
      <c r="S378">
        <f t="shared" si="91"/>
        <v>187.1</v>
      </c>
      <c r="T378">
        <f t="shared" si="91"/>
        <v>140</v>
      </c>
      <c r="U378">
        <f t="shared" si="91"/>
        <v>50.7</v>
      </c>
      <c r="V378">
        <f t="shared" si="91"/>
        <v>126.8</v>
      </c>
      <c r="W378">
        <f t="shared" si="91"/>
        <v>154.69999999999999</v>
      </c>
      <c r="X378">
        <f t="shared" si="91"/>
        <v>97.8</v>
      </c>
      <c r="Y378">
        <f t="shared" si="91"/>
        <v>102.9</v>
      </c>
      <c r="Z378">
        <f t="shared" si="91"/>
        <v>166.4</v>
      </c>
      <c r="AA378">
        <f t="shared" si="91"/>
        <v>73.7</v>
      </c>
      <c r="AB378">
        <f t="shared" si="91"/>
        <v>100.99999999999999</v>
      </c>
      <c r="AC378">
        <f t="shared" si="91"/>
        <v>16.899999999999999</v>
      </c>
      <c r="AD378">
        <f t="shared" si="91"/>
        <v>153.10000000000002</v>
      </c>
      <c r="AE378">
        <f t="shared" si="91"/>
        <v>50.900000000000006</v>
      </c>
      <c r="AF378">
        <f t="shared" si="91"/>
        <v>119.5</v>
      </c>
      <c r="AG378">
        <f t="shared" si="91"/>
        <v>191.99999999999997</v>
      </c>
      <c r="AH378">
        <f t="shared" si="91"/>
        <v>119.4</v>
      </c>
      <c r="AI378">
        <f t="shared" si="91"/>
        <v>64.8</v>
      </c>
      <c r="AJ378">
        <f t="shared" si="91"/>
        <v>70.199999999999989</v>
      </c>
      <c r="AK378">
        <f t="shared" si="91"/>
        <v>95.2</v>
      </c>
      <c r="AL378">
        <f t="shared" si="91"/>
        <v>111.39999999999999</v>
      </c>
      <c r="AM378">
        <f t="shared" si="91"/>
        <v>68.600000000000009</v>
      </c>
      <c r="AN378">
        <f t="shared" si="91"/>
        <v>96.6</v>
      </c>
      <c r="AO378">
        <f t="shared" si="91"/>
        <v>116</v>
      </c>
      <c r="AP378">
        <f t="shared" si="91"/>
        <v>84.6</v>
      </c>
      <c r="AQ378">
        <f t="shared" si="91"/>
        <v>139.20000000000002</v>
      </c>
      <c r="AR378">
        <f t="shared" si="91"/>
        <v>50.500000000000007</v>
      </c>
      <c r="AS378">
        <f t="shared" si="91"/>
        <v>60.999999999999986</v>
      </c>
      <c r="AT378">
        <f t="shared" si="91"/>
        <v>348.1</v>
      </c>
      <c r="AU378">
        <f t="shared" si="91"/>
        <v>73.600000000000009</v>
      </c>
      <c r="AV378">
        <f t="shared" si="91"/>
        <v>124.40000000000002</v>
      </c>
      <c r="AW378">
        <f t="shared" si="91"/>
        <v>38</v>
      </c>
      <c r="AX378">
        <f t="shared" si="91"/>
        <v>101.80000000000001</v>
      </c>
      <c r="AY378">
        <f t="shared" si="91"/>
        <v>38.999999999999993</v>
      </c>
      <c r="AZ378">
        <f t="shared" si="91"/>
        <v>53.2</v>
      </c>
      <c r="BA378">
        <f t="shared" si="91"/>
        <v>112.09999999999998</v>
      </c>
      <c r="BB378">
        <f t="shared" si="91"/>
        <v>34.5</v>
      </c>
      <c r="BC378">
        <f t="shared" si="91"/>
        <v>96.100000000000023</v>
      </c>
      <c r="BD378">
        <f t="shared" si="91"/>
        <v>214.8</v>
      </c>
      <c r="BE378">
        <f t="shared" si="91"/>
        <v>121.2</v>
      </c>
      <c r="BF378">
        <f t="shared" si="91"/>
        <v>60.5</v>
      </c>
      <c r="BG378">
        <f t="shared" si="91"/>
        <v>145.29999999999998</v>
      </c>
      <c r="BH378">
        <f t="shared" si="91"/>
        <v>50.000000000000014</v>
      </c>
      <c r="BI378">
        <f t="shared" si="91"/>
        <v>93.700000000000017</v>
      </c>
      <c r="BJ378">
        <f t="shared" si="91"/>
        <v>99.8</v>
      </c>
      <c r="BK378">
        <f t="shared" si="91"/>
        <v>110.89999999999996</v>
      </c>
      <c r="BL378">
        <f t="shared" si="91"/>
        <v>88.4</v>
      </c>
      <c r="BM378">
        <f t="shared" si="91"/>
        <v>85.300000000000026</v>
      </c>
      <c r="BN378">
        <f t="shared" si="91"/>
        <v>74</v>
      </c>
      <c r="BO378">
        <f t="shared" si="91"/>
        <v>79.099999999999994</v>
      </c>
      <c r="BP378">
        <f t="shared" si="91"/>
        <v>83.499999999999986</v>
      </c>
      <c r="BQ378">
        <f t="shared" ref="BQ378:CZ378" si="92">SUM(BQ347:BQ376)</f>
        <v>80.5</v>
      </c>
      <c r="BR378">
        <f t="shared" si="92"/>
        <v>116.19999999999997</v>
      </c>
      <c r="BS378">
        <f t="shared" si="92"/>
        <v>158.79999999999998</v>
      </c>
      <c r="BT378">
        <f t="shared" si="92"/>
        <v>165.59999999999997</v>
      </c>
      <c r="BU378">
        <f t="shared" si="92"/>
        <v>59.9</v>
      </c>
      <c r="BV378">
        <f t="shared" si="92"/>
        <v>99.4</v>
      </c>
      <c r="BW378">
        <f t="shared" si="92"/>
        <v>86</v>
      </c>
      <c r="BX378">
        <f t="shared" si="92"/>
        <v>177</v>
      </c>
      <c r="BY378">
        <f t="shared" si="92"/>
        <v>48.400000000000006</v>
      </c>
      <c r="BZ378">
        <f t="shared" si="92"/>
        <v>98.1</v>
      </c>
      <c r="CA378">
        <f t="shared" si="92"/>
        <v>222.69999999999996</v>
      </c>
      <c r="CB378">
        <f t="shared" si="92"/>
        <v>132.70000000000002</v>
      </c>
      <c r="CC378">
        <f t="shared" si="92"/>
        <v>145.20000000000002</v>
      </c>
      <c r="CD378">
        <f t="shared" si="92"/>
        <v>63.7</v>
      </c>
      <c r="CE378">
        <f t="shared" si="92"/>
        <v>108.29999999999998</v>
      </c>
      <c r="CF378">
        <f t="shared" si="92"/>
        <v>185.3</v>
      </c>
      <c r="CG378">
        <f t="shared" si="92"/>
        <v>111.9</v>
      </c>
      <c r="CH378">
        <f t="shared" si="92"/>
        <v>134.50000000000003</v>
      </c>
      <c r="CI378">
        <f t="shared" si="92"/>
        <v>42.8</v>
      </c>
      <c r="CJ378">
        <f t="shared" si="92"/>
        <v>36.300000000000004</v>
      </c>
      <c r="CK378">
        <f t="shared" si="92"/>
        <v>94.4</v>
      </c>
      <c r="CL378">
        <f t="shared" si="92"/>
        <v>132.69999999999999</v>
      </c>
      <c r="CM378">
        <f t="shared" si="92"/>
        <v>45</v>
      </c>
      <c r="CN378">
        <f t="shared" si="92"/>
        <v>210.7</v>
      </c>
      <c r="CO378">
        <f t="shared" si="92"/>
        <v>99.7</v>
      </c>
      <c r="CP378">
        <f t="shared" si="92"/>
        <v>110.19999999999999</v>
      </c>
      <c r="CQ378">
        <f t="shared" si="92"/>
        <v>110.70000000000002</v>
      </c>
      <c r="CR378">
        <f t="shared" si="92"/>
        <v>118.70000000000002</v>
      </c>
      <c r="CS378">
        <f t="shared" si="92"/>
        <v>74.3</v>
      </c>
      <c r="CT378">
        <f t="shared" si="92"/>
        <v>138.79999999999998</v>
      </c>
      <c r="CU378">
        <f t="shared" si="92"/>
        <v>100.4</v>
      </c>
      <c r="CV378">
        <f t="shared" si="92"/>
        <v>76</v>
      </c>
      <c r="CW378">
        <f t="shared" si="92"/>
        <v>9</v>
      </c>
      <c r="CX378">
        <f t="shared" si="92"/>
        <v>27.9</v>
      </c>
      <c r="CY378">
        <f t="shared" si="92"/>
        <v>82.600000000000009</v>
      </c>
      <c r="CZ378">
        <f t="shared" si="92"/>
        <v>39.900000000000006</v>
      </c>
      <c r="DA378" s="2"/>
      <c r="DD378" s="1"/>
    </row>
    <row r="379" spans="1:157">
      <c r="A379" s="17" t="s">
        <v>4</v>
      </c>
      <c r="B379">
        <f>MAX(B347:B376)</f>
        <v>13.5</v>
      </c>
      <c r="C379">
        <f>MAX(C347:C376)</f>
        <v>38.200000000000003</v>
      </c>
      <c r="D379">
        <f>MAX(D347:D376)</f>
        <v>18.7</v>
      </c>
      <c r="E379">
        <f t="shared" ref="E379:BP379" si="93">MAX(E347:E376)</f>
        <v>36.200000000000003</v>
      </c>
      <c r="F379">
        <f t="shared" si="93"/>
        <v>55.5</v>
      </c>
      <c r="G379">
        <f t="shared" si="93"/>
        <v>14.5</v>
      </c>
      <c r="H379">
        <f t="shared" si="93"/>
        <v>19.7</v>
      </c>
      <c r="I379">
        <f t="shared" si="93"/>
        <v>54.9</v>
      </c>
      <c r="J379">
        <f t="shared" si="93"/>
        <v>33.1</v>
      </c>
      <c r="K379">
        <f t="shared" si="93"/>
        <v>27.5</v>
      </c>
      <c r="L379">
        <f t="shared" si="93"/>
        <v>32.700000000000003</v>
      </c>
      <c r="M379">
        <f t="shared" si="93"/>
        <v>40.5</v>
      </c>
      <c r="N379">
        <f t="shared" si="93"/>
        <v>3.6</v>
      </c>
      <c r="O379">
        <f t="shared" si="93"/>
        <v>40.6</v>
      </c>
      <c r="P379">
        <f t="shared" si="93"/>
        <v>42.7</v>
      </c>
      <c r="Q379">
        <f t="shared" si="93"/>
        <v>0.2</v>
      </c>
      <c r="R379">
        <f t="shared" si="93"/>
        <v>15</v>
      </c>
      <c r="S379">
        <f t="shared" si="93"/>
        <v>30.2</v>
      </c>
      <c r="T379">
        <f t="shared" si="93"/>
        <v>58.2</v>
      </c>
      <c r="U379">
        <f t="shared" si="93"/>
        <v>18.100000000000001</v>
      </c>
      <c r="V379">
        <f t="shared" si="93"/>
        <v>54.5</v>
      </c>
      <c r="W379">
        <f t="shared" si="93"/>
        <v>32.5</v>
      </c>
      <c r="X379">
        <f t="shared" si="93"/>
        <v>26.8</v>
      </c>
      <c r="Y379">
        <f t="shared" si="93"/>
        <v>23.8</v>
      </c>
      <c r="Z379">
        <f t="shared" si="93"/>
        <v>33.799999999999997</v>
      </c>
      <c r="AA379">
        <f t="shared" si="93"/>
        <v>20.399999999999999</v>
      </c>
      <c r="AB379">
        <f t="shared" si="93"/>
        <v>18</v>
      </c>
      <c r="AC379">
        <f t="shared" si="93"/>
        <v>13.6</v>
      </c>
      <c r="AD379">
        <f t="shared" si="93"/>
        <v>33.9</v>
      </c>
      <c r="AE379">
        <f t="shared" si="93"/>
        <v>16.399999999999999</v>
      </c>
      <c r="AF379">
        <f t="shared" si="93"/>
        <v>24.9</v>
      </c>
      <c r="AG379">
        <f t="shared" si="93"/>
        <v>60</v>
      </c>
      <c r="AH379">
        <f t="shared" si="93"/>
        <v>37.5</v>
      </c>
      <c r="AI379">
        <f t="shared" si="93"/>
        <v>18.600000000000001</v>
      </c>
      <c r="AJ379">
        <f t="shared" si="93"/>
        <v>28.6</v>
      </c>
      <c r="AK379">
        <f t="shared" si="93"/>
        <v>31</v>
      </c>
      <c r="AL379">
        <f t="shared" si="93"/>
        <v>38.1</v>
      </c>
      <c r="AM379">
        <f t="shared" si="93"/>
        <v>22.4</v>
      </c>
      <c r="AN379">
        <f t="shared" si="93"/>
        <v>34.5</v>
      </c>
      <c r="AO379">
        <f t="shared" si="93"/>
        <v>30.7</v>
      </c>
      <c r="AP379">
        <f t="shared" si="93"/>
        <v>16.600000000000001</v>
      </c>
      <c r="AQ379">
        <f t="shared" si="93"/>
        <v>34</v>
      </c>
      <c r="AR379">
        <f t="shared" si="93"/>
        <v>15.9</v>
      </c>
      <c r="AS379">
        <f t="shared" si="93"/>
        <v>20.399999999999999</v>
      </c>
      <c r="AT379">
        <f t="shared" si="93"/>
        <v>94.2</v>
      </c>
      <c r="AU379">
        <f t="shared" si="93"/>
        <v>29.3</v>
      </c>
      <c r="AV379">
        <f t="shared" si="93"/>
        <v>22</v>
      </c>
      <c r="AW379">
        <f t="shared" si="93"/>
        <v>15</v>
      </c>
      <c r="AX379">
        <f t="shared" si="93"/>
        <v>17.899999999999999</v>
      </c>
      <c r="AY379">
        <f t="shared" si="93"/>
        <v>13</v>
      </c>
      <c r="AZ379">
        <f t="shared" si="93"/>
        <v>14.2</v>
      </c>
      <c r="BA379">
        <f t="shared" si="93"/>
        <v>44.5</v>
      </c>
      <c r="BB379">
        <f t="shared" si="93"/>
        <v>23.8</v>
      </c>
      <c r="BC379">
        <f t="shared" si="93"/>
        <v>26.8</v>
      </c>
      <c r="BD379">
        <f t="shared" si="93"/>
        <v>61</v>
      </c>
      <c r="BE379">
        <f t="shared" si="93"/>
        <v>34.700000000000003</v>
      </c>
      <c r="BF379">
        <f t="shared" si="93"/>
        <v>16.399999999999999</v>
      </c>
      <c r="BG379">
        <f t="shared" si="93"/>
        <v>27.3</v>
      </c>
      <c r="BH379">
        <f t="shared" si="93"/>
        <v>20.100000000000001</v>
      </c>
      <c r="BI379">
        <f t="shared" si="93"/>
        <v>19.8</v>
      </c>
      <c r="BJ379">
        <f t="shared" si="93"/>
        <v>37</v>
      </c>
      <c r="BK379">
        <f t="shared" si="93"/>
        <v>43</v>
      </c>
      <c r="BL379">
        <f t="shared" si="93"/>
        <v>23</v>
      </c>
      <c r="BM379">
        <f t="shared" si="93"/>
        <v>22.3</v>
      </c>
      <c r="BN379">
        <f t="shared" si="93"/>
        <v>21.2</v>
      </c>
      <c r="BO379">
        <f t="shared" si="93"/>
        <v>29.7</v>
      </c>
      <c r="BP379">
        <f t="shared" si="93"/>
        <v>20.9</v>
      </c>
      <c r="BQ379">
        <f t="shared" ref="BQ379:CZ379" si="94">MAX(BQ347:BQ376)</f>
        <v>40.200000000000003</v>
      </c>
      <c r="BR379">
        <f t="shared" si="94"/>
        <v>47</v>
      </c>
      <c r="BS379">
        <f t="shared" si="94"/>
        <v>47.5</v>
      </c>
      <c r="BT379">
        <f t="shared" si="94"/>
        <v>49.8</v>
      </c>
      <c r="BU379">
        <f t="shared" si="94"/>
        <v>16.899999999999999</v>
      </c>
      <c r="BV379">
        <f t="shared" si="94"/>
        <v>22.5</v>
      </c>
      <c r="BW379">
        <f t="shared" si="94"/>
        <v>31</v>
      </c>
      <c r="BX379">
        <f t="shared" si="94"/>
        <v>51.5</v>
      </c>
      <c r="BY379">
        <f t="shared" si="94"/>
        <v>15.2</v>
      </c>
      <c r="BZ379">
        <f t="shared" si="94"/>
        <v>22.8</v>
      </c>
      <c r="CA379">
        <f t="shared" si="94"/>
        <v>36.299999999999997</v>
      </c>
      <c r="CB379">
        <f t="shared" si="94"/>
        <v>33.4</v>
      </c>
      <c r="CC379">
        <f t="shared" si="94"/>
        <v>39.5</v>
      </c>
      <c r="CD379">
        <f t="shared" si="94"/>
        <v>12.4</v>
      </c>
      <c r="CE379">
        <f t="shared" si="94"/>
        <v>25.7</v>
      </c>
      <c r="CF379">
        <f t="shared" si="94"/>
        <v>68.099999999999994</v>
      </c>
      <c r="CG379">
        <f t="shared" si="94"/>
        <v>32.1</v>
      </c>
      <c r="CH379">
        <f t="shared" si="94"/>
        <v>42.6</v>
      </c>
      <c r="CI379">
        <f t="shared" si="94"/>
        <v>13.5</v>
      </c>
      <c r="CJ379">
        <f t="shared" si="94"/>
        <v>11.5</v>
      </c>
      <c r="CK379">
        <f t="shared" si="94"/>
        <v>24.1</v>
      </c>
      <c r="CL379">
        <f t="shared" si="94"/>
        <v>45</v>
      </c>
      <c r="CM379">
        <f t="shared" si="94"/>
        <v>25.6</v>
      </c>
      <c r="CN379">
        <f t="shared" si="94"/>
        <v>32.5</v>
      </c>
      <c r="CO379">
        <f t="shared" si="94"/>
        <v>25.5</v>
      </c>
      <c r="CP379">
        <f t="shared" si="94"/>
        <v>30.5</v>
      </c>
      <c r="CQ379">
        <f t="shared" si="94"/>
        <v>24.7</v>
      </c>
      <c r="CR379">
        <f t="shared" si="94"/>
        <v>18.100000000000001</v>
      </c>
      <c r="CS379">
        <f t="shared" si="94"/>
        <v>18.8</v>
      </c>
      <c r="CT379">
        <f t="shared" si="94"/>
        <v>32</v>
      </c>
      <c r="CU379">
        <f t="shared" si="94"/>
        <v>24.1</v>
      </c>
      <c r="CV379">
        <f t="shared" si="94"/>
        <v>13.7</v>
      </c>
      <c r="CW379">
        <f t="shared" si="94"/>
        <v>5.6</v>
      </c>
      <c r="CX379">
        <f t="shared" si="94"/>
        <v>6.1</v>
      </c>
      <c r="CY379">
        <f t="shared" si="94"/>
        <v>35.299999999999997</v>
      </c>
      <c r="CZ379">
        <f t="shared" si="94"/>
        <v>8.9</v>
      </c>
      <c r="DA379" s="2"/>
      <c r="DD379" s="1"/>
    </row>
    <row r="380" spans="1:157">
      <c r="A380" s="17"/>
      <c r="DA380" s="2"/>
      <c r="DD380" s="1"/>
    </row>
    <row r="381" spans="1:157">
      <c r="A381" s="17" t="s">
        <v>369</v>
      </c>
      <c r="B381">
        <v>0.1</v>
      </c>
      <c r="D381">
        <v>6.6</v>
      </c>
      <c r="E381">
        <v>0.1</v>
      </c>
      <c r="G381">
        <v>3</v>
      </c>
      <c r="I381">
        <v>9</v>
      </c>
      <c r="L381">
        <v>14</v>
      </c>
      <c r="M381">
        <v>0.8</v>
      </c>
      <c r="R381">
        <v>0.8</v>
      </c>
      <c r="S381">
        <v>23.5</v>
      </c>
      <c r="V381">
        <v>10.6</v>
      </c>
      <c r="AA381">
        <v>7.2</v>
      </c>
      <c r="AD381">
        <v>1.5</v>
      </c>
      <c r="AE381">
        <v>16.100000000000001</v>
      </c>
      <c r="AF381">
        <v>0.7</v>
      </c>
      <c r="AG381">
        <v>1.8</v>
      </c>
      <c r="AI381">
        <v>7.8</v>
      </c>
      <c r="AJ381">
        <v>0.2</v>
      </c>
      <c r="AK381">
        <v>8.6</v>
      </c>
      <c r="AM381">
        <v>4.4000000000000004</v>
      </c>
      <c r="AU381">
        <v>1.6</v>
      </c>
      <c r="AV381">
        <v>51.8</v>
      </c>
      <c r="AW381">
        <v>10.3</v>
      </c>
      <c r="BA381">
        <v>8.8000000000000007</v>
      </c>
      <c r="BB381">
        <v>2.2999999999999998</v>
      </c>
      <c r="BC381">
        <v>5.0999999999999996</v>
      </c>
      <c r="BE381">
        <v>0.2</v>
      </c>
      <c r="BF381">
        <v>1.4</v>
      </c>
      <c r="BG381">
        <v>1</v>
      </c>
      <c r="BH381">
        <v>0.5</v>
      </c>
      <c r="BJ381">
        <v>0.2</v>
      </c>
      <c r="BL381">
        <v>7.6</v>
      </c>
      <c r="BM381">
        <v>0.1</v>
      </c>
      <c r="BP381">
        <v>22</v>
      </c>
      <c r="BR381">
        <v>0.1</v>
      </c>
      <c r="BT381">
        <v>5.9</v>
      </c>
      <c r="BV381">
        <v>0.6</v>
      </c>
      <c r="BX381">
        <v>0.3</v>
      </c>
      <c r="BY381">
        <v>7.2</v>
      </c>
      <c r="BZ381">
        <v>0.7</v>
      </c>
      <c r="CA381">
        <v>0.7</v>
      </c>
      <c r="CB381">
        <v>4.5</v>
      </c>
      <c r="CC381">
        <v>23</v>
      </c>
      <c r="CD381">
        <v>5.9</v>
      </c>
      <c r="CE381">
        <v>2</v>
      </c>
      <c r="CF381">
        <v>4.5</v>
      </c>
      <c r="CG381">
        <v>15.6</v>
      </c>
      <c r="CH381">
        <v>0.2</v>
      </c>
      <c r="CI381">
        <v>2.5</v>
      </c>
      <c r="CJ381">
        <v>2.2000000000000002</v>
      </c>
      <c r="CN381">
        <v>32.9</v>
      </c>
      <c r="CR381">
        <v>0.5</v>
      </c>
      <c r="CS381">
        <v>0.1</v>
      </c>
      <c r="CT381">
        <v>0.4</v>
      </c>
      <c r="CY381">
        <v>21.5</v>
      </c>
      <c r="CZ381">
        <v>0.2</v>
      </c>
      <c r="DA381" s="2"/>
      <c r="DD381" s="1">
        <v>41244</v>
      </c>
      <c r="DE381" s="2">
        <f t="shared" si="88"/>
        <v>6.5672727272727247</v>
      </c>
      <c r="DF381" s="2">
        <f t="shared" ref="DF381:DF411" si="95">SUM(B381:DA381)/(COUNTA(B381:CZ381)+COUNTBLANK(B381:CZ381))</f>
        <v>3.5067961165048533</v>
      </c>
      <c r="DG381" s="2">
        <f t="shared" si="89"/>
        <v>51.8</v>
      </c>
      <c r="DH381" s="2">
        <f t="shared" si="90"/>
        <v>0.1</v>
      </c>
      <c r="DI381" s="3">
        <f t="shared" si="82"/>
        <v>0.53398058252427183</v>
      </c>
    </row>
    <row r="382" spans="1:157">
      <c r="A382" s="17" t="s">
        <v>370</v>
      </c>
      <c r="B382">
        <v>2.1</v>
      </c>
      <c r="I382">
        <v>5</v>
      </c>
      <c r="L382">
        <v>0.8</v>
      </c>
      <c r="R382">
        <v>2.6</v>
      </c>
      <c r="S382">
        <v>37.1</v>
      </c>
      <c r="U382">
        <v>14.1</v>
      </c>
      <c r="V382">
        <v>1</v>
      </c>
      <c r="X382">
        <v>25</v>
      </c>
      <c r="Z382">
        <v>2.2000000000000002</v>
      </c>
      <c r="AA382">
        <v>9.8000000000000007</v>
      </c>
      <c r="AE382">
        <v>13.3</v>
      </c>
      <c r="AF382">
        <v>0.3</v>
      </c>
      <c r="AG382">
        <v>0.2</v>
      </c>
      <c r="AH382">
        <v>12.9</v>
      </c>
      <c r="AI382">
        <v>7.2</v>
      </c>
      <c r="AK382">
        <v>11</v>
      </c>
      <c r="AM382">
        <v>7</v>
      </c>
      <c r="AR382">
        <v>0.1</v>
      </c>
      <c r="AS382">
        <v>0.3</v>
      </c>
      <c r="AU382">
        <v>1.3</v>
      </c>
      <c r="AV382">
        <v>1.3</v>
      </c>
      <c r="AW382">
        <v>16</v>
      </c>
      <c r="BA382">
        <v>36.200000000000003</v>
      </c>
      <c r="BB382">
        <v>14.4</v>
      </c>
      <c r="BC382">
        <v>6.3</v>
      </c>
      <c r="BD382">
        <v>0.8</v>
      </c>
      <c r="BF382">
        <v>1.3</v>
      </c>
      <c r="BG382">
        <v>4</v>
      </c>
      <c r="BH382">
        <v>27</v>
      </c>
      <c r="BI382">
        <v>8.6999999999999993</v>
      </c>
      <c r="BJ382">
        <v>13.5</v>
      </c>
      <c r="BL382">
        <v>8.8000000000000007</v>
      </c>
      <c r="BO382">
        <v>3.7</v>
      </c>
      <c r="BP382">
        <v>6</v>
      </c>
      <c r="BQ382">
        <v>2.2000000000000002</v>
      </c>
      <c r="BR382">
        <v>0.1</v>
      </c>
      <c r="BS382">
        <v>5</v>
      </c>
      <c r="BT382">
        <v>10.4</v>
      </c>
      <c r="BV382">
        <v>0.3</v>
      </c>
      <c r="BY382">
        <v>1.9</v>
      </c>
      <c r="BZ382">
        <v>42.5</v>
      </c>
      <c r="CA382">
        <v>1.9</v>
      </c>
      <c r="CB382">
        <v>7.2</v>
      </c>
      <c r="CC382">
        <v>1.1000000000000001</v>
      </c>
      <c r="CD382">
        <v>1.8</v>
      </c>
      <c r="CF382">
        <v>1.5</v>
      </c>
      <c r="CG382">
        <v>16.600000000000001</v>
      </c>
      <c r="CI382">
        <v>0.6</v>
      </c>
      <c r="CJ382">
        <v>2</v>
      </c>
      <c r="CK382">
        <v>1.5</v>
      </c>
      <c r="CN382">
        <v>28.7</v>
      </c>
      <c r="CP382">
        <v>6.8</v>
      </c>
      <c r="CR382">
        <v>7.7</v>
      </c>
      <c r="CY382">
        <v>14.7</v>
      </c>
      <c r="CZ382">
        <v>9.8000000000000007</v>
      </c>
      <c r="DA382" s="2"/>
      <c r="DD382" s="1">
        <v>41245</v>
      </c>
      <c r="DE382" s="2">
        <f t="shared" si="88"/>
        <v>8.4654545454545467</v>
      </c>
      <c r="DF382" s="2">
        <f t="shared" si="95"/>
        <v>4.5203883495145636</v>
      </c>
      <c r="DG382" s="2">
        <f t="shared" si="89"/>
        <v>42.5</v>
      </c>
      <c r="DH382" s="2">
        <f t="shared" si="90"/>
        <v>0.1</v>
      </c>
      <c r="DI382" s="3">
        <f t="shared" si="82"/>
        <v>0.53398058252427183</v>
      </c>
    </row>
    <row r="383" spans="1:157">
      <c r="A383" s="17" t="s">
        <v>371</v>
      </c>
      <c r="B383">
        <v>5.5</v>
      </c>
      <c r="D383">
        <v>0.4</v>
      </c>
      <c r="H383">
        <v>4.8</v>
      </c>
      <c r="I383">
        <v>6.8</v>
      </c>
      <c r="J383">
        <v>12.7</v>
      </c>
      <c r="N383">
        <v>3.2</v>
      </c>
      <c r="R383">
        <v>0.2</v>
      </c>
      <c r="S383">
        <v>1.8</v>
      </c>
      <c r="U383">
        <v>2.2000000000000002</v>
      </c>
      <c r="V383">
        <v>1.3</v>
      </c>
      <c r="X383">
        <v>7.1</v>
      </c>
      <c r="Z383">
        <v>9.5</v>
      </c>
      <c r="AA383">
        <v>1.1000000000000001</v>
      </c>
      <c r="AC383">
        <v>0.8</v>
      </c>
      <c r="AG383">
        <v>0.1</v>
      </c>
      <c r="AK383">
        <v>1.3</v>
      </c>
      <c r="AL383">
        <v>4</v>
      </c>
      <c r="AM383">
        <v>4.7</v>
      </c>
      <c r="AN383">
        <v>3.5</v>
      </c>
      <c r="AQ383">
        <v>5</v>
      </c>
      <c r="AR383">
        <v>0.3</v>
      </c>
      <c r="AS383">
        <v>7.8</v>
      </c>
      <c r="AV383">
        <v>1.2</v>
      </c>
      <c r="BA383">
        <v>22.7</v>
      </c>
      <c r="BB383">
        <v>2.8</v>
      </c>
      <c r="BD383">
        <v>0.3</v>
      </c>
      <c r="BE383">
        <v>6.4</v>
      </c>
      <c r="BG383">
        <v>9.5</v>
      </c>
      <c r="BH383">
        <v>24.8</v>
      </c>
      <c r="BI383">
        <v>0.8</v>
      </c>
      <c r="BJ383">
        <v>0.1</v>
      </c>
      <c r="BK383">
        <v>0.1</v>
      </c>
      <c r="BL383">
        <v>2.1</v>
      </c>
      <c r="BM383">
        <v>0.5</v>
      </c>
      <c r="BO383">
        <v>18.5</v>
      </c>
      <c r="BP383">
        <v>20.5</v>
      </c>
      <c r="BQ383">
        <v>0.5</v>
      </c>
      <c r="BS383">
        <v>8.5</v>
      </c>
      <c r="BT383">
        <v>13.6</v>
      </c>
      <c r="BU383">
        <v>1.1000000000000001</v>
      </c>
      <c r="BZ383">
        <v>5.3</v>
      </c>
      <c r="CA383">
        <v>3</v>
      </c>
      <c r="CC383">
        <v>4</v>
      </c>
      <c r="CG383">
        <v>15</v>
      </c>
      <c r="CI383">
        <v>5</v>
      </c>
      <c r="CJ383">
        <v>5.3</v>
      </c>
      <c r="CN383">
        <v>30</v>
      </c>
      <c r="CO383">
        <v>0.4</v>
      </c>
      <c r="CP383">
        <v>12.4</v>
      </c>
      <c r="CV383">
        <v>1.1000000000000001</v>
      </c>
      <c r="CY383">
        <v>14.4</v>
      </c>
      <c r="DA383" s="2"/>
      <c r="DD383" s="1">
        <v>41246</v>
      </c>
      <c r="DE383" s="2">
        <f t="shared" si="88"/>
        <v>6.1568627450980395</v>
      </c>
      <c r="DF383" s="2">
        <f t="shared" si="95"/>
        <v>3.0485436893203883</v>
      </c>
      <c r="DG383" s="2">
        <f t="shared" si="89"/>
        <v>30</v>
      </c>
      <c r="DH383" s="2">
        <f t="shared" si="90"/>
        <v>0.1</v>
      </c>
      <c r="DI383" s="3">
        <f t="shared" si="82"/>
        <v>0.49514563106796117</v>
      </c>
    </row>
    <row r="384" spans="1:157">
      <c r="A384" s="17" t="s">
        <v>372</v>
      </c>
      <c r="C384">
        <v>1.2</v>
      </c>
      <c r="F384">
        <v>0.8</v>
      </c>
      <c r="H384">
        <v>8.8000000000000007</v>
      </c>
      <c r="I384">
        <v>3.6</v>
      </c>
      <c r="J384">
        <v>2.4</v>
      </c>
      <c r="L384">
        <v>0.2</v>
      </c>
      <c r="M384">
        <v>12.8</v>
      </c>
      <c r="P384">
        <v>46</v>
      </c>
      <c r="Q384">
        <v>13.4</v>
      </c>
      <c r="S384">
        <v>16</v>
      </c>
      <c r="AA384">
        <v>13.1</v>
      </c>
      <c r="AG384">
        <v>3.4</v>
      </c>
      <c r="AI384">
        <v>0.3</v>
      </c>
      <c r="AL384">
        <v>1.3</v>
      </c>
      <c r="AN384">
        <v>3</v>
      </c>
      <c r="AO384">
        <v>0.2</v>
      </c>
      <c r="AP384">
        <v>0.3</v>
      </c>
      <c r="AR384">
        <v>0.2</v>
      </c>
      <c r="AS384">
        <v>3</v>
      </c>
      <c r="AT384">
        <v>1.9</v>
      </c>
      <c r="AV384">
        <v>25</v>
      </c>
      <c r="BA384">
        <v>29.1</v>
      </c>
      <c r="BC384">
        <v>4.9000000000000004</v>
      </c>
      <c r="BD384">
        <v>55.1</v>
      </c>
      <c r="BE384">
        <v>9.1999999999999993</v>
      </c>
      <c r="BF384">
        <v>5.3</v>
      </c>
      <c r="BG384">
        <v>1.1000000000000001</v>
      </c>
      <c r="BH384">
        <v>0.5</v>
      </c>
      <c r="BI384">
        <v>12</v>
      </c>
      <c r="BL384">
        <v>5.8</v>
      </c>
      <c r="BM384">
        <v>0.2</v>
      </c>
      <c r="BO384">
        <v>0.6</v>
      </c>
      <c r="BP384">
        <v>4</v>
      </c>
      <c r="BS384">
        <v>10.5</v>
      </c>
      <c r="BT384">
        <v>12</v>
      </c>
      <c r="BU384">
        <v>1.1000000000000001</v>
      </c>
      <c r="BW384">
        <v>0.1</v>
      </c>
      <c r="BZ384">
        <v>18.5</v>
      </c>
      <c r="CC384">
        <v>14.3</v>
      </c>
      <c r="CI384">
        <v>12.5</v>
      </c>
      <c r="CJ384">
        <v>8</v>
      </c>
      <c r="CK384">
        <v>0.5</v>
      </c>
      <c r="CN384">
        <v>9.6</v>
      </c>
      <c r="CQ384">
        <v>3</v>
      </c>
      <c r="CR384">
        <v>0.4</v>
      </c>
      <c r="CT384">
        <v>27.3</v>
      </c>
      <c r="CV384">
        <v>0.4</v>
      </c>
      <c r="CW384">
        <v>9.1</v>
      </c>
      <c r="CY384">
        <v>10</v>
      </c>
      <c r="DA384" s="2"/>
      <c r="DD384" s="1">
        <v>41247</v>
      </c>
      <c r="DE384" s="2">
        <f t="shared" si="88"/>
        <v>8.6122448979591866</v>
      </c>
      <c r="DF384" s="2">
        <f t="shared" si="95"/>
        <v>4.0970873786407775</v>
      </c>
      <c r="DG384" s="2">
        <f t="shared" si="89"/>
        <v>55.1</v>
      </c>
      <c r="DH384" s="2">
        <f t="shared" si="90"/>
        <v>0.1</v>
      </c>
      <c r="DI384" s="3">
        <f t="shared" si="82"/>
        <v>0.47572815533980584</v>
      </c>
    </row>
    <row r="385" spans="1:113">
      <c r="A385" s="17" t="s">
        <v>373</v>
      </c>
      <c r="C385">
        <v>1.8</v>
      </c>
      <c r="F385">
        <v>0.2</v>
      </c>
      <c r="G385">
        <v>0.8</v>
      </c>
      <c r="I385">
        <v>20.2</v>
      </c>
      <c r="M385">
        <v>2.7</v>
      </c>
      <c r="N385">
        <v>12.8</v>
      </c>
      <c r="P385">
        <v>28</v>
      </c>
      <c r="S385">
        <v>14.5</v>
      </c>
      <c r="V385">
        <v>2.2000000000000002</v>
      </c>
      <c r="W385">
        <v>0.4</v>
      </c>
      <c r="Y385">
        <v>0.5</v>
      </c>
      <c r="Z385">
        <v>11.5</v>
      </c>
      <c r="AA385">
        <v>2.2000000000000002</v>
      </c>
      <c r="AB385">
        <v>5.5</v>
      </c>
      <c r="AC385">
        <v>0.3</v>
      </c>
      <c r="AD385">
        <v>1.5</v>
      </c>
      <c r="AE385">
        <v>5.5</v>
      </c>
      <c r="AF385">
        <v>0.2</v>
      </c>
      <c r="AG385">
        <v>0.8</v>
      </c>
      <c r="AJ385">
        <v>4.5</v>
      </c>
      <c r="AL385">
        <v>0.2</v>
      </c>
      <c r="AR385">
        <v>0.1</v>
      </c>
      <c r="AT385">
        <v>18.2</v>
      </c>
      <c r="AV385">
        <v>2.2999999999999998</v>
      </c>
      <c r="AX385">
        <v>4.9000000000000004</v>
      </c>
      <c r="AZ385">
        <v>0.3</v>
      </c>
      <c r="BA385">
        <v>1</v>
      </c>
      <c r="BB385">
        <v>32.6</v>
      </c>
      <c r="BC385">
        <v>13.8</v>
      </c>
      <c r="BD385">
        <v>34.1</v>
      </c>
      <c r="BE385">
        <v>0.1</v>
      </c>
      <c r="BF385">
        <v>0.4</v>
      </c>
      <c r="BG385">
        <v>0.8</v>
      </c>
      <c r="BH385">
        <v>0.2</v>
      </c>
      <c r="BI385">
        <v>26</v>
      </c>
      <c r="BJ385">
        <v>3.5</v>
      </c>
      <c r="BL385">
        <v>11.5</v>
      </c>
      <c r="BM385">
        <v>1</v>
      </c>
      <c r="BP385">
        <v>2.7</v>
      </c>
      <c r="BQ385">
        <v>6.8</v>
      </c>
      <c r="BR385">
        <v>0.1</v>
      </c>
      <c r="BS385">
        <v>36.4</v>
      </c>
      <c r="BT385">
        <v>19.5</v>
      </c>
      <c r="BU385">
        <v>1.2</v>
      </c>
      <c r="CA385">
        <v>10.3</v>
      </c>
      <c r="CC385">
        <v>1</v>
      </c>
      <c r="CD385">
        <v>2</v>
      </c>
      <c r="CH385">
        <v>1.2</v>
      </c>
      <c r="CI385">
        <v>2.2000000000000002</v>
      </c>
      <c r="CJ385">
        <v>1</v>
      </c>
      <c r="CK385">
        <v>3</v>
      </c>
      <c r="CN385">
        <v>9.3000000000000007</v>
      </c>
      <c r="CO385">
        <v>2.6</v>
      </c>
      <c r="CT385">
        <v>14.7</v>
      </c>
      <c r="CV385">
        <v>1.2</v>
      </c>
      <c r="CW385">
        <v>3.7</v>
      </c>
      <c r="CY385">
        <v>7</v>
      </c>
      <c r="DA385" s="2"/>
      <c r="DD385" s="1">
        <v>41248</v>
      </c>
      <c r="DE385" s="2">
        <f t="shared" si="88"/>
        <v>6.8947368421052628</v>
      </c>
      <c r="DF385" s="2">
        <f t="shared" si="95"/>
        <v>3.8155339805825244</v>
      </c>
      <c r="DG385" s="2">
        <f t="shared" si="89"/>
        <v>36.4</v>
      </c>
      <c r="DH385" s="2">
        <f t="shared" si="90"/>
        <v>0.1</v>
      </c>
      <c r="DI385" s="3">
        <f t="shared" si="82"/>
        <v>0.55339805825242716</v>
      </c>
    </row>
    <row r="386" spans="1:113">
      <c r="A386" s="17" t="s">
        <v>374</v>
      </c>
      <c r="C386">
        <v>8.1999999999999993</v>
      </c>
      <c r="F386">
        <v>0.1</v>
      </c>
      <c r="H386">
        <v>6</v>
      </c>
      <c r="O386">
        <v>0.2</v>
      </c>
      <c r="P386">
        <v>38.700000000000003</v>
      </c>
      <c r="S386">
        <v>6.4</v>
      </c>
      <c r="AB386">
        <v>3.2</v>
      </c>
      <c r="AC386">
        <v>0.4</v>
      </c>
      <c r="AD386">
        <v>0.2</v>
      </c>
      <c r="AE386">
        <v>10.6</v>
      </c>
      <c r="AJ386">
        <v>1.2</v>
      </c>
      <c r="AL386">
        <v>2</v>
      </c>
      <c r="AM386">
        <v>1.5</v>
      </c>
      <c r="AN386">
        <v>3.3</v>
      </c>
      <c r="AR386">
        <v>0.3</v>
      </c>
      <c r="AS386">
        <v>5.9</v>
      </c>
      <c r="AU386">
        <v>0.5</v>
      </c>
      <c r="AV386">
        <v>30.3</v>
      </c>
      <c r="AW386">
        <v>10</v>
      </c>
      <c r="AX386">
        <v>0.3</v>
      </c>
      <c r="BA386">
        <v>14.9</v>
      </c>
      <c r="BB386">
        <v>59.3</v>
      </c>
      <c r="BC386">
        <v>2.2000000000000002</v>
      </c>
      <c r="BG386">
        <v>4.8</v>
      </c>
      <c r="BH386">
        <v>0.1</v>
      </c>
      <c r="BI386">
        <v>2</v>
      </c>
      <c r="BJ386">
        <v>16.5</v>
      </c>
      <c r="BL386">
        <v>0.1</v>
      </c>
      <c r="BM386">
        <v>10.3</v>
      </c>
      <c r="BO386">
        <v>5.8</v>
      </c>
      <c r="BQ386">
        <v>21.3</v>
      </c>
      <c r="BT386">
        <v>0.4</v>
      </c>
      <c r="BU386">
        <v>0.6</v>
      </c>
      <c r="BV386">
        <v>3.9</v>
      </c>
      <c r="BZ386">
        <v>1.5</v>
      </c>
      <c r="CA386">
        <v>0.1</v>
      </c>
      <c r="CB386">
        <v>0.3</v>
      </c>
      <c r="CD386">
        <v>2.4</v>
      </c>
      <c r="CE386">
        <v>8.4</v>
      </c>
      <c r="CF386">
        <v>0.2</v>
      </c>
      <c r="CI386">
        <v>4.5</v>
      </c>
      <c r="CJ386">
        <v>24.5</v>
      </c>
      <c r="CK386">
        <v>9</v>
      </c>
      <c r="CL386">
        <v>3</v>
      </c>
      <c r="CN386">
        <v>3.7</v>
      </c>
      <c r="CO386">
        <v>2.6</v>
      </c>
      <c r="CQ386">
        <v>6.4</v>
      </c>
      <c r="CT386">
        <v>21.6</v>
      </c>
      <c r="CV386">
        <v>1.3</v>
      </c>
      <c r="CW386">
        <v>0.1</v>
      </c>
      <c r="CX386">
        <v>3.5</v>
      </c>
      <c r="CY386">
        <v>8.8000000000000007</v>
      </c>
      <c r="CZ386">
        <v>8</v>
      </c>
      <c r="DA386" s="2"/>
      <c r="DD386" s="1">
        <v>41249</v>
      </c>
      <c r="DE386" s="2">
        <f t="shared" si="88"/>
        <v>7.1962264150943405</v>
      </c>
      <c r="DF386" s="2">
        <f t="shared" si="95"/>
        <v>3.7029126213592236</v>
      </c>
      <c r="DG386" s="2">
        <f t="shared" si="89"/>
        <v>59.3</v>
      </c>
      <c r="DH386" s="2">
        <f t="shared" si="90"/>
        <v>0.1</v>
      </c>
      <c r="DI386" s="3">
        <f t="shared" si="82"/>
        <v>0.5145631067961165</v>
      </c>
    </row>
    <row r="387" spans="1:113">
      <c r="A387" s="17" t="s">
        <v>375</v>
      </c>
      <c r="B387">
        <v>0.2</v>
      </c>
      <c r="C387">
        <v>0.5</v>
      </c>
      <c r="E387">
        <v>4.8</v>
      </c>
      <c r="F387">
        <v>0.1</v>
      </c>
      <c r="H387">
        <v>1.1000000000000001</v>
      </c>
      <c r="K387">
        <v>0.1</v>
      </c>
      <c r="L387">
        <v>0.6</v>
      </c>
      <c r="O387">
        <v>0.8</v>
      </c>
      <c r="P387">
        <v>13.8</v>
      </c>
      <c r="Q387">
        <v>21</v>
      </c>
      <c r="R387">
        <v>0.7</v>
      </c>
      <c r="S387">
        <v>6.7</v>
      </c>
      <c r="T387">
        <v>0.5</v>
      </c>
      <c r="U387">
        <v>3.4</v>
      </c>
      <c r="X387">
        <v>3.5</v>
      </c>
      <c r="Y387">
        <v>12.3</v>
      </c>
      <c r="AC387">
        <v>0.5</v>
      </c>
      <c r="AE387">
        <v>1</v>
      </c>
      <c r="AI387">
        <v>1.3</v>
      </c>
      <c r="AJ387">
        <v>0.2</v>
      </c>
      <c r="AL387">
        <v>16</v>
      </c>
      <c r="AQ387">
        <v>10.6</v>
      </c>
      <c r="AR387">
        <v>0.2</v>
      </c>
      <c r="AU387">
        <v>6.2</v>
      </c>
      <c r="AV387">
        <v>9.6999999999999993</v>
      </c>
      <c r="AW387">
        <v>14</v>
      </c>
      <c r="AX387">
        <v>2.5</v>
      </c>
      <c r="BA387">
        <v>15.5</v>
      </c>
      <c r="BB387">
        <v>7.3</v>
      </c>
      <c r="BC387">
        <v>20.100000000000001</v>
      </c>
      <c r="BE387">
        <v>16.3</v>
      </c>
      <c r="BG387">
        <v>0.4</v>
      </c>
      <c r="BH387">
        <v>1.1000000000000001</v>
      </c>
      <c r="BI387">
        <v>0.2</v>
      </c>
      <c r="BJ387">
        <v>19</v>
      </c>
      <c r="BK387">
        <v>0.1</v>
      </c>
      <c r="BM387">
        <v>5.3</v>
      </c>
      <c r="BN387">
        <v>16.7</v>
      </c>
      <c r="BP387">
        <v>6.6</v>
      </c>
      <c r="BQ387">
        <v>8.6999999999999993</v>
      </c>
      <c r="BS387">
        <v>0.2</v>
      </c>
      <c r="BV387">
        <v>4.8</v>
      </c>
      <c r="BY387">
        <v>0.1</v>
      </c>
      <c r="CA387">
        <v>23.3</v>
      </c>
      <c r="CB387">
        <v>0.5</v>
      </c>
      <c r="CC387">
        <v>8.9</v>
      </c>
      <c r="CD387">
        <v>66</v>
      </c>
      <c r="CE387">
        <v>3.3</v>
      </c>
      <c r="CG387">
        <v>11</v>
      </c>
      <c r="CI387">
        <v>8.3000000000000007</v>
      </c>
      <c r="CJ387">
        <v>46</v>
      </c>
      <c r="CK387">
        <v>10</v>
      </c>
      <c r="CM387">
        <v>7.4</v>
      </c>
      <c r="CN387">
        <v>38.4</v>
      </c>
      <c r="CO387">
        <v>8.4</v>
      </c>
      <c r="CP387">
        <v>19.7</v>
      </c>
      <c r="CQ387">
        <v>8.8000000000000007</v>
      </c>
      <c r="CT387">
        <v>1.1000000000000001</v>
      </c>
      <c r="CU387">
        <v>1.4</v>
      </c>
      <c r="CX387">
        <v>26.6</v>
      </c>
      <c r="CY387">
        <v>10.199999999999999</v>
      </c>
      <c r="CZ387">
        <v>2.9</v>
      </c>
      <c r="DA387" s="2"/>
      <c r="DD387" s="1">
        <v>41250</v>
      </c>
      <c r="DE387" s="2">
        <f t="shared" si="88"/>
        <v>8.9822580645161292</v>
      </c>
      <c r="DF387" s="2">
        <f t="shared" si="95"/>
        <v>5.4067961165048546</v>
      </c>
      <c r="DG387" s="2">
        <f t="shared" si="89"/>
        <v>66</v>
      </c>
      <c r="DH387" s="2">
        <f t="shared" si="90"/>
        <v>0.1</v>
      </c>
      <c r="DI387" s="3">
        <f t="shared" si="82"/>
        <v>0.60194174757281549</v>
      </c>
    </row>
    <row r="388" spans="1:113">
      <c r="A388" s="17" t="s">
        <v>376</v>
      </c>
      <c r="B388">
        <v>0.3</v>
      </c>
      <c r="C388">
        <v>8.6999999999999993</v>
      </c>
      <c r="D388">
        <v>0.4</v>
      </c>
      <c r="E388">
        <v>0.2</v>
      </c>
      <c r="H388">
        <v>2.6</v>
      </c>
      <c r="J388">
        <v>19.899999999999999</v>
      </c>
      <c r="L388">
        <v>1.5</v>
      </c>
      <c r="M388">
        <v>5.7</v>
      </c>
      <c r="O388">
        <v>5.3</v>
      </c>
      <c r="P388">
        <v>20.100000000000001</v>
      </c>
      <c r="Q388">
        <v>4</v>
      </c>
      <c r="R388">
        <v>1.7</v>
      </c>
      <c r="S388">
        <v>4</v>
      </c>
      <c r="T388">
        <v>0.5</v>
      </c>
      <c r="U388">
        <v>3.7</v>
      </c>
      <c r="V388">
        <v>2.7</v>
      </c>
      <c r="X388">
        <v>0.2</v>
      </c>
      <c r="Z388">
        <v>0.2</v>
      </c>
      <c r="AC388">
        <v>4.5</v>
      </c>
      <c r="AD388">
        <v>24.6</v>
      </c>
      <c r="AE388">
        <v>9</v>
      </c>
      <c r="AF388">
        <v>1.4</v>
      </c>
      <c r="AI388">
        <v>2.2999999999999998</v>
      </c>
      <c r="AJ388">
        <v>4.2</v>
      </c>
      <c r="AK388">
        <v>2.4</v>
      </c>
      <c r="AL388">
        <v>9.4</v>
      </c>
      <c r="AM388">
        <v>1.5</v>
      </c>
      <c r="AQ388">
        <v>8.3000000000000007</v>
      </c>
      <c r="AS388">
        <v>24.1</v>
      </c>
      <c r="AU388">
        <v>5.3</v>
      </c>
      <c r="AX388">
        <v>0.4</v>
      </c>
      <c r="BA388">
        <v>4.4000000000000004</v>
      </c>
      <c r="BB388">
        <v>0.1</v>
      </c>
      <c r="BC388">
        <v>29.2</v>
      </c>
      <c r="BE388">
        <v>19.5</v>
      </c>
      <c r="BG388">
        <v>0.2</v>
      </c>
      <c r="BH388">
        <v>0.2</v>
      </c>
      <c r="BI388">
        <v>0.4</v>
      </c>
      <c r="BK388">
        <v>0.1</v>
      </c>
      <c r="BL388">
        <v>0.1</v>
      </c>
      <c r="BM388">
        <v>11</v>
      </c>
      <c r="BO388">
        <v>18.899999999999999</v>
      </c>
      <c r="BP388">
        <v>6</v>
      </c>
      <c r="BQ388">
        <v>17.5</v>
      </c>
      <c r="BS388">
        <v>13.7</v>
      </c>
      <c r="BV388">
        <v>0.1</v>
      </c>
      <c r="BZ388">
        <v>1.9</v>
      </c>
      <c r="CA388">
        <v>28</v>
      </c>
      <c r="CC388">
        <v>8.5</v>
      </c>
      <c r="CD388">
        <v>7.5</v>
      </c>
      <c r="CF388">
        <v>11.9</v>
      </c>
      <c r="CI388">
        <v>4.5</v>
      </c>
      <c r="CJ388">
        <v>23.5</v>
      </c>
      <c r="CK388">
        <v>19</v>
      </c>
      <c r="CM388">
        <v>1</v>
      </c>
      <c r="CN388">
        <v>28.5</v>
      </c>
      <c r="CO388">
        <v>22</v>
      </c>
      <c r="CP388">
        <v>0.2</v>
      </c>
      <c r="CR388">
        <v>2.4</v>
      </c>
      <c r="CU388">
        <v>2.5</v>
      </c>
      <c r="CV388">
        <v>3.2</v>
      </c>
      <c r="CX388">
        <v>1.8</v>
      </c>
      <c r="CZ388">
        <v>1.8</v>
      </c>
      <c r="DA388" s="2"/>
      <c r="DD388" s="1">
        <v>41251</v>
      </c>
      <c r="DE388" s="2">
        <f t="shared" si="88"/>
        <v>7.439682539682539</v>
      </c>
      <c r="DF388" s="2">
        <f t="shared" si="95"/>
        <v>4.5504854368932035</v>
      </c>
      <c r="DG388" s="2">
        <f t="shared" si="89"/>
        <v>29.2</v>
      </c>
      <c r="DH388" s="2">
        <f t="shared" si="90"/>
        <v>0.1</v>
      </c>
      <c r="DI388" s="3">
        <f t="shared" ref="DI388:DI411" si="96">(COUNTA(B388:CZ388)/(COUNTA(B388:CZ388)+COUNTBLANK(B388:CZ388)))</f>
        <v>0.61165048543689315</v>
      </c>
    </row>
    <row r="389" spans="1:113">
      <c r="A389" s="17" t="s">
        <v>377</v>
      </c>
      <c r="C389">
        <v>6.6</v>
      </c>
      <c r="D389">
        <v>29.3</v>
      </c>
      <c r="E389">
        <v>0.2</v>
      </c>
      <c r="G389">
        <v>1.8</v>
      </c>
      <c r="K389">
        <v>7.8</v>
      </c>
      <c r="M389">
        <v>10.7</v>
      </c>
      <c r="N389">
        <v>0.5</v>
      </c>
      <c r="O389">
        <v>33</v>
      </c>
      <c r="P389">
        <v>2.7</v>
      </c>
      <c r="Q389">
        <v>15.5</v>
      </c>
      <c r="R389">
        <v>15.8</v>
      </c>
      <c r="U389">
        <v>3</v>
      </c>
      <c r="X389">
        <v>4</v>
      </c>
      <c r="Y389">
        <v>1</v>
      </c>
      <c r="AC389">
        <v>4.8</v>
      </c>
      <c r="AD389">
        <v>10</v>
      </c>
      <c r="AE389">
        <v>1</v>
      </c>
      <c r="AF389">
        <v>28.7</v>
      </c>
      <c r="AH389">
        <v>4.5</v>
      </c>
      <c r="AJ389">
        <v>11.5</v>
      </c>
      <c r="AK389">
        <v>2.2999999999999998</v>
      </c>
      <c r="AL389">
        <v>0.4</v>
      </c>
      <c r="AM389">
        <v>2.6</v>
      </c>
      <c r="AP389">
        <v>1</v>
      </c>
      <c r="AS389">
        <v>2.2000000000000002</v>
      </c>
      <c r="AU389">
        <v>3.2</v>
      </c>
      <c r="AX389">
        <v>2.1</v>
      </c>
      <c r="AZ389">
        <v>19</v>
      </c>
      <c r="BA389">
        <v>8.1</v>
      </c>
      <c r="BB389">
        <v>0.5</v>
      </c>
      <c r="BC389">
        <v>27.5</v>
      </c>
      <c r="BE389">
        <v>0.4</v>
      </c>
      <c r="BF389">
        <v>6.8</v>
      </c>
      <c r="BG389">
        <v>36.799999999999997</v>
      </c>
      <c r="BH389">
        <v>3.1</v>
      </c>
      <c r="BI389">
        <v>1</v>
      </c>
      <c r="BJ389">
        <v>2.8</v>
      </c>
      <c r="BK389">
        <v>0.1</v>
      </c>
      <c r="BL389">
        <v>0.1</v>
      </c>
      <c r="BM389">
        <v>11</v>
      </c>
      <c r="BN389">
        <v>0.1</v>
      </c>
      <c r="BS389">
        <v>24.1</v>
      </c>
      <c r="BV389">
        <v>8.9</v>
      </c>
      <c r="BZ389">
        <v>58.5</v>
      </c>
      <c r="CA389">
        <v>13</v>
      </c>
      <c r="CB389">
        <v>27.4</v>
      </c>
      <c r="CD389">
        <v>1.1000000000000001</v>
      </c>
      <c r="CE389">
        <v>4.3</v>
      </c>
      <c r="CH389">
        <v>3.4</v>
      </c>
      <c r="CI389">
        <v>1</v>
      </c>
      <c r="CK389">
        <v>39</v>
      </c>
      <c r="CN389">
        <v>29.7</v>
      </c>
      <c r="CO389">
        <v>17</v>
      </c>
      <c r="CT389">
        <v>2.7</v>
      </c>
      <c r="CU389">
        <v>5</v>
      </c>
      <c r="CV389">
        <v>0.5</v>
      </c>
      <c r="CW389">
        <v>21.5</v>
      </c>
      <c r="CY389">
        <v>9.5</v>
      </c>
      <c r="CZ389">
        <v>4.9000000000000004</v>
      </c>
      <c r="DA389" s="2"/>
      <c r="DD389" s="1">
        <v>41252</v>
      </c>
      <c r="DE389" s="2">
        <f t="shared" si="88"/>
        <v>10.084745762711867</v>
      </c>
      <c r="DF389" s="2">
        <f t="shared" si="95"/>
        <v>5.776699029126215</v>
      </c>
      <c r="DG389" s="2">
        <f t="shared" si="89"/>
        <v>58.5</v>
      </c>
      <c r="DH389" s="2">
        <f t="shared" si="90"/>
        <v>0.1</v>
      </c>
      <c r="DI389" s="3">
        <f t="shared" si="96"/>
        <v>0.57281553398058249</v>
      </c>
    </row>
    <row r="390" spans="1:113">
      <c r="A390" s="17" t="s">
        <v>378</v>
      </c>
      <c r="D390">
        <v>2</v>
      </c>
      <c r="E390">
        <v>0.3</v>
      </c>
      <c r="I390">
        <v>0.2</v>
      </c>
      <c r="J390">
        <v>4.3</v>
      </c>
      <c r="K390">
        <v>0.8</v>
      </c>
      <c r="L390">
        <v>3.7</v>
      </c>
      <c r="O390">
        <v>11.5</v>
      </c>
      <c r="P390">
        <v>2.2000000000000002</v>
      </c>
      <c r="Q390">
        <v>6.5</v>
      </c>
      <c r="R390">
        <v>4.2</v>
      </c>
      <c r="W390">
        <v>0.3</v>
      </c>
      <c r="X390">
        <v>20.6</v>
      </c>
      <c r="Z390">
        <v>8.5</v>
      </c>
      <c r="AC390">
        <v>0.6</v>
      </c>
      <c r="AD390">
        <v>22.5</v>
      </c>
      <c r="AE390">
        <v>13.9</v>
      </c>
      <c r="AF390">
        <v>1</v>
      </c>
      <c r="AH390">
        <v>0.3</v>
      </c>
      <c r="AJ390">
        <v>0.3</v>
      </c>
      <c r="AK390">
        <v>1.2</v>
      </c>
      <c r="AL390">
        <v>0.5</v>
      </c>
      <c r="AN390">
        <v>0.9</v>
      </c>
      <c r="AP390">
        <v>1.7</v>
      </c>
      <c r="AQ390">
        <v>1.1000000000000001</v>
      </c>
      <c r="AV390">
        <v>6.1</v>
      </c>
      <c r="AX390">
        <v>5</v>
      </c>
      <c r="AZ390">
        <v>10.1</v>
      </c>
      <c r="BA390">
        <v>0.5</v>
      </c>
      <c r="BB390">
        <v>1</v>
      </c>
      <c r="BC390">
        <v>4.2</v>
      </c>
      <c r="BD390">
        <v>0.3</v>
      </c>
      <c r="BF390">
        <v>4.3</v>
      </c>
      <c r="BG390">
        <v>23.5</v>
      </c>
      <c r="BH390">
        <v>0.1</v>
      </c>
      <c r="BI390">
        <v>6.5</v>
      </c>
      <c r="BJ390">
        <v>12.2</v>
      </c>
      <c r="BK390">
        <v>0.1</v>
      </c>
      <c r="BL390">
        <v>6.7</v>
      </c>
      <c r="BM390">
        <v>13.7</v>
      </c>
      <c r="BP390">
        <v>5.4</v>
      </c>
      <c r="BQ390">
        <v>0.2</v>
      </c>
      <c r="BS390">
        <v>3.9</v>
      </c>
      <c r="BV390">
        <v>0.1</v>
      </c>
      <c r="BX390">
        <v>1.6</v>
      </c>
      <c r="BY390">
        <v>0.1</v>
      </c>
      <c r="BZ390">
        <v>1.5</v>
      </c>
      <c r="CA390">
        <v>9.4</v>
      </c>
      <c r="CB390">
        <v>3.2</v>
      </c>
      <c r="CD390">
        <v>14.5</v>
      </c>
      <c r="CE390">
        <v>2.2999999999999998</v>
      </c>
      <c r="CG390">
        <v>0.5</v>
      </c>
      <c r="CH390">
        <v>5.5</v>
      </c>
      <c r="CN390">
        <v>0.8</v>
      </c>
      <c r="CO390">
        <v>5</v>
      </c>
      <c r="CR390">
        <v>0.9</v>
      </c>
      <c r="CT390">
        <v>0.7</v>
      </c>
      <c r="CV390">
        <v>6.7</v>
      </c>
      <c r="CW390">
        <v>28.5</v>
      </c>
      <c r="CY390">
        <v>11.4</v>
      </c>
      <c r="CZ390">
        <v>14</v>
      </c>
      <c r="DA390" s="2"/>
      <c r="DD390" s="1">
        <v>41253</v>
      </c>
      <c r="DE390" s="2">
        <f t="shared" si="88"/>
        <v>5.3266666666666653</v>
      </c>
      <c r="DF390" s="2">
        <f t="shared" si="95"/>
        <v>3.1029126213592226</v>
      </c>
      <c r="DG390" s="2">
        <f t="shared" si="89"/>
        <v>28.5</v>
      </c>
      <c r="DH390" s="2">
        <f t="shared" si="90"/>
        <v>0.1</v>
      </c>
      <c r="DI390" s="3">
        <f t="shared" si="96"/>
        <v>0.58252427184466016</v>
      </c>
    </row>
    <row r="391" spans="1:113">
      <c r="A391" s="17" t="s">
        <v>379</v>
      </c>
      <c r="D391">
        <v>1.3</v>
      </c>
      <c r="F391">
        <v>0.1</v>
      </c>
      <c r="J391">
        <v>1.1000000000000001</v>
      </c>
      <c r="L391">
        <v>38.6</v>
      </c>
      <c r="M391">
        <v>18.3</v>
      </c>
      <c r="N391">
        <v>47.2</v>
      </c>
      <c r="O391">
        <v>6.3</v>
      </c>
      <c r="Q391">
        <v>11.9</v>
      </c>
      <c r="S391">
        <v>6</v>
      </c>
      <c r="U391">
        <v>12</v>
      </c>
      <c r="V391">
        <v>3.8</v>
      </c>
      <c r="W391">
        <v>4.5</v>
      </c>
      <c r="Z391">
        <v>7</v>
      </c>
      <c r="AD391">
        <v>3.3</v>
      </c>
      <c r="AE391">
        <v>2</v>
      </c>
      <c r="AH391">
        <v>7.7</v>
      </c>
      <c r="AI391">
        <v>0.3</v>
      </c>
      <c r="AJ391">
        <v>7.5</v>
      </c>
      <c r="AN391">
        <v>1</v>
      </c>
      <c r="AO391">
        <v>0.7</v>
      </c>
      <c r="AP391">
        <v>22</v>
      </c>
      <c r="AR391">
        <v>2.4</v>
      </c>
      <c r="AT391">
        <v>0.2</v>
      </c>
      <c r="AU391">
        <v>4.4000000000000004</v>
      </c>
      <c r="AV391">
        <v>0.6</v>
      </c>
      <c r="AW391">
        <v>1.2</v>
      </c>
      <c r="AY391">
        <v>1.1000000000000001</v>
      </c>
      <c r="AZ391">
        <v>1.7</v>
      </c>
      <c r="BC391">
        <v>0.3</v>
      </c>
      <c r="BD391">
        <v>0.3</v>
      </c>
      <c r="BE391">
        <v>1.8</v>
      </c>
      <c r="BF391">
        <v>0.5</v>
      </c>
      <c r="BG391">
        <v>0.2</v>
      </c>
      <c r="BH391">
        <v>14.2</v>
      </c>
      <c r="BI391">
        <v>3.2</v>
      </c>
      <c r="BJ391">
        <v>37.5</v>
      </c>
      <c r="BK391">
        <v>0.7</v>
      </c>
      <c r="BL391">
        <v>0.2</v>
      </c>
      <c r="BM391">
        <v>1.5</v>
      </c>
      <c r="BO391">
        <v>39.4</v>
      </c>
      <c r="BP391">
        <v>3.5</v>
      </c>
      <c r="BQ391">
        <v>0.2</v>
      </c>
      <c r="BR391">
        <v>0.1</v>
      </c>
      <c r="BW391">
        <v>13.5</v>
      </c>
      <c r="BX391">
        <v>0.4</v>
      </c>
      <c r="BY391">
        <v>1.1000000000000001</v>
      </c>
      <c r="CE391">
        <v>0.8</v>
      </c>
      <c r="CG391">
        <v>4</v>
      </c>
      <c r="CH391">
        <v>0.3</v>
      </c>
      <c r="CK391">
        <v>16</v>
      </c>
      <c r="CM391">
        <v>7</v>
      </c>
      <c r="CN391">
        <v>0.7</v>
      </c>
      <c r="CO391">
        <v>5.6</v>
      </c>
      <c r="CS391">
        <v>2.1</v>
      </c>
      <c r="CT391">
        <v>0.6</v>
      </c>
      <c r="CV391">
        <v>26</v>
      </c>
      <c r="CW391">
        <v>13.6</v>
      </c>
      <c r="CY391">
        <v>5.2</v>
      </c>
      <c r="CZ391">
        <v>10.199999999999999</v>
      </c>
      <c r="DA391" s="2"/>
      <c r="DD391" s="1">
        <v>41254</v>
      </c>
      <c r="DE391" s="2">
        <f t="shared" si="88"/>
        <v>7.2016949152542376</v>
      </c>
      <c r="DF391" s="2">
        <f t="shared" si="95"/>
        <v>4.1252427184466018</v>
      </c>
      <c r="DG391" s="2">
        <f t="shared" si="89"/>
        <v>47.2</v>
      </c>
      <c r="DH391" s="2">
        <f t="shared" si="90"/>
        <v>0.1</v>
      </c>
      <c r="DI391" s="3">
        <f t="shared" si="96"/>
        <v>0.57281553398058249</v>
      </c>
    </row>
    <row r="392" spans="1:113">
      <c r="A392" s="17" t="s">
        <v>380</v>
      </c>
      <c r="B392">
        <v>21</v>
      </c>
      <c r="C392">
        <v>6</v>
      </c>
      <c r="D392">
        <v>18.399999999999999</v>
      </c>
      <c r="G392">
        <v>4</v>
      </c>
      <c r="J392">
        <v>11.5</v>
      </c>
      <c r="K392">
        <v>12.3</v>
      </c>
      <c r="M392">
        <v>25.9</v>
      </c>
      <c r="O392">
        <v>3.5</v>
      </c>
      <c r="P392">
        <v>3.3</v>
      </c>
      <c r="Q392">
        <v>0.9</v>
      </c>
      <c r="R392">
        <v>0.8</v>
      </c>
      <c r="S392">
        <v>0.3</v>
      </c>
      <c r="T392">
        <v>0.7</v>
      </c>
      <c r="U392">
        <v>17.899999999999999</v>
      </c>
      <c r="V392">
        <v>40.1</v>
      </c>
      <c r="W392">
        <v>2.5</v>
      </c>
      <c r="X392">
        <v>10.5</v>
      </c>
      <c r="Y392">
        <v>1.8</v>
      </c>
      <c r="Z392">
        <v>5</v>
      </c>
      <c r="AB392">
        <v>0.4</v>
      </c>
      <c r="AC392">
        <v>1.8</v>
      </c>
      <c r="AE392">
        <v>44.3</v>
      </c>
      <c r="AF392">
        <v>1</v>
      </c>
      <c r="AH392">
        <v>16.7</v>
      </c>
      <c r="AJ392">
        <v>1.9</v>
      </c>
      <c r="AK392">
        <v>6</v>
      </c>
      <c r="AP392">
        <v>41.6</v>
      </c>
      <c r="AR392">
        <v>1.9</v>
      </c>
      <c r="AT392">
        <v>6</v>
      </c>
      <c r="AU392">
        <v>2.5</v>
      </c>
      <c r="AV392">
        <v>1.9</v>
      </c>
      <c r="AW392">
        <v>9</v>
      </c>
      <c r="AY392">
        <v>0.3</v>
      </c>
      <c r="AZ392">
        <v>2.6</v>
      </c>
      <c r="BB392">
        <v>2.1</v>
      </c>
      <c r="BC392">
        <v>10</v>
      </c>
      <c r="BD392">
        <v>4.7</v>
      </c>
      <c r="BE392">
        <v>11.8</v>
      </c>
      <c r="BF392">
        <v>0.4</v>
      </c>
      <c r="BH392">
        <v>15.7</v>
      </c>
      <c r="BI392">
        <v>17.3</v>
      </c>
      <c r="BK392">
        <v>0.1</v>
      </c>
      <c r="BM392">
        <v>0.1</v>
      </c>
      <c r="BO392">
        <v>13.8</v>
      </c>
      <c r="BP392">
        <v>2.5</v>
      </c>
      <c r="BR392">
        <v>29</v>
      </c>
      <c r="BT392">
        <v>1.8</v>
      </c>
      <c r="BV392">
        <v>14.9</v>
      </c>
      <c r="BW392">
        <v>7.4</v>
      </c>
      <c r="BX392">
        <v>1.5</v>
      </c>
      <c r="BY392">
        <v>3.6</v>
      </c>
      <c r="CC392">
        <v>3</v>
      </c>
      <c r="CD392">
        <v>3</v>
      </c>
      <c r="CE392">
        <v>0.2</v>
      </c>
      <c r="CF392">
        <v>29.5</v>
      </c>
      <c r="CI392">
        <v>2</v>
      </c>
      <c r="CK392">
        <v>1</v>
      </c>
      <c r="CM392">
        <v>5</v>
      </c>
      <c r="CN392">
        <v>5.5</v>
      </c>
      <c r="CO392">
        <v>0.1</v>
      </c>
      <c r="CR392">
        <v>0.1</v>
      </c>
      <c r="CS392">
        <v>1</v>
      </c>
      <c r="CT392">
        <v>1.4</v>
      </c>
      <c r="CU392">
        <v>3.2</v>
      </c>
      <c r="CV392">
        <v>31.3</v>
      </c>
      <c r="CY392">
        <v>0.2</v>
      </c>
      <c r="CZ392">
        <v>0.5</v>
      </c>
      <c r="DA392" s="2"/>
      <c r="DD392" s="1">
        <v>41255</v>
      </c>
      <c r="DE392" s="2">
        <f t="shared" si="88"/>
        <v>8.1791044776119417</v>
      </c>
      <c r="DF392" s="2">
        <f t="shared" si="95"/>
        <v>5.3203883495145643</v>
      </c>
      <c r="DG392" s="2">
        <f t="shared" si="89"/>
        <v>44.3</v>
      </c>
      <c r="DH392" s="2">
        <f t="shared" si="90"/>
        <v>0.1</v>
      </c>
      <c r="DI392" s="3">
        <f t="shared" si="96"/>
        <v>0.65048543689320393</v>
      </c>
    </row>
    <row r="393" spans="1:113">
      <c r="A393" s="17" t="s">
        <v>381</v>
      </c>
      <c r="D393">
        <v>10.8</v>
      </c>
      <c r="G393">
        <v>0.6</v>
      </c>
      <c r="J393">
        <v>4.5</v>
      </c>
      <c r="K393">
        <v>2</v>
      </c>
      <c r="L393">
        <v>0.7</v>
      </c>
      <c r="M393">
        <v>3.9</v>
      </c>
      <c r="O393">
        <v>3.2</v>
      </c>
      <c r="P393">
        <v>13.4</v>
      </c>
      <c r="R393">
        <v>0.8</v>
      </c>
      <c r="S393">
        <v>5.7</v>
      </c>
      <c r="T393">
        <v>11.5</v>
      </c>
      <c r="U393">
        <v>2.8</v>
      </c>
      <c r="W393">
        <v>0.2</v>
      </c>
      <c r="X393">
        <v>0.1</v>
      </c>
      <c r="Z393">
        <v>20.100000000000001</v>
      </c>
      <c r="AC393">
        <v>2.5</v>
      </c>
      <c r="AD393">
        <v>10.8</v>
      </c>
      <c r="AE393">
        <v>26.9</v>
      </c>
      <c r="AH393">
        <v>0.6</v>
      </c>
      <c r="AI393">
        <v>0.3</v>
      </c>
      <c r="AK393">
        <v>25.8</v>
      </c>
      <c r="AL393">
        <v>7</v>
      </c>
      <c r="AM393">
        <v>6.4</v>
      </c>
      <c r="AN393">
        <v>0.2</v>
      </c>
      <c r="AP393">
        <v>1</v>
      </c>
      <c r="AR393">
        <v>3.4</v>
      </c>
      <c r="AT393">
        <v>1</v>
      </c>
      <c r="AW393">
        <v>4.5</v>
      </c>
      <c r="AY393">
        <v>8</v>
      </c>
      <c r="AZ393">
        <v>4.8</v>
      </c>
      <c r="BB393">
        <v>18.5</v>
      </c>
      <c r="BD393">
        <v>9.4</v>
      </c>
      <c r="BF393">
        <v>22</v>
      </c>
      <c r="BG393">
        <v>5.0999999999999996</v>
      </c>
      <c r="BH393">
        <v>0.2</v>
      </c>
      <c r="BI393">
        <v>0.2</v>
      </c>
      <c r="BJ393">
        <v>5</v>
      </c>
      <c r="BK393">
        <v>0.6</v>
      </c>
      <c r="BL393">
        <v>0.1</v>
      </c>
      <c r="BO393">
        <v>27</v>
      </c>
      <c r="BP393">
        <v>16.3</v>
      </c>
      <c r="BQ393">
        <v>7.5</v>
      </c>
      <c r="BR393">
        <v>18.600000000000001</v>
      </c>
      <c r="BS393">
        <v>0.1</v>
      </c>
      <c r="BT393">
        <v>10.4</v>
      </c>
      <c r="BW393">
        <v>0.1</v>
      </c>
      <c r="BX393">
        <v>0.2</v>
      </c>
      <c r="BY393">
        <v>0.1</v>
      </c>
      <c r="CA393">
        <v>0.5</v>
      </c>
      <c r="CD393">
        <v>0.3</v>
      </c>
      <c r="CE393">
        <v>30</v>
      </c>
      <c r="CJ393">
        <v>16.7</v>
      </c>
      <c r="CL393">
        <v>8.5</v>
      </c>
      <c r="CN393">
        <v>6.4</v>
      </c>
      <c r="CP393">
        <v>2.9</v>
      </c>
      <c r="CT393">
        <v>2.6</v>
      </c>
      <c r="CU393">
        <v>0.1</v>
      </c>
      <c r="CV393">
        <v>11.4</v>
      </c>
      <c r="CW393">
        <v>5.3</v>
      </c>
      <c r="CX393">
        <v>0.1</v>
      </c>
      <c r="CZ393">
        <v>1.7</v>
      </c>
      <c r="DA393" s="2"/>
      <c r="DD393" s="1">
        <v>41256</v>
      </c>
      <c r="DE393" s="2">
        <f t="shared" si="88"/>
        <v>6.7442622950819677</v>
      </c>
      <c r="DF393" s="2">
        <f t="shared" si="95"/>
        <v>3.9941747572815536</v>
      </c>
      <c r="DG393" s="2">
        <f t="shared" si="89"/>
        <v>30</v>
      </c>
      <c r="DH393" s="2">
        <f t="shared" si="90"/>
        <v>0.1</v>
      </c>
      <c r="DI393" s="3">
        <f t="shared" si="96"/>
        <v>0.59223300970873782</v>
      </c>
    </row>
    <row r="394" spans="1:113">
      <c r="A394" s="17" t="s">
        <v>382</v>
      </c>
      <c r="B394">
        <v>3.4</v>
      </c>
      <c r="I394">
        <v>8.4</v>
      </c>
      <c r="J394">
        <v>0.8</v>
      </c>
      <c r="K394">
        <v>0.8</v>
      </c>
      <c r="M394">
        <v>0.5</v>
      </c>
      <c r="N394">
        <v>3.2</v>
      </c>
      <c r="O394">
        <v>0.3</v>
      </c>
      <c r="P394">
        <v>14.6</v>
      </c>
      <c r="R394">
        <v>26.4</v>
      </c>
      <c r="S394">
        <v>20.5</v>
      </c>
      <c r="T394">
        <v>9.9</v>
      </c>
      <c r="X394">
        <v>48</v>
      </c>
      <c r="Z394">
        <v>2</v>
      </c>
      <c r="AB394">
        <v>3.4</v>
      </c>
      <c r="AC394">
        <v>2</v>
      </c>
      <c r="AD394">
        <v>3.2</v>
      </c>
      <c r="AE394">
        <v>17.600000000000001</v>
      </c>
      <c r="AF394">
        <v>2</v>
      </c>
      <c r="AH394">
        <v>1.5</v>
      </c>
      <c r="AI394">
        <v>0.2</v>
      </c>
      <c r="AK394">
        <v>4.5</v>
      </c>
      <c r="AM394">
        <v>4.2</v>
      </c>
      <c r="AN394">
        <v>27</v>
      </c>
      <c r="AP394">
        <v>4.9000000000000004</v>
      </c>
      <c r="AR394">
        <v>1.3</v>
      </c>
      <c r="AT394">
        <v>2.9</v>
      </c>
      <c r="AU394">
        <v>1.2</v>
      </c>
      <c r="AX394">
        <v>2.5</v>
      </c>
      <c r="AY394">
        <v>9.1</v>
      </c>
      <c r="BB394">
        <v>12.6</v>
      </c>
      <c r="BD394">
        <v>3.3</v>
      </c>
      <c r="BE394">
        <v>9.8000000000000007</v>
      </c>
      <c r="BF394">
        <v>13.5</v>
      </c>
      <c r="BG394">
        <v>5.3</v>
      </c>
      <c r="BL394">
        <v>0.7</v>
      </c>
      <c r="BM394">
        <v>0.1</v>
      </c>
      <c r="BN394">
        <v>8.4</v>
      </c>
      <c r="BO394">
        <v>0.3</v>
      </c>
      <c r="BP394">
        <v>4</v>
      </c>
      <c r="BQ394">
        <v>19</v>
      </c>
      <c r="BR394">
        <v>0.1</v>
      </c>
      <c r="BT394">
        <v>36.700000000000003</v>
      </c>
      <c r="BU394">
        <v>1.2</v>
      </c>
      <c r="BW394">
        <v>0.6</v>
      </c>
      <c r="BX394">
        <v>0.6</v>
      </c>
      <c r="BZ394">
        <v>2.2999999999999998</v>
      </c>
      <c r="CA394">
        <v>2</v>
      </c>
      <c r="CC394">
        <v>19</v>
      </c>
      <c r="CE394">
        <v>4</v>
      </c>
      <c r="CG394">
        <v>1.6</v>
      </c>
      <c r="CH394">
        <v>0.3</v>
      </c>
      <c r="CI394">
        <v>1</v>
      </c>
      <c r="CJ394">
        <v>24.5</v>
      </c>
      <c r="CL394">
        <v>3.2</v>
      </c>
      <c r="CO394">
        <v>0.9</v>
      </c>
      <c r="CQ394">
        <v>0.5</v>
      </c>
      <c r="CR394">
        <v>0.3</v>
      </c>
      <c r="CT394">
        <v>0.1</v>
      </c>
      <c r="DA394" s="2"/>
      <c r="DD394" s="1">
        <v>41257</v>
      </c>
      <c r="DE394" s="2">
        <f t="shared" si="88"/>
        <v>6.9344827586206916</v>
      </c>
      <c r="DF394" s="2">
        <f t="shared" si="95"/>
        <v>3.9048543689320399</v>
      </c>
      <c r="DG394" s="2">
        <f t="shared" si="89"/>
        <v>48</v>
      </c>
      <c r="DH394" s="2">
        <f t="shared" si="90"/>
        <v>0.1</v>
      </c>
      <c r="DI394" s="3">
        <f t="shared" si="96"/>
        <v>0.56310679611650483</v>
      </c>
    </row>
    <row r="395" spans="1:113">
      <c r="A395" s="17" t="s">
        <v>383</v>
      </c>
      <c r="D395">
        <v>4.8</v>
      </c>
      <c r="I395">
        <v>1.5</v>
      </c>
      <c r="J395">
        <v>15.2</v>
      </c>
      <c r="L395">
        <v>3.5</v>
      </c>
      <c r="N395">
        <v>14.2</v>
      </c>
      <c r="O395">
        <v>1.4</v>
      </c>
      <c r="P395">
        <v>0.5</v>
      </c>
      <c r="R395">
        <v>0.8</v>
      </c>
      <c r="S395">
        <v>13.8</v>
      </c>
      <c r="T395">
        <v>5.8</v>
      </c>
      <c r="X395">
        <v>21</v>
      </c>
      <c r="Z395">
        <v>3.5</v>
      </c>
      <c r="AC395">
        <v>6.5</v>
      </c>
      <c r="AE395">
        <v>27.5</v>
      </c>
      <c r="AH395">
        <v>11</v>
      </c>
      <c r="AI395">
        <v>7.2</v>
      </c>
      <c r="AK395">
        <v>4.8</v>
      </c>
      <c r="AL395">
        <v>9.4</v>
      </c>
      <c r="AM395">
        <v>7.7</v>
      </c>
      <c r="AP395">
        <v>9.6</v>
      </c>
      <c r="AR395">
        <v>13</v>
      </c>
      <c r="AV395">
        <v>5.6</v>
      </c>
      <c r="AW395">
        <v>0.3</v>
      </c>
      <c r="AX395">
        <v>2.1</v>
      </c>
      <c r="AZ395">
        <v>5</v>
      </c>
      <c r="BA395">
        <v>12.6</v>
      </c>
      <c r="BD395">
        <v>8.5</v>
      </c>
      <c r="BE395">
        <v>3.9</v>
      </c>
      <c r="BF395">
        <v>11.1</v>
      </c>
      <c r="BH395">
        <v>1.6</v>
      </c>
      <c r="BJ395">
        <v>2.6</v>
      </c>
      <c r="BL395">
        <v>12</v>
      </c>
      <c r="BM395">
        <v>0.4</v>
      </c>
      <c r="BN395">
        <v>4.0999999999999996</v>
      </c>
      <c r="BP395">
        <v>16.5</v>
      </c>
      <c r="BQ395">
        <v>13.9</v>
      </c>
      <c r="BR395">
        <v>0.3</v>
      </c>
      <c r="BT395">
        <v>35.299999999999997</v>
      </c>
      <c r="BU395">
        <v>36.700000000000003</v>
      </c>
      <c r="BW395">
        <v>2.2000000000000002</v>
      </c>
      <c r="BX395">
        <v>0.2</v>
      </c>
      <c r="BZ395">
        <v>4.7</v>
      </c>
      <c r="CC395">
        <v>20.3</v>
      </c>
      <c r="CE395">
        <v>4.8</v>
      </c>
      <c r="CG395">
        <v>28.5</v>
      </c>
      <c r="CH395">
        <v>0.3</v>
      </c>
      <c r="CI395">
        <v>2.5</v>
      </c>
      <c r="CJ395">
        <v>7.5</v>
      </c>
      <c r="CK395">
        <v>0.5</v>
      </c>
      <c r="CN395">
        <v>0.2</v>
      </c>
      <c r="CO395">
        <v>1.9</v>
      </c>
      <c r="CP395">
        <v>25.1</v>
      </c>
      <c r="CQ395">
        <v>0.3</v>
      </c>
      <c r="CR395">
        <v>2.4</v>
      </c>
      <c r="CU395">
        <v>0.1</v>
      </c>
      <c r="CV395">
        <v>0.2</v>
      </c>
      <c r="CW395">
        <v>2.6</v>
      </c>
      <c r="CZ395">
        <v>0.2</v>
      </c>
      <c r="DA395" s="2"/>
      <c r="DD395" s="1">
        <v>41258</v>
      </c>
      <c r="DE395" s="2">
        <f t="shared" si="88"/>
        <v>7.9258620689655173</v>
      </c>
      <c r="DF395" s="2">
        <f t="shared" si="95"/>
        <v>4.463106796116505</v>
      </c>
      <c r="DG395" s="2">
        <f t="shared" si="89"/>
        <v>36.700000000000003</v>
      </c>
      <c r="DH395" s="2">
        <f t="shared" si="90"/>
        <v>0.1</v>
      </c>
      <c r="DI395" s="3">
        <f t="shared" si="96"/>
        <v>0.56310679611650483</v>
      </c>
    </row>
    <row r="396" spans="1:113">
      <c r="A396" s="17" t="s">
        <v>384</v>
      </c>
      <c r="D396">
        <v>8.6999999999999993</v>
      </c>
      <c r="G396">
        <v>8.1999999999999993</v>
      </c>
      <c r="H396">
        <v>1.1000000000000001</v>
      </c>
      <c r="J396">
        <v>16.7</v>
      </c>
      <c r="L396">
        <v>3.7</v>
      </c>
      <c r="P396">
        <v>11.1</v>
      </c>
      <c r="R396">
        <v>5.7</v>
      </c>
      <c r="S396">
        <v>1.5</v>
      </c>
      <c r="U396">
        <v>9.3000000000000007</v>
      </c>
      <c r="X396">
        <v>26</v>
      </c>
      <c r="Z396">
        <v>1.6</v>
      </c>
      <c r="AC396">
        <v>8.1999999999999993</v>
      </c>
      <c r="AD396">
        <v>13.5</v>
      </c>
      <c r="AE396">
        <v>0.2</v>
      </c>
      <c r="AH396">
        <v>4</v>
      </c>
      <c r="AI396">
        <v>28.6</v>
      </c>
      <c r="AK396">
        <v>6</v>
      </c>
      <c r="AL396">
        <v>8</v>
      </c>
      <c r="AM396">
        <v>35.5</v>
      </c>
      <c r="AN396">
        <v>5</v>
      </c>
      <c r="AP396">
        <v>7.3</v>
      </c>
      <c r="AQ396">
        <v>1.1000000000000001</v>
      </c>
      <c r="AR396">
        <v>7.1</v>
      </c>
      <c r="AS396">
        <v>1.3</v>
      </c>
      <c r="AT396">
        <v>14</v>
      </c>
      <c r="AV396">
        <v>0.4</v>
      </c>
      <c r="AW396">
        <v>6.3</v>
      </c>
      <c r="AX396">
        <v>22.1</v>
      </c>
      <c r="AZ396">
        <v>26.5</v>
      </c>
      <c r="BD396">
        <v>2.7</v>
      </c>
      <c r="BE396">
        <v>50.6</v>
      </c>
      <c r="BF396">
        <v>1.4</v>
      </c>
      <c r="BG396">
        <v>0.4</v>
      </c>
      <c r="BH396">
        <v>13</v>
      </c>
      <c r="BI396">
        <v>12</v>
      </c>
      <c r="BL396">
        <v>5.3</v>
      </c>
      <c r="BM396">
        <v>21</v>
      </c>
      <c r="BP396">
        <v>2.2999999999999998</v>
      </c>
      <c r="BT396">
        <v>2.9</v>
      </c>
      <c r="BV396">
        <v>1.8</v>
      </c>
      <c r="BW396">
        <v>0.2</v>
      </c>
      <c r="BX396">
        <v>1.3</v>
      </c>
      <c r="BZ396">
        <v>8.3000000000000007</v>
      </c>
      <c r="CA396">
        <v>1.2</v>
      </c>
      <c r="CC396">
        <v>6.5</v>
      </c>
      <c r="CE396">
        <v>17.3</v>
      </c>
      <c r="CF396">
        <v>0.1</v>
      </c>
      <c r="CG396">
        <v>1.6</v>
      </c>
      <c r="CH396">
        <v>0.8</v>
      </c>
      <c r="CJ396">
        <v>22.5</v>
      </c>
      <c r="CK396">
        <v>0.3</v>
      </c>
      <c r="CM396">
        <v>8.6</v>
      </c>
      <c r="CN396">
        <v>30</v>
      </c>
      <c r="CP396">
        <v>17.2</v>
      </c>
      <c r="CR396">
        <v>10.4</v>
      </c>
      <c r="CT396">
        <v>2.8</v>
      </c>
      <c r="CU396">
        <v>0.1</v>
      </c>
      <c r="CV396">
        <v>5.9</v>
      </c>
      <c r="CX396">
        <v>5.6</v>
      </c>
      <c r="CY396">
        <v>4.9000000000000004</v>
      </c>
      <c r="CZ396">
        <v>9.5</v>
      </c>
      <c r="DA396" s="2"/>
      <c r="DD396" s="1">
        <v>41259</v>
      </c>
      <c r="DE396" s="2">
        <f t="shared" si="88"/>
        <v>9.1344262295081968</v>
      </c>
      <c r="DF396" s="2">
        <f t="shared" si="95"/>
        <v>5.4097087378640785</v>
      </c>
      <c r="DG396" s="2">
        <f t="shared" si="89"/>
        <v>50.6</v>
      </c>
      <c r="DH396" s="2">
        <f t="shared" si="90"/>
        <v>0.1</v>
      </c>
      <c r="DI396" s="3">
        <f t="shared" si="96"/>
        <v>0.59223300970873782</v>
      </c>
    </row>
    <row r="397" spans="1:113">
      <c r="A397" s="17" t="s">
        <v>385</v>
      </c>
      <c r="J397">
        <v>17.3</v>
      </c>
      <c r="L397">
        <v>0.1</v>
      </c>
      <c r="N397">
        <v>4.4000000000000004</v>
      </c>
      <c r="O397">
        <v>2.8</v>
      </c>
      <c r="P397">
        <v>22.2</v>
      </c>
      <c r="R397">
        <v>12.4</v>
      </c>
      <c r="S397">
        <v>4.9000000000000004</v>
      </c>
      <c r="T397">
        <v>4.3</v>
      </c>
      <c r="U397">
        <v>2.7</v>
      </c>
      <c r="V397">
        <v>1</v>
      </c>
      <c r="W397">
        <v>1.5</v>
      </c>
      <c r="X397">
        <v>2</v>
      </c>
      <c r="Y397">
        <v>2</v>
      </c>
      <c r="Z397">
        <v>5</v>
      </c>
      <c r="AC397">
        <v>7.5</v>
      </c>
      <c r="AD397">
        <v>3.8</v>
      </c>
      <c r="AE397">
        <v>4.4000000000000004</v>
      </c>
      <c r="AH397">
        <v>17</v>
      </c>
      <c r="AI397">
        <v>1.4</v>
      </c>
      <c r="AK397">
        <v>2.1</v>
      </c>
      <c r="AL397">
        <v>16.5</v>
      </c>
      <c r="AM397">
        <v>30.3</v>
      </c>
      <c r="AN397">
        <v>7.2</v>
      </c>
      <c r="AP397">
        <v>16</v>
      </c>
      <c r="AQ397">
        <v>1.9</v>
      </c>
      <c r="AR397">
        <v>14.7</v>
      </c>
      <c r="AS397">
        <v>4.5</v>
      </c>
      <c r="AV397">
        <v>4.5999999999999996</v>
      </c>
      <c r="AZ397">
        <v>3.5</v>
      </c>
      <c r="BA397">
        <v>4.8</v>
      </c>
      <c r="BB397">
        <v>56.9</v>
      </c>
      <c r="BE397">
        <v>2.5</v>
      </c>
      <c r="BH397">
        <v>18</v>
      </c>
      <c r="BI397">
        <v>7.2</v>
      </c>
      <c r="BJ397">
        <v>9.4</v>
      </c>
      <c r="BM397">
        <v>2</v>
      </c>
      <c r="BO397">
        <v>0.5</v>
      </c>
      <c r="BP397">
        <v>3.7</v>
      </c>
      <c r="BR397">
        <v>3.5</v>
      </c>
      <c r="BT397">
        <v>9.8000000000000007</v>
      </c>
      <c r="BV397">
        <v>0.5</v>
      </c>
      <c r="BY397">
        <v>18.5</v>
      </c>
      <c r="BZ397">
        <v>0.3</v>
      </c>
      <c r="CA397">
        <v>67</v>
      </c>
      <c r="CE397">
        <v>8.6999999999999993</v>
      </c>
      <c r="CF397">
        <v>0.2</v>
      </c>
      <c r="CG397">
        <v>0.2</v>
      </c>
      <c r="CH397">
        <v>0.2</v>
      </c>
      <c r="CJ397">
        <v>7</v>
      </c>
      <c r="CK397">
        <v>0.7</v>
      </c>
      <c r="CN397">
        <v>34.6</v>
      </c>
      <c r="CP397">
        <v>5.5</v>
      </c>
      <c r="CR397">
        <v>23.3</v>
      </c>
      <c r="CT397">
        <v>2.6</v>
      </c>
      <c r="CV397">
        <v>2.1</v>
      </c>
      <c r="CW397">
        <v>3</v>
      </c>
      <c r="CX397">
        <v>6.5</v>
      </c>
      <c r="CY397">
        <v>8.5</v>
      </c>
      <c r="CZ397">
        <v>2.8</v>
      </c>
      <c r="DA397" s="2"/>
      <c r="DD397" s="1">
        <v>41260</v>
      </c>
      <c r="DE397" s="2">
        <f t="shared" si="88"/>
        <v>8.9576271186440675</v>
      </c>
      <c r="DF397" s="2">
        <f t="shared" si="95"/>
        <v>5.1310679611650487</v>
      </c>
      <c r="DG397" s="2">
        <f t="shared" si="89"/>
        <v>67</v>
      </c>
      <c r="DH397" s="2">
        <f t="shared" si="90"/>
        <v>0.1</v>
      </c>
      <c r="DI397" s="3">
        <f t="shared" si="96"/>
        <v>0.57281553398058249</v>
      </c>
    </row>
    <row r="398" spans="1:113">
      <c r="A398" s="17" t="s">
        <v>386</v>
      </c>
      <c r="E398">
        <v>2.2999999999999998</v>
      </c>
      <c r="F398">
        <v>0.3</v>
      </c>
      <c r="G398">
        <v>1.1000000000000001</v>
      </c>
      <c r="J398">
        <v>2.4</v>
      </c>
      <c r="O398">
        <v>2</v>
      </c>
      <c r="P398">
        <v>1.3</v>
      </c>
      <c r="R398">
        <v>35.4</v>
      </c>
      <c r="S398">
        <v>3.4</v>
      </c>
      <c r="T398">
        <v>9.3000000000000007</v>
      </c>
      <c r="V398">
        <v>7.9</v>
      </c>
      <c r="W398">
        <v>9.8000000000000007</v>
      </c>
      <c r="X398">
        <v>2</v>
      </c>
      <c r="Y398">
        <v>4.5</v>
      </c>
      <c r="AA398">
        <v>13.1</v>
      </c>
      <c r="AC398">
        <v>13.3</v>
      </c>
      <c r="AE398">
        <v>14.5</v>
      </c>
      <c r="AF398">
        <v>2.8</v>
      </c>
      <c r="AH398">
        <v>13</v>
      </c>
      <c r="AI398">
        <v>6.9</v>
      </c>
      <c r="AK398">
        <v>5.8</v>
      </c>
      <c r="AL398">
        <v>10.7</v>
      </c>
      <c r="AM398">
        <v>2.2000000000000002</v>
      </c>
      <c r="AN398">
        <v>1.8</v>
      </c>
      <c r="AP398">
        <v>8.8000000000000007</v>
      </c>
      <c r="AR398">
        <v>2.5</v>
      </c>
      <c r="AS398">
        <v>4.7</v>
      </c>
      <c r="AT398">
        <v>1</v>
      </c>
      <c r="AU398">
        <v>4</v>
      </c>
      <c r="AV398">
        <v>9.6</v>
      </c>
      <c r="AX398">
        <v>0.1</v>
      </c>
      <c r="AZ398">
        <v>0.5</v>
      </c>
      <c r="BA398">
        <v>34.799999999999997</v>
      </c>
      <c r="BB398">
        <v>58.2</v>
      </c>
      <c r="BE398">
        <v>4.9000000000000004</v>
      </c>
      <c r="BF398">
        <v>1.9</v>
      </c>
      <c r="BI398">
        <v>0.1</v>
      </c>
      <c r="BL398">
        <v>0.2</v>
      </c>
      <c r="BM398">
        <v>0.9</v>
      </c>
      <c r="BN398">
        <v>28</v>
      </c>
      <c r="BP398">
        <v>0.2</v>
      </c>
      <c r="BQ398">
        <v>0.5</v>
      </c>
      <c r="BR398" t="s">
        <v>0</v>
      </c>
      <c r="BU398">
        <v>4.5</v>
      </c>
      <c r="BV398">
        <v>1.9</v>
      </c>
      <c r="BX398">
        <v>0.6</v>
      </c>
      <c r="BY398">
        <v>10.6</v>
      </c>
      <c r="CA398">
        <v>2.6</v>
      </c>
      <c r="CD398">
        <v>1.2</v>
      </c>
      <c r="CE398">
        <v>1</v>
      </c>
      <c r="CG398">
        <v>17.5</v>
      </c>
      <c r="CJ398">
        <v>16</v>
      </c>
      <c r="CM398">
        <v>8.5</v>
      </c>
      <c r="CN398">
        <v>12.4</v>
      </c>
      <c r="CP398">
        <v>0.3</v>
      </c>
      <c r="CR398">
        <v>41.3</v>
      </c>
      <c r="CU398">
        <v>0.5</v>
      </c>
      <c r="CV398">
        <v>40.6</v>
      </c>
      <c r="CX398">
        <v>8.6</v>
      </c>
      <c r="CY398">
        <v>6</v>
      </c>
      <c r="CZ398">
        <v>0.2</v>
      </c>
      <c r="DA398" s="2"/>
      <c r="DD398" s="1">
        <v>41261</v>
      </c>
      <c r="DE398" s="2">
        <f t="shared" si="88"/>
        <v>8.4915254237288131</v>
      </c>
      <c r="DF398" s="2">
        <f t="shared" si="95"/>
        <v>4.8640776699029118</v>
      </c>
      <c r="DG398" s="2">
        <f t="shared" si="89"/>
        <v>58.2</v>
      </c>
      <c r="DH398" s="2">
        <f t="shared" si="90"/>
        <v>0.1</v>
      </c>
      <c r="DI398" s="3">
        <f t="shared" si="96"/>
        <v>0.58252427184466016</v>
      </c>
    </row>
    <row r="399" spans="1:113">
      <c r="A399" s="17" t="s">
        <v>387</v>
      </c>
      <c r="B399">
        <v>7.4</v>
      </c>
      <c r="E399">
        <v>2.8</v>
      </c>
      <c r="G399">
        <v>1.6</v>
      </c>
      <c r="H399">
        <v>2.4</v>
      </c>
      <c r="K399">
        <v>0.4</v>
      </c>
      <c r="M399">
        <v>0.7</v>
      </c>
      <c r="N399">
        <v>0.7</v>
      </c>
      <c r="O399">
        <v>10</v>
      </c>
      <c r="R399">
        <v>3.1</v>
      </c>
      <c r="S399">
        <v>2.7</v>
      </c>
      <c r="T399">
        <v>14.5</v>
      </c>
      <c r="V399">
        <v>8</v>
      </c>
      <c r="W399">
        <v>11.5</v>
      </c>
      <c r="X399">
        <v>9</v>
      </c>
      <c r="Z399">
        <v>4.8</v>
      </c>
      <c r="AA399">
        <v>0.8</v>
      </c>
      <c r="AB399">
        <v>7.8</v>
      </c>
      <c r="AC399">
        <v>5.2</v>
      </c>
      <c r="AE399">
        <v>2.1</v>
      </c>
      <c r="AH399">
        <v>2</v>
      </c>
      <c r="AI399">
        <v>2.7</v>
      </c>
      <c r="AK399">
        <v>3.5</v>
      </c>
      <c r="AL399">
        <v>5.3</v>
      </c>
      <c r="AM399">
        <v>7</v>
      </c>
      <c r="AN399">
        <v>8.9</v>
      </c>
      <c r="AO399">
        <v>5</v>
      </c>
      <c r="AP399">
        <v>13</v>
      </c>
      <c r="AR399">
        <v>2.9</v>
      </c>
      <c r="AS399">
        <v>0.3</v>
      </c>
      <c r="AU399">
        <v>4.4000000000000004</v>
      </c>
      <c r="AV399">
        <v>13.5</v>
      </c>
      <c r="AX399">
        <v>2.5</v>
      </c>
      <c r="AY399">
        <v>16</v>
      </c>
      <c r="AZ399">
        <v>0.4</v>
      </c>
      <c r="BA399">
        <v>7.2</v>
      </c>
      <c r="BB399">
        <v>3.1</v>
      </c>
      <c r="BD399">
        <v>4.7</v>
      </c>
      <c r="BE399">
        <v>13.3</v>
      </c>
      <c r="BF399">
        <v>7.7</v>
      </c>
      <c r="BH399">
        <v>5.2</v>
      </c>
      <c r="BJ399">
        <v>0.1</v>
      </c>
      <c r="BK399">
        <v>4.3</v>
      </c>
      <c r="BL399">
        <v>0.1</v>
      </c>
      <c r="BM399">
        <v>6.2</v>
      </c>
      <c r="BN399">
        <v>28.8</v>
      </c>
      <c r="BP399">
        <v>0.1</v>
      </c>
      <c r="BQ399">
        <v>0.4</v>
      </c>
      <c r="BU399">
        <v>2.9</v>
      </c>
      <c r="BY399">
        <v>2.8</v>
      </c>
      <c r="BZ399">
        <v>0.4</v>
      </c>
      <c r="CD399">
        <v>0.3</v>
      </c>
      <c r="CE399">
        <v>0.2</v>
      </c>
      <c r="CG399">
        <v>3.7</v>
      </c>
      <c r="CH399">
        <v>12.4</v>
      </c>
      <c r="CK399">
        <v>4.8</v>
      </c>
      <c r="CM399">
        <v>3.5</v>
      </c>
      <c r="CN399">
        <v>0.1</v>
      </c>
      <c r="CO399">
        <v>8.6999999999999993</v>
      </c>
      <c r="CP399">
        <v>0.1</v>
      </c>
      <c r="CQ399">
        <v>0.3</v>
      </c>
      <c r="CR399">
        <v>1.8</v>
      </c>
      <c r="CT399">
        <v>0.7</v>
      </c>
      <c r="CU399">
        <v>6.6</v>
      </c>
      <c r="CW399">
        <v>4.5999999999999996</v>
      </c>
      <c r="CX399">
        <v>2.2999999999999998</v>
      </c>
      <c r="CY399">
        <v>0.9</v>
      </c>
      <c r="DA399" s="2"/>
      <c r="DD399" s="1">
        <v>41262</v>
      </c>
      <c r="DE399" s="2">
        <f t="shared" si="88"/>
        <v>4.8666666666666663</v>
      </c>
      <c r="DF399" s="2">
        <f t="shared" si="95"/>
        <v>3.1184466019417476</v>
      </c>
      <c r="DG399" s="2">
        <f t="shared" si="89"/>
        <v>28.8</v>
      </c>
      <c r="DH399" s="2">
        <f t="shared" si="90"/>
        <v>0.1</v>
      </c>
      <c r="DI399" s="3">
        <f t="shared" si="96"/>
        <v>0.64077669902912626</v>
      </c>
    </row>
    <row r="400" spans="1:113">
      <c r="A400" s="17" t="s">
        <v>388</v>
      </c>
      <c r="D400">
        <v>0.6</v>
      </c>
      <c r="E400">
        <v>8.6</v>
      </c>
      <c r="G400">
        <v>0.4</v>
      </c>
      <c r="H400">
        <v>0.6</v>
      </c>
      <c r="I400">
        <v>10.8</v>
      </c>
      <c r="N400">
        <v>4.5</v>
      </c>
      <c r="Q400">
        <v>5</v>
      </c>
      <c r="S400">
        <v>2.6</v>
      </c>
      <c r="T400">
        <v>1.6</v>
      </c>
      <c r="U400">
        <v>1.6</v>
      </c>
      <c r="W400">
        <v>5</v>
      </c>
      <c r="X400">
        <v>21</v>
      </c>
      <c r="Y400">
        <v>1.3</v>
      </c>
      <c r="Z400">
        <v>1.2</v>
      </c>
      <c r="AA400">
        <v>7.3</v>
      </c>
      <c r="AB400">
        <v>0.8</v>
      </c>
      <c r="AD400">
        <v>0.5</v>
      </c>
      <c r="AE400">
        <v>9.5</v>
      </c>
      <c r="AI400">
        <v>9.8000000000000007</v>
      </c>
      <c r="AL400">
        <v>3.5</v>
      </c>
      <c r="AM400">
        <v>5.8</v>
      </c>
      <c r="AN400">
        <v>0.7</v>
      </c>
      <c r="AO400">
        <v>21.5</v>
      </c>
      <c r="AP400">
        <v>18.3</v>
      </c>
      <c r="AR400">
        <v>1.1000000000000001</v>
      </c>
      <c r="AS400">
        <v>1</v>
      </c>
      <c r="AU400">
        <v>12.8</v>
      </c>
      <c r="AV400">
        <v>1.6</v>
      </c>
      <c r="AX400">
        <v>0.7</v>
      </c>
      <c r="AY400">
        <v>8.3000000000000007</v>
      </c>
      <c r="AZ400">
        <v>0.4</v>
      </c>
      <c r="BA400">
        <v>1.6</v>
      </c>
      <c r="BB400">
        <v>0.4</v>
      </c>
      <c r="BC400">
        <v>16.2</v>
      </c>
      <c r="BF400">
        <v>12.4</v>
      </c>
      <c r="BH400">
        <v>3.2</v>
      </c>
      <c r="BK400">
        <v>4.5</v>
      </c>
      <c r="BL400">
        <v>0.1</v>
      </c>
      <c r="BM400">
        <v>0.9</v>
      </c>
      <c r="BN400">
        <v>11.8</v>
      </c>
      <c r="BQ400">
        <v>4.8</v>
      </c>
      <c r="BT400">
        <v>27.7</v>
      </c>
      <c r="BU400">
        <v>8.5</v>
      </c>
      <c r="BX400">
        <v>16.600000000000001</v>
      </c>
      <c r="BY400">
        <v>11.8</v>
      </c>
      <c r="BZ400">
        <v>5.5</v>
      </c>
      <c r="CC400">
        <v>10.5</v>
      </c>
      <c r="CD400">
        <v>0.6</v>
      </c>
      <c r="CE400">
        <v>0.9</v>
      </c>
      <c r="CG400">
        <v>2.4</v>
      </c>
      <c r="CH400">
        <v>15.3</v>
      </c>
      <c r="CL400">
        <v>3.5</v>
      </c>
      <c r="CM400">
        <v>18.5</v>
      </c>
      <c r="CO400">
        <v>3</v>
      </c>
      <c r="CQ400">
        <v>4.5</v>
      </c>
      <c r="CS400">
        <v>21.1</v>
      </c>
      <c r="CT400">
        <v>0.2</v>
      </c>
      <c r="CU400">
        <v>23.9</v>
      </c>
      <c r="CV400">
        <v>28.2</v>
      </c>
      <c r="CX400">
        <v>9.8000000000000007</v>
      </c>
      <c r="CY400">
        <v>14.7</v>
      </c>
      <c r="DA400" s="2"/>
      <c r="DD400" s="1">
        <v>41263</v>
      </c>
      <c r="DE400" s="2">
        <f t="shared" si="88"/>
        <v>7.4016393442622954</v>
      </c>
      <c r="DF400" s="2">
        <f t="shared" si="95"/>
        <v>4.383495145631068</v>
      </c>
      <c r="DG400" s="2">
        <f t="shared" si="89"/>
        <v>28.2</v>
      </c>
      <c r="DH400" s="2">
        <f t="shared" si="90"/>
        <v>0.1</v>
      </c>
      <c r="DI400" s="3">
        <f t="shared" si="96"/>
        <v>0.59223300970873782</v>
      </c>
    </row>
    <row r="401" spans="1:113">
      <c r="A401" s="17" t="s">
        <v>389</v>
      </c>
      <c r="B401">
        <v>5.2</v>
      </c>
      <c r="E401">
        <v>0.6</v>
      </c>
      <c r="F401">
        <v>14.3</v>
      </c>
      <c r="G401">
        <v>4.2</v>
      </c>
      <c r="I401">
        <v>43.3</v>
      </c>
      <c r="N401">
        <v>14.7</v>
      </c>
      <c r="P401">
        <v>2.2000000000000002</v>
      </c>
      <c r="Q401">
        <v>12.8</v>
      </c>
      <c r="S401">
        <v>7.9</v>
      </c>
      <c r="T401">
        <v>7</v>
      </c>
      <c r="V401">
        <v>5.5</v>
      </c>
      <c r="Y401">
        <v>7.8</v>
      </c>
      <c r="Z401">
        <v>0.4</v>
      </c>
      <c r="AA401">
        <v>14.8</v>
      </c>
      <c r="AB401">
        <v>37</v>
      </c>
      <c r="AC401">
        <v>9.1</v>
      </c>
      <c r="AD401">
        <v>28.2</v>
      </c>
      <c r="AE401">
        <v>1.4</v>
      </c>
      <c r="AF401">
        <v>7.8</v>
      </c>
      <c r="AI401">
        <v>13.3</v>
      </c>
      <c r="AL401">
        <v>27.3</v>
      </c>
      <c r="AM401">
        <v>0.5</v>
      </c>
      <c r="AN401">
        <v>0.5</v>
      </c>
      <c r="AO401">
        <v>8.9</v>
      </c>
      <c r="AS401">
        <v>0.9</v>
      </c>
      <c r="AX401">
        <v>0.9</v>
      </c>
      <c r="AZ401">
        <v>2.8</v>
      </c>
      <c r="BA401">
        <v>2.2999999999999998</v>
      </c>
      <c r="BC401">
        <v>14.7</v>
      </c>
      <c r="BE401">
        <v>5.4</v>
      </c>
      <c r="BF401">
        <v>14.7</v>
      </c>
      <c r="BG401">
        <v>0.5</v>
      </c>
      <c r="BH401">
        <v>2.4</v>
      </c>
      <c r="BJ401">
        <v>9.1999999999999993</v>
      </c>
      <c r="BN401">
        <v>1.5</v>
      </c>
      <c r="BP401">
        <v>2.4</v>
      </c>
      <c r="BQ401" t="s">
        <v>0</v>
      </c>
      <c r="BR401">
        <v>0.1</v>
      </c>
      <c r="BS401">
        <v>1.3</v>
      </c>
      <c r="BT401">
        <v>0.1</v>
      </c>
      <c r="BU401">
        <v>2</v>
      </c>
      <c r="BW401">
        <v>4.3</v>
      </c>
      <c r="BX401">
        <v>6.4</v>
      </c>
      <c r="BZ401">
        <v>0.2</v>
      </c>
      <c r="CA401">
        <v>16.100000000000001</v>
      </c>
      <c r="CB401">
        <v>0.1</v>
      </c>
      <c r="CC401">
        <v>2</v>
      </c>
      <c r="CD401">
        <v>0.3</v>
      </c>
      <c r="CG401">
        <v>5.4</v>
      </c>
      <c r="CI401">
        <v>10.8</v>
      </c>
      <c r="CJ401">
        <v>5</v>
      </c>
      <c r="CL401">
        <v>17</v>
      </c>
      <c r="CM401">
        <v>2.5</v>
      </c>
      <c r="CN401">
        <v>9.4</v>
      </c>
      <c r="CQ401">
        <v>14.8</v>
      </c>
      <c r="CS401">
        <v>1.3</v>
      </c>
      <c r="CU401">
        <v>11.9</v>
      </c>
      <c r="CX401">
        <v>2.5</v>
      </c>
      <c r="CY401">
        <v>0.3</v>
      </c>
      <c r="DA401" s="2"/>
      <c r="DD401" s="1">
        <v>41264</v>
      </c>
      <c r="DE401" s="2">
        <f t="shared" si="88"/>
        <v>7.6931034482758607</v>
      </c>
      <c r="DF401" s="2">
        <f t="shared" si="95"/>
        <v>4.3320388349514554</v>
      </c>
      <c r="DG401" s="2">
        <f t="shared" si="89"/>
        <v>43.3</v>
      </c>
      <c r="DH401" s="2">
        <f t="shared" si="90"/>
        <v>0.1</v>
      </c>
      <c r="DI401" s="3">
        <f t="shared" si="96"/>
        <v>0.57281553398058249</v>
      </c>
    </row>
    <row r="402" spans="1:113">
      <c r="A402" s="17" t="s">
        <v>390</v>
      </c>
      <c r="B402">
        <v>10.4</v>
      </c>
      <c r="F402">
        <v>3.6</v>
      </c>
      <c r="G402">
        <v>3.5</v>
      </c>
      <c r="I402">
        <v>20.5</v>
      </c>
      <c r="J402">
        <v>15</v>
      </c>
      <c r="N402">
        <v>30.5</v>
      </c>
      <c r="O402">
        <v>3.9</v>
      </c>
      <c r="S402">
        <v>16.7</v>
      </c>
      <c r="T402">
        <v>6</v>
      </c>
      <c r="V402">
        <v>10.5</v>
      </c>
      <c r="X402">
        <v>20</v>
      </c>
      <c r="Y402">
        <v>17.899999999999999</v>
      </c>
      <c r="Z402">
        <v>19.2</v>
      </c>
      <c r="AA402">
        <v>5.2</v>
      </c>
      <c r="AB402">
        <v>24.8</v>
      </c>
      <c r="AC402">
        <v>1.3</v>
      </c>
      <c r="AD402">
        <v>3</v>
      </c>
      <c r="AF402">
        <v>1.3</v>
      </c>
      <c r="AG402">
        <v>3.8</v>
      </c>
      <c r="AH402">
        <v>0.1</v>
      </c>
      <c r="AI402">
        <v>15</v>
      </c>
      <c r="AL402">
        <v>1.9</v>
      </c>
      <c r="AM402">
        <v>2.4</v>
      </c>
      <c r="AQ402">
        <v>7.8</v>
      </c>
      <c r="AR402">
        <v>0.1</v>
      </c>
      <c r="AS402">
        <v>1.2</v>
      </c>
      <c r="AT402">
        <v>4.8</v>
      </c>
      <c r="AX402">
        <v>3.4</v>
      </c>
      <c r="AY402">
        <v>4</v>
      </c>
      <c r="BA402">
        <v>9.5</v>
      </c>
      <c r="BB402">
        <v>0.1</v>
      </c>
      <c r="BC402">
        <v>3.2</v>
      </c>
      <c r="BD402">
        <v>0.7</v>
      </c>
      <c r="BE402">
        <v>9.1999999999999993</v>
      </c>
      <c r="BF402">
        <v>0.5</v>
      </c>
      <c r="BG402">
        <v>0.6</v>
      </c>
      <c r="BH402">
        <v>8.4</v>
      </c>
      <c r="BI402">
        <v>0.2</v>
      </c>
      <c r="BK402">
        <v>0.6</v>
      </c>
      <c r="BO402">
        <v>2.8</v>
      </c>
      <c r="BP402">
        <v>1.8</v>
      </c>
      <c r="BQ402">
        <v>0.1</v>
      </c>
      <c r="BR402">
        <v>0.1</v>
      </c>
      <c r="BS402">
        <v>1.9</v>
      </c>
      <c r="BW402">
        <v>0.7</v>
      </c>
      <c r="BX402">
        <v>5.5</v>
      </c>
      <c r="BY402">
        <v>19.8</v>
      </c>
      <c r="BZ402">
        <v>10.1</v>
      </c>
      <c r="CD402">
        <v>4</v>
      </c>
      <c r="CE402">
        <v>1.9</v>
      </c>
      <c r="CF402">
        <v>1.2</v>
      </c>
      <c r="CG402">
        <v>0.8</v>
      </c>
      <c r="CI402">
        <v>5.5</v>
      </c>
      <c r="CJ402">
        <v>1</v>
      </c>
      <c r="CK402">
        <v>7.4</v>
      </c>
      <c r="CL402">
        <v>50.1</v>
      </c>
      <c r="CM402">
        <v>10</v>
      </c>
      <c r="CN402">
        <v>1</v>
      </c>
      <c r="CQ402">
        <v>10.4</v>
      </c>
      <c r="CR402">
        <v>1</v>
      </c>
      <c r="CS402">
        <v>0.1</v>
      </c>
      <c r="CU402">
        <v>7.9</v>
      </c>
      <c r="CX402">
        <v>1.4</v>
      </c>
      <c r="CY402">
        <v>3.9</v>
      </c>
      <c r="DA402" s="2"/>
      <c r="DD402" s="1">
        <v>41265</v>
      </c>
      <c r="DE402" s="2">
        <f t="shared" si="88"/>
        <v>6.8937500000000007</v>
      </c>
      <c r="DF402" s="2">
        <f t="shared" si="95"/>
        <v>4.2834951456310684</v>
      </c>
      <c r="DG402" s="2">
        <f t="shared" si="89"/>
        <v>50.1</v>
      </c>
      <c r="DH402" s="2">
        <f t="shared" si="90"/>
        <v>0.1</v>
      </c>
      <c r="DI402" s="3">
        <f t="shared" si="96"/>
        <v>0.62135922330097082</v>
      </c>
    </row>
    <row r="403" spans="1:113">
      <c r="A403" s="17" t="s">
        <v>391</v>
      </c>
      <c r="F403">
        <v>2.5</v>
      </c>
      <c r="G403">
        <v>2.1</v>
      </c>
      <c r="H403">
        <v>2.7</v>
      </c>
      <c r="J403">
        <v>10</v>
      </c>
      <c r="N403">
        <v>1</v>
      </c>
      <c r="Q403">
        <v>18.5</v>
      </c>
      <c r="U403">
        <v>2.7</v>
      </c>
      <c r="V403">
        <v>2.5</v>
      </c>
      <c r="Y403">
        <v>6.5</v>
      </c>
      <c r="AB403">
        <v>3.8</v>
      </c>
      <c r="AC403">
        <v>2.7</v>
      </c>
      <c r="AE403">
        <v>9.1999999999999993</v>
      </c>
      <c r="AG403">
        <v>0.3</v>
      </c>
      <c r="AI403">
        <v>1.7</v>
      </c>
      <c r="AL403">
        <v>0.4</v>
      </c>
      <c r="AN403">
        <v>14.6</v>
      </c>
      <c r="AQ403">
        <v>12.7</v>
      </c>
      <c r="AR403">
        <v>9.5</v>
      </c>
      <c r="AS403">
        <v>8.8000000000000007</v>
      </c>
      <c r="AT403">
        <v>13.5</v>
      </c>
      <c r="AX403">
        <v>4.5999999999999996</v>
      </c>
      <c r="AY403">
        <v>3.5</v>
      </c>
      <c r="BA403">
        <v>7.3</v>
      </c>
      <c r="BB403">
        <v>2</v>
      </c>
      <c r="BC403">
        <v>0.2</v>
      </c>
      <c r="BD403">
        <v>9.4</v>
      </c>
      <c r="BE403">
        <v>1.1000000000000001</v>
      </c>
      <c r="BG403">
        <v>8</v>
      </c>
      <c r="BH403">
        <v>1.1000000000000001</v>
      </c>
      <c r="BI403">
        <v>3.1</v>
      </c>
      <c r="BK403">
        <v>0.1</v>
      </c>
      <c r="BM403">
        <v>0.1</v>
      </c>
      <c r="BN403">
        <v>0.1</v>
      </c>
      <c r="BO403">
        <v>1</v>
      </c>
      <c r="BS403">
        <v>1</v>
      </c>
      <c r="BW403">
        <v>1</v>
      </c>
      <c r="BX403">
        <v>4</v>
      </c>
      <c r="BY403">
        <v>6.4</v>
      </c>
      <c r="BZ403">
        <v>14.3</v>
      </c>
      <c r="CB403">
        <v>0.1</v>
      </c>
      <c r="CC403">
        <v>23.8</v>
      </c>
      <c r="CD403">
        <v>1.4</v>
      </c>
      <c r="CE403">
        <v>5.3</v>
      </c>
      <c r="CF403">
        <v>0.3</v>
      </c>
      <c r="CG403">
        <v>4.4000000000000004</v>
      </c>
      <c r="CJ403">
        <v>3.5</v>
      </c>
      <c r="CK403">
        <v>25.5</v>
      </c>
      <c r="CL403">
        <v>22.5</v>
      </c>
      <c r="CM403">
        <v>11</v>
      </c>
      <c r="CN403">
        <v>10.6</v>
      </c>
      <c r="CO403">
        <v>8.8000000000000007</v>
      </c>
      <c r="CP403">
        <v>1.7</v>
      </c>
      <c r="CQ403">
        <v>1.2</v>
      </c>
      <c r="CR403">
        <v>2.8</v>
      </c>
      <c r="CS403">
        <v>0.4</v>
      </c>
      <c r="CU403">
        <v>2.5</v>
      </c>
      <c r="CX403">
        <v>36.6</v>
      </c>
      <c r="CY403">
        <v>0.4</v>
      </c>
      <c r="DA403" s="2"/>
      <c r="DD403" s="1">
        <v>41266</v>
      </c>
      <c r="DE403" s="2">
        <f t="shared" si="88"/>
        <v>6.1517241379310352</v>
      </c>
      <c r="DF403" s="2">
        <f t="shared" si="95"/>
        <v>3.4640776699029132</v>
      </c>
      <c r="DG403" s="2">
        <f t="shared" si="89"/>
        <v>36.6</v>
      </c>
      <c r="DH403" s="2">
        <f t="shared" si="90"/>
        <v>0.1</v>
      </c>
      <c r="DI403" s="3">
        <f t="shared" si="96"/>
        <v>0.56310679611650483</v>
      </c>
    </row>
    <row r="404" spans="1:113">
      <c r="A404" s="17" t="s">
        <v>392</v>
      </c>
      <c r="C404">
        <v>8.1</v>
      </c>
      <c r="E404">
        <v>3.7</v>
      </c>
      <c r="F404">
        <v>14.6</v>
      </c>
      <c r="H404">
        <v>5.8</v>
      </c>
      <c r="K404">
        <v>1</v>
      </c>
      <c r="N404">
        <v>21.5</v>
      </c>
      <c r="O404">
        <v>2.8</v>
      </c>
      <c r="P404">
        <v>1.4</v>
      </c>
      <c r="Q404">
        <v>10.199999999999999</v>
      </c>
      <c r="R404">
        <v>9.1999999999999993</v>
      </c>
      <c r="S404">
        <v>1.7</v>
      </c>
      <c r="U404">
        <v>3.6</v>
      </c>
      <c r="W404">
        <v>0.6</v>
      </c>
      <c r="Y404">
        <v>0.2</v>
      </c>
      <c r="AA404">
        <v>2.7</v>
      </c>
      <c r="AB404">
        <v>0.3</v>
      </c>
      <c r="AC404">
        <v>2.1</v>
      </c>
      <c r="AE404">
        <v>4</v>
      </c>
      <c r="AG404">
        <v>4</v>
      </c>
      <c r="AI404">
        <v>2.1</v>
      </c>
      <c r="AK404">
        <v>5.7</v>
      </c>
      <c r="AN404">
        <v>15.3</v>
      </c>
      <c r="AQ404">
        <v>10.199999999999999</v>
      </c>
      <c r="AR404">
        <v>3.8</v>
      </c>
      <c r="AS404">
        <v>16</v>
      </c>
      <c r="AT404">
        <v>0.9</v>
      </c>
      <c r="AU404">
        <v>1.8</v>
      </c>
      <c r="AY404">
        <v>8.8000000000000007</v>
      </c>
      <c r="AZ404">
        <v>10.7</v>
      </c>
      <c r="BA404">
        <v>3.9</v>
      </c>
      <c r="BD404">
        <v>2.1</v>
      </c>
      <c r="BE404">
        <v>6.8</v>
      </c>
      <c r="BG404">
        <v>4.4000000000000004</v>
      </c>
      <c r="BH404">
        <v>0.2</v>
      </c>
      <c r="BI404">
        <v>0.5</v>
      </c>
      <c r="BJ404">
        <v>0.7</v>
      </c>
      <c r="BK404">
        <v>0.1</v>
      </c>
      <c r="BM404">
        <v>0.1</v>
      </c>
      <c r="BO404">
        <v>0.5</v>
      </c>
      <c r="BQ404">
        <v>0.7</v>
      </c>
      <c r="BS404">
        <v>1.5</v>
      </c>
      <c r="BT404">
        <v>0.3</v>
      </c>
      <c r="BU404">
        <v>4.5999999999999996</v>
      </c>
      <c r="BV404">
        <v>1.1000000000000001</v>
      </c>
      <c r="BW404">
        <v>0.2</v>
      </c>
      <c r="BY404">
        <v>2.9</v>
      </c>
      <c r="BZ404">
        <v>13.2</v>
      </c>
      <c r="CB404">
        <v>2.2000000000000002</v>
      </c>
      <c r="CC404">
        <v>9.5</v>
      </c>
      <c r="CD404">
        <v>0.2</v>
      </c>
      <c r="CE404">
        <v>2.5</v>
      </c>
      <c r="CI404">
        <v>6.1</v>
      </c>
      <c r="CJ404">
        <v>1.5</v>
      </c>
      <c r="CK404">
        <v>11.5</v>
      </c>
      <c r="CL404">
        <v>5.5</v>
      </c>
      <c r="CN404">
        <v>38.299999999999997</v>
      </c>
      <c r="CO404">
        <v>1.7</v>
      </c>
      <c r="CP404">
        <v>2.4</v>
      </c>
      <c r="CR404">
        <v>12.6</v>
      </c>
      <c r="CS404">
        <v>0.3</v>
      </c>
      <c r="CT404">
        <v>0.1</v>
      </c>
      <c r="CU404">
        <v>3.8</v>
      </c>
      <c r="CX404">
        <v>1.8</v>
      </c>
      <c r="CY404">
        <v>0.2</v>
      </c>
      <c r="DA404" s="2"/>
      <c r="DD404" s="1">
        <v>41267</v>
      </c>
      <c r="DE404" s="2">
        <f t="shared" si="88"/>
        <v>4.9499999999999993</v>
      </c>
      <c r="DF404" s="2">
        <f t="shared" si="95"/>
        <v>3.0757281553398053</v>
      </c>
      <c r="DG404" s="2">
        <f t="shared" si="89"/>
        <v>38.299999999999997</v>
      </c>
      <c r="DH404" s="2">
        <f t="shared" si="90"/>
        <v>0.1</v>
      </c>
      <c r="DI404" s="3">
        <f t="shared" si="96"/>
        <v>0.62135922330097082</v>
      </c>
    </row>
    <row r="405" spans="1:113">
      <c r="A405" s="17" t="s">
        <v>393</v>
      </c>
      <c r="B405">
        <v>0.8</v>
      </c>
      <c r="H405">
        <v>4.8</v>
      </c>
      <c r="K405">
        <v>0.9</v>
      </c>
      <c r="N405">
        <v>12.5</v>
      </c>
      <c r="O405">
        <v>1.7</v>
      </c>
      <c r="Q405">
        <v>0.9</v>
      </c>
      <c r="R405">
        <v>16.2</v>
      </c>
      <c r="U405">
        <v>0.4</v>
      </c>
      <c r="W405">
        <v>11.2</v>
      </c>
      <c r="AA405">
        <v>3.4</v>
      </c>
      <c r="AB405">
        <v>5.9</v>
      </c>
      <c r="AE405">
        <v>28.6</v>
      </c>
      <c r="AI405">
        <v>3.6</v>
      </c>
      <c r="AK405">
        <v>1</v>
      </c>
      <c r="AN405">
        <v>2.9</v>
      </c>
      <c r="AO405">
        <v>2</v>
      </c>
      <c r="AQ405">
        <v>32</v>
      </c>
      <c r="AR405">
        <v>7</v>
      </c>
      <c r="AT405">
        <v>1.3</v>
      </c>
      <c r="AU405">
        <v>1.9</v>
      </c>
      <c r="AW405">
        <v>13.7</v>
      </c>
      <c r="AX405">
        <v>3</v>
      </c>
      <c r="AZ405">
        <v>27.3</v>
      </c>
      <c r="BA405">
        <v>1.1000000000000001</v>
      </c>
      <c r="BC405">
        <v>1</v>
      </c>
      <c r="BD405">
        <v>12.2</v>
      </c>
      <c r="BE405">
        <v>4.5</v>
      </c>
      <c r="BG405">
        <v>30.8</v>
      </c>
      <c r="BH405">
        <v>6.1</v>
      </c>
      <c r="BI405">
        <v>2</v>
      </c>
      <c r="BM405">
        <v>0.3</v>
      </c>
      <c r="BN405">
        <v>3.8</v>
      </c>
      <c r="BO405">
        <v>0.1</v>
      </c>
      <c r="BP405">
        <v>5.3</v>
      </c>
      <c r="BQ405">
        <v>0.3</v>
      </c>
      <c r="BR405">
        <v>9</v>
      </c>
      <c r="BT405">
        <v>19.399999999999999</v>
      </c>
      <c r="BU405">
        <v>0.5</v>
      </c>
      <c r="BW405">
        <v>2.1</v>
      </c>
      <c r="BY405">
        <v>18.3</v>
      </c>
      <c r="BZ405">
        <v>2</v>
      </c>
      <c r="CA405">
        <v>3</v>
      </c>
      <c r="CB405">
        <v>9.6999999999999993</v>
      </c>
      <c r="CC405">
        <v>1.2</v>
      </c>
      <c r="CD405">
        <v>12.2</v>
      </c>
      <c r="CE405">
        <v>0.5</v>
      </c>
      <c r="CF405">
        <v>0.3</v>
      </c>
      <c r="CG405">
        <v>4.5</v>
      </c>
      <c r="CH405">
        <v>0.6</v>
      </c>
      <c r="CI405">
        <v>41.3</v>
      </c>
      <c r="CL405">
        <v>3.5</v>
      </c>
      <c r="CN405">
        <v>23.1</v>
      </c>
      <c r="CP405">
        <v>24</v>
      </c>
      <c r="CS405">
        <v>1.9</v>
      </c>
      <c r="CV405">
        <v>0.5</v>
      </c>
      <c r="CW405">
        <v>10.6</v>
      </c>
      <c r="DA405" s="2"/>
      <c r="DD405" s="1">
        <v>41268</v>
      </c>
      <c r="DE405" s="2">
        <f t="shared" si="88"/>
        <v>7.8339285714285722</v>
      </c>
      <c r="DF405" s="2">
        <f t="shared" si="95"/>
        <v>4.2592233009708744</v>
      </c>
      <c r="DG405" s="2">
        <f t="shared" si="89"/>
        <v>41.3</v>
      </c>
      <c r="DH405" s="2">
        <f t="shared" si="90"/>
        <v>0.1</v>
      </c>
      <c r="DI405" s="3">
        <f t="shared" si="96"/>
        <v>0.5436893203883495</v>
      </c>
    </row>
    <row r="406" spans="1:113">
      <c r="A406" s="17" t="s">
        <v>394</v>
      </c>
      <c r="D406">
        <v>68</v>
      </c>
      <c r="F406">
        <v>3.2</v>
      </c>
      <c r="K406">
        <v>0.2</v>
      </c>
      <c r="M406">
        <v>0.2</v>
      </c>
      <c r="P406">
        <v>2.2000000000000002</v>
      </c>
      <c r="Q406">
        <v>11</v>
      </c>
      <c r="T406">
        <v>0.5</v>
      </c>
      <c r="U406">
        <v>0.5</v>
      </c>
      <c r="W406">
        <v>14.1</v>
      </c>
      <c r="Y406">
        <v>10.4</v>
      </c>
      <c r="AA406">
        <v>6.6</v>
      </c>
      <c r="AB406">
        <v>12.6</v>
      </c>
      <c r="AC406">
        <v>7.8</v>
      </c>
      <c r="AD406">
        <v>1.6</v>
      </c>
      <c r="AE406">
        <v>14.6</v>
      </c>
      <c r="AF406">
        <v>17.2</v>
      </c>
      <c r="AG406">
        <v>0.6</v>
      </c>
      <c r="AI406">
        <v>7.5</v>
      </c>
      <c r="AJ406">
        <v>0.8</v>
      </c>
      <c r="AK406">
        <v>3.2</v>
      </c>
      <c r="AL406">
        <v>0.8</v>
      </c>
      <c r="AM406">
        <v>6</v>
      </c>
      <c r="AN406">
        <v>3</v>
      </c>
      <c r="AQ406">
        <v>2.2000000000000002</v>
      </c>
      <c r="AS406">
        <v>0.1</v>
      </c>
      <c r="AT406">
        <v>3.2</v>
      </c>
      <c r="AU406">
        <v>7.5</v>
      </c>
      <c r="AW406">
        <v>12.9</v>
      </c>
      <c r="AX406">
        <v>2.9</v>
      </c>
      <c r="AZ406">
        <v>21.9</v>
      </c>
      <c r="BA406">
        <v>9.9</v>
      </c>
      <c r="BC406">
        <v>5.5</v>
      </c>
      <c r="BD406">
        <v>6.4</v>
      </c>
      <c r="BE406">
        <v>12.6</v>
      </c>
      <c r="BG406">
        <v>0.1</v>
      </c>
      <c r="BH406">
        <v>8.3000000000000007</v>
      </c>
      <c r="BI406">
        <v>12.1</v>
      </c>
      <c r="BJ406">
        <v>0.1</v>
      </c>
      <c r="BK406">
        <v>0.1</v>
      </c>
      <c r="BM406">
        <v>0.1</v>
      </c>
      <c r="BN406">
        <v>6.5</v>
      </c>
      <c r="BP406">
        <v>4</v>
      </c>
      <c r="BR406">
        <v>8</v>
      </c>
      <c r="BS406">
        <v>8.6</v>
      </c>
      <c r="BT406">
        <v>5.6</v>
      </c>
      <c r="BU406">
        <v>6.3</v>
      </c>
      <c r="BW406">
        <v>1.7</v>
      </c>
      <c r="BY406">
        <v>6.3</v>
      </c>
      <c r="BZ406">
        <v>0.7</v>
      </c>
      <c r="CA406">
        <v>0.4</v>
      </c>
      <c r="CB406">
        <v>0.3</v>
      </c>
      <c r="CE406">
        <v>1.7</v>
      </c>
      <c r="CI406">
        <v>26.2</v>
      </c>
      <c r="CM406">
        <v>0.5</v>
      </c>
      <c r="CP406">
        <v>9.4</v>
      </c>
      <c r="CR406">
        <v>0.9</v>
      </c>
      <c r="CS406">
        <v>1</v>
      </c>
      <c r="CU406">
        <v>4.4000000000000004</v>
      </c>
      <c r="CV406">
        <v>9.6</v>
      </c>
      <c r="CW406">
        <v>13.3</v>
      </c>
      <c r="DA406" s="2"/>
      <c r="DD406" s="1">
        <v>41269</v>
      </c>
      <c r="DE406" s="2">
        <f t="shared" si="88"/>
        <v>6.8983333333333352</v>
      </c>
      <c r="DF406" s="2">
        <f t="shared" si="95"/>
        <v>4.0184466019417489</v>
      </c>
      <c r="DG406" s="2">
        <f t="shared" si="89"/>
        <v>68</v>
      </c>
      <c r="DH406" s="2">
        <f t="shared" si="90"/>
        <v>0.1</v>
      </c>
      <c r="DI406" s="3">
        <f t="shared" si="96"/>
        <v>0.58252427184466016</v>
      </c>
    </row>
    <row r="407" spans="1:113">
      <c r="A407" s="17" t="s">
        <v>395</v>
      </c>
      <c r="C407">
        <v>8.6</v>
      </c>
      <c r="D407">
        <v>3.4</v>
      </c>
      <c r="F407">
        <v>1</v>
      </c>
      <c r="J407">
        <v>17.5</v>
      </c>
      <c r="L407">
        <v>0.7</v>
      </c>
      <c r="M407">
        <v>4.4000000000000004</v>
      </c>
      <c r="N407">
        <v>7.5</v>
      </c>
      <c r="P407">
        <v>2</v>
      </c>
      <c r="R407">
        <v>5.0999999999999996</v>
      </c>
      <c r="U407">
        <v>2.1</v>
      </c>
      <c r="W407">
        <v>0.5</v>
      </c>
      <c r="X407">
        <v>9</v>
      </c>
      <c r="Y407">
        <v>6.4</v>
      </c>
      <c r="Z407">
        <v>0.2</v>
      </c>
      <c r="AA407">
        <v>3.4</v>
      </c>
      <c r="AB407">
        <v>14.6</v>
      </c>
      <c r="AC407">
        <v>3.7</v>
      </c>
      <c r="AD407">
        <v>56.5</v>
      </c>
      <c r="AE407">
        <v>6.3</v>
      </c>
      <c r="AF407">
        <v>3</v>
      </c>
      <c r="AH407">
        <v>10</v>
      </c>
      <c r="AI407">
        <v>8.6999999999999993</v>
      </c>
      <c r="AJ407">
        <v>1.7</v>
      </c>
      <c r="AK407">
        <v>10.8</v>
      </c>
      <c r="AL407">
        <v>7</v>
      </c>
      <c r="AM407">
        <v>31</v>
      </c>
      <c r="AN407">
        <v>0.2</v>
      </c>
      <c r="AT407">
        <v>9.1</v>
      </c>
      <c r="AW407">
        <v>3.3</v>
      </c>
      <c r="AY407">
        <v>26.9</v>
      </c>
      <c r="BA407">
        <v>22.9</v>
      </c>
      <c r="BC407">
        <v>25.7</v>
      </c>
      <c r="BG407">
        <v>9.3000000000000007</v>
      </c>
      <c r="BH407">
        <v>0.5</v>
      </c>
      <c r="BI407">
        <v>0.1</v>
      </c>
      <c r="BK407">
        <v>9.1</v>
      </c>
      <c r="BN407">
        <v>0.8</v>
      </c>
      <c r="BO407">
        <v>1</v>
      </c>
      <c r="BR407">
        <v>43</v>
      </c>
      <c r="BS407">
        <v>0.7</v>
      </c>
      <c r="BT407">
        <v>11.4</v>
      </c>
      <c r="BU407">
        <v>15.6</v>
      </c>
      <c r="BW407">
        <v>0.5</v>
      </c>
      <c r="BX407">
        <v>36</v>
      </c>
      <c r="BY407">
        <v>0.8</v>
      </c>
      <c r="CB407">
        <v>5.6</v>
      </c>
      <c r="CC407">
        <v>0.3</v>
      </c>
      <c r="CD407">
        <v>24.5</v>
      </c>
      <c r="CF407">
        <v>10.199999999999999</v>
      </c>
      <c r="CG407">
        <v>12.4</v>
      </c>
      <c r="CI407">
        <v>15.5</v>
      </c>
      <c r="CL407">
        <v>15</v>
      </c>
      <c r="CN407">
        <v>3.6</v>
      </c>
      <c r="CR407">
        <v>1.2</v>
      </c>
      <c r="CU407">
        <v>2</v>
      </c>
      <c r="CV407">
        <v>2</v>
      </c>
      <c r="CW407">
        <v>7.8</v>
      </c>
      <c r="DA407" s="2"/>
      <c r="DD407" s="1">
        <v>41270</v>
      </c>
      <c r="DE407" s="2">
        <f t="shared" si="88"/>
        <v>9.5105263157894733</v>
      </c>
      <c r="DF407" s="2">
        <f t="shared" si="95"/>
        <v>5.2631067961165048</v>
      </c>
      <c r="DG407" s="2">
        <f t="shared" si="89"/>
        <v>56.5</v>
      </c>
      <c r="DH407" s="2">
        <f t="shared" si="90"/>
        <v>0.1</v>
      </c>
      <c r="DI407" s="3">
        <f t="shared" si="96"/>
        <v>0.55339805825242716</v>
      </c>
    </row>
    <row r="408" spans="1:113">
      <c r="A408" s="17" t="s">
        <v>396</v>
      </c>
      <c r="B408">
        <v>17.899999999999999</v>
      </c>
      <c r="E408">
        <v>0.4</v>
      </c>
      <c r="G408">
        <v>6.8</v>
      </c>
      <c r="I408">
        <v>1</v>
      </c>
      <c r="M408">
        <v>1.9</v>
      </c>
      <c r="N408">
        <v>20</v>
      </c>
      <c r="P408">
        <v>1.5</v>
      </c>
      <c r="U408">
        <v>8.9</v>
      </c>
      <c r="W408">
        <v>0.3</v>
      </c>
      <c r="X408">
        <v>0.2</v>
      </c>
      <c r="Y408">
        <v>2.9</v>
      </c>
      <c r="AB408">
        <v>4.4000000000000004</v>
      </c>
      <c r="AC408">
        <v>10.199999999999999</v>
      </c>
      <c r="AD408">
        <v>9</v>
      </c>
      <c r="AE408">
        <v>8.5</v>
      </c>
      <c r="AF408">
        <v>11.6</v>
      </c>
      <c r="AG408">
        <v>3.9</v>
      </c>
      <c r="AH408">
        <v>4.4000000000000004</v>
      </c>
      <c r="AI408">
        <v>27.7</v>
      </c>
      <c r="AJ408">
        <v>2.2000000000000002</v>
      </c>
      <c r="AK408">
        <v>1.5</v>
      </c>
      <c r="AN408">
        <v>15.5</v>
      </c>
      <c r="AO408">
        <v>18</v>
      </c>
      <c r="AT408">
        <v>6.7</v>
      </c>
      <c r="AU408">
        <v>0.4</v>
      </c>
      <c r="AX408">
        <v>0.7</v>
      </c>
      <c r="AY408">
        <v>6.7</v>
      </c>
      <c r="BA408">
        <v>27.3</v>
      </c>
      <c r="BB408">
        <v>4.3</v>
      </c>
      <c r="BF408">
        <v>12</v>
      </c>
      <c r="BG408">
        <v>34</v>
      </c>
      <c r="BH408">
        <v>1.8</v>
      </c>
      <c r="BK408">
        <v>25</v>
      </c>
      <c r="BL408">
        <v>0.1</v>
      </c>
      <c r="BN408">
        <v>0.1</v>
      </c>
      <c r="BO408">
        <v>0.2</v>
      </c>
      <c r="BR408">
        <v>2.1</v>
      </c>
      <c r="BS408">
        <v>0.5</v>
      </c>
      <c r="BT408">
        <v>0.3</v>
      </c>
      <c r="BU408">
        <v>0.3</v>
      </c>
      <c r="BV408">
        <v>0.1</v>
      </c>
      <c r="BW408">
        <v>1.9</v>
      </c>
      <c r="BZ408">
        <v>1</v>
      </c>
      <c r="CA408">
        <v>1.3</v>
      </c>
      <c r="CB408">
        <v>0.2</v>
      </c>
      <c r="CC408">
        <v>0.6</v>
      </c>
      <c r="CD408">
        <v>10</v>
      </c>
      <c r="CE408">
        <v>1.3</v>
      </c>
      <c r="CG408">
        <v>0.2</v>
      </c>
      <c r="CH408">
        <v>11.8</v>
      </c>
      <c r="CI408">
        <v>22.4</v>
      </c>
      <c r="CJ408">
        <v>1</v>
      </c>
      <c r="CL408">
        <v>8.5</v>
      </c>
      <c r="CN408">
        <v>19</v>
      </c>
      <c r="CQ408">
        <v>4.8</v>
      </c>
      <c r="CR408">
        <v>1.6</v>
      </c>
      <c r="CT408">
        <v>0.2</v>
      </c>
      <c r="CU408">
        <v>17.3</v>
      </c>
      <c r="CV408">
        <v>10.3</v>
      </c>
      <c r="CW408">
        <v>6.8</v>
      </c>
      <c r="DA408" s="2"/>
      <c r="DD408" s="1">
        <v>41271</v>
      </c>
      <c r="DE408" s="2">
        <f t="shared" si="88"/>
        <v>7.0250000000000021</v>
      </c>
      <c r="DF408" s="2">
        <f t="shared" si="95"/>
        <v>4.0922330097087389</v>
      </c>
      <c r="DG408" s="2">
        <f t="shared" si="89"/>
        <v>34</v>
      </c>
      <c r="DH408" s="2">
        <f t="shared" si="90"/>
        <v>0.1</v>
      </c>
      <c r="DI408" s="3">
        <f t="shared" si="96"/>
        <v>0.58252427184466016</v>
      </c>
    </row>
    <row r="409" spans="1:113">
      <c r="A409" s="17" t="s">
        <v>397</v>
      </c>
      <c r="E409">
        <v>0.1</v>
      </c>
      <c r="G409">
        <v>3.6</v>
      </c>
      <c r="K409">
        <v>0.5</v>
      </c>
      <c r="M409">
        <v>7.4</v>
      </c>
      <c r="P409">
        <v>1.5</v>
      </c>
      <c r="Q409">
        <v>5.5</v>
      </c>
      <c r="R409">
        <v>0.7</v>
      </c>
      <c r="T409">
        <v>0.7</v>
      </c>
      <c r="U409">
        <v>0.2</v>
      </c>
      <c r="V409">
        <v>0.9</v>
      </c>
      <c r="Y409">
        <v>1.9</v>
      </c>
      <c r="AA409">
        <v>0.3</v>
      </c>
      <c r="AB409">
        <v>5.4</v>
      </c>
      <c r="AC409">
        <v>11.8</v>
      </c>
      <c r="AD409">
        <v>32.6</v>
      </c>
      <c r="AF409">
        <v>4</v>
      </c>
      <c r="AG409">
        <v>1</v>
      </c>
      <c r="AH409">
        <v>6.5</v>
      </c>
      <c r="AI409">
        <v>2.1</v>
      </c>
      <c r="AJ409">
        <v>0.5</v>
      </c>
      <c r="AK409">
        <v>4.5999999999999996</v>
      </c>
      <c r="AN409">
        <v>1.5</v>
      </c>
      <c r="AO409">
        <v>20.2</v>
      </c>
      <c r="AR409">
        <v>1</v>
      </c>
      <c r="AU409">
        <v>4.2</v>
      </c>
      <c r="AV409">
        <v>1</v>
      </c>
      <c r="AW409">
        <v>2.2999999999999998</v>
      </c>
      <c r="AX409">
        <v>18.399999999999999</v>
      </c>
      <c r="AY409">
        <v>16.8</v>
      </c>
      <c r="BA409">
        <v>1.2</v>
      </c>
      <c r="BB409">
        <v>5.6</v>
      </c>
      <c r="BF409">
        <v>2.4</v>
      </c>
      <c r="BG409">
        <v>2.8</v>
      </c>
      <c r="BH409">
        <v>5</v>
      </c>
      <c r="BJ409" t="s">
        <v>0</v>
      </c>
      <c r="BK409">
        <v>0.9</v>
      </c>
      <c r="BL409">
        <v>6.9</v>
      </c>
      <c r="BN409">
        <v>0.2</v>
      </c>
      <c r="BP409">
        <v>0.1</v>
      </c>
      <c r="BQ409">
        <v>0.1</v>
      </c>
      <c r="BR409">
        <v>9</v>
      </c>
      <c r="BS409">
        <v>2.9</v>
      </c>
      <c r="BU409">
        <v>34.700000000000003</v>
      </c>
      <c r="BW409">
        <v>0.8</v>
      </c>
      <c r="CB409">
        <v>9.4</v>
      </c>
      <c r="CC409">
        <v>16</v>
      </c>
      <c r="CD409">
        <v>20.7</v>
      </c>
      <c r="CH409">
        <v>25.3</v>
      </c>
      <c r="CI409">
        <v>0.9</v>
      </c>
      <c r="CJ409">
        <v>3</v>
      </c>
      <c r="CL409">
        <v>1.5</v>
      </c>
      <c r="CQ409">
        <v>0.1</v>
      </c>
      <c r="CR409">
        <v>2.8</v>
      </c>
      <c r="CU409">
        <v>7.4</v>
      </c>
      <c r="CW409">
        <v>1</v>
      </c>
      <c r="CY409">
        <v>4</v>
      </c>
      <c r="DA409" s="2"/>
      <c r="DD409" s="1">
        <v>41272</v>
      </c>
      <c r="DE409" s="2">
        <f t="shared" si="88"/>
        <v>5.8527272727272734</v>
      </c>
      <c r="DF409" s="2">
        <f t="shared" si="95"/>
        <v>3.1252427184466023</v>
      </c>
      <c r="DG409" s="2">
        <f t="shared" si="89"/>
        <v>34.700000000000003</v>
      </c>
      <c r="DH409" s="2">
        <f t="shared" si="90"/>
        <v>0.1</v>
      </c>
      <c r="DI409" s="3">
        <f t="shared" si="96"/>
        <v>0.5436893203883495</v>
      </c>
    </row>
    <row r="410" spans="1:113">
      <c r="A410" s="17" t="s">
        <v>398</v>
      </c>
      <c r="B410">
        <v>23.7</v>
      </c>
      <c r="L410">
        <v>1.4</v>
      </c>
      <c r="M410">
        <v>0.2</v>
      </c>
      <c r="N410">
        <v>34.5</v>
      </c>
      <c r="O410">
        <v>1</v>
      </c>
      <c r="Q410">
        <v>1.4</v>
      </c>
      <c r="R410">
        <v>8.1999999999999993</v>
      </c>
      <c r="S410">
        <v>0.6</v>
      </c>
      <c r="T410">
        <v>2.8</v>
      </c>
      <c r="V410">
        <v>0.5</v>
      </c>
      <c r="W410">
        <v>0.2</v>
      </c>
      <c r="Y410">
        <v>3.5</v>
      </c>
      <c r="AA410">
        <v>0.2</v>
      </c>
      <c r="AB410">
        <v>11.3</v>
      </c>
      <c r="AC410">
        <v>7.8</v>
      </c>
      <c r="AD410">
        <v>26.5</v>
      </c>
      <c r="AH410">
        <v>3.5</v>
      </c>
      <c r="AI410">
        <v>16.8</v>
      </c>
      <c r="AJ410">
        <v>22</v>
      </c>
      <c r="AK410">
        <v>2.9</v>
      </c>
      <c r="AO410">
        <v>1.5</v>
      </c>
      <c r="AR410">
        <v>6.5</v>
      </c>
      <c r="AS410">
        <v>4</v>
      </c>
      <c r="AU410">
        <v>5.9</v>
      </c>
      <c r="AV410">
        <v>1.7</v>
      </c>
      <c r="AX410">
        <v>6.6</v>
      </c>
      <c r="AY410">
        <v>1.4</v>
      </c>
      <c r="AZ410">
        <v>5.7</v>
      </c>
      <c r="BA410">
        <v>5.2</v>
      </c>
      <c r="BD410">
        <v>8.3000000000000007</v>
      </c>
      <c r="BG410">
        <v>0.1</v>
      </c>
      <c r="BH410">
        <v>12.5</v>
      </c>
      <c r="BI410">
        <v>1.2</v>
      </c>
      <c r="BJ410">
        <v>0.1</v>
      </c>
      <c r="BK410">
        <v>0.1</v>
      </c>
      <c r="BL410">
        <v>2.6</v>
      </c>
      <c r="BM410">
        <v>0.2</v>
      </c>
      <c r="BN410">
        <v>0.1</v>
      </c>
      <c r="BP410">
        <v>0.6</v>
      </c>
      <c r="BQ410">
        <v>0.1</v>
      </c>
      <c r="BR410">
        <v>5.4</v>
      </c>
      <c r="BS410">
        <v>0.2</v>
      </c>
      <c r="BT410">
        <v>3.7</v>
      </c>
      <c r="BU410">
        <v>4.2</v>
      </c>
      <c r="BW410">
        <v>0.5</v>
      </c>
      <c r="BX410">
        <v>0.1</v>
      </c>
      <c r="CB410">
        <v>3.7</v>
      </c>
      <c r="CD410">
        <v>0.8</v>
      </c>
      <c r="CH410">
        <v>12.6</v>
      </c>
      <c r="CI410">
        <v>6.7</v>
      </c>
      <c r="CK410">
        <v>5</v>
      </c>
      <c r="CL410">
        <v>1.5</v>
      </c>
      <c r="CM410">
        <v>0.7</v>
      </c>
      <c r="CR410">
        <v>15.2</v>
      </c>
      <c r="CU410">
        <v>3.5</v>
      </c>
      <c r="DA410" s="2"/>
      <c r="DD410" s="1">
        <v>41273</v>
      </c>
      <c r="DE410" s="2">
        <f t="shared" si="88"/>
        <v>5.4036363636363616</v>
      </c>
      <c r="DF410" s="2">
        <f t="shared" si="95"/>
        <v>2.8854368932038823</v>
      </c>
      <c r="DG410" s="2">
        <f t="shared" si="89"/>
        <v>34.5</v>
      </c>
      <c r="DH410" s="2">
        <f t="shared" si="90"/>
        <v>0.1</v>
      </c>
      <c r="DI410" s="3">
        <f t="shared" si="96"/>
        <v>0.53398058252427183</v>
      </c>
    </row>
    <row r="411" spans="1:113">
      <c r="A411" s="17" t="s">
        <v>399</v>
      </c>
      <c r="D411">
        <v>0.7</v>
      </c>
      <c r="E411">
        <v>14</v>
      </c>
      <c r="G411">
        <v>5.8</v>
      </c>
      <c r="H411">
        <v>9.4</v>
      </c>
      <c r="I411">
        <v>0.2</v>
      </c>
      <c r="L411">
        <v>0.1</v>
      </c>
      <c r="M411">
        <v>0.2</v>
      </c>
      <c r="N411">
        <v>1.1000000000000001</v>
      </c>
      <c r="R411">
        <v>0.7</v>
      </c>
      <c r="S411">
        <v>1.9</v>
      </c>
      <c r="T411">
        <v>4.2</v>
      </c>
      <c r="U411">
        <v>1.6</v>
      </c>
      <c r="V411">
        <v>0.5</v>
      </c>
      <c r="W411">
        <v>0.4</v>
      </c>
      <c r="Y411">
        <v>4</v>
      </c>
      <c r="AB411">
        <v>1</v>
      </c>
      <c r="AC411">
        <v>7.2</v>
      </c>
      <c r="AD411">
        <v>9</v>
      </c>
      <c r="AI411">
        <v>0.3</v>
      </c>
      <c r="AJ411">
        <v>7.1</v>
      </c>
      <c r="AK411">
        <v>2.1</v>
      </c>
      <c r="AN411">
        <v>37</v>
      </c>
      <c r="AR411">
        <v>10.199999999999999</v>
      </c>
      <c r="AS411">
        <v>0.6</v>
      </c>
      <c r="AU411">
        <v>2.8</v>
      </c>
      <c r="AV411">
        <v>12.6</v>
      </c>
      <c r="AX411">
        <v>8</v>
      </c>
      <c r="AY411">
        <v>6.5</v>
      </c>
      <c r="AZ411">
        <v>1.5</v>
      </c>
      <c r="BD411">
        <v>0.8</v>
      </c>
      <c r="BH411">
        <v>0.1</v>
      </c>
      <c r="BJ411">
        <v>1.2</v>
      </c>
      <c r="BK411">
        <v>0.1</v>
      </c>
      <c r="BM411">
        <v>21.6</v>
      </c>
      <c r="BN411">
        <v>0.2</v>
      </c>
      <c r="BO411">
        <v>8.6</v>
      </c>
      <c r="BP411">
        <v>42.4</v>
      </c>
      <c r="BU411">
        <v>5.6</v>
      </c>
      <c r="BW411">
        <v>0.7</v>
      </c>
      <c r="BX411">
        <v>0.1</v>
      </c>
      <c r="CB411">
        <v>8.4</v>
      </c>
      <c r="CD411">
        <v>2.7</v>
      </c>
      <c r="CG411">
        <v>2.1</v>
      </c>
      <c r="CI411">
        <v>4.5999999999999996</v>
      </c>
      <c r="CL411">
        <v>1</v>
      </c>
      <c r="CM411">
        <v>3.5</v>
      </c>
      <c r="CN411">
        <v>25.7</v>
      </c>
      <c r="CQ411">
        <v>1.4</v>
      </c>
      <c r="CU411">
        <v>14.5</v>
      </c>
      <c r="CX411">
        <v>8.9</v>
      </c>
      <c r="CZ411">
        <v>1.4</v>
      </c>
      <c r="DA411" s="2"/>
      <c r="DD411" s="1">
        <v>41274</v>
      </c>
      <c r="DE411" s="2">
        <f t="shared" si="88"/>
        <v>6.0058823529411738</v>
      </c>
      <c r="DF411" s="2">
        <f t="shared" si="95"/>
        <v>2.9737864077669887</v>
      </c>
      <c r="DG411" s="2">
        <f t="shared" si="89"/>
        <v>42.4</v>
      </c>
      <c r="DH411" s="2">
        <f t="shared" si="90"/>
        <v>0.1</v>
      </c>
      <c r="DI411" s="3">
        <f t="shared" si="96"/>
        <v>0.49514563106796117</v>
      </c>
    </row>
    <row r="412" spans="1:113">
      <c r="A412" s="17"/>
      <c r="B412">
        <v>1911</v>
      </c>
      <c r="C412">
        <v>1912</v>
      </c>
      <c r="D412">
        <v>1913</v>
      </c>
      <c r="E412">
        <v>1914</v>
      </c>
      <c r="F412">
        <v>1915</v>
      </c>
      <c r="G412">
        <v>1916</v>
      </c>
      <c r="H412">
        <v>1917</v>
      </c>
      <c r="I412">
        <v>1918</v>
      </c>
      <c r="J412">
        <v>1919</v>
      </c>
      <c r="K412">
        <v>1920</v>
      </c>
      <c r="L412">
        <v>1921</v>
      </c>
      <c r="M412">
        <v>1922</v>
      </c>
      <c r="N412">
        <v>1923</v>
      </c>
      <c r="O412">
        <v>1924</v>
      </c>
      <c r="P412">
        <v>1925</v>
      </c>
      <c r="Q412">
        <v>1926</v>
      </c>
      <c r="R412">
        <v>1927</v>
      </c>
      <c r="S412">
        <v>1928</v>
      </c>
      <c r="T412">
        <v>1929</v>
      </c>
      <c r="U412">
        <v>1930</v>
      </c>
      <c r="V412">
        <v>1931</v>
      </c>
      <c r="W412">
        <v>1932</v>
      </c>
      <c r="X412">
        <v>1933</v>
      </c>
      <c r="Y412">
        <v>1934</v>
      </c>
      <c r="Z412">
        <v>1935</v>
      </c>
      <c r="AA412">
        <v>1936</v>
      </c>
      <c r="AB412">
        <v>1937</v>
      </c>
      <c r="AC412">
        <v>1938</v>
      </c>
      <c r="AD412">
        <v>1939</v>
      </c>
      <c r="AE412">
        <v>1940</v>
      </c>
      <c r="AF412">
        <v>1941</v>
      </c>
      <c r="AG412">
        <v>1942</v>
      </c>
      <c r="AH412">
        <v>1943</v>
      </c>
      <c r="AI412">
        <v>1944</v>
      </c>
      <c r="AJ412">
        <v>1945</v>
      </c>
      <c r="AK412">
        <v>1946</v>
      </c>
      <c r="AL412">
        <v>1947</v>
      </c>
      <c r="AM412">
        <v>1948</v>
      </c>
      <c r="AN412">
        <v>1949</v>
      </c>
      <c r="AO412">
        <v>1950</v>
      </c>
      <c r="AP412">
        <v>1951</v>
      </c>
      <c r="AQ412">
        <v>1952</v>
      </c>
      <c r="AR412">
        <v>1953</v>
      </c>
      <c r="AS412">
        <v>1954</v>
      </c>
      <c r="AT412">
        <v>1955</v>
      </c>
      <c r="AU412">
        <v>1956</v>
      </c>
      <c r="AV412">
        <v>1957</v>
      </c>
      <c r="AW412">
        <v>1958</v>
      </c>
      <c r="AX412">
        <v>1959</v>
      </c>
      <c r="AY412">
        <v>1960</v>
      </c>
      <c r="AZ412">
        <v>1961</v>
      </c>
      <c r="BA412">
        <v>1962</v>
      </c>
      <c r="BB412">
        <v>1963</v>
      </c>
      <c r="BC412">
        <v>1964</v>
      </c>
      <c r="BD412">
        <v>1965</v>
      </c>
      <c r="BE412">
        <v>1966</v>
      </c>
      <c r="BF412">
        <v>1967</v>
      </c>
      <c r="BG412">
        <v>1968</v>
      </c>
      <c r="BH412">
        <v>1969</v>
      </c>
      <c r="BI412">
        <v>1970</v>
      </c>
      <c r="BJ412">
        <v>1971</v>
      </c>
      <c r="BK412">
        <v>1972</v>
      </c>
      <c r="BL412">
        <v>1973</v>
      </c>
      <c r="BM412">
        <v>1974</v>
      </c>
      <c r="BN412">
        <v>1975</v>
      </c>
      <c r="BO412">
        <v>1976</v>
      </c>
      <c r="BP412">
        <v>1977</v>
      </c>
      <c r="BQ412">
        <v>1978</v>
      </c>
      <c r="BR412">
        <v>1979</v>
      </c>
      <c r="BS412">
        <v>1980</v>
      </c>
      <c r="BT412">
        <v>1981</v>
      </c>
      <c r="BU412">
        <v>1982</v>
      </c>
      <c r="BV412">
        <v>1983</v>
      </c>
      <c r="BW412">
        <v>1984</v>
      </c>
      <c r="BX412">
        <v>1985</v>
      </c>
      <c r="BY412">
        <v>1986</v>
      </c>
      <c r="BZ412">
        <v>1987</v>
      </c>
      <c r="CA412">
        <v>1988</v>
      </c>
      <c r="CB412">
        <v>1989</v>
      </c>
      <c r="CC412">
        <v>1990</v>
      </c>
      <c r="CD412">
        <v>1991</v>
      </c>
      <c r="CE412">
        <v>1992</v>
      </c>
      <c r="CF412">
        <v>1993</v>
      </c>
      <c r="CG412">
        <v>1994</v>
      </c>
      <c r="CH412">
        <v>1995</v>
      </c>
      <c r="CI412">
        <v>1996</v>
      </c>
      <c r="CJ412">
        <v>1997</v>
      </c>
      <c r="CK412">
        <v>1998</v>
      </c>
      <c r="CL412">
        <v>1999</v>
      </c>
      <c r="CM412">
        <v>2000</v>
      </c>
      <c r="CN412">
        <v>2001</v>
      </c>
      <c r="CO412">
        <v>2002</v>
      </c>
      <c r="CP412">
        <v>2003</v>
      </c>
      <c r="CQ412">
        <v>2004</v>
      </c>
      <c r="CR412">
        <v>2005</v>
      </c>
      <c r="CS412">
        <v>2006</v>
      </c>
      <c r="CT412">
        <v>2007</v>
      </c>
      <c r="CU412">
        <v>2008</v>
      </c>
      <c r="CV412">
        <v>2009</v>
      </c>
      <c r="CW412">
        <v>2010</v>
      </c>
      <c r="CX412">
        <v>2011</v>
      </c>
      <c r="CY412">
        <v>2012</v>
      </c>
      <c r="CZ412">
        <v>2013</v>
      </c>
    </row>
    <row r="413" spans="1:113">
      <c r="A413" s="17" t="s">
        <v>30</v>
      </c>
      <c r="B413">
        <f>SUM(B381:B411)</f>
        <v>98</v>
      </c>
      <c r="C413">
        <f>SUM(C381:C411)</f>
        <v>49.7</v>
      </c>
      <c r="D413">
        <f>SUM(D381:D411)</f>
        <v>155.4</v>
      </c>
      <c r="E413">
        <f t="shared" ref="E413:BP413" si="97">SUM(E381:E411)</f>
        <v>38.099999999999994</v>
      </c>
      <c r="F413">
        <f t="shared" si="97"/>
        <v>40.800000000000004</v>
      </c>
      <c r="G413">
        <f t="shared" si="97"/>
        <v>47.5</v>
      </c>
      <c r="H413">
        <f t="shared" si="97"/>
        <v>50.1</v>
      </c>
      <c r="I413">
        <f t="shared" si="97"/>
        <v>130.5</v>
      </c>
      <c r="J413">
        <f t="shared" si="97"/>
        <v>151.30000000000001</v>
      </c>
      <c r="K413">
        <f t="shared" si="97"/>
        <v>26.799999999999997</v>
      </c>
      <c r="L413">
        <f t="shared" si="97"/>
        <v>69.600000000000009</v>
      </c>
      <c r="M413">
        <f t="shared" si="97"/>
        <v>96.30000000000004</v>
      </c>
      <c r="N413">
        <f t="shared" si="97"/>
        <v>234.00000000000003</v>
      </c>
      <c r="O413">
        <f t="shared" si="97"/>
        <v>89.7</v>
      </c>
      <c r="P413">
        <f t="shared" si="97"/>
        <v>228.69999999999996</v>
      </c>
      <c r="Q413">
        <f t="shared" si="97"/>
        <v>138.50000000000003</v>
      </c>
      <c r="R413">
        <f t="shared" si="97"/>
        <v>151.49999999999997</v>
      </c>
      <c r="S413">
        <f t="shared" si="97"/>
        <v>200.2</v>
      </c>
      <c r="T413">
        <f t="shared" si="97"/>
        <v>79.8</v>
      </c>
      <c r="U413">
        <f t="shared" si="97"/>
        <v>92.699999999999989</v>
      </c>
      <c r="V413">
        <f t="shared" si="97"/>
        <v>99.000000000000014</v>
      </c>
      <c r="W413">
        <f t="shared" si="97"/>
        <v>63</v>
      </c>
      <c r="X413">
        <f t="shared" si="97"/>
        <v>229.2</v>
      </c>
      <c r="Y413">
        <f t="shared" si="97"/>
        <v>84.90000000000002</v>
      </c>
      <c r="Z413">
        <f t="shared" si="97"/>
        <v>101.9</v>
      </c>
      <c r="AA413">
        <f t="shared" si="97"/>
        <v>91.200000000000017</v>
      </c>
      <c r="AB413">
        <f t="shared" si="97"/>
        <v>142.20000000000002</v>
      </c>
      <c r="AC413">
        <f t="shared" si="97"/>
        <v>122.6</v>
      </c>
      <c r="AD413">
        <f t="shared" si="97"/>
        <v>261.79999999999995</v>
      </c>
      <c r="AE413">
        <f t="shared" si="97"/>
        <v>292</v>
      </c>
      <c r="AF413">
        <f t="shared" si="97"/>
        <v>82.999999999999986</v>
      </c>
      <c r="AG413">
        <f t="shared" si="97"/>
        <v>19.899999999999999</v>
      </c>
      <c r="AH413">
        <f t="shared" si="97"/>
        <v>115.69999999999999</v>
      </c>
      <c r="AI413">
        <f t="shared" si="97"/>
        <v>175.1</v>
      </c>
      <c r="AJ413">
        <f t="shared" si="97"/>
        <v>65.8</v>
      </c>
      <c r="AK413">
        <f t="shared" si="97"/>
        <v>117.09999999999998</v>
      </c>
      <c r="AL413">
        <f t="shared" si="97"/>
        <v>131.6</v>
      </c>
      <c r="AM413">
        <f t="shared" si="97"/>
        <v>160.69999999999999</v>
      </c>
      <c r="AN413">
        <f t="shared" si="97"/>
        <v>153</v>
      </c>
      <c r="AO413">
        <f t="shared" si="97"/>
        <v>78</v>
      </c>
      <c r="AP413">
        <f t="shared" si="97"/>
        <v>145.5</v>
      </c>
      <c r="AQ413">
        <f t="shared" si="97"/>
        <v>92.9</v>
      </c>
      <c r="AR413">
        <f t="shared" si="97"/>
        <v>89.600000000000009</v>
      </c>
      <c r="AS413">
        <f t="shared" si="97"/>
        <v>86.699999999999989</v>
      </c>
      <c r="AT413">
        <f t="shared" si="97"/>
        <v>84.699999999999989</v>
      </c>
      <c r="AU413">
        <f t="shared" si="97"/>
        <v>71.900000000000006</v>
      </c>
      <c r="AV413">
        <f t="shared" si="97"/>
        <v>180.79999999999995</v>
      </c>
      <c r="AW413">
        <f t="shared" si="97"/>
        <v>103.8</v>
      </c>
      <c r="AX413">
        <f t="shared" si="97"/>
        <v>93.7</v>
      </c>
      <c r="AY413">
        <f t="shared" si="97"/>
        <v>117.4</v>
      </c>
      <c r="AZ413">
        <f t="shared" si="97"/>
        <v>144.69999999999999</v>
      </c>
      <c r="BA413">
        <f t="shared" si="97"/>
        <v>292.8</v>
      </c>
      <c r="BB413">
        <f t="shared" si="97"/>
        <v>284.10000000000002</v>
      </c>
      <c r="BC413">
        <f t="shared" si="97"/>
        <v>190.09999999999994</v>
      </c>
      <c r="BD413">
        <f t="shared" si="97"/>
        <v>164.10000000000002</v>
      </c>
      <c r="BE413">
        <f t="shared" si="97"/>
        <v>190.3</v>
      </c>
      <c r="BF413">
        <f t="shared" si="97"/>
        <v>120.00000000000003</v>
      </c>
      <c r="BG413">
        <f t="shared" si="97"/>
        <v>183.70000000000002</v>
      </c>
      <c r="BH413">
        <f t="shared" si="97"/>
        <v>175.10000000000002</v>
      </c>
      <c r="BI413">
        <f t="shared" si="97"/>
        <v>116.8</v>
      </c>
      <c r="BJ413">
        <f t="shared" si="97"/>
        <v>133.69999999999996</v>
      </c>
      <c r="BK413">
        <f t="shared" si="97"/>
        <v>46.8</v>
      </c>
      <c r="BL413">
        <f t="shared" si="97"/>
        <v>71.100000000000009</v>
      </c>
      <c r="BM413">
        <f t="shared" si="97"/>
        <v>108.60000000000002</v>
      </c>
      <c r="BN413">
        <f t="shared" si="97"/>
        <v>111.19999999999999</v>
      </c>
      <c r="BO413">
        <f t="shared" si="97"/>
        <v>142.69999999999999</v>
      </c>
      <c r="BP413">
        <f t="shared" si="97"/>
        <v>178.9</v>
      </c>
      <c r="BQ413">
        <f t="shared" ref="BQ413:CY413" si="98">SUM(BQ381:BQ411)</f>
        <v>104.8</v>
      </c>
      <c r="BR413">
        <f t="shared" si="98"/>
        <v>128.6</v>
      </c>
      <c r="BS413">
        <f t="shared" si="98"/>
        <v>121.00000000000001</v>
      </c>
      <c r="BT413">
        <f t="shared" si="98"/>
        <v>227.20000000000002</v>
      </c>
      <c r="BU413">
        <f t="shared" si="98"/>
        <v>131.6</v>
      </c>
      <c r="BV413">
        <f t="shared" si="98"/>
        <v>39</v>
      </c>
      <c r="BW413">
        <f t="shared" si="98"/>
        <v>38.5</v>
      </c>
      <c r="BX413">
        <f t="shared" si="98"/>
        <v>75.399999999999991</v>
      </c>
      <c r="BY413">
        <f t="shared" si="98"/>
        <v>112.3</v>
      </c>
      <c r="BZ413">
        <f t="shared" si="98"/>
        <v>193.4</v>
      </c>
      <c r="CA413">
        <f t="shared" si="98"/>
        <v>183.8</v>
      </c>
      <c r="CB413">
        <f t="shared" si="98"/>
        <v>82.800000000000011</v>
      </c>
      <c r="CC413">
        <f t="shared" si="98"/>
        <v>173.5</v>
      </c>
      <c r="CD413">
        <f t="shared" si="98"/>
        <v>183.39999999999998</v>
      </c>
      <c r="CE413">
        <f t="shared" si="98"/>
        <v>101.4</v>
      </c>
      <c r="CF413">
        <f t="shared" si="98"/>
        <v>59.900000000000006</v>
      </c>
      <c r="CG413">
        <f t="shared" si="98"/>
        <v>148</v>
      </c>
      <c r="CH413">
        <f t="shared" si="98"/>
        <v>90.2</v>
      </c>
      <c r="CI413">
        <f t="shared" si="98"/>
        <v>186.6</v>
      </c>
      <c r="CJ413">
        <f t="shared" si="98"/>
        <v>221.7</v>
      </c>
      <c r="CK413">
        <f t="shared" si="98"/>
        <v>154.69999999999999</v>
      </c>
      <c r="CL413">
        <f t="shared" si="98"/>
        <v>144.30000000000001</v>
      </c>
      <c r="CM413">
        <f t="shared" si="98"/>
        <v>87.7</v>
      </c>
      <c r="CN413">
        <f t="shared" si="98"/>
        <v>432.20000000000005</v>
      </c>
      <c r="CO413">
        <f t="shared" si="98"/>
        <v>88.700000000000017</v>
      </c>
      <c r="CP413">
        <f t="shared" si="98"/>
        <v>127.7</v>
      </c>
      <c r="CQ413">
        <f t="shared" si="98"/>
        <v>56.500000000000007</v>
      </c>
      <c r="CR413">
        <f t="shared" si="98"/>
        <v>129.6</v>
      </c>
      <c r="CS413">
        <f t="shared" si="98"/>
        <v>29.3</v>
      </c>
      <c r="CT413">
        <f t="shared" si="98"/>
        <v>79.799999999999983</v>
      </c>
      <c r="CU413">
        <f t="shared" si="98"/>
        <v>118.6</v>
      </c>
      <c r="CV413">
        <f t="shared" si="98"/>
        <v>182.5</v>
      </c>
      <c r="CW413">
        <f t="shared" si="98"/>
        <v>131.49999999999997</v>
      </c>
      <c r="CX413">
        <f t="shared" si="98"/>
        <v>116.00000000000001</v>
      </c>
      <c r="CY413">
        <f t="shared" si="98"/>
        <v>156.70000000000002</v>
      </c>
      <c r="CZ413">
        <f t="shared" ref="CZ413" si="99">SUM(CZ381:CZ411)</f>
        <v>68.100000000000009</v>
      </c>
      <c r="DA413" s="2"/>
      <c r="DB413" s="2"/>
      <c r="DC413" s="2"/>
      <c r="DD413" s="2"/>
    </row>
    <row r="414" spans="1:113">
      <c r="A414" s="17" t="s">
        <v>4</v>
      </c>
      <c r="B414">
        <f>MAX(B381:B411)</f>
        <v>23.7</v>
      </c>
      <c r="C414">
        <f>MAX(C381:C411)</f>
        <v>8.6999999999999993</v>
      </c>
      <c r="D414">
        <f>MAX(D381:D411)</f>
        <v>68</v>
      </c>
      <c r="E414">
        <f t="shared" ref="E414:BP414" si="100">MAX(E381:E411)</f>
        <v>14</v>
      </c>
      <c r="F414">
        <f t="shared" si="100"/>
        <v>14.6</v>
      </c>
      <c r="G414">
        <f t="shared" si="100"/>
        <v>8.1999999999999993</v>
      </c>
      <c r="H414">
        <f t="shared" si="100"/>
        <v>9.4</v>
      </c>
      <c r="I414">
        <f t="shared" si="100"/>
        <v>43.3</v>
      </c>
      <c r="J414">
        <f t="shared" si="100"/>
        <v>19.899999999999999</v>
      </c>
      <c r="K414">
        <f t="shared" si="100"/>
        <v>12.3</v>
      </c>
      <c r="L414">
        <f t="shared" si="100"/>
        <v>38.6</v>
      </c>
      <c r="M414">
        <f t="shared" si="100"/>
        <v>25.9</v>
      </c>
      <c r="N414">
        <f t="shared" si="100"/>
        <v>47.2</v>
      </c>
      <c r="O414">
        <f t="shared" si="100"/>
        <v>33</v>
      </c>
      <c r="P414">
        <f t="shared" si="100"/>
        <v>46</v>
      </c>
      <c r="Q414">
        <f t="shared" si="100"/>
        <v>21</v>
      </c>
      <c r="R414">
        <f t="shared" si="100"/>
        <v>35.4</v>
      </c>
      <c r="S414">
        <f t="shared" si="100"/>
        <v>37.1</v>
      </c>
      <c r="T414">
        <f t="shared" si="100"/>
        <v>14.5</v>
      </c>
      <c r="U414">
        <f t="shared" si="100"/>
        <v>17.899999999999999</v>
      </c>
      <c r="V414">
        <f t="shared" si="100"/>
        <v>40.1</v>
      </c>
      <c r="W414">
        <f t="shared" si="100"/>
        <v>14.1</v>
      </c>
      <c r="X414">
        <f t="shared" si="100"/>
        <v>48</v>
      </c>
      <c r="Y414">
        <f t="shared" si="100"/>
        <v>17.899999999999999</v>
      </c>
      <c r="Z414">
        <f t="shared" si="100"/>
        <v>20.100000000000001</v>
      </c>
      <c r="AA414">
        <f t="shared" si="100"/>
        <v>14.8</v>
      </c>
      <c r="AB414">
        <f t="shared" si="100"/>
        <v>37</v>
      </c>
      <c r="AC414">
        <f t="shared" si="100"/>
        <v>13.3</v>
      </c>
      <c r="AD414">
        <f t="shared" si="100"/>
        <v>56.5</v>
      </c>
      <c r="AE414">
        <f t="shared" si="100"/>
        <v>44.3</v>
      </c>
      <c r="AF414">
        <f t="shared" si="100"/>
        <v>28.7</v>
      </c>
      <c r="AG414">
        <f t="shared" si="100"/>
        <v>4</v>
      </c>
      <c r="AH414">
        <f t="shared" si="100"/>
        <v>17</v>
      </c>
      <c r="AI414">
        <f t="shared" si="100"/>
        <v>28.6</v>
      </c>
      <c r="AJ414">
        <f t="shared" si="100"/>
        <v>22</v>
      </c>
      <c r="AK414">
        <f t="shared" si="100"/>
        <v>25.8</v>
      </c>
      <c r="AL414">
        <f t="shared" si="100"/>
        <v>27.3</v>
      </c>
      <c r="AM414">
        <f t="shared" si="100"/>
        <v>35.5</v>
      </c>
      <c r="AN414">
        <f t="shared" si="100"/>
        <v>37</v>
      </c>
      <c r="AO414">
        <f t="shared" si="100"/>
        <v>21.5</v>
      </c>
      <c r="AP414">
        <f t="shared" si="100"/>
        <v>41.6</v>
      </c>
      <c r="AQ414">
        <f t="shared" si="100"/>
        <v>32</v>
      </c>
      <c r="AR414">
        <f t="shared" si="100"/>
        <v>14.7</v>
      </c>
      <c r="AS414">
        <f t="shared" si="100"/>
        <v>24.1</v>
      </c>
      <c r="AT414">
        <f t="shared" si="100"/>
        <v>18.2</v>
      </c>
      <c r="AU414">
        <f t="shared" si="100"/>
        <v>12.8</v>
      </c>
      <c r="AV414">
        <f t="shared" si="100"/>
        <v>51.8</v>
      </c>
      <c r="AW414">
        <f t="shared" si="100"/>
        <v>16</v>
      </c>
      <c r="AX414">
        <f t="shared" si="100"/>
        <v>22.1</v>
      </c>
      <c r="AY414">
        <f t="shared" si="100"/>
        <v>26.9</v>
      </c>
      <c r="AZ414">
        <f t="shared" si="100"/>
        <v>27.3</v>
      </c>
      <c r="BA414">
        <f t="shared" si="100"/>
        <v>36.200000000000003</v>
      </c>
      <c r="BB414">
        <f t="shared" si="100"/>
        <v>59.3</v>
      </c>
      <c r="BC414">
        <f t="shared" si="100"/>
        <v>29.2</v>
      </c>
      <c r="BD414">
        <f t="shared" si="100"/>
        <v>55.1</v>
      </c>
      <c r="BE414">
        <f t="shared" si="100"/>
        <v>50.6</v>
      </c>
      <c r="BF414">
        <f t="shared" si="100"/>
        <v>22</v>
      </c>
      <c r="BG414">
        <f t="shared" si="100"/>
        <v>36.799999999999997</v>
      </c>
      <c r="BH414">
        <f t="shared" si="100"/>
        <v>27</v>
      </c>
      <c r="BI414">
        <f t="shared" si="100"/>
        <v>26</v>
      </c>
      <c r="BJ414">
        <f t="shared" si="100"/>
        <v>37.5</v>
      </c>
      <c r="BK414">
        <f t="shared" si="100"/>
        <v>25</v>
      </c>
      <c r="BL414">
        <f t="shared" si="100"/>
        <v>12</v>
      </c>
      <c r="BM414">
        <f t="shared" si="100"/>
        <v>21.6</v>
      </c>
      <c r="BN414">
        <f t="shared" si="100"/>
        <v>28.8</v>
      </c>
      <c r="BO414">
        <f t="shared" si="100"/>
        <v>39.4</v>
      </c>
      <c r="BP414">
        <f t="shared" si="100"/>
        <v>42.4</v>
      </c>
      <c r="BQ414">
        <f t="shared" ref="BQ414:CY414" si="101">MAX(BQ381:BQ411)</f>
        <v>21.3</v>
      </c>
      <c r="BR414">
        <f t="shared" si="101"/>
        <v>43</v>
      </c>
      <c r="BS414">
        <f t="shared" si="101"/>
        <v>36.4</v>
      </c>
      <c r="BT414">
        <f t="shared" si="101"/>
        <v>36.700000000000003</v>
      </c>
      <c r="BU414">
        <f t="shared" si="101"/>
        <v>36.700000000000003</v>
      </c>
      <c r="BV414">
        <f t="shared" si="101"/>
        <v>14.9</v>
      </c>
      <c r="BW414">
        <f t="shared" si="101"/>
        <v>13.5</v>
      </c>
      <c r="BX414">
        <f t="shared" si="101"/>
        <v>36</v>
      </c>
      <c r="BY414">
        <f t="shared" si="101"/>
        <v>19.8</v>
      </c>
      <c r="BZ414">
        <f t="shared" si="101"/>
        <v>58.5</v>
      </c>
      <c r="CA414">
        <f t="shared" si="101"/>
        <v>67</v>
      </c>
      <c r="CB414">
        <f t="shared" si="101"/>
        <v>27.4</v>
      </c>
      <c r="CC414">
        <f t="shared" si="101"/>
        <v>23.8</v>
      </c>
      <c r="CD414">
        <f t="shared" si="101"/>
        <v>66</v>
      </c>
      <c r="CE414">
        <f t="shared" si="101"/>
        <v>30</v>
      </c>
      <c r="CF414">
        <f t="shared" si="101"/>
        <v>29.5</v>
      </c>
      <c r="CG414">
        <f t="shared" si="101"/>
        <v>28.5</v>
      </c>
      <c r="CH414">
        <f t="shared" si="101"/>
        <v>25.3</v>
      </c>
      <c r="CI414">
        <f t="shared" si="101"/>
        <v>41.3</v>
      </c>
      <c r="CJ414">
        <f t="shared" si="101"/>
        <v>46</v>
      </c>
      <c r="CK414">
        <f t="shared" si="101"/>
        <v>39</v>
      </c>
      <c r="CL414">
        <f t="shared" si="101"/>
        <v>50.1</v>
      </c>
      <c r="CM414">
        <f t="shared" si="101"/>
        <v>18.5</v>
      </c>
      <c r="CN414">
        <f t="shared" si="101"/>
        <v>38.4</v>
      </c>
      <c r="CO414">
        <f t="shared" si="101"/>
        <v>22</v>
      </c>
      <c r="CP414">
        <f t="shared" si="101"/>
        <v>25.1</v>
      </c>
      <c r="CQ414">
        <f t="shared" si="101"/>
        <v>14.8</v>
      </c>
      <c r="CR414">
        <f t="shared" si="101"/>
        <v>41.3</v>
      </c>
      <c r="CS414">
        <f t="shared" si="101"/>
        <v>21.1</v>
      </c>
      <c r="CT414">
        <f t="shared" si="101"/>
        <v>27.3</v>
      </c>
      <c r="CU414">
        <f t="shared" si="101"/>
        <v>23.9</v>
      </c>
      <c r="CV414">
        <f t="shared" si="101"/>
        <v>40.6</v>
      </c>
      <c r="CW414">
        <f t="shared" si="101"/>
        <v>28.5</v>
      </c>
      <c r="CX414">
        <f t="shared" si="101"/>
        <v>36.6</v>
      </c>
      <c r="CY414">
        <f t="shared" si="101"/>
        <v>21.5</v>
      </c>
      <c r="CZ414">
        <f t="shared" ref="CZ414" si="102">MAX(CZ381:CZ411)</f>
        <v>14</v>
      </c>
    </row>
  </sheetData>
  <mergeCells count="72">
    <mergeCell ref="DQ26:DQ27"/>
    <mergeCell ref="DK23:DK27"/>
    <mergeCell ref="DL23:DL24"/>
    <mergeCell ref="DL25:DM25"/>
    <mergeCell ref="DL26:DL27"/>
    <mergeCell ref="DN26:DN27"/>
    <mergeCell ref="DN19:DN20"/>
    <mergeCell ref="DQ19:DQ20"/>
    <mergeCell ref="DL16:DL17"/>
    <mergeCell ref="DK16:DK20"/>
    <mergeCell ref="DL19:DL20"/>
    <mergeCell ref="DL18:DM18"/>
    <mergeCell ref="DQ33:DQ34"/>
    <mergeCell ref="DK37:DK41"/>
    <mergeCell ref="DL37:DL38"/>
    <mergeCell ref="DL39:DM39"/>
    <mergeCell ref="DL40:DL41"/>
    <mergeCell ref="DN40:DN41"/>
    <mergeCell ref="DQ40:DQ41"/>
    <mergeCell ref="DK30:DK34"/>
    <mergeCell ref="DL30:DL31"/>
    <mergeCell ref="DL32:DM32"/>
    <mergeCell ref="DL33:DL34"/>
    <mergeCell ref="DN33:DN34"/>
    <mergeCell ref="DQ47:DQ48"/>
    <mergeCell ref="DK51:DK55"/>
    <mergeCell ref="DL51:DL52"/>
    <mergeCell ref="DL53:DM53"/>
    <mergeCell ref="DL54:DL55"/>
    <mergeCell ref="DN54:DN55"/>
    <mergeCell ref="DQ51:DQ55"/>
    <mergeCell ref="DK44:DK48"/>
    <mergeCell ref="DL44:DL45"/>
    <mergeCell ref="DL46:DM46"/>
    <mergeCell ref="DL47:DL48"/>
    <mergeCell ref="DN47:DN48"/>
    <mergeCell ref="DQ58:DQ62"/>
    <mergeCell ref="DQ65:DQ69"/>
    <mergeCell ref="DK58:DK62"/>
    <mergeCell ref="DL58:DL59"/>
    <mergeCell ref="DL60:DM60"/>
    <mergeCell ref="DL61:DL62"/>
    <mergeCell ref="DN61:DN62"/>
    <mergeCell ref="DK65:DK69"/>
    <mergeCell ref="DL65:DL66"/>
    <mergeCell ref="DL67:DM67"/>
    <mergeCell ref="DL68:DL69"/>
    <mergeCell ref="DN68:DN69"/>
    <mergeCell ref="DQ72:DQ76"/>
    <mergeCell ref="DQ79:DQ83"/>
    <mergeCell ref="DK72:DK76"/>
    <mergeCell ref="DL72:DL73"/>
    <mergeCell ref="DL74:DM74"/>
    <mergeCell ref="DL75:DL76"/>
    <mergeCell ref="DN75:DN76"/>
    <mergeCell ref="DK79:DK83"/>
    <mergeCell ref="DL79:DL80"/>
    <mergeCell ref="DL81:DM81"/>
    <mergeCell ref="DL82:DL83"/>
    <mergeCell ref="DN82:DN83"/>
    <mergeCell ref="DQ89:DQ90"/>
    <mergeCell ref="DK93:DK97"/>
    <mergeCell ref="DL93:DL94"/>
    <mergeCell ref="DL95:DM95"/>
    <mergeCell ref="DL96:DL97"/>
    <mergeCell ref="DN96:DN97"/>
    <mergeCell ref="DQ96:DQ97"/>
    <mergeCell ref="DK86:DK90"/>
    <mergeCell ref="DL86:DL87"/>
    <mergeCell ref="DL88:DM88"/>
    <mergeCell ref="DL89:DL90"/>
    <mergeCell ref="DN89:DN90"/>
  </mergeCells>
  <conditionalFormatting sqref="FF1:FQ104">
    <cfRule type="cellIs" dxfId="17" priority="1" operator="equal">
      <formula>0</formula>
    </cfRule>
  </conditionalFormatting>
  <pageMargins left="0.7" right="0.7" top="0.75" bottom="0.75" header="0.3" footer="0.3"/>
  <pageSetup paperSize="9" orientation="portrait" r:id="rId1"/>
  <ignoredErrors>
    <ignoredError sqref="DG208:DG237 DE381:DF411 DI381:DI411 DG2:DG32 DE3:DE32 C34:CZ35 DG37:DG65 DE37:DE65 C67:CZ68 DG70:DG100 DE70:DE100 C102:CZ103 DG105:DG134 DE105:DE134 C136:CZ137 DG139:DG169 DE139:DE169 C171:CZ172 DG174:DG203 DE174:DE203 C205:CZ206 DE208:DE238 C240:CZ241 DI243:DI273 DE243:DF273 C275:CZ276 DI278:DI307 DE278:DF307 C309:CZ310 DI312:DI342 DE312:DF342 C344:CZ345 DI347:DI376 DE347:DF376 C378:CZ379 C413:CZ414 B275:B276 B309:B310 B344:B345 B378:B379 B413:B414 FS2:FS104 GK2:GK104" formulaRange="1"/>
  </ignoredErrors>
  <legacyDrawing r:id="rId2"/>
  <controls>
    <control shapeId="1025" r:id="rId3" name="CommandButton1"/>
  </controls>
</worksheet>
</file>

<file path=xl/worksheets/sheet2.xml><?xml version="1.0" encoding="utf-8"?>
<worksheet xmlns="http://schemas.openxmlformats.org/spreadsheetml/2006/main" xmlns:r="http://schemas.openxmlformats.org/officeDocument/2006/relationships">
  <sheetPr codeName="Sayfa3"/>
  <dimension ref="A1:L148"/>
  <sheetViews>
    <sheetView workbookViewId="0">
      <selection activeCell="B2" sqref="B2:B14"/>
    </sheetView>
  </sheetViews>
  <sheetFormatPr defaultRowHeight="15"/>
  <cols>
    <col min="1" max="1" width="8.5703125" style="9" bestFit="1" customWidth="1"/>
    <col min="2" max="2" width="13.85546875" style="9" bestFit="1" customWidth="1"/>
    <col min="3" max="3" width="15.5703125" style="9" bestFit="1" customWidth="1"/>
    <col min="4" max="4" width="13.7109375" style="9" bestFit="1" customWidth="1"/>
    <col min="5" max="5" width="5.28515625" style="9" customWidth="1"/>
    <col min="6" max="6" width="4" style="9" bestFit="1" customWidth="1"/>
    <col min="7" max="7" width="10.7109375" style="9" bestFit="1" customWidth="1"/>
    <col min="8" max="8" width="12" style="9" bestFit="1" customWidth="1"/>
    <col min="9" max="9" width="10.140625" style="9" bestFit="1" customWidth="1"/>
    <col min="10" max="10" width="12.28515625" style="9" bestFit="1" customWidth="1"/>
    <col min="11" max="11" width="15.5703125" style="9" bestFit="1" customWidth="1"/>
    <col min="12" max="12" width="14.140625" style="9" bestFit="1" customWidth="1"/>
    <col min="13" max="16384" width="9.140625" style="9"/>
  </cols>
  <sheetData>
    <row r="1" spans="1:4" ht="27" customHeight="1">
      <c r="A1" s="94" t="s">
        <v>403</v>
      </c>
      <c r="B1" s="94"/>
      <c r="C1" s="94"/>
      <c r="D1" s="94"/>
    </row>
    <row r="2" spans="1:4">
      <c r="A2" s="8"/>
      <c r="B2" s="8" t="s">
        <v>23</v>
      </c>
      <c r="C2" s="8" t="s">
        <v>402</v>
      </c>
      <c r="D2" s="8" t="s">
        <v>4</v>
      </c>
    </row>
    <row r="3" spans="1:4">
      <c r="A3" s="8" t="s">
        <v>5</v>
      </c>
      <c r="B3" s="5">
        <v>5.5508498522405434</v>
      </c>
      <c r="C3" s="5">
        <v>106.54174757281535</v>
      </c>
      <c r="D3" s="5">
        <v>272.39999999999998</v>
      </c>
    </row>
    <row r="4" spans="1:4">
      <c r="A4" s="8" t="s">
        <v>6</v>
      </c>
      <c r="B4" s="5">
        <v>5.1163367475772263</v>
      </c>
      <c r="C4" s="5">
        <v>86.272135922320942</v>
      </c>
      <c r="D4" s="5">
        <v>229.79999999996701</v>
      </c>
    </row>
    <row r="5" spans="1:4">
      <c r="A5" s="8" t="s">
        <v>7</v>
      </c>
      <c r="B5" s="5">
        <v>4.5961906538464525</v>
      </c>
      <c r="C5" s="5">
        <v>69.19067961164167</v>
      </c>
      <c r="D5" s="5">
        <v>188.89999999995501</v>
      </c>
    </row>
    <row r="6" spans="1:4">
      <c r="A6" s="8" t="s">
        <v>8</v>
      </c>
      <c r="B6" s="5">
        <v>4.1850859892193455</v>
      </c>
      <c r="C6" s="5">
        <v>49.621359223295862</v>
      </c>
      <c r="D6" s="5">
        <v>161.300000000003</v>
      </c>
    </row>
    <row r="7" spans="1:4">
      <c r="A7" s="8" t="s">
        <v>9</v>
      </c>
      <c r="B7" s="5">
        <v>4.0198714521329393</v>
      </c>
      <c r="C7" s="5">
        <v>37.866213592227787</v>
      </c>
      <c r="D7" s="5">
        <v>166.7</v>
      </c>
    </row>
    <row r="8" spans="1:4">
      <c r="A8" s="8" t="s">
        <v>10</v>
      </c>
      <c r="B8" s="5">
        <v>4.8706689021303422</v>
      </c>
      <c r="C8" s="5">
        <v>35.785294117641968</v>
      </c>
      <c r="D8" s="5">
        <v>179.5</v>
      </c>
    </row>
    <row r="9" spans="1:4">
      <c r="A9" s="8" t="s">
        <v>11</v>
      </c>
      <c r="B9" s="5">
        <v>6.2467812221779333</v>
      </c>
      <c r="C9" s="5">
        <v>33.972277227715729</v>
      </c>
      <c r="D9" s="5">
        <v>171.19999999980999</v>
      </c>
    </row>
    <row r="10" spans="1:4">
      <c r="A10" s="8" t="s">
        <v>12</v>
      </c>
      <c r="B10" s="5">
        <v>6.6036764188617045</v>
      </c>
      <c r="C10" s="5">
        <v>39.3561224489765</v>
      </c>
      <c r="D10" s="5">
        <v>177.1</v>
      </c>
    </row>
    <row r="11" spans="1:4">
      <c r="A11" s="8" t="s">
        <v>13</v>
      </c>
      <c r="B11" s="5">
        <v>6.9254806954766446</v>
      </c>
      <c r="C11" s="5">
        <v>72.686990291240207</v>
      </c>
      <c r="D11" s="5">
        <v>399.39999999974202</v>
      </c>
    </row>
    <row r="12" spans="1:4">
      <c r="A12" s="8" t="s">
        <v>14</v>
      </c>
      <c r="B12" s="5">
        <v>7.4618854609194232</v>
      </c>
      <c r="C12" s="5">
        <v>95.251923076909875</v>
      </c>
      <c r="D12" s="5">
        <v>316</v>
      </c>
    </row>
    <row r="13" spans="1:4">
      <c r="A13" s="8" t="s">
        <v>15</v>
      </c>
      <c r="B13" s="5">
        <v>6.7447278225124432</v>
      </c>
      <c r="C13" s="5">
        <v>102.8646153846029</v>
      </c>
      <c r="D13" s="5">
        <v>348.09999999985399</v>
      </c>
    </row>
    <row r="14" spans="1:4">
      <c r="A14" s="8" t="s">
        <v>16</v>
      </c>
      <c r="B14" s="5">
        <v>7.0577567745112937</v>
      </c>
      <c r="C14" s="5">
        <v>131.000384615369</v>
      </c>
      <c r="D14" s="5">
        <v>432.2</v>
      </c>
    </row>
    <row r="15" spans="1:4">
      <c r="A15" s="95" t="s">
        <v>407</v>
      </c>
      <c r="B15" s="96"/>
      <c r="C15" s="96"/>
      <c r="D15" s="97"/>
    </row>
    <row r="16" spans="1:4" ht="25.5" customHeight="1">
      <c r="A16" s="98"/>
      <c r="B16" s="99"/>
      <c r="C16" s="99"/>
      <c r="D16" s="100"/>
    </row>
    <row r="17" spans="1:4">
      <c r="A17" s="21"/>
      <c r="B17" s="21"/>
      <c r="C17" s="21"/>
      <c r="D17" s="21"/>
    </row>
    <row r="18" spans="1:4">
      <c r="A18" s="22"/>
      <c r="B18" s="22"/>
      <c r="C18" s="22"/>
      <c r="D18" s="22"/>
    </row>
    <row r="19" spans="1:4">
      <c r="A19" s="22"/>
      <c r="B19" s="22"/>
      <c r="C19" s="22"/>
      <c r="D19" s="22"/>
    </row>
    <row r="20" spans="1:4">
      <c r="A20" s="22"/>
      <c r="B20" s="22"/>
      <c r="C20" s="22"/>
      <c r="D20" s="22"/>
    </row>
    <row r="21" spans="1:4" s="20" customFormat="1" ht="44.25" customHeight="1">
      <c r="A21" s="22"/>
      <c r="B21" s="22"/>
      <c r="C21" s="22"/>
      <c r="D21" s="22"/>
    </row>
    <row r="22" spans="1:4">
      <c r="A22" s="22"/>
      <c r="B22" s="22"/>
      <c r="C22" s="22"/>
      <c r="D22" s="22"/>
    </row>
    <row r="23" spans="1:4">
      <c r="A23" s="22"/>
      <c r="B23" s="22"/>
      <c r="C23" s="22"/>
      <c r="D23" s="22"/>
    </row>
    <row r="24" spans="1:4">
      <c r="A24" s="22"/>
      <c r="B24" s="22"/>
      <c r="C24" s="22"/>
      <c r="D24" s="22"/>
    </row>
    <row r="25" spans="1:4">
      <c r="A25" s="22"/>
      <c r="B25" s="22"/>
      <c r="C25" s="22"/>
      <c r="D25" s="22"/>
    </row>
    <row r="26" spans="1:4">
      <c r="A26" s="22"/>
      <c r="B26" s="22"/>
      <c r="C26" s="22"/>
      <c r="D26" s="22"/>
    </row>
    <row r="27" spans="1:4">
      <c r="A27" s="22"/>
      <c r="B27" s="22"/>
      <c r="C27" s="22"/>
      <c r="D27" s="22"/>
    </row>
    <row r="28" spans="1:4">
      <c r="A28" s="22"/>
      <c r="B28" s="22"/>
      <c r="C28" s="22"/>
      <c r="D28" s="22"/>
    </row>
    <row r="29" spans="1:4">
      <c r="A29" s="101" t="s">
        <v>404</v>
      </c>
      <c r="B29" s="101"/>
      <c r="C29" s="101"/>
      <c r="D29" s="101"/>
    </row>
    <row r="30" spans="1:4">
      <c r="A30" s="99"/>
      <c r="B30" s="99"/>
      <c r="C30" s="99"/>
      <c r="D30" s="99"/>
    </row>
    <row r="31" spans="1:4">
      <c r="A31" s="85" t="s">
        <v>21</v>
      </c>
      <c r="B31" s="86"/>
      <c r="C31" s="86"/>
      <c r="D31" s="87"/>
    </row>
    <row r="32" spans="1:4">
      <c r="A32" s="91"/>
      <c r="B32" s="92"/>
      <c r="C32" s="92"/>
      <c r="D32" s="93"/>
    </row>
    <row r="33" spans="1:4" ht="30">
      <c r="A33" s="7"/>
      <c r="B33" s="7" t="s">
        <v>22</v>
      </c>
      <c r="C33" s="7" t="s">
        <v>19</v>
      </c>
      <c r="D33" s="7" t="s">
        <v>20</v>
      </c>
    </row>
    <row r="34" spans="1:4">
      <c r="A34" s="8">
        <v>1912</v>
      </c>
      <c r="B34" s="8">
        <v>600.70000000000005</v>
      </c>
      <c r="C34" s="8">
        <v>118</v>
      </c>
      <c r="D34" s="8">
        <v>9</v>
      </c>
    </row>
    <row r="35" spans="1:4">
      <c r="A35" s="8">
        <v>1913</v>
      </c>
      <c r="B35" s="8">
        <v>1004.3999999999999</v>
      </c>
      <c r="C35" s="8">
        <v>136</v>
      </c>
      <c r="D35" s="8">
        <v>17</v>
      </c>
    </row>
    <row r="36" spans="1:4">
      <c r="A36" s="8">
        <v>1914</v>
      </c>
      <c r="B36" s="8">
        <v>708.7</v>
      </c>
      <c r="C36" s="8">
        <v>160</v>
      </c>
      <c r="D36" s="8">
        <v>1</v>
      </c>
    </row>
    <row r="37" spans="1:4">
      <c r="A37" s="8">
        <v>1915</v>
      </c>
      <c r="B37" s="8">
        <v>658.8</v>
      </c>
      <c r="C37" s="8">
        <v>141</v>
      </c>
      <c r="D37" s="8">
        <v>2</v>
      </c>
    </row>
    <row r="38" spans="1:4">
      <c r="A38" s="8">
        <v>1916</v>
      </c>
      <c r="B38" s="8">
        <v>452.2</v>
      </c>
      <c r="C38" s="8">
        <v>130</v>
      </c>
      <c r="D38" s="8">
        <v>2</v>
      </c>
    </row>
    <row r="39" spans="1:4">
      <c r="A39" s="8">
        <v>1917</v>
      </c>
      <c r="B39" s="8">
        <v>531.5</v>
      </c>
      <c r="C39" s="8">
        <v>104</v>
      </c>
      <c r="D39" s="8">
        <v>9</v>
      </c>
    </row>
    <row r="40" spans="1:4">
      <c r="A40" s="8">
        <v>1918</v>
      </c>
      <c r="B40" s="8">
        <v>671.3</v>
      </c>
      <c r="C40" s="8">
        <v>104</v>
      </c>
      <c r="D40" s="8">
        <v>3</v>
      </c>
    </row>
    <row r="41" spans="1:4">
      <c r="A41" s="8">
        <v>1919</v>
      </c>
      <c r="B41" s="8">
        <v>912.3</v>
      </c>
      <c r="C41" s="8">
        <v>125</v>
      </c>
      <c r="D41" s="8">
        <v>4</v>
      </c>
    </row>
    <row r="42" spans="1:4">
      <c r="A42" s="8">
        <v>1920</v>
      </c>
      <c r="B42" s="8">
        <v>660.9</v>
      </c>
      <c r="C42" s="8">
        <v>121</v>
      </c>
      <c r="D42" s="8">
        <v>6</v>
      </c>
    </row>
    <row r="43" spans="1:4">
      <c r="A43" s="8">
        <v>1921</v>
      </c>
      <c r="B43" s="8">
        <v>510.4</v>
      </c>
      <c r="C43" s="8">
        <v>130</v>
      </c>
      <c r="D43" s="8">
        <v>14</v>
      </c>
    </row>
    <row r="44" spans="1:4">
      <c r="A44" s="8">
        <v>1922</v>
      </c>
      <c r="B44" s="8">
        <v>976.90000000000009</v>
      </c>
      <c r="C44" s="8">
        <v>144</v>
      </c>
      <c r="D44" s="8">
        <v>5</v>
      </c>
    </row>
    <row r="45" spans="1:4">
      <c r="A45" s="8">
        <v>1923</v>
      </c>
      <c r="B45" s="8">
        <v>666.3</v>
      </c>
      <c r="C45" s="8">
        <v>105</v>
      </c>
      <c r="D45" s="8">
        <v>7</v>
      </c>
    </row>
    <row r="46" spans="1:4">
      <c r="A46" s="8">
        <v>1924</v>
      </c>
      <c r="B46" s="8">
        <v>1029.0999999999999</v>
      </c>
      <c r="C46" s="8">
        <v>127</v>
      </c>
      <c r="D46" s="8">
        <v>4</v>
      </c>
    </row>
    <row r="47" spans="1:4">
      <c r="A47" s="8">
        <v>1925</v>
      </c>
      <c r="B47" s="8">
        <v>866.8</v>
      </c>
      <c r="C47" s="8">
        <v>128</v>
      </c>
      <c r="D47" s="8">
        <v>4</v>
      </c>
    </row>
    <row r="48" spans="1:4">
      <c r="A48" s="8">
        <v>1926</v>
      </c>
      <c r="B48" s="8">
        <v>583.6</v>
      </c>
      <c r="C48" s="8">
        <v>91</v>
      </c>
      <c r="D48" s="8">
        <v>2</v>
      </c>
    </row>
    <row r="49" spans="1:12">
      <c r="A49" s="8">
        <v>1927</v>
      </c>
      <c r="B49" s="8">
        <v>725.8</v>
      </c>
      <c r="C49" s="8">
        <v>96</v>
      </c>
      <c r="D49" s="8">
        <v>12</v>
      </c>
    </row>
    <row r="50" spans="1:12">
      <c r="A50" s="8">
        <v>1928</v>
      </c>
      <c r="B50" s="8">
        <v>693.05</v>
      </c>
      <c r="C50" s="8">
        <v>120</v>
      </c>
      <c r="D50" s="8">
        <v>13</v>
      </c>
    </row>
    <row r="51" spans="1:12">
      <c r="A51" s="8">
        <v>1929</v>
      </c>
      <c r="B51" s="8">
        <v>763.33999999999992</v>
      </c>
      <c r="C51" s="8">
        <v>150</v>
      </c>
      <c r="D51" s="8">
        <v>30</v>
      </c>
    </row>
    <row r="52" spans="1:12">
      <c r="A52" s="8">
        <v>1930</v>
      </c>
      <c r="B52" s="8">
        <v>722.70000000000016</v>
      </c>
      <c r="C52" s="8">
        <v>132</v>
      </c>
      <c r="D52" s="8">
        <v>11</v>
      </c>
    </row>
    <row r="53" spans="1:12">
      <c r="A53" s="8">
        <v>1931</v>
      </c>
      <c r="B53" s="8">
        <v>877.3</v>
      </c>
      <c r="C53" s="8">
        <v>133</v>
      </c>
      <c r="D53" s="8">
        <v>32</v>
      </c>
    </row>
    <row r="54" spans="1:12">
      <c r="A54" s="8">
        <v>1932</v>
      </c>
      <c r="B54" s="8">
        <v>713.5</v>
      </c>
      <c r="C54" s="8">
        <v>125</v>
      </c>
      <c r="D54" s="8">
        <v>30</v>
      </c>
    </row>
    <row r="55" spans="1:12">
      <c r="A55" s="8">
        <v>1933</v>
      </c>
      <c r="B55" s="8">
        <v>935.29999999999905</v>
      </c>
      <c r="C55" s="8">
        <v>158</v>
      </c>
      <c r="D55" s="8">
        <v>14</v>
      </c>
    </row>
    <row r="56" spans="1:12">
      <c r="A56" s="8">
        <v>1934</v>
      </c>
      <c r="B56" s="8">
        <v>509.69999999984782</v>
      </c>
      <c r="C56" s="8">
        <v>101</v>
      </c>
      <c r="D56" s="8">
        <v>9</v>
      </c>
      <c r="F56" s="82"/>
      <c r="G56" s="82"/>
      <c r="H56" s="82"/>
      <c r="I56" s="81" t="s">
        <v>27</v>
      </c>
      <c r="J56" s="81"/>
      <c r="K56" s="81" t="s">
        <v>406</v>
      </c>
      <c r="L56" s="81"/>
    </row>
    <row r="57" spans="1:12">
      <c r="A57" s="8">
        <v>1935</v>
      </c>
      <c r="B57" s="8">
        <v>870.43999999955679</v>
      </c>
      <c r="C57" s="8">
        <v>137</v>
      </c>
      <c r="D57" s="8">
        <v>7</v>
      </c>
      <c r="F57" s="68" t="s">
        <v>5</v>
      </c>
      <c r="G57" s="71" t="s">
        <v>4</v>
      </c>
      <c r="H57" s="12" t="s">
        <v>27</v>
      </c>
      <c r="I57" s="8">
        <v>66</v>
      </c>
      <c r="J57" s="8">
        <v>272.39999999999998</v>
      </c>
      <c r="K57" s="8">
        <v>30</v>
      </c>
      <c r="L57" s="8">
        <v>17</v>
      </c>
    </row>
    <row r="58" spans="1:12">
      <c r="A58" s="8">
        <v>1936</v>
      </c>
      <c r="B58" s="8">
        <v>757.69999999968968</v>
      </c>
      <c r="C58" s="8">
        <v>136</v>
      </c>
      <c r="D58" s="8">
        <v>17</v>
      </c>
      <c r="F58" s="83"/>
      <c r="G58" s="67"/>
      <c r="H58" s="12" t="s">
        <v>33</v>
      </c>
      <c r="I58" s="13">
        <v>12450</v>
      </c>
      <c r="J58" s="8">
        <v>1968</v>
      </c>
      <c r="K58" s="8">
        <v>1973</v>
      </c>
      <c r="L58" s="8">
        <v>1941</v>
      </c>
    </row>
    <row r="59" spans="1:12">
      <c r="A59" s="8">
        <v>1937</v>
      </c>
      <c r="B59" s="8">
        <v>908.59999999960451</v>
      </c>
      <c r="C59" s="8">
        <v>131</v>
      </c>
      <c r="D59" s="8">
        <v>16</v>
      </c>
      <c r="F59" s="83"/>
      <c r="G59" s="72"/>
      <c r="H59" s="73"/>
      <c r="I59" s="12" t="s">
        <v>24</v>
      </c>
      <c r="J59" s="11" t="s">
        <v>25</v>
      </c>
      <c r="K59" s="11" t="s">
        <v>19</v>
      </c>
      <c r="L59" s="11" t="s">
        <v>26</v>
      </c>
    </row>
    <row r="60" spans="1:12">
      <c r="A60" s="8">
        <v>1938</v>
      </c>
      <c r="B60" s="8">
        <v>884.39999999952852</v>
      </c>
      <c r="C60" s="8">
        <v>132</v>
      </c>
      <c r="D60" s="8">
        <v>14</v>
      </c>
      <c r="F60" s="83"/>
      <c r="G60" s="74" t="s">
        <v>29</v>
      </c>
      <c r="H60" s="12" t="s">
        <v>27</v>
      </c>
      <c r="I60" s="75"/>
      <c r="J60" s="5">
        <f>Q165</f>
        <v>0</v>
      </c>
      <c r="K60" s="8">
        <f>AI168</f>
        <v>0</v>
      </c>
      <c r="L60" s="66"/>
    </row>
    <row r="61" spans="1:12">
      <c r="A61" s="8">
        <v>1939</v>
      </c>
      <c r="B61" s="8">
        <v>1017.5999999996034</v>
      </c>
      <c r="C61" s="8">
        <v>166</v>
      </c>
      <c r="D61" s="8">
        <v>22</v>
      </c>
      <c r="F61" s="67"/>
      <c r="G61" s="67"/>
      <c r="H61" s="12" t="s">
        <v>28</v>
      </c>
      <c r="I61" s="67"/>
      <c r="J61" s="8">
        <v>1925</v>
      </c>
      <c r="K61" s="8">
        <v>1918</v>
      </c>
      <c r="L61" s="67"/>
    </row>
    <row r="62" spans="1:12">
      <c r="A62" s="8">
        <v>1940</v>
      </c>
      <c r="B62" s="8">
        <v>1080.999999999465</v>
      </c>
      <c r="C62" s="8">
        <v>152</v>
      </c>
      <c r="D62" s="8">
        <v>26</v>
      </c>
      <c r="F62" s="15"/>
      <c r="G62" s="15"/>
      <c r="H62" s="15"/>
      <c r="I62" s="15"/>
      <c r="J62" s="15"/>
      <c r="K62" s="15"/>
      <c r="L62" s="15"/>
    </row>
    <row r="63" spans="1:12">
      <c r="A63" s="8">
        <v>1941</v>
      </c>
      <c r="B63" s="8">
        <v>735.19999999966092</v>
      </c>
      <c r="C63" s="8">
        <v>146</v>
      </c>
      <c r="D63" s="8">
        <v>31</v>
      </c>
      <c r="F63" s="82"/>
      <c r="G63" s="82"/>
      <c r="H63" s="82"/>
      <c r="I63" s="81" t="s">
        <v>27</v>
      </c>
      <c r="J63" s="81"/>
      <c r="K63" s="81" t="s">
        <v>406</v>
      </c>
      <c r="L63" s="81"/>
    </row>
    <row r="64" spans="1:12">
      <c r="A64" s="8">
        <v>1942</v>
      </c>
      <c r="B64" s="8">
        <v>899.99999999953639</v>
      </c>
      <c r="C64" s="8">
        <v>149</v>
      </c>
      <c r="D64" s="8">
        <v>19</v>
      </c>
      <c r="F64" s="68" t="s">
        <v>6</v>
      </c>
      <c r="G64" s="71" t="s">
        <v>4</v>
      </c>
      <c r="H64" s="12" t="s">
        <v>27</v>
      </c>
      <c r="I64" s="8">
        <v>86.9</v>
      </c>
      <c r="J64" s="5">
        <v>229.79999999996701</v>
      </c>
      <c r="K64" s="8">
        <v>26</v>
      </c>
      <c r="L64" s="8">
        <v>21</v>
      </c>
    </row>
    <row r="65" spans="1:12">
      <c r="A65" s="8">
        <v>1943</v>
      </c>
      <c r="B65" s="8">
        <v>919.89999999962788</v>
      </c>
      <c r="C65" s="8">
        <v>143</v>
      </c>
      <c r="D65" s="8">
        <v>13</v>
      </c>
      <c r="F65" s="83"/>
      <c r="G65" s="67"/>
      <c r="H65" s="12" t="s">
        <v>33</v>
      </c>
      <c r="I65" s="13">
        <v>29633</v>
      </c>
      <c r="J65" s="19">
        <v>1948</v>
      </c>
      <c r="K65" s="8">
        <v>1971</v>
      </c>
      <c r="L65" s="8">
        <v>2003</v>
      </c>
    </row>
    <row r="66" spans="1:12">
      <c r="A66" s="8">
        <v>1944</v>
      </c>
      <c r="B66" s="8">
        <v>907.19999999951142</v>
      </c>
      <c r="C66" s="8">
        <v>148</v>
      </c>
      <c r="D66" s="8">
        <v>15</v>
      </c>
      <c r="F66" s="83"/>
      <c r="G66" s="72"/>
      <c r="H66" s="73"/>
      <c r="I66" s="12" t="s">
        <v>24</v>
      </c>
      <c r="J66" s="11" t="s">
        <v>25</v>
      </c>
      <c r="K66" s="11" t="s">
        <v>19</v>
      </c>
      <c r="L66" s="11" t="s">
        <v>26</v>
      </c>
    </row>
    <row r="67" spans="1:12">
      <c r="A67" s="8">
        <v>1945</v>
      </c>
      <c r="B67" s="8">
        <v>687.33999999978778</v>
      </c>
      <c r="C67" s="8">
        <v>133</v>
      </c>
      <c r="D67" s="8">
        <v>18</v>
      </c>
      <c r="F67" s="83"/>
      <c r="G67" s="74" t="s">
        <v>29</v>
      </c>
      <c r="H67" s="12" t="s">
        <v>27</v>
      </c>
      <c r="I67" s="75"/>
      <c r="J67" s="18">
        <v>4</v>
      </c>
      <c r="K67" s="8">
        <v>4</v>
      </c>
      <c r="L67" s="66"/>
    </row>
    <row r="68" spans="1:12">
      <c r="A68" s="8">
        <v>1946</v>
      </c>
      <c r="B68" s="8">
        <v>672.49999999971237</v>
      </c>
      <c r="C68" s="8">
        <v>134</v>
      </c>
      <c r="D68" s="8">
        <v>21</v>
      </c>
      <c r="F68" s="67"/>
      <c r="G68" s="67"/>
      <c r="H68" s="12" t="s">
        <v>28</v>
      </c>
      <c r="I68" s="67"/>
      <c r="J68" s="8">
        <v>1914</v>
      </c>
      <c r="K68" s="8">
        <v>1925</v>
      </c>
      <c r="L68" s="67"/>
    </row>
    <row r="69" spans="1:12">
      <c r="A69" s="8">
        <v>1947</v>
      </c>
      <c r="B69" s="8">
        <v>704.39999999978977</v>
      </c>
      <c r="C69" s="8">
        <v>126</v>
      </c>
      <c r="D69" s="8">
        <v>5</v>
      </c>
      <c r="F69" s="15"/>
      <c r="G69" s="15"/>
      <c r="H69" s="15"/>
      <c r="I69" s="15"/>
      <c r="J69" s="15"/>
      <c r="K69" s="15"/>
      <c r="L69" s="15"/>
    </row>
    <row r="70" spans="1:12">
      <c r="A70" s="8">
        <v>1948</v>
      </c>
      <c r="B70" s="8">
        <v>1058.3299999997771</v>
      </c>
      <c r="C70" s="8">
        <v>132</v>
      </c>
      <c r="D70" s="8">
        <v>44</v>
      </c>
      <c r="F70" s="82"/>
      <c r="G70" s="82"/>
      <c r="H70" s="82"/>
      <c r="I70" s="81" t="s">
        <v>27</v>
      </c>
      <c r="J70" s="81"/>
      <c r="K70" s="81" t="s">
        <v>406</v>
      </c>
      <c r="L70" s="81"/>
    </row>
    <row r="71" spans="1:12">
      <c r="A71" s="8">
        <v>1949</v>
      </c>
      <c r="B71" s="8">
        <v>880.33999999966784</v>
      </c>
      <c r="C71" s="8">
        <v>137</v>
      </c>
      <c r="D71" s="8">
        <v>35</v>
      </c>
      <c r="F71" s="68" t="s">
        <v>7</v>
      </c>
      <c r="G71" s="71" t="s">
        <v>4</v>
      </c>
      <c r="H71" s="12" t="s">
        <v>27</v>
      </c>
      <c r="I71" s="8">
        <v>53</v>
      </c>
      <c r="J71" s="5">
        <v>188.9</v>
      </c>
      <c r="K71" s="8">
        <v>24</v>
      </c>
      <c r="L71" s="8">
        <v>15</v>
      </c>
    </row>
    <row r="72" spans="1:12">
      <c r="A72" s="8">
        <v>1950</v>
      </c>
      <c r="B72" s="8">
        <v>897.29999999952724</v>
      </c>
      <c r="C72" s="8">
        <v>119</v>
      </c>
      <c r="D72" s="8">
        <v>8</v>
      </c>
      <c r="F72" s="83"/>
      <c r="G72" s="67"/>
      <c r="H72" s="12" t="s">
        <v>33</v>
      </c>
      <c r="I72" s="13">
        <v>21262</v>
      </c>
      <c r="J72" s="19">
        <v>1958</v>
      </c>
      <c r="K72" s="8">
        <v>1971</v>
      </c>
      <c r="L72" s="8">
        <v>1987</v>
      </c>
    </row>
    <row r="73" spans="1:12">
      <c r="A73" s="8">
        <v>1951</v>
      </c>
      <c r="B73" s="8">
        <v>906.79999999958432</v>
      </c>
      <c r="C73" s="8">
        <v>128</v>
      </c>
      <c r="D73" s="8">
        <v>9</v>
      </c>
      <c r="F73" s="83"/>
      <c r="G73" s="72"/>
      <c r="H73" s="73"/>
      <c r="I73" s="12" t="s">
        <v>24</v>
      </c>
      <c r="J73" s="11" t="s">
        <v>25</v>
      </c>
      <c r="K73" s="11" t="s">
        <v>19</v>
      </c>
      <c r="L73" s="11" t="s">
        <v>26</v>
      </c>
    </row>
    <row r="74" spans="1:12">
      <c r="A74" s="8">
        <v>1952</v>
      </c>
      <c r="B74" s="8">
        <v>758.99999999972147</v>
      </c>
      <c r="C74" s="8">
        <v>109</v>
      </c>
      <c r="D74" s="8">
        <v>6</v>
      </c>
      <c r="F74" s="83"/>
      <c r="G74" s="74" t="s">
        <v>29</v>
      </c>
      <c r="H74" s="12" t="s">
        <v>27</v>
      </c>
      <c r="I74" s="75"/>
      <c r="J74" s="18">
        <v>9.9</v>
      </c>
      <c r="K74" s="8">
        <v>3</v>
      </c>
      <c r="L74" s="66"/>
    </row>
    <row r="75" spans="1:12">
      <c r="A75" s="8">
        <v>1953</v>
      </c>
      <c r="B75" s="8">
        <v>919.49999999962938</v>
      </c>
      <c r="C75" s="8">
        <v>152</v>
      </c>
      <c r="D75" s="8">
        <v>45</v>
      </c>
      <c r="F75" s="67"/>
      <c r="G75" s="67"/>
      <c r="H75" s="12" t="s">
        <v>28</v>
      </c>
      <c r="I75" s="67"/>
      <c r="J75" s="8">
        <v>1990</v>
      </c>
      <c r="K75" s="8">
        <v>1927</v>
      </c>
      <c r="L75" s="67"/>
    </row>
    <row r="76" spans="1:12">
      <c r="A76" s="8">
        <v>1954</v>
      </c>
      <c r="B76" s="8">
        <v>672.6999999997447</v>
      </c>
      <c r="C76" s="8">
        <v>148</v>
      </c>
      <c r="D76" s="8">
        <v>15</v>
      </c>
    </row>
    <row r="77" spans="1:12">
      <c r="A77" s="8">
        <v>1955</v>
      </c>
      <c r="B77" s="8">
        <v>1001.3999999995606</v>
      </c>
      <c r="C77" s="8">
        <v>140</v>
      </c>
      <c r="D77" s="8">
        <v>7</v>
      </c>
      <c r="F77" s="82"/>
      <c r="G77" s="82"/>
      <c r="H77" s="82"/>
      <c r="I77" s="81" t="s">
        <v>27</v>
      </c>
      <c r="J77" s="81"/>
      <c r="K77" s="81" t="s">
        <v>406</v>
      </c>
      <c r="L77" s="81"/>
    </row>
    <row r="78" spans="1:12">
      <c r="A78" s="8">
        <v>1956</v>
      </c>
      <c r="B78" s="8">
        <v>719.89999999979409</v>
      </c>
      <c r="C78" s="8">
        <v>126</v>
      </c>
      <c r="D78" s="8">
        <v>31</v>
      </c>
      <c r="F78" s="68" t="s">
        <v>8</v>
      </c>
      <c r="G78" s="71" t="s">
        <v>4</v>
      </c>
      <c r="H78" s="12" t="s">
        <v>27</v>
      </c>
      <c r="I78" s="8">
        <v>45</v>
      </c>
      <c r="J78" s="5">
        <v>161.30000000000001</v>
      </c>
      <c r="K78" s="8">
        <v>22</v>
      </c>
      <c r="L78" s="8">
        <v>3</v>
      </c>
    </row>
    <row r="79" spans="1:12">
      <c r="A79" s="8">
        <v>1957</v>
      </c>
      <c r="B79" s="8">
        <v>656.31999999979791</v>
      </c>
      <c r="C79" s="8">
        <v>128</v>
      </c>
      <c r="D79" s="8">
        <v>20</v>
      </c>
      <c r="F79" s="83"/>
      <c r="G79" s="67"/>
      <c r="H79" s="12" t="s">
        <v>33</v>
      </c>
      <c r="I79" s="13">
        <v>33337</v>
      </c>
      <c r="J79" s="19">
        <v>1965</v>
      </c>
      <c r="K79" s="8">
        <v>1974</v>
      </c>
      <c r="L79" s="8">
        <v>1997</v>
      </c>
    </row>
    <row r="80" spans="1:12">
      <c r="A80" s="8">
        <v>1958</v>
      </c>
      <c r="B80" s="8">
        <v>946.19999999959862</v>
      </c>
      <c r="C80" s="8">
        <v>136</v>
      </c>
      <c r="D80" s="8">
        <v>16</v>
      </c>
      <c r="F80" s="83"/>
      <c r="G80" s="72"/>
      <c r="H80" s="73"/>
      <c r="I80" s="12" t="s">
        <v>24</v>
      </c>
      <c r="J80" s="11" t="s">
        <v>25</v>
      </c>
      <c r="K80" s="11" t="s">
        <v>19</v>
      </c>
      <c r="L80" s="11" t="s">
        <v>26</v>
      </c>
    </row>
    <row r="81" spans="1:12">
      <c r="A81" s="8">
        <v>1959</v>
      </c>
      <c r="B81" s="8">
        <v>820.49999999966735</v>
      </c>
      <c r="C81" s="8">
        <v>141</v>
      </c>
      <c r="D81" s="8">
        <v>15</v>
      </c>
      <c r="F81" s="83"/>
      <c r="G81" s="74" t="s">
        <v>29</v>
      </c>
      <c r="H81" s="12" t="s">
        <v>27</v>
      </c>
      <c r="I81" s="75"/>
      <c r="J81" s="18">
        <v>4.5</v>
      </c>
      <c r="K81" s="8">
        <v>3</v>
      </c>
      <c r="L81" s="66"/>
    </row>
    <row r="82" spans="1:12">
      <c r="A82" s="8">
        <v>1960</v>
      </c>
      <c r="B82" s="8">
        <v>743.0999999996684</v>
      </c>
      <c r="C82" s="8">
        <v>127</v>
      </c>
      <c r="D82" s="8">
        <v>19</v>
      </c>
      <c r="F82" s="67"/>
      <c r="G82" s="67"/>
      <c r="H82" s="12" t="s">
        <v>28</v>
      </c>
      <c r="I82" s="67"/>
      <c r="J82" s="8">
        <v>1939</v>
      </c>
      <c r="K82" s="8">
        <v>1947</v>
      </c>
      <c r="L82" s="67"/>
    </row>
    <row r="83" spans="1:12">
      <c r="A83" s="8">
        <v>1961</v>
      </c>
      <c r="B83" s="8">
        <v>1177.4999999994711</v>
      </c>
      <c r="C83" s="8">
        <v>140</v>
      </c>
      <c r="D83" s="8">
        <v>12</v>
      </c>
    </row>
    <row r="84" spans="1:12">
      <c r="A84" s="8">
        <v>1962</v>
      </c>
      <c r="B84" s="8">
        <v>1113.9999999994757</v>
      </c>
      <c r="C84" s="8">
        <v>147</v>
      </c>
      <c r="D84" s="8">
        <v>21</v>
      </c>
      <c r="F84" s="82"/>
      <c r="G84" s="82"/>
      <c r="H84" s="82"/>
      <c r="I84" s="81" t="s">
        <v>27</v>
      </c>
      <c r="J84" s="81"/>
      <c r="K84" s="81" t="s">
        <v>406</v>
      </c>
      <c r="L84" s="81"/>
    </row>
    <row r="85" spans="1:12">
      <c r="A85" s="8">
        <v>1963</v>
      </c>
      <c r="B85" s="8">
        <v>1001.4999999994639</v>
      </c>
      <c r="C85" s="8">
        <v>141</v>
      </c>
      <c r="D85" s="8">
        <v>21</v>
      </c>
      <c r="F85" s="68" t="s">
        <v>9</v>
      </c>
      <c r="G85" s="71" t="s">
        <v>4</v>
      </c>
      <c r="H85" s="12" t="s">
        <v>27</v>
      </c>
      <c r="I85" s="9">
        <v>84</v>
      </c>
      <c r="J85" s="5">
        <v>166.7</v>
      </c>
      <c r="K85" s="8">
        <v>19</v>
      </c>
      <c r="L85" s="8">
        <v>2</v>
      </c>
    </row>
    <row r="86" spans="1:12">
      <c r="A86" s="8">
        <v>1964</v>
      </c>
      <c r="B86" s="8">
        <v>920.10000000001924</v>
      </c>
      <c r="C86" s="8">
        <v>136</v>
      </c>
      <c r="D86" s="8">
        <v>21</v>
      </c>
      <c r="F86" s="83"/>
      <c r="G86" s="67"/>
      <c r="H86" s="12" t="s">
        <v>33</v>
      </c>
      <c r="I86" s="13">
        <v>27160</v>
      </c>
      <c r="J86" s="19">
        <v>1919</v>
      </c>
      <c r="K86" s="8">
        <v>1971</v>
      </c>
      <c r="L86" s="8">
        <v>1913</v>
      </c>
    </row>
    <row r="87" spans="1:12">
      <c r="A87" s="8">
        <v>1965</v>
      </c>
      <c r="B87" s="8">
        <v>1056.0999999999192</v>
      </c>
      <c r="C87" s="8">
        <v>144</v>
      </c>
      <c r="D87" s="8">
        <v>23</v>
      </c>
      <c r="F87" s="83"/>
      <c r="G87" s="72"/>
      <c r="H87" s="73"/>
      <c r="I87" s="12" t="s">
        <v>24</v>
      </c>
      <c r="J87" s="11" t="s">
        <v>25</v>
      </c>
      <c r="K87" s="11" t="s">
        <v>19</v>
      </c>
      <c r="L87" s="11" t="s">
        <v>26</v>
      </c>
    </row>
    <row r="88" spans="1:12">
      <c r="A88" s="8">
        <v>1966</v>
      </c>
      <c r="B88" s="8">
        <v>904.3999999998947</v>
      </c>
      <c r="C88" s="8">
        <v>123</v>
      </c>
      <c r="D88" s="8">
        <v>19</v>
      </c>
      <c r="F88" s="83"/>
      <c r="G88" s="74" t="s">
        <v>29</v>
      </c>
      <c r="H88" s="12" t="s">
        <v>27</v>
      </c>
      <c r="I88" s="75"/>
      <c r="J88" s="18">
        <v>0</v>
      </c>
      <c r="K88" s="8">
        <v>2</v>
      </c>
      <c r="L88" s="66"/>
    </row>
    <row r="89" spans="1:12">
      <c r="A89" s="8">
        <v>1967</v>
      </c>
      <c r="B89" s="8">
        <v>692.90000000000668</v>
      </c>
      <c r="C89" s="8">
        <v>137</v>
      </c>
      <c r="D89" s="8">
        <v>27</v>
      </c>
      <c r="F89" s="67"/>
      <c r="G89" s="67"/>
      <c r="H89" s="12" t="s">
        <v>28</v>
      </c>
      <c r="I89" s="67"/>
      <c r="J89" s="8">
        <v>1927</v>
      </c>
      <c r="K89" s="8">
        <v>1945</v>
      </c>
      <c r="L89" s="67"/>
    </row>
    <row r="90" spans="1:12">
      <c r="A90" s="8">
        <v>1968</v>
      </c>
      <c r="B90" s="8">
        <v>1058.9000000000485</v>
      </c>
      <c r="C90" s="8">
        <v>168</v>
      </c>
      <c r="D90" s="8">
        <v>23</v>
      </c>
    </row>
    <row r="91" spans="1:12">
      <c r="A91" s="8">
        <v>1969</v>
      </c>
      <c r="B91" s="8">
        <v>843.39999999995575</v>
      </c>
      <c r="C91" s="8">
        <v>195</v>
      </c>
      <c r="D91" s="8">
        <v>14</v>
      </c>
      <c r="F91" s="82"/>
      <c r="G91" s="82"/>
      <c r="H91" s="82"/>
      <c r="I91" s="81" t="s">
        <v>27</v>
      </c>
      <c r="J91" s="81"/>
      <c r="K91" s="81" t="s">
        <v>406</v>
      </c>
      <c r="L91" s="81"/>
    </row>
    <row r="92" spans="1:12">
      <c r="A92" s="8">
        <v>1970</v>
      </c>
      <c r="B92" s="8">
        <v>962.99999999998181</v>
      </c>
      <c r="C92" s="8">
        <v>216</v>
      </c>
      <c r="D92" s="8">
        <v>8</v>
      </c>
      <c r="F92" s="68" t="s">
        <v>10</v>
      </c>
      <c r="G92" s="71" t="s">
        <v>4</v>
      </c>
      <c r="H92" s="12" t="s">
        <v>27</v>
      </c>
      <c r="I92" s="8">
        <v>91</v>
      </c>
      <c r="J92" s="5">
        <v>179.5</v>
      </c>
      <c r="K92" s="8">
        <v>22</v>
      </c>
      <c r="L92" s="66"/>
    </row>
    <row r="93" spans="1:12">
      <c r="A93" s="8">
        <v>1971</v>
      </c>
      <c r="B93" s="8">
        <v>974.62999999998124</v>
      </c>
      <c r="C93" s="8">
        <v>240</v>
      </c>
      <c r="D93" s="8">
        <v>22</v>
      </c>
      <c r="F93" s="83"/>
      <c r="G93" s="67"/>
      <c r="H93" s="12" t="s">
        <v>33</v>
      </c>
      <c r="I93" s="13">
        <v>8938</v>
      </c>
      <c r="J93" s="19">
        <v>2010</v>
      </c>
      <c r="K93" s="8">
        <v>1914</v>
      </c>
      <c r="L93" s="79"/>
    </row>
    <row r="94" spans="1:12">
      <c r="A94" s="8">
        <v>1972</v>
      </c>
      <c r="B94" s="8">
        <v>749.49999999984277</v>
      </c>
      <c r="C94" s="8">
        <v>180</v>
      </c>
      <c r="D94" s="8">
        <v>24</v>
      </c>
      <c r="F94" s="83"/>
      <c r="G94" s="72"/>
      <c r="H94" s="73"/>
      <c r="I94" s="12" t="s">
        <v>24</v>
      </c>
      <c r="J94" s="11" t="s">
        <v>25</v>
      </c>
      <c r="K94" s="11" t="s">
        <v>19</v>
      </c>
      <c r="L94" s="79"/>
    </row>
    <row r="95" spans="1:12">
      <c r="A95" s="8">
        <v>1973</v>
      </c>
      <c r="B95" s="8">
        <v>790.4000000000018</v>
      </c>
      <c r="C95" s="8">
        <v>205</v>
      </c>
      <c r="D95" s="8">
        <v>31</v>
      </c>
      <c r="F95" s="83"/>
      <c r="G95" s="74" t="s">
        <v>29</v>
      </c>
      <c r="H95" s="12" t="s">
        <v>27</v>
      </c>
      <c r="I95" s="75"/>
      <c r="J95" s="18">
        <v>0</v>
      </c>
      <c r="K95" s="8">
        <v>0</v>
      </c>
      <c r="L95" s="79"/>
    </row>
    <row r="96" spans="1:12">
      <c r="A96" s="8">
        <v>1974</v>
      </c>
      <c r="B96" s="8">
        <v>888.49999999999659</v>
      </c>
      <c r="C96" s="8">
        <v>211</v>
      </c>
      <c r="D96" s="8">
        <v>4</v>
      </c>
      <c r="F96" s="67"/>
      <c r="G96" s="67"/>
      <c r="H96" s="12" t="s">
        <v>28</v>
      </c>
      <c r="I96" s="67"/>
      <c r="J96" s="8">
        <v>1927</v>
      </c>
      <c r="K96" s="8">
        <v>1927</v>
      </c>
      <c r="L96" s="80"/>
    </row>
    <row r="97" spans="1:12">
      <c r="A97" s="8">
        <v>1975</v>
      </c>
      <c r="B97" s="8">
        <v>904.89999999999714</v>
      </c>
      <c r="C97" s="8">
        <v>182</v>
      </c>
      <c r="D97" s="8">
        <v>15</v>
      </c>
    </row>
    <row r="98" spans="1:12">
      <c r="A98" s="8">
        <v>1976</v>
      </c>
      <c r="B98" s="8">
        <v>786.50000000000455</v>
      </c>
      <c r="C98" s="8">
        <v>159</v>
      </c>
      <c r="D98" s="8">
        <v>22</v>
      </c>
      <c r="F98" s="82"/>
      <c r="G98" s="82"/>
      <c r="H98" s="82"/>
      <c r="I98" s="81" t="s">
        <v>27</v>
      </c>
      <c r="J98" s="81"/>
      <c r="K98" s="81" t="s">
        <v>406</v>
      </c>
      <c r="L98" s="81"/>
    </row>
    <row r="99" spans="1:12">
      <c r="A99" s="8">
        <v>1977</v>
      </c>
      <c r="B99" s="8">
        <v>642.80000000000632</v>
      </c>
      <c r="C99" s="8">
        <v>167</v>
      </c>
      <c r="D99" s="8">
        <v>17</v>
      </c>
      <c r="F99" s="68" t="s">
        <v>11</v>
      </c>
      <c r="G99" s="71" t="s">
        <v>4</v>
      </c>
      <c r="H99" s="12" t="s">
        <v>27</v>
      </c>
      <c r="I99" s="8">
        <v>165.8</v>
      </c>
      <c r="J99" s="5">
        <v>171.2</v>
      </c>
      <c r="K99" s="8">
        <v>18</v>
      </c>
      <c r="L99" s="76"/>
    </row>
    <row r="100" spans="1:12">
      <c r="A100" s="8">
        <v>1978</v>
      </c>
      <c r="B100" s="8">
        <v>1010.3000000000434</v>
      </c>
      <c r="C100" s="8">
        <v>187</v>
      </c>
      <c r="D100" s="8">
        <v>11</v>
      </c>
      <c r="F100" s="83"/>
      <c r="G100" s="67"/>
      <c r="H100" s="12" t="s">
        <v>33</v>
      </c>
      <c r="I100" s="13">
        <v>18829</v>
      </c>
      <c r="J100" s="19">
        <v>1950</v>
      </c>
      <c r="K100" s="8">
        <v>1981</v>
      </c>
      <c r="L100" s="77"/>
    </row>
    <row r="101" spans="1:12">
      <c r="A101" s="8">
        <v>1979</v>
      </c>
      <c r="B101" s="8">
        <v>828.40000000001373</v>
      </c>
      <c r="C101" s="8">
        <v>175</v>
      </c>
      <c r="D101" s="8">
        <v>20</v>
      </c>
      <c r="F101" s="83"/>
      <c r="G101" s="72"/>
      <c r="H101" s="73"/>
      <c r="I101" s="12" t="s">
        <v>24</v>
      </c>
      <c r="J101" s="11" t="s">
        <v>25</v>
      </c>
      <c r="K101" s="11" t="s">
        <v>19</v>
      </c>
      <c r="L101" s="77"/>
    </row>
    <row r="102" spans="1:12">
      <c r="A102" s="8">
        <v>1980</v>
      </c>
      <c r="B102" s="8">
        <v>964.62000000006947</v>
      </c>
      <c r="C102" s="8">
        <v>176</v>
      </c>
      <c r="D102" s="8">
        <v>22</v>
      </c>
      <c r="F102" s="83"/>
      <c r="G102" s="74" t="s">
        <v>29</v>
      </c>
      <c r="H102" s="12" t="s">
        <v>27</v>
      </c>
      <c r="I102" s="75"/>
      <c r="J102" s="18">
        <v>0</v>
      </c>
      <c r="K102" s="8">
        <v>0</v>
      </c>
      <c r="L102" s="77"/>
    </row>
    <row r="103" spans="1:12">
      <c r="A103" s="8">
        <v>1981</v>
      </c>
      <c r="B103" s="8">
        <v>1293.3999999998982</v>
      </c>
      <c r="C103" s="8">
        <v>185</v>
      </c>
      <c r="D103" s="8">
        <v>15</v>
      </c>
      <c r="F103" s="67"/>
      <c r="G103" s="67"/>
      <c r="H103" s="12" t="s">
        <v>28</v>
      </c>
      <c r="I103" s="67"/>
      <c r="J103" s="8">
        <v>1927</v>
      </c>
      <c r="K103" s="8">
        <v>1927</v>
      </c>
      <c r="L103" s="78"/>
    </row>
    <row r="104" spans="1:12">
      <c r="A104" s="8">
        <v>1982</v>
      </c>
      <c r="B104" s="8">
        <v>723.19999999993763</v>
      </c>
      <c r="C104" s="8">
        <v>168</v>
      </c>
      <c r="D104" s="8">
        <v>22</v>
      </c>
    </row>
    <row r="105" spans="1:12">
      <c r="A105" s="8">
        <v>1983</v>
      </c>
      <c r="B105" s="8">
        <v>745.19999999993604</v>
      </c>
      <c r="C105" s="8">
        <v>180</v>
      </c>
      <c r="D105" s="8">
        <v>15</v>
      </c>
      <c r="F105" s="82"/>
      <c r="G105" s="82"/>
      <c r="H105" s="82"/>
      <c r="I105" s="81" t="s">
        <v>27</v>
      </c>
      <c r="J105" s="81"/>
      <c r="K105" s="81" t="s">
        <v>406</v>
      </c>
      <c r="L105" s="81"/>
    </row>
    <row r="106" spans="1:12">
      <c r="A106" s="8">
        <v>1984</v>
      </c>
      <c r="B106" s="8">
        <v>926.49999999975421</v>
      </c>
      <c r="C106" s="8">
        <v>172</v>
      </c>
      <c r="D106" s="8">
        <v>14</v>
      </c>
      <c r="F106" s="68" t="s">
        <v>12</v>
      </c>
      <c r="G106" s="71" t="s">
        <v>4</v>
      </c>
      <c r="H106" s="12" t="s">
        <v>27</v>
      </c>
      <c r="I106" s="8">
        <v>88.7</v>
      </c>
      <c r="J106" s="5">
        <v>177.1</v>
      </c>
      <c r="K106" s="8">
        <v>19</v>
      </c>
      <c r="L106" s="66"/>
    </row>
    <row r="107" spans="1:12">
      <c r="A107" s="8">
        <v>1985</v>
      </c>
      <c r="B107" s="8">
        <v>939.79999999999984</v>
      </c>
      <c r="C107" s="8">
        <v>155</v>
      </c>
      <c r="D107" s="8">
        <v>19</v>
      </c>
      <c r="F107" s="83"/>
      <c r="G107" s="67"/>
      <c r="H107" s="12" t="s">
        <v>33</v>
      </c>
      <c r="I107" s="13">
        <v>5327</v>
      </c>
      <c r="J107" s="19">
        <v>1913</v>
      </c>
      <c r="K107" s="8">
        <v>1971</v>
      </c>
      <c r="L107" s="79"/>
    </row>
    <row r="108" spans="1:12">
      <c r="A108" s="8">
        <v>1986</v>
      </c>
      <c r="B108" s="8">
        <v>844.30000000000007</v>
      </c>
      <c r="C108" s="8">
        <v>149</v>
      </c>
      <c r="D108" s="8">
        <v>17</v>
      </c>
      <c r="F108" s="83"/>
      <c r="G108" s="72"/>
      <c r="H108" s="73"/>
      <c r="I108" s="12" t="s">
        <v>24</v>
      </c>
      <c r="J108" s="11" t="s">
        <v>25</v>
      </c>
      <c r="K108" s="11" t="s">
        <v>19</v>
      </c>
      <c r="L108" s="79"/>
    </row>
    <row r="109" spans="1:12">
      <c r="A109" s="8">
        <v>1987</v>
      </c>
      <c r="B109" s="8">
        <v>1049.5</v>
      </c>
      <c r="C109" s="8">
        <v>160</v>
      </c>
      <c r="D109" s="8">
        <v>22</v>
      </c>
      <c r="F109" s="83"/>
      <c r="G109" s="74" t="s">
        <v>29</v>
      </c>
      <c r="H109" s="12" t="s">
        <v>27</v>
      </c>
      <c r="I109" s="75"/>
      <c r="J109" s="18">
        <v>0</v>
      </c>
      <c r="K109" s="8">
        <v>0</v>
      </c>
      <c r="L109" s="79"/>
    </row>
    <row r="110" spans="1:12">
      <c r="A110" s="8">
        <v>1988</v>
      </c>
      <c r="B110" s="8">
        <v>817</v>
      </c>
      <c r="C110" s="8">
        <v>139</v>
      </c>
      <c r="D110" s="8">
        <v>16</v>
      </c>
      <c r="F110" s="67"/>
      <c r="G110" s="67"/>
      <c r="H110" s="12" t="s">
        <v>28</v>
      </c>
      <c r="I110" s="67"/>
      <c r="J110" s="8">
        <v>1943</v>
      </c>
      <c r="K110" s="8">
        <v>1995</v>
      </c>
      <c r="L110" s="80"/>
    </row>
    <row r="111" spans="1:12">
      <c r="A111" s="8">
        <v>1989</v>
      </c>
      <c r="B111" s="8">
        <v>557.9</v>
      </c>
      <c r="C111" s="8">
        <v>124</v>
      </c>
      <c r="D111" s="8">
        <v>10</v>
      </c>
    </row>
    <row r="112" spans="1:12">
      <c r="A112" s="8">
        <v>1990</v>
      </c>
      <c r="B112" s="8">
        <v>926.3</v>
      </c>
      <c r="C112" s="8">
        <v>124</v>
      </c>
      <c r="D112" s="8">
        <v>11</v>
      </c>
      <c r="F112" s="82"/>
      <c r="G112" s="82"/>
      <c r="H112" s="82"/>
      <c r="I112" s="81" t="s">
        <v>27</v>
      </c>
      <c r="J112" s="81"/>
      <c r="K112" s="81" t="s">
        <v>406</v>
      </c>
      <c r="L112" s="81"/>
    </row>
    <row r="113" spans="1:12">
      <c r="A113" s="8">
        <v>1991</v>
      </c>
      <c r="B113" s="8">
        <v>878.30000000000007</v>
      </c>
      <c r="C113" s="8">
        <v>166</v>
      </c>
      <c r="D113" s="8">
        <v>20</v>
      </c>
      <c r="F113" s="68" t="s">
        <v>13</v>
      </c>
      <c r="G113" s="71" t="s">
        <v>4</v>
      </c>
      <c r="H113" s="12" t="s">
        <v>27</v>
      </c>
      <c r="I113" s="8">
        <v>123</v>
      </c>
      <c r="J113" s="5">
        <v>339.4</v>
      </c>
      <c r="K113" s="8">
        <v>22</v>
      </c>
      <c r="L113" s="76"/>
    </row>
    <row r="114" spans="1:12">
      <c r="A114" s="8">
        <v>1992</v>
      </c>
      <c r="B114" s="8">
        <v>694.3</v>
      </c>
      <c r="C114" s="8">
        <v>123</v>
      </c>
      <c r="D114" s="8">
        <v>29</v>
      </c>
      <c r="F114" s="83"/>
      <c r="G114" s="67"/>
      <c r="H114" s="12" t="s">
        <v>33</v>
      </c>
      <c r="I114" s="13">
        <v>22534</v>
      </c>
      <c r="J114" s="19">
        <v>1964</v>
      </c>
      <c r="K114" s="8">
        <v>1971</v>
      </c>
      <c r="L114" s="77"/>
    </row>
    <row r="115" spans="1:12">
      <c r="A115" s="8">
        <v>1993</v>
      </c>
      <c r="B115" s="8">
        <v>680.30000000001746</v>
      </c>
      <c r="C115" s="8">
        <v>127</v>
      </c>
      <c r="D115" s="8">
        <v>10</v>
      </c>
      <c r="F115" s="83"/>
      <c r="G115" s="72"/>
      <c r="H115" s="73"/>
      <c r="I115" s="12" t="s">
        <v>24</v>
      </c>
      <c r="J115" s="11" t="s">
        <v>25</v>
      </c>
      <c r="K115" s="11" t="s">
        <v>19</v>
      </c>
      <c r="L115" s="77"/>
    </row>
    <row r="116" spans="1:12">
      <c r="A116" s="8">
        <v>1994</v>
      </c>
      <c r="B116" s="8">
        <v>816.2</v>
      </c>
      <c r="C116" s="8">
        <v>138</v>
      </c>
      <c r="D116" s="8">
        <v>21</v>
      </c>
      <c r="F116" s="83"/>
      <c r="G116" s="74" t="s">
        <v>29</v>
      </c>
      <c r="H116" s="12" t="s">
        <v>27</v>
      </c>
      <c r="I116" s="75"/>
      <c r="J116" s="18">
        <v>0</v>
      </c>
      <c r="K116" s="8">
        <v>0</v>
      </c>
      <c r="L116" s="77"/>
    </row>
    <row r="117" spans="1:12">
      <c r="A117" s="8">
        <v>1995</v>
      </c>
      <c r="B117" s="8">
        <v>781.60000000001162</v>
      </c>
      <c r="C117" s="8">
        <v>153</v>
      </c>
      <c r="D117" s="8">
        <v>14</v>
      </c>
      <c r="F117" s="67"/>
      <c r="G117" s="67"/>
      <c r="H117" s="12" t="s">
        <v>28</v>
      </c>
      <c r="I117" s="67"/>
      <c r="J117" s="8">
        <v>1925</v>
      </c>
      <c r="K117" s="8">
        <v>1925</v>
      </c>
      <c r="L117" s="78"/>
    </row>
    <row r="118" spans="1:12">
      <c r="A118" s="8">
        <v>1996</v>
      </c>
      <c r="B118" s="8">
        <v>953.2</v>
      </c>
      <c r="C118" s="8">
        <v>150</v>
      </c>
      <c r="D118" s="8">
        <v>13</v>
      </c>
    </row>
    <row r="119" spans="1:12">
      <c r="A119" s="8">
        <v>1997</v>
      </c>
      <c r="B119" s="8">
        <v>1128.5999999999999</v>
      </c>
      <c r="C119" s="8">
        <v>135</v>
      </c>
      <c r="D119" s="8">
        <v>16</v>
      </c>
      <c r="F119" s="82"/>
      <c r="G119" s="82"/>
      <c r="H119" s="82"/>
      <c r="I119" s="81" t="s">
        <v>27</v>
      </c>
      <c r="J119" s="81"/>
      <c r="K119" s="81" t="s">
        <v>406</v>
      </c>
      <c r="L119" s="81"/>
    </row>
    <row r="120" spans="1:12">
      <c r="A120" s="8">
        <v>1998</v>
      </c>
      <c r="B120" s="8">
        <v>870.09999999999991</v>
      </c>
      <c r="C120" s="8">
        <v>137</v>
      </c>
      <c r="D120" s="8">
        <v>12</v>
      </c>
      <c r="F120" s="68" t="s">
        <v>14</v>
      </c>
      <c r="G120" s="71" t="s">
        <v>4</v>
      </c>
      <c r="H120" s="12" t="s">
        <v>27</v>
      </c>
      <c r="I120" s="8">
        <v>131.30000000000001</v>
      </c>
      <c r="J120" s="5">
        <v>316</v>
      </c>
      <c r="K120" s="8">
        <v>25</v>
      </c>
      <c r="L120" s="76"/>
    </row>
    <row r="121" spans="1:12">
      <c r="A121" s="8">
        <v>1999</v>
      </c>
      <c r="B121" s="8">
        <v>779.3</v>
      </c>
      <c r="C121" s="8">
        <v>115</v>
      </c>
      <c r="D121" s="8">
        <v>14</v>
      </c>
      <c r="F121" s="83"/>
      <c r="G121" s="67"/>
      <c r="H121" s="12" t="s">
        <v>33</v>
      </c>
      <c r="I121" s="13">
        <v>15617</v>
      </c>
      <c r="J121" s="19">
        <v>1997</v>
      </c>
      <c r="K121" s="8">
        <v>1970</v>
      </c>
      <c r="L121" s="77"/>
    </row>
    <row r="122" spans="1:12">
      <c r="A122" s="8">
        <v>2000</v>
      </c>
      <c r="B122" s="8">
        <v>814.50000000000011</v>
      </c>
      <c r="C122" s="8">
        <v>121</v>
      </c>
      <c r="D122" s="8">
        <v>9</v>
      </c>
      <c r="F122" s="83"/>
      <c r="G122" s="72"/>
      <c r="H122" s="73"/>
      <c r="I122" s="12" t="s">
        <v>24</v>
      </c>
      <c r="J122" s="11" t="s">
        <v>25</v>
      </c>
      <c r="K122" s="11" t="s">
        <v>19</v>
      </c>
      <c r="L122" s="77"/>
    </row>
    <row r="123" spans="1:12">
      <c r="A123" s="8">
        <v>2001</v>
      </c>
      <c r="B123" s="8">
        <v>1058.3</v>
      </c>
      <c r="C123" s="8">
        <v>131</v>
      </c>
      <c r="D123" s="8">
        <v>24</v>
      </c>
      <c r="F123" s="83"/>
      <c r="G123" s="74" t="s">
        <v>29</v>
      </c>
      <c r="H123" s="12" t="s">
        <v>27</v>
      </c>
      <c r="I123" s="75"/>
      <c r="J123" s="18">
        <v>2.6</v>
      </c>
      <c r="K123" s="8">
        <v>4</v>
      </c>
      <c r="L123" s="77"/>
    </row>
    <row r="124" spans="1:12">
      <c r="A124" s="8">
        <v>2002</v>
      </c>
      <c r="B124" s="8">
        <v>830.2</v>
      </c>
      <c r="C124" s="8">
        <v>124</v>
      </c>
      <c r="D124" s="8">
        <v>12</v>
      </c>
      <c r="F124" s="67"/>
      <c r="G124" s="67"/>
      <c r="H124" s="12" t="s">
        <v>28</v>
      </c>
      <c r="I124" s="67"/>
      <c r="J124" s="8">
        <v>1949</v>
      </c>
      <c r="K124" s="8">
        <v>1932</v>
      </c>
      <c r="L124" s="78"/>
    </row>
    <row r="125" spans="1:12">
      <c r="A125" s="8">
        <v>2003</v>
      </c>
      <c r="B125" s="8">
        <v>849.90000000000009</v>
      </c>
      <c r="C125" s="8">
        <v>138</v>
      </c>
      <c r="D125" s="8">
        <v>36</v>
      </c>
    </row>
    <row r="126" spans="1:12">
      <c r="A126" s="8">
        <v>2004</v>
      </c>
      <c r="B126" s="8">
        <v>954.10000000000014</v>
      </c>
      <c r="C126" s="8">
        <v>130</v>
      </c>
      <c r="D126" s="8">
        <v>14</v>
      </c>
      <c r="F126" s="82"/>
      <c r="G126" s="82"/>
      <c r="H126" s="82"/>
      <c r="I126" s="81" t="s">
        <v>27</v>
      </c>
      <c r="J126" s="81"/>
      <c r="K126" s="81" t="s">
        <v>406</v>
      </c>
      <c r="L126" s="81"/>
    </row>
    <row r="127" spans="1:12">
      <c r="A127" s="8">
        <v>2005</v>
      </c>
      <c r="B127" s="8">
        <v>861</v>
      </c>
      <c r="C127" s="8">
        <v>161</v>
      </c>
      <c r="D127" s="8">
        <v>27</v>
      </c>
      <c r="F127" s="68" t="s">
        <v>15</v>
      </c>
      <c r="G127" s="71" t="s">
        <v>4</v>
      </c>
      <c r="H127" s="12" t="s">
        <v>27</v>
      </c>
      <c r="I127" s="8">
        <v>94.2</v>
      </c>
      <c r="J127" s="5">
        <v>348.1</v>
      </c>
      <c r="K127" s="8">
        <v>26</v>
      </c>
      <c r="L127" s="8">
        <v>7</v>
      </c>
    </row>
    <row r="128" spans="1:12">
      <c r="A128" s="8">
        <v>2006</v>
      </c>
      <c r="B128" s="8">
        <v>850.69999999999982</v>
      </c>
      <c r="C128" s="8">
        <v>121</v>
      </c>
      <c r="D128" s="8">
        <v>14</v>
      </c>
      <c r="F128" s="83"/>
      <c r="G128" s="67"/>
      <c r="H128" s="12" t="s">
        <v>33</v>
      </c>
      <c r="I128" s="13">
        <v>20409</v>
      </c>
      <c r="J128" s="19">
        <v>1955</v>
      </c>
      <c r="K128" s="8">
        <v>1970</v>
      </c>
      <c r="L128" s="8">
        <v>1949</v>
      </c>
    </row>
    <row r="129" spans="1:12">
      <c r="A129" s="8">
        <v>2007</v>
      </c>
      <c r="B129" s="8">
        <v>624.39999999999986</v>
      </c>
      <c r="C129" s="8">
        <v>139</v>
      </c>
      <c r="D129" s="8">
        <v>14</v>
      </c>
      <c r="F129" s="83"/>
      <c r="G129" s="72"/>
      <c r="H129" s="73"/>
      <c r="I129" s="12" t="s">
        <v>24</v>
      </c>
      <c r="J129" s="11" t="s">
        <v>25</v>
      </c>
      <c r="K129" s="11" t="s">
        <v>19</v>
      </c>
      <c r="L129" s="11" t="s">
        <v>26</v>
      </c>
    </row>
    <row r="130" spans="1:12">
      <c r="A130" s="8">
        <v>2008</v>
      </c>
      <c r="B130" s="8">
        <v>875.6</v>
      </c>
      <c r="C130" s="8">
        <v>127</v>
      </c>
      <c r="D130" s="8">
        <v>11</v>
      </c>
      <c r="F130" s="83"/>
      <c r="G130" s="74" t="s">
        <v>29</v>
      </c>
      <c r="H130" s="12" t="s">
        <v>27</v>
      </c>
      <c r="I130" s="75"/>
      <c r="J130" s="18">
        <v>0.2</v>
      </c>
      <c r="K130" s="8">
        <v>1</v>
      </c>
      <c r="L130" s="66"/>
    </row>
    <row r="131" spans="1:12">
      <c r="A131" s="8">
        <v>2009</v>
      </c>
      <c r="B131" s="8">
        <v>979.10000000000014</v>
      </c>
      <c r="C131" s="8">
        <v>150</v>
      </c>
      <c r="D131" s="8">
        <v>15</v>
      </c>
      <c r="F131" s="67"/>
      <c r="G131" s="67"/>
      <c r="H131" s="12" t="s">
        <v>28</v>
      </c>
      <c r="I131" s="67"/>
      <c r="J131" s="8">
        <v>1926</v>
      </c>
      <c r="K131" s="8">
        <v>1926</v>
      </c>
      <c r="L131" s="67"/>
    </row>
    <row r="132" spans="1:12">
      <c r="A132" s="8">
        <v>2010</v>
      </c>
      <c r="B132" s="8">
        <v>1120.3</v>
      </c>
      <c r="C132" s="8">
        <v>154</v>
      </c>
      <c r="D132" s="8">
        <v>7</v>
      </c>
    </row>
    <row r="133" spans="1:12">
      <c r="A133" s="8">
        <v>2011</v>
      </c>
      <c r="B133" s="8">
        <v>602.79999999999995</v>
      </c>
      <c r="C133" s="8">
        <v>132</v>
      </c>
      <c r="D133" s="8">
        <v>15</v>
      </c>
      <c r="F133" s="82"/>
      <c r="G133" s="82"/>
      <c r="H133" s="82"/>
      <c r="I133" s="81" t="s">
        <v>27</v>
      </c>
      <c r="J133" s="81"/>
      <c r="K133" s="81" t="s">
        <v>406</v>
      </c>
      <c r="L133" s="81"/>
    </row>
    <row r="134" spans="1:12">
      <c r="A134" s="8">
        <v>2012</v>
      </c>
      <c r="B134" s="8">
        <v>809</v>
      </c>
      <c r="C134" s="8">
        <v>143</v>
      </c>
      <c r="D134" s="8">
        <v>23</v>
      </c>
      <c r="F134" s="68" t="s">
        <v>16</v>
      </c>
      <c r="G134" s="71" t="s">
        <v>4</v>
      </c>
      <c r="H134" s="12" t="s">
        <v>27</v>
      </c>
      <c r="I134" s="8">
        <v>68</v>
      </c>
      <c r="J134" s="5">
        <v>432.2</v>
      </c>
      <c r="K134" s="8">
        <v>29</v>
      </c>
      <c r="L134" s="8">
        <v>11</v>
      </c>
    </row>
    <row r="135" spans="1:12">
      <c r="A135" s="8">
        <v>2013</v>
      </c>
      <c r="B135" s="8">
        <v>553</v>
      </c>
      <c r="C135" s="8">
        <v>150</v>
      </c>
      <c r="D135" s="8">
        <v>5</v>
      </c>
      <c r="F135" s="83"/>
      <c r="G135" s="67"/>
      <c r="H135" s="12" t="s">
        <v>33</v>
      </c>
      <c r="I135" s="13">
        <v>5109</v>
      </c>
      <c r="J135" s="19">
        <v>2001</v>
      </c>
      <c r="K135" s="8">
        <v>1969</v>
      </c>
      <c r="L135" s="8">
        <v>1992</v>
      </c>
    </row>
    <row r="136" spans="1:12">
      <c r="F136" s="83"/>
      <c r="G136" s="72"/>
      <c r="H136" s="73"/>
      <c r="I136" s="12" t="s">
        <v>24</v>
      </c>
      <c r="J136" s="11" t="s">
        <v>25</v>
      </c>
      <c r="K136" s="11" t="s">
        <v>19</v>
      </c>
      <c r="L136" s="11" t="s">
        <v>26</v>
      </c>
    </row>
    <row r="137" spans="1:12">
      <c r="F137" s="83"/>
      <c r="G137" s="74" t="s">
        <v>29</v>
      </c>
      <c r="H137" s="12" t="s">
        <v>27</v>
      </c>
      <c r="I137" s="75"/>
      <c r="J137" s="18">
        <v>19.899999999999999</v>
      </c>
      <c r="K137" s="8">
        <v>9</v>
      </c>
      <c r="L137" s="66"/>
    </row>
    <row r="138" spans="1:12">
      <c r="F138" s="67"/>
      <c r="G138" s="67"/>
      <c r="H138" s="12" t="s">
        <v>28</v>
      </c>
      <c r="I138" s="67"/>
      <c r="J138" s="8">
        <v>1942</v>
      </c>
      <c r="K138" s="8">
        <v>1950</v>
      </c>
      <c r="L138" s="67"/>
    </row>
    <row r="140" spans="1:12">
      <c r="A140" s="84" t="s">
        <v>408</v>
      </c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</row>
    <row r="141" spans="1:12">
      <c r="A141" s="84"/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</row>
    <row r="142" spans="1:12">
      <c r="B142" s="85"/>
      <c r="C142" s="86"/>
      <c r="D142" s="86"/>
      <c r="E142" s="86"/>
      <c r="F142" s="86"/>
      <c r="G142" s="86"/>
      <c r="H142" s="86"/>
      <c r="I142" s="86"/>
      <c r="J142" s="86"/>
      <c r="K142" s="87"/>
    </row>
    <row r="143" spans="1:12">
      <c r="B143" s="88"/>
      <c r="C143" s="89"/>
      <c r="D143" s="89"/>
      <c r="E143" s="89"/>
      <c r="F143" s="89"/>
      <c r="G143" s="89"/>
      <c r="H143" s="89"/>
      <c r="I143" s="89"/>
      <c r="J143" s="89"/>
      <c r="K143" s="90"/>
    </row>
    <row r="144" spans="1:12">
      <c r="B144" s="88"/>
      <c r="C144" s="89"/>
      <c r="D144" s="89"/>
      <c r="E144" s="89"/>
      <c r="F144" s="89"/>
      <c r="G144" s="89"/>
      <c r="H144" s="89"/>
      <c r="I144" s="89"/>
      <c r="J144" s="89"/>
      <c r="K144" s="90"/>
    </row>
    <row r="145" spans="2:11">
      <c r="B145" s="88"/>
      <c r="C145" s="89"/>
      <c r="D145" s="89"/>
      <c r="E145" s="89"/>
      <c r="F145" s="89"/>
      <c r="G145" s="89"/>
      <c r="H145" s="89"/>
      <c r="I145" s="89"/>
      <c r="J145" s="89"/>
      <c r="K145" s="90"/>
    </row>
    <row r="146" spans="2:11">
      <c r="B146" s="88"/>
      <c r="C146" s="89"/>
      <c r="D146" s="89"/>
      <c r="E146" s="89"/>
      <c r="F146" s="89"/>
      <c r="G146" s="89"/>
      <c r="H146" s="89"/>
      <c r="I146" s="89"/>
      <c r="J146" s="89"/>
      <c r="K146" s="90"/>
    </row>
    <row r="147" spans="2:11">
      <c r="B147" s="88"/>
      <c r="C147" s="89"/>
      <c r="D147" s="89"/>
      <c r="E147" s="89"/>
      <c r="F147" s="89"/>
      <c r="G147" s="89"/>
      <c r="H147" s="89"/>
      <c r="I147" s="89"/>
      <c r="J147" s="89"/>
      <c r="K147" s="90"/>
    </row>
    <row r="148" spans="2:11">
      <c r="B148" s="91"/>
      <c r="C148" s="92"/>
      <c r="D148" s="92"/>
      <c r="E148" s="92"/>
      <c r="F148" s="92"/>
      <c r="G148" s="92"/>
      <c r="H148" s="92"/>
      <c r="I148" s="92"/>
      <c r="J148" s="92"/>
      <c r="K148" s="93"/>
    </row>
  </sheetData>
  <mergeCells count="114">
    <mergeCell ref="F106:F110"/>
    <mergeCell ref="F70:H70"/>
    <mergeCell ref="F84:H84"/>
    <mergeCell ref="F98:H98"/>
    <mergeCell ref="G92:G93"/>
    <mergeCell ref="G106:G107"/>
    <mergeCell ref="G78:G79"/>
    <mergeCell ref="G80:H80"/>
    <mergeCell ref="G81:G82"/>
    <mergeCell ref="G73:H73"/>
    <mergeCell ref="G74:G75"/>
    <mergeCell ref="F78:F82"/>
    <mergeCell ref="G57:G58"/>
    <mergeCell ref="G59:H59"/>
    <mergeCell ref="G60:G61"/>
    <mergeCell ref="I60:I61"/>
    <mergeCell ref="L60:L61"/>
    <mergeCell ref="A1:D1"/>
    <mergeCell ref="A31:D32"/>
    <mergeCell ref="A15:D16"/>
    <mergeCell ref="F57:F61"/>
    <mergeCell ref="A29:D30"/>
    <mergeCell ref="I56:J56"/>
    <mergeCell ref="K56:L56"/>
    <mergeCell ref="F56:H56"/>
    <mergeCell ref="L106:L110"/>
    <mergeCell ref="G108:H108"/>
    <mergeCell ref="G109:G110"/>
    <mergeCell ref="I109:I110"/>
    <mergeCell ref="G99:G100"/>
    <mergeCell ref="L99:L103"/>
    <mergeCell ref="G101:H101"/>
    <mergeCell ref="G102:G103"/>
    <mergeCell ref="I102:I103"/>
    <mergeCell ref="F63:H63"/>
    <mergeCell ref="I63:J63"/>
    <mergeCell ref="K63:L63"/>
    <mergeCell ref="L130:L131"/>
    <mergeCell ref="F134:F138"/>
    <mergeCell ref="G134:G135"/>
    <mergeCell ref="G136:H136"/>
    <mergeCell ref="G137:G138"/>
    <mergeCell ref="I137:I138"/>
    <mergeCell ref="L137:L138"/>
    <mergeCell ref="F127:F131"/>
    <mergeCell ref="G127:G128"/>
    <mergeCell ref="G129:H129"/>
    <mergeCell ref="G130:G131"/>
    <mergeCell ref="I130:I131"/>
    <mergeCell ref="F120:F124"/>
    <mergeCell ref="G120:G121"/>
    <mergeCell ref="L120:L124"/>
    <mergeCell ref="G122:H122"/>
    <mergeCell ref="G123:G124"/>
    <mergeCell ref="I123:I124"/>
    <mergeCell ref="I81:I82"/>
    <mergeCell ref="L81:L82"/>
    <mergeCell ref="G71:G72"/>
    <mergeCell ref="I74:I75"/>
    <mergeCell ref="L74:L75"/>
    <mergeCell ref="G64:G65"/>
    <mergeCell ref="G66:H66"/>
    <mergeCell ref="I70:J70"/>
    <mergeCell ref="K70:L70"/>
    <mergeCell ref="F77:H77"/>
    <mergeCell ref="I77:J77"/>
    <mergeCell ref="K77:L77"/>
    <mergeCell ref="G67:G68"/>
    <mergeCell ref="I67:I68"/>
    <mergeCell ref="L67:L68"/>
    <mergeCell ref="F64:F68"/>
    <mergeCell ref="F71:F75"/>
    <mergeCell ref="A140:L141"/>
    <mergeCell ref="B142:K148"/>
    <mergeCell ref="F126:H126"/>
    <mergeCell ref="I126:J126"/>
    <mergeCell ref="K126:L126"/>
    <mergeCell ref="F133:H133"/>
    <mergeCell ref="I133:J133"/>
    <mergeCell ref="K133:L133"/>
    <mergeCell ref="F112:H112"/>
    <mergeCell ref="I112:J112"/>
    <mergeCell ref="K112:L112"/>
    <mergeCell ref="F119:H119"/>
    <mergeCell ref="I119:J119"/>
    <mergeCell ref="K119:L119"/>
    <mergeCell ref="F113:F117"/>
    <mergeCell ref="G113:G114"/>
    <mergeCell ref="L113:L117"/>
    <mergeCell ref="G115:H115"/>
    <mergeCell ref="G116:G117"/>
    <mergeCell ref="I116:I117"/>
    <mergeCell ref="I98:J98"/>
    <mergeCell ref="K98:L98"/>
    <mergeCell ref="F105:H105"/>
    <mergeCell ref="I105:J105"/>
    <mergeCell ref="K105:L105"/>
    <mergeCell ref="I84:J84"/>
    <mergeCell ref="K84:L84"/>
    <mergeCell ref="F91:H91"/>
    <mergeCell ref="I91:J91"/>
    <mergeCell ref="L92:L96"/>
    <mergeCell ref="G94:H94"/>
    <mergeCell ref="G95:G96"/>
    <mergeCell ref="I95:I96"/>
    <mergeCell ref="G85:G86"/>
    <mergeCell ref="G87:H87"/>
    <mergeCell ref="G88:G89"/>
    <mergeCell ref="I88:I89"/>
    <mergeCell ref="L88:L89"/>
    <mergeCell ref="K91:L91"/>
    <mergeCell ref="F85:F89"/>
    <mergeCell ref="F92:F96"/>
    <mergeCell ref="F99:F103"/>
  </mergeCells>
  <pageMargins left="0.19685039370078741" right="0.19685039370078741" top="0.19685039370078741" bottom="0.19685039370078741" header="0" footer="0"/>
  <pageSetup paperSize="9" orientation="landscape" r:id="rId1"/>
  <drawing r:id="rId2"/>
  <webPublishItems count="3">
    <webPublishItem id="32004" divId="Yağış 1911-2013 Hepsi_32004" sourceType="range" sourceRef="A1:D140" destinationFile="D:\Meteoroloji\Web\Analiz\boun\uzunYilYagis.html"/>
    <webPublishItem id="25136" divId="Yağış 1911-2013 Hepsi-web sitesi için_25136" sourceType="range" sourceRef="A1:L148" destinationFile="D:\Meteoroloji\Web\Analiz\boun\Yagis.html"/>
    <webPublishItem id="22048" divId="Yağış 1911-2013 Hepsi-web sitesi için_22048" sourceType="range" sourceRef="A1:N126" destinationFile="D:\Meteoroloji\Web\Analiz\boun\Yagis.html"/>
  </webPublishItems>
</worksheet>
</file>

<file path=xl/worksheets/sheet3.xml><?xml version="1.0" encoding="utf-8"?>
<worksheet xmlns="http://schemas.openxmlformats.org/spreadsheetml/2006/main" xmlns:r="http://schemas.openxmlformats.org/officeDocument/2006/relationships">
  <sheetPr codeName="Sayfa4"/>
  <dimension ref="A1:Q129"/>
  <sheetViews>
    <sheetView tabSelected="1" topLeftCell="A7" zoomScale="87" zoomScaleNormal="87" workbookViewId="0">
      <selection activeCell="C15" sqref="C15"/>
    </sheetView>
  </sheetViews>
  <sheetFormatPr defaultRowHeight="15"/>
  <cols>
    <col min="1" max="1" width="9.42578125" style="24" customWidth="1"/>
    <col min="2" max="2" width="16.85546875" style="24" bestFit="1" customWidth="1"/>
    <col min="3" max="3" width="15.5703125" style="24" bestFit="1" customWidth="1"/>
    <col min="4" max="4" width="14.140625" style="24" bestFit="1" customWidth="1"/>
    <col min="5" max="5" width="19.42578125" style="24" customWidth="1"/>
    <col min="6" max="6" width="20.7109375" style="24" customWidth="1"/>
    <col min="7" max="7" width="6.140625" style="24" customWidth="1"/>
    <col min="8" max="15" width="9.140625" style="24"/>
    <col min="16" max="16" width="11.7109375" style="24" customWidth="1"/>
    <col min="17" max="16384" width="9.140625" style="24"/>
  </cols>
  <sheetData>
    <row r="1" spans="1:17">
      <c r="A1" s="94" t="s">
        <v>426</v>
      </c>
      <c r="B1" s="94"/>
      <c r="C1" s="94"/>
      <c r="D1" s="94"/>
      <c r="E1" s="94"/>
      <c r="F1" s="94"/>
      <c r="H1" s="102" t="s">
        <v>427</v>
      </c>
      <c r="I1" s="102"/>
      <c r="J1" s="102"/>
      <c r="K1" s="102"/>
      <c r="L1" s="102"/>
      <c r="M1" s="102"/>
      <c r="N1" s="102"/>
      <c r="O1" s="102"/>
      <c r="P1" s="102"/>
      <c r="Q1" s="102"/>
    </row>
    <row r="2" spans="1:17">
      <c r="A2" s="94"/>
      <c r="B2" s="94"/>
      <c r="C2" s="94"/>
      <c r="D2" s="94"/>
      <c r="E2" s="94"/>
      <c r="F2" s="94"/>
      <c r="H2" s="102"/>
      <c r="I2" s="102"/>
      <c r="J2" s="102"/>
      <c r="K2" s="102"/>
      <c r="L2" s="102"/>
      <c r="M2" s="102"/>
      <c r="N2" s="102"/>
      <c r="O2" s="102"/>
      <c r="P2" s="102"/>
      <c r="Q2" s="102"/>
    </row>
    <row r="3" spans="1:17" ht="15" customHeight="1">
      <c r="A3"/>
      <c r="B3"/>
      <c r="C3"/>
      <c r="D3"/>
      <c r="E3"/>
      <c r="F3"/>
      <c r="H3" s="94"/>
      <c r="I3" s="94"/>
      <c r="J3" s="94"/>
      <c r="K3" s="94"/>
      <c r="L3" s="94"/>
      <c r="M3" s="94"/>
      <c r="N3" s="94"/>
      <c r="O3" s="94"/>
      <c r="P3" s="94"/>
      <c r="Q3" s="94"/>
    </row>
    <row r="4" spans="1:17" ht="45">
      <c r="A4" s="49" t="s">
        <v>409</v>
      </c>
      <c r="B4" s="54" t="s">
        <v>410</v>
      </c>
      <c r="C4" s="54" t="s">
        <v>411</v>
      </c>
      <c r="D4" s="54" t="s">
        <v>412</v>
      </c>
      <c r="E4" s="54" t="s">
        <v>413</v>
      </c>
      <c r="F4" s="55" t="s">
        <v>414</v>
      </c>
      <c r="H4" s="94"/>
      <c r="I4" s="94"/>
      <c r="J4" s="94"/>
      <c r="K4" s="94"/>
      <c r="L4" s="94"/>
      <c r="M4" s="94"/>
      <c r="N4" s="94"/>
      <c r="O4" s="94"/>
      <c r="P4" s="94"/>
      <c r="Q4" s="94"/>
    </row>
    <row r="5" spans="1:17">
      <c r="A5" s="49"/>
      <c r="B5" s="54"/>
      <c r="C5" s="54"/>
      <c r="D5" s="54"/>
      <c r="E5" s="54"/>
      <c r="F5" s="55"/>
      <c r="H5" s="94"/>
      <c r="I5" s="94"/>
      <c r="J5" s="94"/>
      <c r="K5" s="94"/>
      <c r="L5" s="94"/>
      <c r="M5" s="94"/>
      <c r="N5" s="94"/>
      <c r="O5" s="94"/>
      <c r="P5" s="94"/>
      <c r="Q5" s="94"/>
    </row>
    <row r="6" spans="1:17">
      <c r="A6" s="49" t="s">
        <v>416</v>
      </c>
      <c r="B6" s="48">
        <v>345.7</v>
      </c>
      <c r="C6" s="48">
        <v>43</v>
      </c>
      <c r="D6" s="48">
        <v>0</v>
      </c>
      <c r="E6" s="48">
        <v>70.099999999999994</v>
      </c>
      <c r="F6" s="50">
        <v>41179</v>
      </c>
      <c r="H6" s="94"/>
      <c r="I6" s="94"/>
      <c r="J6" s="94"/>
      <c r="K6" s="94"/>
      <c r="L6" s="94"/>
      <c r="M6" s="94"/>
      <c r="N6" s="94"/>
      <c r="O6" s="94"/>
      <c r="P6" s="94"/>
      <c r="Q6" s="94"/>
    </row>
    <row r="7" spans="1:17">
      <c r="A7" s="49">
        <v>1912</v>
      </c>
      <c r="B7" s="48">
        <v>600.70000000000005</v>
      </c>
      <c r="C7" s="48">
        <v>118</v>
      </c>
      <c r="D7" s="48">
        <v>9</v>
      </c>
      <c r="E7" s="48">
        <v>42.5</v>
      </c>
      <c r="F7" s="50">
        <v>41020</v>
      </c>
      <c r="H7" s="94"/>
      <c r="I7" s="94"/>
      <c r="J7" s="94"/>
      <c r="K7" s="94"/>
      <c r="L7" s="94"/>
      <c r="M7" s="94"/>
      <c r="N7" s="94"/>
      <c r="O7" s="94"/>
      <c r="P7" s="94"/>
      <c r="Q7" s="94"/>
    </row>
    <row r="8" spans="1:17">
      <c r="A8" s="49">
        <v>1913</v>
      </c>
      <c r="B8" s="48">
        <v>1004.3999999999999</v>
      </c>
      <c r="C8" s="48">
        <v>136</v>
      </c>
      <c r="D8" s="48">
        <v>17</v>
      </c>
      <c r="E8" s="48">
        <v>85.7</v>
      </c>
      <c r="F8" s="50">
        <v>41182</v>
      </c>
      <c r="H8" s="94"/>
      <c r="I8" s="94"/>
      <c r="J8" s="94"/>
      <c r="K8" s="94"/>
      <c r="L8" s="94"/>
      <c r="M8" s="94"/>
      <c r="N8" s="94"/>
      <c r="O8" s="94"/>
      <c r="P8" s="94"/>
      <c r="Q8" s="94"/>
    </row>
    <row r="9" spans="1:17">
      <c r="A9" s="49">
        <v>1914</v>
      </c>
      <c r="B9" s="48">
        <v>708.7</v>
      </c>
      <c r="C9" s="48">
        <v>160</v>
      </c>
      <c r="D9" s="48">
        <v>1</v>
      </c>
      <c r="E9" s="48">
        <v>82.1</v>
      </c>
      <c r="F9" s="50">
        <v>41123</v>
      </c>
      <c r="H9" s="94"/>
      <c r="I9" s="94"/>
      <c r="J9" s="94"/>
      <c r="K9" s="94"/>
      <c r="L9" s="94"/>
      <c r="M9" s="94"/>
      <c r="N9" s="94"/>
      <c r="O9" s="94"/>
      <c r="P9" s="94"/>
      <c r="Q9" s="94"/>
    </row>
    <row r="10" spans="1:17" ht="15" customHeight="1">
      <c r="A10" s="49">
        <v>1915</v>
      </c>
      <c r="B10" s="48">
        <v>658.8</v>
      </c>
      <c r="C10" s="48">
        <v>141</v>
      </c>
      <c r="D10" s="48">
        <v>2</v>
      </c>
      <c r="E10" s="48">
        <v>55.5</v>
      </c>
      <c r="F10" s="50">
        <v>41224</v>
      </c>
      <c r="H10" s="94"/>
      <c r="I10" s="94"/>
      <c r="J10" s="94"/>
      <c r="K10" s="94"/>
      <c r="L10" s="94"/>
      <c r="M10" s="94"/>
      <c r="N10" s="94"/>
      <c r="O10" s="94"/>
      <c r="P10" s="94"/>
      <c r="Q10" s="94"/>
    </row>
    <row r="11" spans="1:17">
      <c r="A11" s="49">
        <v>1916</v>
      </c>
      <c r="B11" s="48">
        <v>452.2</v>
      </c>
      <c r="C11" s="48">
        <v>130</v>
      </c>
      <c r="D11" s="48">
        <v>2</v>
      </c>
      <c r="E11" s="48">
        <v>24.1</v>
      </c>
      <c r="F11" s="50">
        <v>41175</v>
      </c>
      <c r="H11" s="94"/>
      <c r="I11" s="94"/>
      <c r="J11" s="94"/>
      <c r="K11" s="94"/>
      <c r="L11" s="94"/>
      <c r="M11" s="94"/>
      <c r="N11" s="94"/>
      <c r="O11" s="94"/>
      <c r="P11" s="94"/>
      <c r="Q11" s="94"/>
    </row>
    <row r="12" spans="1:17">
      <c r="A12" s="49">
        <v>1917</v>
      </c>
      <c r="B12" s="48">
        <v>531.5</v>
      </c>
      <c r="C12" s="48">
        <v>104</v>
      </c>
      <c r="D12" s="48">
        <v>9</v>
      </c>
      <c r="E12" s="48">
        <v>32.1</v>
      </c>
      <c r="F12" s="50">
        <v>40984</v>
      </c>
      <c r="H12" s="94"/>
      <c r="I12" s="94"/>
      <c r="J12" s="94"/>
      <c r="K12" s="94"/>
      <c r="L12" s="94"/>
      <c r="M12" s="94"/>
      <c r="N12" s="94"/>
      <c r="O12" s="94"/>
      <c r="P12" s="94"/>
      <c r="Q12" s="94"/>
    </row>
    <row r="13" spans="1:17">
      <c r="A13" s="49">
        <v>1918</v>
      </c>
      <c r="B13" s="48">
        <v>671.3</v>
      </c>
      <c r="C13" s="48">
        <v>104</v>
      </c>
      <c r="D13" s="48">
        <v>3</v>
      </c>
      <c r="E13" s="48">
        <v>54.9</v>
      </c>
      <c r="F13" s="50">
        <v>41224</v>
      </c>
      <c r="H13" s="94"/>
      <c r="I13" s="94"/>
      <c r="J13" s="94"/>
      <c r="K13" s="94"/>
      <c r="L13" s="94"/>
      <c r="M13" s="94"/>
      <c r="N13" s="94"/>
      <c r="O13" s="94"/>
      <c r="P13" s="94"/>
      <c r="Q13" s="94"/>
    </row>
    <row r="14" spans="1:17">
      <c r="A14" s="49">
        <v>1919</v>
      </c>
      <c r="B14" s="48">
        <v>912.3</v>
      </c>
      <c r="C14" s="48">
        <v>125</v>
      </c>
      <c r="D14" s="48">
        <v>4</v>
      </c>
      <c r="E14" s="48">
        <v>41.5</v>
      </c>
      <c r="F14" s="50">
        <v>41050</v>
      </c>
      <c r="H14" s="94"/>
      <c r="I14" s="94"/>
      <c r="J14" s="94"/>
      <c r="K14" s="94"/>
      <c r="L14" s="94"/>
      <c r="M14" s="94"/>
      <c r="N14" s="94"/>
      <c r="O14" s="94"/>
      <c r="P14" s="94"/>
      <c r="Q14" s="94"/>
    </row>
    <row r="15" spans="1:17">
      <c r="A15" s="49">
        <v>1920</v>
      </c>
      <c r="B15" s="48">
        <v>660.9</v>
      </c>
      <c r="C15" s="48">
        <v>121</v>
      </c>
      <c r="D15" s="48">
        <v>6</v>
      </c>
      <c r="E15" s="48">
        <v>42.2</v>
      </c>
      <c r="F15" s="50">
        <v>40948</v>
      </c>
      <c r="H15" s="94"/>
      <c r="I15" s="94"/>
      <c r="J15" s="94"/>
      <c r="K15" s="94"/>
      <c r="L15" s="94"/>
      <c r="M15" s="94"/>
      <c r="N15" s="94"/>
      <c r="O15" s="94"/>
      <c r="P15" s="94"/>
      <c r="Q15" s="94"/>
    </row>
    <row r="16" spans="1:17">
      <c r="A16" s="49">
        <v>1921</v>
      </c>
      <c r="B16" s="48">
        <v>510.4</v>
      </c>
      <c r="C16" s="48">
        <v>130</v>
      </c>
      <c r="D16" s="48">
        <v>14</v>
      </c>
      <c r="E16" s="48">
        <v>38.6</v>
      </c>
      <c r="F16" s="50">
        <v>41254</v>
      </c>
      <c r="H16" s="94"/>
      <c r="I16" s="94"/>
      <c r="J16" s="94"/>
      <c r="K16" s="94"/>
      <c r="L16" s="94"/>
      <c r="M16" s="94"/>
      <c r="N16" s="94"/>
      <c r="O16" s="94"/>
      <c r="P16" s="94"/>
      <c r="Q16" s="94"/>
    </row>
    <row r="17" spans="1:17" ht="15" customHeight="1">
      <c r="A17" s="49">
        <v>1922</v>
      </c>
      <c r="B17" s="48">
        <v>976.90000000000009</v>
      </c>
      <c r="C17" s="48">
        <v>144</v>
      </c>
      <c r="D17" s="48">
        <v>5</v>
      </c>
      <c r="E17" s="48">
        <v>40.5</v>
      </c>
      <c r="F17" s="50">
        <v>41227</v>
      </c>
      <c r="H17" s="94"/>
      <c r="I17" s="94"/>
      <c r="J17" s="94"/>
      <c r="K17" s="94"/>
      <c r="L17" s="94"/>
      <c r="M17" s="94"/>
      <c r="N17" s="94"/>
      <c r="O17" s="94"/>
      <c r="P17" s="94"/>
      <c r="Q17" s="94"/>
    </row>
    <row r="18" spans="1:17">
      <c r="A18" s="49">
        <v>1923</v>
      </c>
      <c r="B18" s="48">
        <v>666.3</v>
      </c>
      <c r="C18" s="48">
        <v>105</v>
      </c>
      <c r="D18" s="48">
        <v>7</v>
      </c>
      <c r="E18" s="48">
        <v>51.4</v>
      </c>
      <c r="F18" s="50">
        <v>41199</v>
      </c>
      <c r="H18" s="94"/>
      <c r="I18" s="94"/>
      <c r="J18" s="94"/>
      <c r="K18" s="94"/>
      <c r="L18" s="94"/>
      <c r="M18" s="94"/>
      <c r="N18" s="94"/>
      <c r="O18" s="94"/>
      <c r="P18" s="94"/>
      <c r="Q18" s="94"/>
    </row>
    <row r="19" spans="1:17">
      <c r="A19" s="49">
        <v>1924</v>
      </c>
      <c r="B19" s="48">
        <v>1029.0999999999999</v>
      </c>
      <c r="C19" s="48">
        <v>127</v>
      </c>
      <c r="D19" s="48">
        <v>4</v>
      </c>
      <c r="E19" s="48">
        <v>91</v>
      </c>
      <c r="F19" s="50">
        <v>41080</v>
      </c>
      <c r="H19" s="94"/>
      <c r="I19" s="94"/>
      <c r="J19" s="94"/>
      <c r="K19" s="94"/>
      <c r="L19" s="94"/>
      <c r="M19" s="94"/>
      <c r="N19" s="94"/>
      <c r="O19" s="94"/>
      <c r="P19" s="94"/>
      <c r="Q19" s="94"/>
    </row>
    <row r="20" spans="1:17">
      <c r="A20" s="49">
        <v>1925</v>
      </c>
      <c r="B20" s="48">
        <v>866.8</v>
      </c>
      <c r="C20" s="48">
        <v>128</v>
      </c>
      <c r="D20" s="48">
        <v>4</v>
      </c>
      <c r="E20" s="48">
        <v>46</v>
      </c>
      <c r="F20" s="50">
        <v>41247</v>
      </c>
      <c r="H20" s="94"/>
      <c r="I20" s="94"/>
      <c r="J20" s="94"/>
      <c r="K20" s="94"/>
      <c r="L20" s="94"/>
      <c r="M20" s="94"/>
      <c r="N20" s="94"/>
      <c r="O20" s="94"/>
      <c r="P20" s="94"/>
      <c r="Q20" s="94"/>
    </row>
    <row r="21" spans="1:17">
      <c r="A21" s="49">
        <v>1926</v>
      </c>
      <c r="B21" s="48">
        <v>583.6</v>
      </c>
      <c r="C21" s="48">
        <v>91</v>
      </c>
      <c r="D21" s="48">
        <v>2</v>
      </c>
      <c r="E21" s="48">
        <v>42</v>
      </c>
      <c r="F21" s="50">
        <v>40918</v>
      </c>
      <c r="H21" s="94"/>
      <c r="I21" s="94"/>
      <c r="J21" s="94"/>
      <c r="K21" s="94"/>
      <c r="L21" s="94"/>
      <c r="M21" s="94"/>
      <c r="N21" s="94"/>
      <c r="O21" s="94"/>
      <c r="P21" s="94"/>
      <c r="Q21" s="94"/>
    </row>
    <row r="22" spans="1:17">
      <c r="A22" s="49">
        <v>1927</v>
      </c>
      <c r="B22" s="48">
        <v>725.8</v>
      </c>
      <c r="C22" s="48">
        <v>96</v>
      </c>
      <c r="D22" s="48">
        <v>12</v>
      </c>
      <c r="E22" s="48">
        <v>104.9</v>
      </c>
      <c r="F22" s="50">
        <v>41209</v>
      </c>
      <c r="H22" s="94"/>
      <c r="I22" s="94"/>
      <c r="J22" s="94"/>
      <c r="K22" s="94"/>
      <c r="L22" s="94"/>
      <c r="M22" s="94"/>
      <c r="N22" s="94"/>
      <c r="O22" s="94"/>
      <c r="P22" s="94"/>
      <c r="Q22" s="94"/>
    </row>
    <row r="23" spans="1:17">
      <c r="A23" s="49">
        <v>1928</v>
      </c>
      <c r="B23" s="48">
        <v>693.05</v>
      </c>
      <c r="C23" s="48">
        <v>120</v>
      </c>
      <c r="D23" s="48">
        <v>13</v>
      </c>
      <c r="E23" s="48">
        <v>37.1</v>
      </c>
      <c r="F23" s="50">
        <v>41245</v>
      </c>
      <c r="H23" s="94"/>
      <c r="I23" s="94"/>
      <c r="J23" s="94"/>
      <c r="K23" s="94"/>
      <c r="L23" s="94"/>
      <c r="M23" s="94"/>
      <c r="N23" s="94"/>
      <c r="O23" s="94"/>
      <c r="P23" s="94"/>
      <c r="Q23" s="94"/>
    </row>
    <row r="24" spans="1:17" ht="15" customHeight="1">
      <c r="A24" s="49">
        <v>1929</v>
      </c>
      <c r="B24" s="48">
        <v>763.33999999999992</v>
      </c>
      <c r="C24" s="48">
        <v>150</v>
      </c>
      <c r="D24" s="48">
        <v>30</v>
      </c>
      <c r="E24" s="48">
        <v>58.2</v>
      </c>
      <c r="F24" s="50">
        <v>41238</v>
      </c>
      <c r="H24" s="94"/>
      <c r="I24" s="94"/>
      <c r="J24" s="94"/>
      <c r="K24" s="94"/>
      <c r="L24" s="94"/>
      <c r="M24" s="94"/>
      <c r="N24" s="94"/>
      <c r="O24" s="94"/>
      <c r="P24" s="94"/>
      <c r="Q24" s="94"/>
    </row>
    <row r="25" spans="1:17">
      <c r="A25" s="49">
        <v>1930</v>
      </c>
      <c r="B25" s="48">
        <v>722.70000000000016</v>
      </c>
      <c r="C25" s="48">
        <v>132</v>
      </c>
      <c r="D25" s="48">
        <v>11</v>
      </c>
      <c r="E25" s="48">
        <v>71</v>
      </c>
      <c r="F25" s="50">
        <v>41189</v>
      </c>
      <c r="H25" s="94"/>
      <c r="I25" s="94"/>
      <c r="J25" s="94"/>
      <c r="K25" s="94"/>
      <c r="L25" s="94"/>
      <c r="M25" s="94"/>
      <c r="N25" s="94"/>
      <c r="O25" s="94"/>
      <c r="P25" s="94"/>
      <c r="Q25" s="94"/>
    </row>
    <row r="26" spans="1:17">
      <c r="A26" s="49">
        <v>1931</v>
      </c>
      <c r="B26" s="48">
        <v>877.3</v>
      </c>
      <c r="C26" s="48">
        <v>133</v>
      </c>
      <c r="D26" s="48">
        <v>32</v>
      </c>
      <c r="E26" s="48">
        <v>54.5</v>
      </c>
      <c r="F26" s="50">
        <v>41243</v>
      </c>
      <c r="H26" s="94"/>
      <c r="I26" s="94"/>
      <c r="J26" s="94"/>
      <c r="K26" s="94"/>
      <c r="L26" s="94"/>
      <c r="M26" s="94"/>
      <c r="N26" s="94"/>
      <c r="O26" s="94"/>
      <c r="P26" s="94"/>
      <c r="Q26" s="94"/>
    </row>
    <row r="27" spans="1:17">
      <c r="A27" s="49">
        <v>1932</v>
      </c>
      <c r="B27" s="48">
        <v>713.5</v>
      </c>
      <c r="C27" s="48">
        <v>125</v>
      </c>
      <c r="D27" s="48">
        <v>30</v>
      </c>
      <c r="E27" s="48">
        <v>49</v>
      </c>
      <c r="F27" s="50">
        <v>41070</v>
      </c>
      <c r="H27" s="29"/>
      <c r="I27" s="29"/>
      <c r="J27" s="29"/>
      <c r="K27" s="29"/>
      <c r="L27" s="29"/>
      <c r="M27" s="29"/>
      <c r="N27" s="29"/>
      <c r="O27" s="29"/>
      <c r="P27" s="29"/>
      <c r="Q27" s="29"/>
    </row>
    <row r="28" spans="1:17">
      <c r="A28" s="49">
        <v>1933</v>
      </c>
      <c r="B28" s="48">
        <v>935.29999999999905</v>
      </c>
      <c r="C28" s="48">
        <v>158</v>
      </c>
      <c r="D28" s="48">
        <v>14</v>
      </c>
      <c r="E28" s="48">
        <v>48</v>
      </c>
      <c r="F28" s="50">
        <v>41257</v>
      </c>
      <c r="H28" s="29"/>
      <c r="I28" s="29"/>
      <c r="J28" s="29"/>
      <c r="K28" s="29"/>
      <c r="L28" s="29"/>
      <c r="M28" s="29"/>
      <c r="N28" s="29"/>
      <c r="O28" s="29"/>
      <c r="P28" s="29"/>
      <c r="Q28" s="29"/>
    </row>
    <row r="29" spans="1:17">
      <c r="A29" s="49">
        <v>1934</v>
      </c>
      <c r="B29" s="48">
        <v>509.69999999984782</v>
      </c>
      <c r="C29" s="48">
        <v>101</v>
      </c>
      <c r="D29" s="48">
        <v>9</v>
      </c>
      <c r="E29" s="48">
        <v>66</v>
      </c>
      <c r="F29" s="50">
        <v>40939</v>
      </c>
      <c r="H29" s="29"/>
      <c r="I29" s="29"/>
      <c r="J29" s="29"/>
      <c r="K29" s="29"/>
      <c r="L29" s="29"/>
      <c r="M29" s="29"/>
      <c r="N29" s="29"/>
      <c r="O29" s="29"/>
      <c r="P29" s="29"/>
      <c r="Q29" s="29"/>
    </row>
    <row r="30" spans="1:17">
      <c r="A30" s="49">
        <v>1935</v>
      </c>
      <c r="B30" s="48">
        <v>870.43999999955679</v>
      </c>
      <c r="C30" s="48">
        <v>137</v>
      </c>
      <c r="D30" s="48">
        <v>7</v>
      </c>
      <c r="E30" s="48">
        <v>45.599999999976703</v>
      </c>
      <c r="F30" s="50">
        <v>40949</v>
      </c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spans="1:17" ht="15" customHeight="1">
      <c r="A31" s="49">
        <v>1936</v>
      </c>
      <c r="B31" s="48">
        <v>757.69999999968968</v>
      </c>
      <c r="C31" s="48">
        <v>136</v>
      </c>
      <c r="D31" s="48">
        <v>17</v>
      </c>
      <c r="E31" s="48">
        <v>57.5</v>
      </c>
      <c r="F31" s="50">
        <v>40947</v>
      </c>
      <c r="H31" s="29"/>
      <c r="I31" s="29"/>
      <c r="J31" s="29"/>
      <c r="K31" s="29"/>
      <c r="L31" s="29"/>
      <c r="M31" s="29"/>
      <c r="N31" s="29"/>
      <c r="O31" s="29"/>
      <c r="P31" s="29"/>
      <c r="Q31" s="29"/>
    </row>
    <row r="32" spans="1:17">
      <c r="A32" s="49">
        <v>1937</v>
      </c>
      <c r="B32" s="48">
        <v>908.59999999960451</v>
      </c>
      <c r="C32" s="48">
        <v>131</v>
      </c>
      <c r="D32" s="48">
        <v>16</v>
      </c>
      <c r="E32" s="48">
        <v>53</v>
      </c>
      <c r="F32" s="50">
        <v>41197</v>
      </c>
      <c r="H32" s="29"/>
      <c r="I32" s="29"/>
      <c r="J32" s="29"/>
      <c r="K32" s="29"/>
      <c r="L32" s="29"/>
      <c r="M32" s="29"/>
      <c r="N32" s="29"/>
      <c r="O32" s="29"/>
      <c r="P32" s="29"/>
      <c r="Q32" s="29"/>
    </row>
    <row r="33" spans="1:17">
      <c r="A33" s="49">
        <v>1938</v>
      </c>
      <c r="B33" s="48">
        <v>884.39999999952852</v>
      </c>
      <c r="C33" s="48">
        <v>132</v>
      </c>
      <c r="D33" s="48">
        <v>14</v>
      </c>
      <c r="E33" s="48">
        <v>79.899999999906896</v>
      </c>
      <c r="F33" s="50">
        <v>41167</v>
      </c>
      <c r="H33" s="29"/>
      <c r="I33" s="29"/>
      <c r="J33" s="29"/>
      <c r="K33" s="29"/>
      <c r="L33" s="29"/>
      <c r="M33" s="29"/>
      <c r="N33" s="29"/>
      <c r="O33" s="29"/>
      <c r="P33" s="29"/>
      <c r="Q33" s="29"/>
    </row>
    <row r="34" spans="1:17">
      <c r="A34" s="49">
        <v>1939</v>
      </c>
      <c r="B34" s="48">
        <v>1017.5999999996034</v>
      </c>
      <c r="C34" s="48">
        <v>166</v>
      </c>
      <c r="D34" s="48">
        <v>22</v>
      </c>
      <c r="E34" s="48">
        <v>56.5</v>
      </c>
      <c r="F34" s="50">
        <v>41270</v>
      </c>
      <c r="H34" s="29"/>
      <c r="I34" s="29"/>
      <c r="J34" s="29"/>
      <c r="K34" s="29"/>
      <c r="L34" s="29"/>
      <c r="M34" s="29"/>
      <c r="N34" s="29"/>
      <c r="O34" s="29"/>
      <c r="P34" s="29"/>
      <c r="Q34" s="29"/>
    </row>
    <row r="35" spans="1:17">
      <c r="A35" s="49">
        <v>1940</v>
      </c>
      <c r="B35" s="48">
        <v>1080.999999999465</v>
      </c>
      <c r="C35" s="48">
        <v>152</v>
      </c>
      <c r="D35" s="48">
        <v>26</v>
      </c>
      <c r="E35" s="48">
        <v>44.299999999988401</v>
      </c>
      <c r="F35" s="50">
        <v>41255</v>
      </c>
      <c r="H35" s="29"/>
      <c r="I35" s="29"/>
      <c r="J35" s="29"/>
      <c r="K35" s="29"/>
      <c r="L35" s="29"/>
      <c r="M35" s="29"/>
      <c r="N35" s="29"/>
      <c r="O35" s="29"/>
      <c r="P35" s="29"/>
      <c r="Q35" s="29"/>
    </row>
    <row r="36" spans="1:17">
      <c r="A36" s="49">
        <v>1941</v>
      </c>
      <c r="B36" s="48">
        <v>735.19999999966092</v>
      </c>
      <c r="C36" s="48">
        <v>146</v>
      </c>
      <c r="D36" s="48">
        <v>31</v>
      </c>
      <c r="E36" s="48">
        <v>53.599999999976703</v>
      </c>
      <c r="F36" s="50">
        <v>41195</v>
      </c>
      <c r="H36" s="29"/>
      <c r="I36" s="29"/>
      <c r="J36" s="29"/>
      <c r="K36" s="29"/>
      <c r="L36" s="29"/>
      <c r="M36" s="29"/>
      <c r="N36" s="29"/>
      <c r="O36" s="29"/>
      <c r="P36" s="29"/>
      <c r="Q36" s="29"/>
    </row>
    <row r="37" spans="1:17">
      <c r="A37" s="49">
        <v>1942</v>
      </c>
      <c r="B37" s="48">
        <v>899.99999999953639</v>
      </c>
      <c r="C37" s="48">
        <v>149</v>
      </c>
      <c r="D37" s="48">
        <v>19</v>
      </c>
      <c r="E37" s="48">
        <v>131.29999999981399</v>
      </c>
      <c r="F37" s="50">
        <v>41185</v>
      </c>
    </row>
    <row r="38" spans="1:17" ht="15" customHeight="1">
      <c r="A38" s="49">
        <v>1943</v>
      </c>
      <c r="B38" s="48">
        <v>919.89999999962788</v>
      </c>
      <c r="C38" s="48">
        <v>143</v>
      </c>
      <c r="D38" s="48">
        <v>13</v>
      </c>
      <c r="E38" s="48">
        <v>76.399999999906896</v>
      </c>
      <c r="F38" s="50">
        <v>41160</v>
      </c>
    </row>
    <row r="39" spans="1:17">
      <c r="A39" s="49">
        <v>1944</v>
      </c>
      <c r="B39" s="48">
        <v>907.19999999951142</v>
      </c>
      <c r="C39" s="48">
        <v>148</v>
      </c>
      <c r="D39" s="48">
        <v>15</v>
      </c>
      <c r="E39" s="48">
        <v>60.799999999988401</v>
      </c>
      <c r="F39" s="50">
        <v>41146</v>
      </c>
    </row>
    <row r="40" spans="1:17">
      <c r="A40" s="49">
        <v>1945</v>
      </c>
      <c r="B40" s="48">
        <v>687.33999999978778</v>
      </c>
      <c r="C40" s="48">
        <v>133</v>
      </c>
      <c r="D40" s="48">
        <v>18</v>
      </c>
      <c r="E40" s="48">
        <v>42.5</v>
      </c>
      <c r="F40" s="50">
        <v>40937</v>
      </c>
      <c r="H40" s="94"/>
      <c r="I40" s="94"/>
      <c r="J40" s="94"/>
      <c r="K40" s="94"/>
      <c r="L40" s="94"/>
      <c r="M40" s="94"/>
      <c r="N40" s="94"/>
      <c r="O40" s="94"/>
      <c r="P40" s="94"/>
      <c r="Q40" s="94"/>
    </row>
    <row r="41" spans="1:17">
      <c r="A41" s="49">
        <v>1946</v>
      </c>
      <c r="B41" s="48">
        <v>672.49999999971237</v>
      </c>
      <c r="C41" s="48">
        <v>134</v>
      </c>
      <c r="D41" s="48">
        <v>21</v>
      </c>
      <c r="E41" s="48">
        <v>44.199999999953398</v>
      </c>
      <c r="F41" s="50">
        <v>41148</v>
      </c>
      <c r="H41" s="94"/>
      <c r="I41" s="94"/>
      <c r="J41" s="94"/>
      <c r="K41" s="94"/>
      <c r="L41" s="94"/>
      <c r="M41" s="94"/>
      <c r="N41" s="94"/>
      <c r="O41" s="94"/>
      <c r="P41" s="94"/>
      <c r="Q41" s="94"/>
    </row>
    <row r="42" spans="1:17">
      <c r="A42" s="49">
        <v>1947</v>
      </c>
      <c r="B42" s="48">
        <v>704.39999999978977</v>
      </c>
      <c r="C42" s="48">
        <v>126</v>
      </c>
      <c r="D42" s="48">
        <v>5</v>
      </c>
      <c r="E42" s="48">
        <v>51</v>
      </c>
      <c r="F42" s="50">
        <v>40944</v>
      </c>
      <c r="H42" s="94"/>
      <c r="I42" s="94"/>
      <c r="J42" s="94"/>
      <c r="K42" s="94"/>
      <c r="L42" s="94"/>
      <c r="M42" s="94"/>
      <c r="N42" s="94"/>
      <c r="O42" s="94"/>
      <c r="P42" s="94"/>
      <c r="Q42" s="94"/>
    </row>
    <row r="43" spans="1:17">
      <c r="A43" s="49">
        <v>1948</v>
      </c>
      <c r="B43" s="48">
        <v>1058.3299999997771</v>
      </c>
      <c r="C43" s="48">
        <v>132</v>
      </c>
      <c r="D43" s="48">
        <v>44</v>
      </c>
      <c r="E43" s="48">
        <v>49.2</v>
      </c>
      <c r="F43" s="50">
        <v>40963</v>
      </c>
      <c r="H43" s="94"/>
      <c r="I43" s="94"/>
      <c r="J43" s="94"/>
      <c r="K43" s="94"/>
      <c r="L43" s="94"/>
      <c r="M43" s="94"/>
      <c r="N43" s="94"/>
      <c r="O43" s="94"/>
      <c r="P43" s="94"/>
      <c r="Q43" s="94"/>
    </row>
    <row r="44" spans="1:17">
      <c r="A44" s="49">
        <v>1949</v>
      </c>
      <c r="B44" s="48">
        <v>880.33999999966784</v>
      </c>
      <c r="C44" s="48">
        <v>137</v>
      </c>
      <c r="D44" s="48">
        <v>35</v>
      </c>
      <c r="E44" s="48">
        <v>80.099999999976703</v>
      </c>
      <c r="F44" s="50">
        <v>41159</v>
      </c>
      <c r="H44" s="94"/>
      <c r="I44" s="94"/>
      <c r="J44" s="94"/>
      <c r="K44" s="94"/>
      <c r="L44" s="94"/>
      <c r="M44" s="94"/>
      <c r="N44" s="94"/>
      <c r="O44" s="94"/>
      <c r="P44" s="94"/>
      <c r="Q44" s="94"/>
    </row>
    <row r="45" spans="1:17" ht="15" customHeight="1">
      <c r="A45" s="49">
        <v>1950</v>
      </c>
      <c r="B45" s="48">
        <v>897.29999999952724</v>
      </c>
      <c r="C45" s="48">
        <v>119</v>
      </c>
      <c r="D45" s="48">
        <v>8</v>
      </c>
      <c r="E45" s="48">
        <v>43.599999999976703</v>
      </c>
      <c r="F45" s="50">
        <v>40973</v>
      </c>
      <c r="H45" s="94"/>
      <c r="I45" s="94"/>
      <c r="J45" s="94"/>
      <c r="K45" s="94"/>
      <c r="L45" s="94"/>
      <c r="M45" s="94"/>
      <c r="N45" s="94"/>
      <c r="O45" s="94"/>
      <c r="P45" s="94"/>
      <c r="Q45" s="94"/>
    </row>
    <row r="46" spans="1:17">
      <c r="A46" s="49">
        <v>1951</v>
      </c>
      <c r="B46" s="48">
        <v>906.79999999958432</v>
      </c>
      <c r="C46" s="48">
        <v>128</v>
      </c>
      <c r="D46" s="48">
        <v>9</v>
      </c>
      <c r="E46" s="48">
        <v>165.79999999981399</v>
      </c>
      <c r="F46" s="50">
        <v>41110</v>
      </c>
      <c r="H46" s="94"/>
      <c r="I46" s="94"/>
      <c r="J46" s="94"/>
      <c r="K46" s="94"/>
      <c r="L46" s="94"/>
      <c r="M46" s="94"/>
      <c r="N46" s="94"/>
      <c r="O46" s="94"/>
      <c r="P46" s="94"/>
      <c r="Q46" s="94"/>
    </row>
    <row r="47" spans="1:17">
      <c r="A47" s="49">
        <v>1952</v>
      </c>
      <c r="B47" s="48">
        <v>758.99999999972147</v>
      </c>
      <c r="C47" s="48">
        <v>109</v>
      </c>
      <c r="D47" s="48">
        <v>6</v>
      </c>
      <c r="E47" s="48">
        <v>39.399999999965097</v>
      </c>
      <c r="F47" s="50">
        <v>40913</v>
      </c>
      <c r="H47" s="94"/>
      <c r="I47" s="94"/>
      <c r="J47" s="94"/>
      <c r="K47" s="94"/>
      <c r="L47" s="94"/>
      <c r="M47" s="94"/>
      <c r="N47" s="94"/>
      <c r="O47" s="94"/>
      <c r="P47" s="94"/>
      <c r="Q47" s="94"/>
    </row>
    <row r="48" spans="1:17">
      <c r="A48" s="49">
        <v>1953</v>
      </c>
      <c r="B48" s="48">
        <v>919.49999999962938</v>
      </c>
      <c r="C48" s="48">
        <v>152</v>
      </c>
      <c r="D48" s="48">
        <v>45</v>
      </c>
      <c r="E48" s="48">
        <v>70.299999999930193</v>
      </c>
      <c r="F48" s="50">
        <v>41189</v>
      </c>
      <c r="H48" s="94"/>
      <c r="I48" s="94"/>
      <c r="J48" s="94"/>
      <c r="K48" s="94"/>
      <c r="L48" s="94"/>
      <c r="M48" s="94"/>
      <c r="N48" s="94"/>
      <c r="O48" s="94"/>
      <c r="P48" s="94"/>
      <c r="Q48" s="94"/>
    </row>
    <row r="49" spans="1:17">
      <c r="A49" s="49">
        <v>1954</v>
      </c>
      <c r="B49" s="48">
        <v>672.6999999997447</v>
      </c>
      <c r="C49" s="48">
        <v>148</v>
      </c>
      <c r="D49" s="48">
        <v>15</v>
      </c>
      <c r="E49" s="48">
        <v>39</v>
      </c>
      <c r="F49" s="50">
        <v>41177</v>
      </c>
      <c r="H49" s="94"/>
      <c r="I49" s="94"/>
      <c r="J49" s="94"/>
      <c r="K49" s="94"/>
      <c r="L49" s="94"/>
      <c r="M49" s="94"/>
      <c r="N49" s="94"/>
      <c r="O49" s="94"/>
      <c r="P49" s="94"/>
      <c r="Q49" s="94"/>
    </row>
    <row r="50" spans="1:17">
      <c r="A50" s="49">
        <v>1955</v>
      </c>
      <c r="B50" s="48">
        <v>1001.3999999995606</v>
      </c>
      <c r="C50" s="48">
        <v>140</v>
      </c>
      <c r="D50" s="48">
        <v>7</v>
      </c>
      <c r="E50" s="48">
        <v>94.2</v>
      </c>
      <c r="F50" s="50">
        <v>41229</v>
      </c>
      <c r="H50" s="94"/>
      <c r="I50" s="94"/>
      <c r="J50" s="94"/>
      <c r="K50" s="94"/>
      <c r="L50" s="94"/>
      <c r="M50" s="94"/>
      <c r="N50" s="94"/>
      <c r="O50" s="94"/>
      <c r="P50" s="94"/>
      <c r="Q50" s="94"/>
    </row>
    <row r="51" spans="1:17">
      <c r="A51" s="49">
        <v>1956</v>
      </c>
      <c r="B51" s="48">
        <v>719.89999999979409</v>
      </c>
      <c r="C51" s="48">
        <v>126</v>
      </c>
      <c r="D51" s="48">
        <v>31</v>
      </c>
      <c r="E51" s="48">
        <v>35.5</v>
      </c>
      <c r="F51" s="50">
        <v>40940</v>
      </c>
      <c r="H51" s="94"/>
      <c r="I51" s="94"/>
      <c r="J51" s="94"/>
      <c r="K51" s="94"/>
      <c r="L51" s="94"/>
      <c r="M51" s="94"/>
      <c r="N51" s="94"/>
      <c r="O51" s="94"/>
      <c r="P51" s="94"/>
      <c r="Q51" s="94"/>
    </row>
    <row r="52" spans="1:17" ht="15" customHeight="1">
      <c r="A52" s="49">
        <v>1957</v>
      </c>
      <c r="B52" s="48">
        <v>656.31999999979791</v>
      </c>
      <c r="C52" s="48">
        <v>128</v>
      </c>
      <c r="D52" s="48">
        <v>20</v>
      </c>
      <c r="E52" s="48">
        <v>51.8</v>
      </c>
      <c r="F52" s="50">
        <v>41244</v>
      </c>
      <c r="H52" s="94"/>
      <c r="I52" s="94"/>
      <c r="J52" s="94"/>
      <c r="K52" s="94"/>
      <c r="L52" s="94"/>
      <c r="M52" s="94"/>
      <c r="N52" s="94"/>
      <c r="O52" s="94"/>
      <c r="P52" s="94"/>
      <c r="Q52" s="94"/>
    </row>
    <row r="53" spans="1:17">
      <c r="A53" s="49">
        <v>1958</v>
      </c>
      <c r="B53" s="48">
        <v>946.19999999959862</v>
      </c>
      <c r="C53" s="48">
        <v>136</v>
      </c>
      <c r="D53" s="48">
        <v>16</v>
      </c>
      <c r="E53" s="48">
        <v>53</v>
      </c>
      <c r="F53" s="50">
        <v>40986</v>
      </c>
      <c r="H53" s="94"/>
      <c r="I53" s="94"/>
      <c r="J53" s="94"/>
      <c r="K53" s="94"/>
      <c r="L53" s="94"/>
      <c r="M53" s="94"/>
      <c r="N53" s="94"/>
      <c r="O53" s="94"/>
      <c r="P53" s="94"/>
      <c r="Q53" s="94"/>
    </row>
    <row r="54" spans="1:17">
      <c r="A54" s="49">
        <v>1959</v>
      </c>
      <c r="B54" s="48">
        <v>820.49999999966735</v>
      </c>
      <c r="C54" s="48">
        <v>141</v>
      </c>
      <c r="D54" s="48">
        <v>15</v>
      </c>
      <c r="E54" s="48">
        <v>31.299999999988401</v>
      </c>
      <c r="F54" s="50">
        <v>40921</v>
      </c>
      <c r="H54" s="94"/>
      <c r="I54" s="94"/>
      <c r="J54" s="94"/>
      <c r="K54" s="94"/>
      <c r="L54" s="94"/>
      <c r="M54" s="94"/>
      <c r="N54" s="94"/>
      <c r="O54" s="94"/>
      <c r="P54" s="94"/>
      <c r="Q54" s="94"/>
    </row>
    <row r="55" spans="1:17">
      <c r="A55" s="49">
        <v>1960</v>
      </c>
      <c r="B55" s="48">
        <v>743.0999999996684</v>
      </c>
      <c r="C55" s="48">
        <v>127</v>
      </c>
      <c r="D55" s="48">
        <v>19</v>
      </c>
      <c r="E55" s="48">
        <v>36.799999999988401</v>
      </c>
      <c r="F55" s="50">
        <v>41200</v>
      </c>
      <c r="H55" s="94"/>
      <c r="I55" s="94"/>
      <c r="J55" s="94"/>
      <c r="K55" s="94"/>
      <c r="L55" s="94"/>
      <c r="M55" s="94"/>
      <c r="N55" s="94"/>
      <c r="O55" s="94"/>
      <c r="P55" s="94"/>
      <c r="Q55" s="94"/>
    </row>
    <row r="56" spans="1:17">
      <c r="A56" s="49">
        <v>1961</v>
      </c>
      <c r="B56" s="48">
        <v>1177.4999999994711</v>
      </c>
      <c r="C56" s="48">
        <v>140</v>
      </c>
      <c r="D56" s="48">
        <v>12</v>
      </c>
      <c r="E56" s="48">
        <v>123</v>
      </c>
      <c r="F56" s="50">
        <v>41162</v>
      </c>
      <c r="H56" s="94"/>
      <c r="I56" s="94"/>
      <c r="J56" s="94"/>
      <c r="K56" s="94"/>
      <c r="L56" s="94"/>
      <c r="M56" s="94"/>
      <c r="N56" s="94"/>
      <c r="O56" s="94"/>
      <c r="P56" s="94"/>
      <c r="Q56" s="94"/>
    </row>
    <row r="57" spans="1:17">
      <c r="A57" s="49">
        <v>1962</v>
      </c>
      <c r="B57" s="48">
        <v>1113.9999999994757</v>
      </c>
      <c r="C57" s="48">
        <v>147</v>
      </c>
      <c r="D57" s="48">
        <v>21</v>
      </c>
      <c r="E57" s="48">
        <v>45.799999999988401</v>
      </c>
      <c r="F57" s="50">
        <v>41180</v>
      </c>
      <c r="H57" s="94"/>
      <c r="I57" s="94"/>
      <c r="J57" s="94"/>
      <c r="K57" s="94"/>
      <c r="L57" s="94"/>
      <c r="M57" s="94"/>
      <c r="N57" s="94"/>
      <c r="O57" s="94"/>
      <c r="P57" s="94"/>
      <c r="Q57" s="94"/>
    </row>
    <row r="58" spans="1:17">
      <c r="A58" s="49">
        <v>1963</v>
      </c>
      <c r="B58" s="48">
        <v>1001.4999999994639</v>
      </c>
      <c r="C58" s="48">
        <v>141</v>
      </c>
      <c r="D58" s="48">
        <v>21</v>
      </c>
      <c r="E58" s="48">
        <v>59.299999999988401</v>
      </c>
      <c r="F58" s="50">
        <v>41249</v>
      </c>
      <c r="H58" s="94"/>
      <c r="I58" s="94"/>
      <c r="J58" s="94"/>
      <c r="K58" s="94"/>
      <c r="L58" s="94"/>
      <c r="M58" s="94"/>
      <c r="N58" s="94"/>
      <c r="O58" s="94"/>
      <c r="P58" s="94"/>
      <c r="Q58" s="94"/>
    </row>
    <row r="59" spans="1:17" ht="15" customHeight="1">
      <c r="A59" s="49">
        <v>1964</v>
      </c>
      <c r="B59" s="48">
        <v>920.10000000001924</v>
      </c>
      <c r="C59" s="48">
        <v>136</v>
      </c>
      <c r="D59" s="48">
        <v>21</v>
      </c>
      <c r="E59" s="48">
        <v>50.799999999988401</v>
      </c>
      <c r="F59" s="50">
        <v>41174</v>
      </c>
      <c r="H59" s="94"/>
      <c r="I59" s="94"/>
      <c r="J59" s="94"/>
      <c r="K59" s="94"/>
      <c r="L59" s="94"/>
      <c r="M59" s="94"/>
      <c r="N59" s="94"/>
      <c r="O59" s="94"/>
      <c r="P59" s="94"/>
      <c r="Q59" s="94"/>
    </row>
    <row r="60" spans="1:17">
      <c r="A60" s="49">
        <v>1965</v>
      </c>
      <c r="B60" s="48">
        <v>1056.0999999999192</v>
      </c>
      <c r="C60" s="48">
        <v>144</v>
      </c>
      <c r="D60" s="48">
        <v>23</v>
      </c>
      <c r="E60" s="48">
        <v>61</v>
      </c>
      <c r="F60" s="50">
        <v>41232</v>
      </c>
      <c r="H60" s="94"/>
      <c r="I60" s="94"/>
      <c r="J60" s="94"/>
      <c r="K60" s="94"/>
      <c r="L60" s="94"/>
      <c r="M60" s="94"/>
      <c r="N60" s="94"/>
      <c r="O60" s="94"/>
      <c r="P60" s="94"/>
      <c r="Q60" s="94"/>
    </row>
    <row r="61" spans="1:17">
      <c r="A61" s="49">
        <v>1966</v>
      </c>
      <c r="B61" s="48">
        <v>904.3999999998947</v>
      </c>
      <c r="C61" s="48">
        <v>123</v>
      </c>
      <c r="D61" s="48">
        <v>19</v>
      </c>
      <c r="E61" s="48">
        <v>76.399999999906896</v>
      </c>
      <c r="F61" s="50">
        <v>41160</v>
      </c>
      <c r="H61" s="94"/>
      <c r="I61" s="94"/>
      <c r="J61" s="94"/>
      <c r="K61" s="94"/>
      <c r="L61" s="94"/>
      <c r="M61" s="94"/>
      <c r="N61" s="94"/>
      <c r="O61" s="94"/>
      <c r="P61" s="94"/>
      <c r="Q61" s="94"/>
    </row>
    <row r="62" spans="1:17">
      <c r="A62" s="49">
        <v>1967</v>
      </c>
      <c r="B62" s="48">
        <v>692.90000000000668</v>
      </c>
      <c r="C62" s="48">
        <v>137</v>
      </c>
      <c r="D62" s="48">
        <v>27</v>
      </c>
      <c r="E62" s="48">
        <v>27.200000000011599</v>
      </c>
      <c r="F62" s="50">
        <v>40921</v>
      </c>
      <c r="H62" s="94"/>
      <c r="I62" s="94"/>
      <c r="J62" s="94"/>
      <c r="K62" s="94"/>
      <c r="L62" s="94"/>
      <c r="M62" s="94"/>
      <c r="N62" s="94"/>
      <c r="O62" s="94"/>
      <c r="P62" s="94"/>
      <c r="Q62" s="94"/>
    </row>
    <row r="63" spans="1:17">
      <c r="A63" s="49">
        <v>1968</v>
      </c>
      <c r="B63" s="48">
        <v>1058.9000000000485</v>
      </c>
      <c r="C63" s="48">
        <v>168</v>
      </c>
      <c r="D63" s="48">
        <v>23</v>
      </c>
      <c r="E63" s="48">
        <v>36.799999999988401</v>
      </c>
      <c r="F63" s="50">
        <v>41252</v>
      </c>
      <c r="H63" s="94"/>
      <c r="I63" s="94"/>
      <c r="J63" s="94"/>
      <c r="K63" s="94"/>
      <c r="L63" s="94"/>
      <c r="M63" s="94"/>
      <c r="N63" s="94"/>
      <c r="O63" s="94"/>
      <c r="P63" s="94"/>
      <c r="Q63" s="94"/>
    </row>
    <row r="64" spans="1:17">
      <c r="A64" s="49">
        <v>1969</v>
      </c>
      <c r="B64" s="48">
        <v>843.39999999995575</v>
      </c>
      <c r="C64" s="48">
        <v>195</v>
      </c>
      <c r="D64" s="48">
        <v>14</v>
      </c>
      <c r="E64" s="48">
        <v>31</v>
      </c>
      <c r="F64" s="50">
        <v>40950</v>
      </c>
      <c r="H64" s="29"/>
      <c r="I64" s="29"/>
      <c r="J64" s="29"/>
      <c r="K64" s="29"/>
      <c r="L64" s="29"/>
      <c r="M64" s="29"/>
      <c r="N64" s="29"/>
      <c r="O64" s="29"/>
      <c r="P64" s="29"/>
      <c r="Q64" s="29"/>
    </row>
    <row r="65" spans="1:17">
      <c r="A65" s="49">
        <v>1970</v>
      </c>
      <c r="B65" s="48">
        <v>962.99999999998181</v>
      </c>
      <c r="C65" s="48">
        <v>216</v>
      </c>
      <c r="D65" s="48">
        <v>8</v>
      </c>
      <c r="E65" s="48">
        <v>55</v>
      </c>
      <c r="F65" s="50">
        <v>41173</v>
      </c>
      <c r="H65" s="29"/>
      <c r="I65" s="29"/>
      <c r="J65" s="29"/>
      <c r="K65" s="29"/>
      <c r="L65" s="29"/>
      <c r="M65" s="29"/>
      <c r="N65" s="29"/>
      <c r="O65" s="29"/>
      <c r="P65" s="29"/>
      <c r="Q65" s="29"/>
    </row>
    <row r="66" spans="1:17" ht="15" customHeight="1">
      <c r="A66" s="49">
        <v>1971</v>
      </c>
      <c r="B66" s="48">
        <v>974.62999999998124</v>
      </c>
      <c r="C66" s="48">
        <v>240</v>
      </c>
      <c r="D66" s="48">
        <v>22</v>
      </c>
      <c r="E66" s="48">
        <v>64</v>
      </c>
      <c r="F66" s="50">
        <v>41211</v>
      </c>
      <c r="H66" s="29"/>
      <c r="I66" s="29"/>
      <c r="J66" s="29"/>
      <c r="K66" s="29"/>
      <c r="L66" s="29"/>
      <c r="M66" s="29"/>
      <c r="N66" s="29"/>
      <c r="O66" s="29"/>
      <c r="P66" s="29"/>
      <c r="Q66" s="29"/>
    </row>
    <row r="67" spans="1:17">
      <c r="A67" s="49">
        <v>1972</v>
      </c>
      <c r="B67" s="48">
        <v>749.49999999984277</v>
      </c>
      <c r="C67" s="48">
        <v>180</v>
      </c>
      <c r="D67" s="48">
        <v>24</v>
      </c>
      <c r="E67" s="48">
        <v>66.399999999906896</v>
      </c>
      <c r="F67" s="50">
        <v>41158</v>
      </c>
      <c r="H67" s="29"/>
      <c r="I67" s="29"/>
      <c r="J67" s="29"/>
      <c r="K67" s="29"/>
      <c r="L67" s="29"/>
      <c r="M67" s="29"/>
      <c r="N67" s="29"/>
      <c r="O67" s="29"/>
      <c r="P67" s="29"/>
      <c r="Q67" s="29"/>
    </row>
    <row r="68" spans="1:17">
      <c r="A68" s="49">
        <v>1973</v>
      </c>
      <c r="B68" s="48">
        <v>790.4000000000018</v>
      </c>
      <c r="C68" s="48">
        <v>205</v>
      </c>
      <c r="D68" s="48">
        <v>31</v>
      </c>
      <c r="E68" s="48">
        <v>35.5</v>
      </c>
      <c r="F68" s="50">
        <v>41188</v>
      </c>
      <c r="H68" s="29"/>
      <c r="I68" s="29"/>
      <c r="J68" s="29"/>
      <c r="K68" s="29"/>
      <c r="L68" s="29"/>
      <c r="M68" s="29"/>
      <c r="N68" s="29"/>
      <c r="O68" s="29"/>
      <c r="P68" s="29"/>
      <c r="Q68" s="29"/>
    </row>
    <row r="69" spans="1:17">
      <c r="A69" s="49">
        <v>1974</v>
      </c>
      <c r="B69" s="48">
        <v>888.49999999999659</v>
      </c>
      <c r="C69" s="48">
        <v>211</v>
      </c>
      <c r="D69" s="48">
        <v>4</v>
      </c>
      <c r="E69" s="48">
        <v>84</v>
      </c>
      <c r="F69" s="50">
        <v>41040</v>
      </c>
      <c r="H69" s="29"/>
      <c r="I69" s="29"/>
      <c r="J69" s="29"/>
      <c r="K69" s="29"/>
      <c r="L69" s="29"/>
      <c r="M69" s="29"/>
      <c r="N69" s="29"/>
      <c r="O69" s="29"/>
      <c r="P69" s="29"/>
      <c r="Q69" s="29"/>
    </row>
    <row r="70" spans="1:17">
      <c r="A70" s="49">
        <v>1975</v>
      </c>
      <c r="B70" s="48">
        <v>904.89999999999714</v>
      </c>
      <c r="C70" s="48">
        <v>182</v>
      </c>
      <c r="D70" s="48">
        <v>15</v>
      </c>
      <c r="E70" s="48">
        <v>39</v>
      </c>
      <c r="F70" s="50">
        <v>40916</v>
      </c>
      <c r="H70" s="29"/>
      <c r="I70" s="29"/>
      <c r="J70" s="29"/>
      <c r="K70" s="29"/>
      <c r="L70" s="29"/>
      <c r="M70" s="29"/>
      <c r="N70" s="29"/>
      <c r="O70" s="29"/>
      <c r="P70" s="29"/>
      <c r="Q70" s="29"/>
    </row>
    <row r="71" spans="1:17">
      <c r="A71" s="49">
        <v>1976</v>
      </c>
      <c r="B71" s="48">
        <v>786.50000000000455</v>
      </c>
      <c r="C71" s="48">
        <v>159</v>
      </c>
      <c r="D71" s="48">
        <v>22</v>
      </c>
      <c r="E71" s="48">
        <v>39.400000000023297</v>
      </c>
      <c r="F71" s="50">
        <v>41254</v>
      </c>
      <c r="H71" s="29"/>
      <c r="I71" s="29"/>
      <c r="J71" s="29"/>
      <c r="K71" s="29"/>
      <c r="L71" s="29"/>
      <c r="M71" s="29"/>
      <c r="N71" s="29"/>
      <c r="O71" s="29"/>
      <c r="P71" s="29"/>
      <c r="Q71" s="29"/>
    </row>
    <row r="72" spans="1:17">
      <c r="A72" s="49">
        <v>1977</v>
      </c>
      <c r="B72" s="48">
        <v>642.80000000000632</v>
      </c>
      <c r="C72" s="48">
        <v>167</v>
      </c>
      <c r="D72" s="48">
        <v>17</v>
      </c>
      <c r="E72" s="48">
        <v>71.5</v>
      </c>
      <c r="F72" s="50">
        <v>41093</v>
      </c>
      <c r="H72" s="29"/>
      <c r="I72" s="29"/>
      <c r="J72" s="29"/>
      <c r="K72" s="29"/>
      <c r="L72" s="29"/>
      <c r="M72" s="29"/>
      <c r="N72" s="29"/>
      <c r="O72" s="29"/>
      <c r="P72" s="29"/>
      <c r="Q72" s="29"/>
    </row>
    <row r="73" spans="1:17" ht="15" customHeight="1">
      <c r="A73" s="49">
        <v>1978</v>
      </c>
      <c r="B73" s="48">
        <v>1010.3000000000434</v>
      </c>
      <c r="C73" s="48">
        <v>187</v>
      </c>
      <c r="D73" s="48">
        <v>11</v>
      </c>
      <c r="E73" s="48">
        <v>91</v>
      </c>
      <c r="F73" s="50">
        <v>41211</v>
      </c>
      <c r="H73" s="29"/>
      <c r="I73" s="29"/>
      <c r="J73" s="29"/>
      <c r="K73" s="29"/>
      <c r="L73" s="29"/>
      <c r="M73" s="29"/>
      <c r="N73" s="29"/>
      <c r="O73" s="29"/>
      <c r="P73" s="29"/>
      <c r="Q73" s="29"/>
    </row>
    <row r="74" spans="1:17">
      <c r="A74" s="49">
        <v>1979</v>
      </c>
      <c r="B74" s="48">
        <v>828.40000000001373</v>
      </c>
      <c r="C74" s="48">
        <v>175</v>
      </c>
      <c r="D74" s="48">
        <v>20</v>
      </c>
      <c r="E74" s="48">
        <v>47</v>
      </c>
      <c r="F74" s="50">
        <v>41214</v>
      </c>
      <c r="H74" s="29"/>
      <c r="I74" s="29"/>
      <c r="J74" s="29"/>
      <c r="K74" s="29"/>
      <c r="L74" s="29"/>
      <c r="M74" s="29"/>
      <c r="N74" s="29"/>
      <c r="O74" s="29"/>
      <c r="P74" s="29"/>
      <c r="Q74" s="29"/>
    </row>
    <row r="75" spans="1:17">
      <c r="A75" s="49">
        <v>1980</v>
      </c>
      <c r="B75" s="48">
        <v>964.62000000006947</v>
      </c>
      <c r="C75" s="48">
        <v>176</v>
      </c>
      <c r="D75" s="48">
        <v>22</v>
      </c>
      <c r="E75" s="48">
        <v>47.520000000018598</v>
      </c>
      <c r="F75" s="50">
        <v>41223</v>
      </c>
      <c r="H75" s="29"/>
      <c r="I75" s="29"/>
      <c r="J75" s="29"/>
      <c r="K75" s="29"/>
      <c r="L75" s="29"/>
      <c r="M75" s="29"/>
      <c r="N75" s="29"/>
      <c r="O75" s="29"/>
      <c r="P75" s="29"/>
      <c r="Q75" s="29"/>
    </row>
    <row r="76" spans="1:17">
      <c r="A76" s="49">
        <v>1981</v>
      </c>
      <c r="B76" s="48">
        <v>1293.3999999998982</v>
      </c>
      <c r="C76" s="48">
        <v>185</v>
      </c>
      <c r="D76" s="48">
        <v>15</v>
      </c>
      <c r="E76" s="48">
        <v>86.900000000023297</v>
      </c>
      <c r="F76" s="50">
        <v>40955</v>
      </c>
    </row>
    <row r="77" spans="1:17">
      <c r="A77" s="49">
        <v>1982</v>
      </c>
      <c r="B77" s="48">
        <v>723.19999999993763</v>
      </c>
      <c r="C77" s="48">
        <v>168</v>
      </c>
      <c r="D77" s="48">
        <v>22</v>
      </c>
      <c r="E77" s="48">
        <v>36.6999999999964</v>
      </c>
      <c r="F77" s="50">
        <v>41258</v>
      </c>
    </row>
    <row r="78" spans="1:17">
      <c r="A78" s="49">
        <v>1983</v>
      </c>
      <c r="B78" s="48">
        <v>745.19999999993604</v>
      </c>
      <c r="C78" s="48">
        <v>180</v>
      </c>
      <c r="D78" s="48">
        <v>15</v>
      </c>
      <c r="E78" s="48">
        <v>52.1</v>
      </c>
      <c r="F78" s="50">
        <v>41173</v>
      </c>
    </row>
    <row r="79" spans="1:17">
      <c r="A79" s="49">
        <v>1984</v>
      </c>
      <c r="B79" s="48">
        <v>926.49999999975421</v>
      </c>
      <c r="C79" s="48">
        <v>172</v>
      </c>
      <c r="D79" s="48">
        <v>14</v>
      </c>
      <c r="E79" s="48">
        <v>123</v>
      </c>
      <c r="F79" s="50">
        <v>41162</v>
      </c>
      <c r="H79" s="94"/>
      <c r="I79" s="94"/>
      <c r="J79" s="94"/>
      <c r="K79" s="94"/>
      <c r="L79" s="94"/>
      <c r="M79" s="94"/>
      <c r="N79" s="94"/>
      <c r="O79" s="94"/>
      <c r="P79" s="94"/>
      <c r="Q79" s="94"/>
    </row>
    <row r="80" spans="1:17" ht="15" customHeight="1">
      <c r="A80" s="49">
        <v>1985</v>
      </c>
      <c r="B80" s="48">
        <v>939.79999999999984</v>
      </c>
      <c r="C80" s="48">
        <v>155</v>
      </c>
      <c r="D80" s="48">
        <v>19</v>
      </c>
      <c r="E80" s="48">
        <v>111.8</v>
      </c>
      <c r="F80" s="50">
        <v>41197</v>
      </c>
      <c r="H80" s="94"/>
      <c r="I80" s="94"/>
      <c r="J80" s="94"/>
      <c r="K80" s="94"/>
      <c r="L80" s="94"/>
      <c r="M80" s="94"/>
      <c r="N80" s="94"/>
      <c r="O80" s="94"/>
      <c r="P80" s="94"/>
      <c r="Q80" s="94"/>
    </row>
    <row r="81" spans="1:17">
      <c r="A81" s="49">
        <v>1986</v>
      </c>
      <c r="B81" s="48">
        <v>844.30000000000007</v>
      </c>
      <c r="C81" s="48">
        <v>149</v>
      </c>
      <c r="D81" s="48">
        <v>17</v>
      </c>
      <c r="E81" s="48">
        <v>48.6</v>
      </c>
      <c r="F81" s="50">
        <v>41071</v>
      </c>
      <c r="H81" s="94"/>
      <c r="I81" s="94"/>
      <c r="J81" s="94"/>
      <c r="K81" s="94"/>
      <c r="L81" s="94"/>
      <c r="M81" s="94"/>
      <c r="N81" s="94"/>
      <c r="O81" s="94"/>
      <c r="P81" s="94"/>
      <c r="Q81" s="94"/>
    </row>
    <row r="82" spans="1:17">
      <c r="A82" s="49">
        <v>1987</v>
      </c>
      <c r="B82" s="48">
        <v>1049.5</v>
      </c>
      <c r="C82" s="48">
        <v>160</v>
      </c>
      <c r="D82" s="48">
        <v>22</v>
      </c>
      <c r="E82" s="48">
        <v>100.5</v>
      </c>
      <c r="F82" s="50">
        <v>41096</v>
      </c>
      <c r="H82" s="94"/>
      <c r="I82" s="94"/>
      <c r="J82" s="94"/>
      <c r="K82" s="94"/>
      <c r="L82" s="94"/>
      <c r="M82" s="94"/>
      <c r="N82" s="94"/>
      <c r="O82" s="94"/>
      <c r="P82" s="94"/>
      <c r="Q82" s="94"/>
    </row>
    <row r="83" spans="1:17">
      <c r="A83" s="49">
        <v>1988</v>
      </c>
      <c r="B83" s="48">
        <v>817</v>
      </c>
      <c r="C83" s="48">
        <v>139</v>
      </c>
      <c r="D83" s="48">
        <v>16</v>
      </c>
      <c r="E83" s="48">
        <v>67</v>
      </c>
      <c r="F83" s="50">
        <v>41260</v>
      </c>
      <c r="H83" s="94"/>
      <c r="I83" s="94"/>
      <c r="J83" s="94"/>
      <c r="K83" s="94"/>
      <c r="L83" s="94"/>
      <c r="M83" s="94"/>
      <c r="N83" s="94"/>
      <c r="O83" s="94"/>
      <c r="P83" s="94"/>
      <c r="Q83" s="94"/>
    </row>
    <row r="84" spans="1:17">
      <c r="A84" s="49">
        <v>1989</v>
      </c>
      <c r="B84" s="48">
        <v>557.9</v>
      </c>
      <c r="C84" s="48">
        <v>124</v>
      </c>
      <c r="D84" s="48">
        <v>10</v>
      </c>
      <c r="E84" s="48">
        <v>51.5</v>
      </c>
      <c r="F84" s="50">
        <v>41199</v>
      </c>
      <c r="H84" s="94"/>
      <c r="I84" s="94"/>
      <c r="J84" s="94"/>
      <c r="K84" s="94"/>
      <c r="L84" s="94"/>
      <c r="M84" s="94"/>
      <c r="N84" s="94"/>
      <c r="O84" s="94"/>
      <c r="P84" s="94"/>
      <c r="Q84" s="94"/>
    </row>
    <row r="85" spans="1:17">
      <c r="A85" s="49">
        <v>1990</v>
      </c>
      <c r="B85" s="48">
        <v>926.3</v>
      </c>
      <c r="C85" s="48">
        <v>124</v>
      </c>
      <c r="D85" s="48">
        <v>11</v>
      </c>
      <c r="E85" s="48">
        <v>77.5</v>
      </c>
      <c r="F85" s="50">
        <v>41132</v>
      </c>
      <c r="H85" s="94"/>
      <c r="I85" s="94"/>
      <c r="J85" s="94"/>
      <c r="K85" s="94"/>
      <c r="L85" s="94"/>
      <c r="M85" s="94"/>
      <c r="N85" s="94"/>
      <c r="O85" s="94"/>
      <c r="P85" s="94"/>
      <c r="Q85" s="94"/>
    </row>
    <row r="86" spans="1:17">
      <c r="A86" s="49">
        <v>1991</v>
      </c>
      <c r="B86" s="48">
        <v>878.30000000000007</v>
      </c>
      <c r="C86" s="48">
        <v>166</v>
      </c>
      <c r="D86" s="48">
        <v>20</v>
      </c>
      <c r="E86" s="48">
        <v>66</v>
      </c>
      <c r="F86" s="50">
        <v>41250</v>
      </c>
      <c r="H86" s="94"/>
      <c r="I86" s="94"/>
      <c r="J86" s="94"/>
      <c r="K86" s="94"/>
      <c r="L86" s="94"/>
      <c r="M86" s="94"/>
      <c r="N86" s="94"/>
      <c r="O86" s="94"/>
      <c r="P86" s="94"/>
      <c r="Q86" s="94"/>
    </row>
    <row r="87" spans="1:17">
      <c r="A87" s="49">
        <v>1992</v>
      </c>
      <c r="B87" s="48">
        <v>694.3</v>
      </c>
      <c r="C87" s="48">
        <v>123</v>
      </c>
      <c r="D87" s="48">
        <v>29</v>
      </c>
      <c r="E87" s="48">
        <v>41.3</v>
      </c>
      <c r="F87" s="50">
        <v>40985</v>
      </c>
      <c r="H87" s="94"/>
      <c r="I87" s="94"/>
      <c r="J87" s="94"/>
      <c r="K87" s="94"/>
      <c r="L87" s="94"/>
      <c r="M87" s="94"/>
      <c r="N87" s="94"/>
      <c r="O87" s="94"/>
      <c r="P87" s="94"/>
      <c r="Q87" s="94"/>
    </row>
    <row r="88" spans="1:17">
      <c r="A88" s="49">
        <v>1993</v>
      </c>
      <c r="B88" s="48">
        <v>680.30000000001746</v>
      </c>
      <c r="C88" s="48">
        <v>127</v>
      </c>
      <c r="D88" s="48">
        <v>10</v>
      </c>
      <c r="E88" s="48">
        <v>68.099999999999994</v>
      </c>
      <c r="F88" s="50">
        <v>41230</v>
      </c>
      <c r="H88" s="94"/>
      <c r="I88" s="94"/>
      <c r="J88" s="94"/>
      <c r="K88" s="94"/>
      <c r="L88" s="94"/>
      <c r="M88" s="94"/>
      <c r="N88" s="94"/>
      <c r="O88" s="94"/>
      <c r="P88" s="94"/>
      <c r="Q88" s="94"/>
    </row>
    <row r="89" spans="1:17">
      <c r="A89" s="49">
        <v>1994</v>
      </c>
      <c r="B89" s="48">
        <v>816.2</v>
      </c>
      <c r="C89" s="48">
        <v>138</v>
      </c>
      <c r="D89" s="48">
        <v>21</v>
      </c>
      <c r="E89" s="48">
        <v>47.9</v>
      </c>
      <c r="F89" s="50">
        <v>41193</v>
      </c>
      <c r="H89" s="94"/>
      <c r="I89" s="94"/>
      <c r="J89" s="94"/>
      <c r="K89" s="94"/>
      <c r="L89" s="94"/>
      <c r="M89" s="94"/>
      <c r="N89" s="94"/>
      <c r="O89" s="94"/>
      <c r="P89" s="94"/>
      <c r="Q89" s="94"/>
    </row>
    <row r="90" spans="1:17">
      <c r="A90" s="49">
        <v>1995</v>
      </c>
      <c r="B90" s="48">
        <v>781.60000000001162</v>
      </c>
      <c r="C90" s="48">
        <v>153</v>
      </c>
      <c r="D90" s="48">
        <v>14</v>
      </c>
      <c r="E90" s="48">
        <v>67.5</v>
      </c>
      <c r="F90" s="50">
        <v>41099</v>
      </c>
      <c r="H90" s="94"/>
      <c r="I90" s="94"/>
      <c r="J90" s="94"/>
      <c r="K90" s="94"/>
      <c r="L90" s="94"/>
      <c r="M90" s="94"/>
      <c r="N90" s="94"/>
      <c r="O90" s="94"/>
      <c r="P90" s="94"/>
      <c r="Q90" s="94"/>
    </row>
    <row r="91" spans="1:17">
      <c r="A91" s="49">
        <v>1996</v>
      </c>
      <c r="B91" s="48">
        <v>953.2</v>
      </c>
      <c r="C91" s="48">
        <v>150</v>
      </c>
      <c r="D91" s="48">
        <v>13</v>
      </c>
      <c r="E91" s="48">
        <v>41.3</v>
      </c>
      <c r="F91" s="50">
        <v>41268</v>
      </c>
      <c r="H91" s="94"/>
      <c r="I91" s="94"/>
      <c r="J91" s="94"/>
      <c r="K91" s="94"/>
      <c r="L91" s="94"/>
      <c r="M91" s="94"/>
      <c r="N91" s="94"/>
      <c r="O91" s="94"/>
      <c r="P91" s="94"/>
      <c r="Q91" s="94"/>
    </row>
    <row r="92" spans="1:17">
      <c r="A92" s="49">
        <v>1997</v>
      </c>
      <c r="B92" s="48">
        <v>1128.5999999999999</v>
      </c>
      <c r="C92" s="48">
        <v>135</v>
      </c>
      <c r="D92" s="48">
        <v>16</v>
      </c>
      <c r="E92" s="48">
        <v>117</v>
      </c>
      <c r="F92" s="50">
        <v>41195</v>
      </c>
      <c r="H92" s="94"/>
      <c r="I92" s="94"/>
      <c r="J92" s="94"/>
      <c r="K92" s="94"/>
      <c r="L92" s="94"/>
      <c r="M92" s="94"/>
      <c r="N92" s="94"/>
      <c r="O92" s="94"/>
      <c r="P92" s="94"/>
      <c r="Q92" s="94"/>
    </row>
    <row r="93" spans="1:17">
      <c r="A93" s="49">
        <v>1998</v>
      </c>
      <c r="B93" s="48">
        <v>870.09999999999991</v>
      </c>
      <c r="C93" s="48">
        <v>137</v>
      </c>
      <c r="D93" s="48">
        <v>12</v>
      </c>
      <c r="E93" s="48">
        <v>59.5</v>
      </c>
      <c r="F93" s="50">
        <v>41208</v>
      </c>
      <c r="H93" s="94"/>
      <c r="I93" s="94"/>
      <c r="J93" s="94"/>
      <c r="K93" s="94"/>
      <c r="L93" s="94"/>
      <c r="M93" s="94"/>
      <c r="N93" s="94"/>
      <c r="O93" s="94"/>
      <c r="P93" s="94"/>
      <c r="Q93" s="94"/>
    </row>
    <row r="94" spans="1:17">
      <c r="A94" s="49">
        <v>1999</v>
      </c>
      <c r="B94" s="48">
        <v>779.3</v>
      </c>
      <c r="C94" s="48">
        <v>115</v>
      </c>
      <c r="D94" s="48">
        <v>14</v>
      </c>
      <c r="E94" s="48">
        <v>50.1</v>
      </c>
      <c r="F94" s="50">
        <v>41265</v>
      </c>
      <c r="H94" s="94"/>
      <c r="I94" s="94"/>
      <c r="J94" s="94"/>
      <c r="K94" s="94"/>
      <c r="L94" s="94"/>
      <c r="M94" s="94"/>
      <c r="N94" s="94"/>
      <c r="O94" s="94"/>
      <c r="P94" s="94"/>
      <c r="Q94" s="94"/>
    </row>
    <row r="95" spans="1:17">
      <c r="A95" s="49">
        <v>2000</v>
      </c>
      <c r="B95" s="48">
        <v>814.50000000000011</v>
      </c>
      <c r="C95" s="48">
        <v>121</v>
      </c>
      <c r="D95" s="48">
        <v>9</v>
      </c>
      <c r="E95" s="48">
        <v>40.5</v>
      </c>
      <c r="F95" s="50">
        <v>40959</v>
      </c>
      <c r="H95" s="94"/>
      <c r="I95" s="94"/>
      <c r="J95" s="94"/>
      <c r="K95" s="94"/>
      <c r="L95" s="94"/>
      <c r="M95" s="94"/>
      <c r="N95" s="94"/>
      <c r="O95" s="94"/>
      <c r="P95" s="94"/>
      <c r="Q95" s="94"/>
    </row>
    <row r="96" spans="1:17">
      <c r="A96" s="49">
        <v>2001</v>
      </c>
      <c r="B96" s="48">
        <v>1058.3</v>
      </c>
      <c r="C96" s="48">
        <v>131</v>
      </c>
      <c r="D96" s="48">
        <v>24</v>
      </c>
      <c r="E96" s="48">
        <v>38.4</v>
      </c>
      <c r="F96" s="50">
        <v>41250</v>
      </c>
      <c r="H96" s="94"/>
      <c r="I96" s="94"/>
      <c r="J96" s="94"/>
      <c r="K96" s="94"/>
      <c r="L96" s="94"/>
      <c r="M96" s="94"/>
      <c r="N96" s="94"/>
      <c r="O96" s="94"/>
      <c r="P96" s="94"/>
      <c r="Q96" s="94"/>
    </row>
    <row r="97" spans="1:17">
      <c r="A97" s="49">
        <v>2002</v>
      </c>
      <c r="B97" s="48">
        <v>830.2</v>
      </c>
      <c r="C97" s="48">
        <v>124</v>
      </c>
      <c r="D97" s="48">
        <v>12</v>
      </c>
      <c r="E97" s="48">
        <v>56.3</v>
      </c>
      <c r="F97" s="50">
        <v>41138</v>
      </c>
      <c r="H97" s="94"/>
      <c r="I97" s="94"/>
      <c r="J97" s="94"/>
      <c r="K97" s="94"/>
      <c r="L97" s="94"/>
      <c r="M97" s="94"/>
      <c r="N97" s="94"/>
      <c r="O97" s="94"/>
      <c r="P97" s="94"/>
      <c r="Q97" s="94"/>
    </row>
    <row r="98" spans="1:17">
      <c r="A98" s="49">
        <v>2003</v>
      </c>
      <c r="B98" s="48">
        <v>849.90000000000009</v>
      </c>
      <c r="C98" s="48">
        <v>138</v>
      </c>
      <c r="D98" s="48">
        <v>36</v>
      </c>
      <c r="E98" s="48">
        <v>33.700000000000003</v>
      </c>
      <c r="F98" s="50">
        <v>40946</v>
      </c>
      <c r="H98" s="94"/>
      <c r="I98" s="94"/>
      <c r="J98" s="94"/>
      <c r="K98" s="94"/>
      <c r="L98" s="94"/>
      <c r="M98" s="94"/>
      <c r="N98" s="94"/>
      <c r="O98" s="94"/>
      <c r="P98" s="94"/>
      <c r="Q98" s="94"/>
    </row>
    <row r="99" spans="1:17">
      <c r="A99" s="49">
        <v>2004</v>
      </c>
      <c r="B99" s="48">
        <v>954.10000000000014</v>
      </c>
      <c r="C99" s="48">
        <v>130</v>
      </c>
      <c r="D99" s="48">
        <v>14</v>
      </c>
      <c r="E99" s="48">
        <v>120.5</v>
      </c>
      <c r="F99" s="50">
        <v>41189</v>
      </c>
      <c r="H99" s="94"/>
      <c r="I99" s="94"/>
      <c r="J99" s="94"/>
      <c r="K99" s="94"/>
      <c r="L99" s="94"/>
      <c r="M99" s="94"/>
      <c r="N99" s="94"/>
      <c r="O99" s="94"/>
      <c r="P99" s="94"/>
      <c r="Q99" s="94"/>
    </row>
    <row r="100" spans="1:17">
      <c r="A100" s="49">
        <v>2005</v>
      </c>
      <c r="B100" s="48">
        <v>861</v>
      </c>
      <c r="C100" s="48">
        <v>161</v>
      </c>
      <c r="D100" s="48">
        <v>27</v>
      </c>
      <c r="E100" s="48">
        <v>41.3</v>
      </c>
      <c r="F100" s="50">
        <v>41261</v>
      </c>
      <c r="H100" s="94"/>
      <c r="I100" s="94"/>
      <c r="J100" s="94"/>
      <c r="K100" s="94"/>
      <c r="L100" s="94"/>
      <c r="M100" s="94"/>
      <c r="N100" s="94"/>
      <c r="O100" s="94"/>
      <c r="P100" s="94"/>
      <c r="Q100" s="94"/>
    </row>
    <row r="101" spans="1:17">
      <c r="A101" s="49">
        <v>2006</v>
      </c>
      <c r="B101" s="48">
        <v>850.69999999999982</v>
      </c>
      <c r="C101" s="48">
        <v>121</v>
      </c>
      <c r="D101" s="48">
        <v>14</v>
      </c>
      <c r="E101" s="48">
        <v>47.6</v>
      </c>
      <c r="F101" s="50">
        <v>41175</v>
      </c>
      <c r="H101" s="94"/>
      <c r="I101" s="94"/>
      <c r="J101" s="94"/>
      <c r="K101" s="94"/>
      <c r="L101" s="94"/>
      <c r="M101" s="94"/>
      <c r="N101" s="94"/>
      <c r="O101" s="94"/>
      <c r="P101" s="94"/>
      <c r="Q101" s="94"/>
    </row>
    <row r="102" spans="1:17">
      <c r="A102" s="49">
        <v>2007</v>
      </c>
      <c r="B102" s="48">
        <v>624.39999999999986</v>
      </c>
      <c r="C102" s="48">
        <v>139</v>
      </c>
      <c r="D102" s="48">
        <v>14</v>
      </c>
      <c r="E102" s="48">
        <v>97</v>
      </c>
      <c r="F102" s="50">
        <v>41195</v>
      </c>
      <c r="H102" s="94"/>
      <c r="I102" s="94"/>
      <c r="J102" s="94"/>
      <c r="K102" s="94"/>
      <c r="L102" s="94"/>
      <c r="M102" s="94"/>
      <c r="N102" s="94"/>
      <c r="O102" s="94"/>
      <c r="P102" s="94"/>
      <c r="Q102" s="94"/>
    </row>
    <row r="103" spans="1:17">
      <c r="A103" s="49">
        <v>2008</v>
      </c>
      <c r="B103" s="48">
        <v>875.6</v>
      </c>
      <c r="C103" s="48">
        <v>127</v>
      </c>
      <c r="D103" s="48">
        <v>11</v>
      </c>
      <c r="E103" s="48">
        <v>110</v>
      </c>
      <c r="F103" s="50">
        <v>41208</v>
      </c>
    </row>
    <row r="104" spans="1:17">
      <c r="A104" s="49">
        <v>2009</v>
      </c>
      <c r="B104" s="48">
        <v>979.10000000000014</v>
      </c>
      <c r="C104" s="48">
        <v>150</v>
      </c>
      <c r="D104" s="48">
        <v>15</v>
      </c>
      <c r="E104" s="48">
        <v>57.5</v>
      </c>
      <c r="F104" s="50">
        <v>41213</v>
      </c>
    </row>
    <row r="105" spans="1:17">
      <c r="A105" s="49">
        <v>2010</v>
      </c>
      <c r="B105" s="48">
        <v>1120.3</v>
      </c>
      <c r="C105" s="48">
        <v>154</v>
      </c>
      <c r="D105" s="48">
        <v>7</v>
      </c>
      <c r="E105" s="48">
        <v>91.2</v>
      </c>
      <c r="F105" s="50">
        <v>41190</v>
      </c>
    </row>
    <row r="106" spans="1:17">
      <c r="A106" s="49">
        <v>2011</v>
      </c>
      <c r="B106" s="48">
        <v>602.79999999999995</v>
      </c>
      <c r="C106" s="48">
        <v>132</v>
      </c>
      <c r="D106" s="48">
        <v>15</v>
      </c>
      <c r="E106" s="48">
        <v>36.6</v>
      </c>
      <c r="F106" s="50">
        <v>41266</v>
      </c>
      <c r="H106" s="47"/>
      <c r="I106" s="47"/>
      <c r="J106" s="47"/>
      <c r="K106" s="47"/>
      <c r="L106" s="47"/>
      <c r="M106" s="47"/>
      <c r="N106" s="47"/>
      <c r="O106" s="47"/>
      <c r="P106" s="47"/>
      <c r="Q106" s="47"/>
    </row>
    <row r="107" spans="1:17">
      <c r="A107" s="49">
        <v>2012</v>
      </c>
      <c r="B107" s="48">
        <v>809</v>
      </c>
      <c r="C107" s="48">
        <v>143</v>
      </c>
      <c r="D107" s="48">
        <v>23</v>
      </c>
      <c r="E107" s="48">
        <v>36.5</v>
      </c>
      <c r="F107" s="50">
        <v>41013</v>
      </c>
      <c r="H107" s="47"/>
      <c r="I107" s="47"/>
      <c r="J107" s="47"/>
      <c r="K107" s="47"/>
      <c r="L107" s="47"/>
      <c r="M107" s="47"/>
      <c r="N107" s="47"/>
      <c r="O107" s="47"/>
      <c r="P107" s="47"/>
      <c r="Q107" s="47"/>
    </row>
    <row r="108" spans="1:17">
      <c r="A108" s="51">
        <v>2013</v>
      </c>
      <c r="B108" s="52">
        <v>553</v>
      </c>
      <c r="C108" s="52">
        <v>150</v>
      </c>
      <c r="D108" s="52">
        <v>5</v>
      </c>
      <c r="E108" s="52">
        <v>30.5</v>
      </c>
      <c r="F108" s="53">
        <v>41199</v>
      </c>
      <c r="H108" s="47"/>
      <c r="I108" s="47"/>
      <c r="J108" s="47"/>
      <c r="K108" s="47"/>
      <c r="L108" s="47"/>
      <c r="M108" s="47"/>
      <c r="N108" s="47"/>
      <c r="O108" s="47"/>
      <c r="P108" s="47"/>
      <c r="Q108" s="47"/>
    </row>
    <row r="109" spans="1:17">
      <c r="H109" s="47"/>
      <c r="I109" s="47"/>
      <c r="J109" s="47"/>
      <c r="K109" s="47"/>
      <c r="L109" s="47"/>
      <c r="M109" s="47"/>
      <c r="N109" s="47"/>
      <c r="O109" s="47"/>
      <c r="P109" s="47"/>
      <c r="Q109" s="47"/>
    </row>
    <row r="110" spans="1:17">
      <c r="H110" s="47"/>
      <c r="I110" s="47"/>
      <c r="J110" s="47"/>
      <c r="K110" s="47"/>
      <c r="L110" s="47"/>
      <c r="M110" s="47"/>
      <c r="N110" s="47"/>
      <c r="O110" s="47"/>
      <c r="P110" s="47"/>
      <c r="Q110" s="47"/>
    </row>
    <row r="111" spans="1:17">
      <c r="H111" s="47"/>
      <c r="I111" s="47"/>
      <c r="J111" s="47"/>
      <c r="K111" s="47"/>
      <c r="L111" s="47"/>
      <c r="M111" s="47"/>
      <c r="N111" s="47"/>
      <c r="O111" s="47"/>
      <c r="P111" s="47"/>
      <c r="Q111" s="47"/>
    </row>
    <row r="112" spans="1:17">
      <c r="H112" s="47"/>
      <c r="I112" s="47"/>
      <c r="J112" s="47"/>
      <c r="K112" s="47"/>
      <c r="L112" s="47"/>
      <c r="M112" s="47"/>
      <c r="N112" s="47"/>
      <c r="O112" s="47"/>
      <c r="P112" s="47"/>
      <c r="Q112" s="47"/>
    </row>
    <row r="113" spans="8:17">
      <c r="H113" s="47"/>
      <c r="I113" s="47"/>
      <c r="J113" s="47"/>
      <c r="K113" s="47"/>
      <c r="L113" s="47"/>
      <c r="M113" s="47"/>
      <c r="N113" s="47"/>
      <c r="O113" s="47"/>
      <c r="P113" s="47"/>
      <c r="Q113" s="47"/>
    </row>
    <row r="114" spans="8:17">
      <c r="H114" s="47"/>
      <c r="I114" s="47"/>
      <c r="J114" s="47"/>
      <c r="K114" s="47"/>
      <c r="L114" s="47"/>
      <c r="M114" s="47"/>
      <c r="N114" s="47"/>
      <c r="O114" s="47"/>
      <c r="P114" s="47"/>
      <c r="Q114" s="47"/>
    </row>
    <row r="115" spans="8:17">
      <c r="H115" s="47"/>
      <c r="I115" s="47"/>
      <c r="J115" s="47"/>
      <c r="K115" s="47"/>
      <c r="L115" s="47"/>
      <c r="M115" s="47"/>
      <c r="N115" s="47"/>
      <c r="O115" s="47"/>
      <c r="P115" s="47"/>
      <c r="Q115" s="47"/>
    </row>
    <row r="116" spans="8:17">
      <c r="H116" s="47"/>
      <c r="I116" s="47"/>
      <c r="J116" s="47"/>
      <c r="K116" s="47"/>
      <c r="L116" s="47"/>
      <c r="M116" s="47"/>
      <c r="N116" s="47"/>
      <c r="O116" s="47"/>
      <c r="P116" s="47"/>
      <c r="Q116" s="47"/>
    </row>
    <row r="117" spans="8:17">
      <c r="H117" s="47"/>
      <c r="I117" s="47"/>
      <c r="J117" s="47"/>
      <c r="K117" s="47"/>
      <c r="L117" s="47"/>
      <c r="M117" s="47"/>
      <c r="N117" s="47"/>
      <c r="O117" s="47"/>
      <c r="P117" s="47"/>
      <c r="Q117" s="47"/>
    </row>
    <row r="118" spans="8:17">
      <c r="H118" s="47"/>
      <c r="I118" s="47"/>
      <c r="J118" s="47"/>
      <c r="K118" s="47"/>
      <c r="L118" s="47"/>
      <c r="M118" s="47"/>
      <c r="N118" s="47"/>
      <c r="O118" s="47"/>
      <c r="P118" s="47"/>
      <c r="Q118" s="47"/>
    </row>
    <row r="119" spans="8:17">
      <c r="H119" s="47"/>
      <c r="I119" s="47"/>
      <c r="J119" s="47"/>
      <c r="K119" s="47"/>
      <c r="L119" s="47"/>
      <c r="M119" s="47"/>
      <c r="N119" s="47"/>
      <c r="O119" s="47"/>
      <c r="P119" s="47"/>
      <c r="Q119" s="47"/>
    </row>
    <row r="120" spans="8:17">
      <c r="H120" s="47"/>
      <c r="I120" s="47"/>
      <c r="J120" s="47"/>
      <c r="K120" s="47"/>
      <c r="L120" s="47"/>
      <c r="M120" s="47"/>
      <c r="N120" s="47"/>
      <c r="O120" s="47"/>
      <c r="P120" s="47"/>
      <c r="Q120" s="47"/>
    </row>
    <row r="121" spans="8:17">
      <c r="H121" s="47"/>
      <c r="I121" s="47"/>
      <c r="J121" s="47"/>
      <c r="K121" s="47"/>
      <c r="L121" s="47"/>
      <c r="M121" s="47"/>
      <c r="N121" s="47"/>
      <c r="O121" s="47"/>
      <c r="P121" s="47"/>
      <c r="Q121" s="47"/>
    </row>
    <row r="122" spans="8:17">
      <c r="H122" s="47"/>
      <c r="I122" s="47"/>
      <c r="J122" s="47"/>
      <c r="K122" s="47"/>
      <c r="L122" s="47"/>
      <c r="M122" s="47"/>
      <c r="N122" s="47"/>
      <c r="O122" s="47"/>
      <c r="P122" s="47"/>
      <c r="Q122" s="47"/>
    </row>
    <row r="123" spans="8:17">
      <c r="H123" s="47"/>
      <c r="I123" s="47"/>
      <c r="J123" s="47"/>
      <c r="K123" s="47"/>
      <c r="L123" s="47"/>
      <c r="M123" s="47"/>
      <c r="N123" s="47"/>
      <c r="O123" s="47"/>
      <c r="P123" s="47"/>
      <c r="Q123" s="47"/>
    </row>
    <row r="124" spans="8:17">
      <c r="H124" s="47"/>
      <c r="I124" s="47"/>
      <c r="J124" s="47"/>
      <c r="K124" s="47"/>
      <c r="L124" s="47"/>
      <c r="M124" s="47"/>
      <c r="N124" s="47"/>
      <c r="O124" s="47"/>
      <c r="P124" s="47"/>
      <c r="Q124" s="47"/>
    </row>
    <row r="125" spans="8:17">
      <c r="H125" s="47"/>
      <c r="I125" s="47"/>
      <c r="J125" s="47"/>
      <c r="K125" s="47"/>
      <c r="L125" s="47"/>
      <c r="M125" s="47"/>
      <c r="N125" s="47"/>
      <c r="O125" s="47"/>
      <c r="P125" s="47"/>
      <c r="Q125" s="47"/>
    </row>
    <row r="126" spans="8:17">
      <c r="H126" s="47"/>
      <c r="I126" s="47"/>
      <c r="J126" s="47"/>
      <c r="K126" s="47"/>
      <c r="L126" s="47"/>
      <c r="M126" s="47"/>
      <c r="N126" s="47"/>
      <c r="O126" s="47"/>
      <c r="P126" s="47"/>
      <c r="Q126" s="47"/>
    </row>
    <row r="127" spans="8:17">
      <c r="H127" s="47"/>
      <c r="I127" s="47"/>
      <c r="J127" s="47"/>
      <c r="K127" s="47"/>
      <c r="L127" s="47"/>
      <c r="M127" s="47"/>
      <c r="N127" s="47"/>
      <c r="O127" s="47"/>
      <c r="P127" s="47"/>
      <c r="Q127" s="47"/>
    </row>
    <row r="128" spans="8:17">
      <c r="H128" s="47"/>
      <c r="I128" s="47"/>
      <c r="J128" s="47"/>
      <c r="K128" s="47"/>
      <c r="L128" s="47"/>
      <c r="M128" s="47"/>
      <c r="N128" s="47"/>
      <c r="O128" s="47"/>
      <c r="P128" s="47"/>
      <c r="Q128" s="47"/>
    </row>
    <row r="129" spans="8:17">
      <c r="H129" s="47"/>
      <c r="I129" s="47"/>
      <c r="J129" s="47"/>
      <c r="K129" s="47"/>
      <c r="L129" s="47"/>
      <c r="M129" s="47"/>
      <c r="N129" s="47"/>
      <c r="O129" s="47"/>
      <c r="P129" s="47"/>
      <c r="Q129" s="47"/>
    </row>
  </sheetData>
  <mergeCells count="5">
    <mergeCell ref="H79:Q102"/>
    <mergeCell ref="A1:F2"/>
    <mergeCell ref="H1:Q2"/>
    <mergeCell ref="H3:Q26"/>
    <mergeCell ref="H40:Q63"/>
  </mergeCells>
  <pageMargins left="0.7" right="0.7" top="0.75" bottom="0.75" header="0.3" footer="0.3"/>
  <pageSetup paperSize="9" orientation="portrait" r:id="rId1"/>
  <drawing r:id="rId2"/>
  <webPublishItems count="1">
    <webPublishItem id="29179" divId="Yağış 1911-2013 Hepsi-web sitesi için_29179" sourceType="sheet" destinationFile="D:\Meteoroloji\Çalışmalar\Yağış\Yağış 1911-2013 Hepsi-web sitesi için-Yıllık.htm"/>
  </webPublishItems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 codeName="Sayfa5"/>
  <dimension ref="A1:I15"/>
  <sheetViews>
    <sheetView workbookViewId="0">
      <selection activeCell="C18" sqref="C18"/>
    </sheetView>
  </sheetViews>
  <sheetFormatPr defaultRowHeight="15"/>
  <cols>
    <col min="1" max="1" width="12.42578125" style="23" customWidth="1"/>
    <col min="2" max="2" width="13.42578125" style="9" customWidth="1"/>
    <col min="3" max="4" width="13.28515625" style="9" customWidth="1"/>
    <col min="5" max="5" width="16" style="9" customWidth="1"/>
    <col min="6" max="6" width="13.5703125" style="9" customWidth="1"/>
    <col min="7" max="8" width="14.5703125" style="9" bestFit="1" customWidth="1"/>
    <col min="9" max="9" width="18.7109375" style="9" customWidth="1"/>
    <col min="10" max="16384" width="9.140625" style="9"/>
  </cols>
  <sheetData>
    <row r="1" spans="1:9" s="26" customFormat="1">
      <c r="A1" s="103"/>
      <c r="B1" s="111" t="s">
        <v>430</v>
      </c>
      <c r="C1" s="112"/>
      <c r="D1" s="122" t="s">
        <v>433</v>
      </c>
      <c r="E1" s="122"/>
      <c r="F1" s="123" t="s">
        <v>435</v>
      </c>
      <c r="G1" s="123"/>
      <c r="H1" s="124" t="s">
        <v>436</v>
      </c>
      <c r="I1" s="124"/>
    </row>
    <row r="2" spans="1:9" ht="15" customHeight="1">
      <c r="A2" s="103"/>
      <c r="B2" s="113" t="s">
        <v>431</v>
      </c>
      <c r="C2" s="113" t="s">
        <v>432</v>
      </c>
      <c r="D2" s="116" t="s">
        <v>431</v>
      </c>
      <c r="E2" s="116" t="s">
        <v>432</v>
      </c>
      <c r="F2" s="118" t="s">
        <v>434</v>
      </c>
      <c r="G2" s="118" t="s">
        <v>428</v>
      </c>
      <c r="H2" s="120" t="s">
        <v>434</v>
      </c>
      <c r="I2" s="120" t="s">
        <v>429</v>
      </c>
    </row>
    <row r="3" spans="1:9" s="26" customFormat="1" ht="24" customHeight="1">
      <c r="A3" s="104"/>
      <c r="B3" s="114"/>
      <c r="C3" s="115"/>
      <c r="D3" s="117"/>
      <c r="E3" s="117"/>
      <c r="F3" s="119"/>
      <c r="G3" s="119"/>
      <c r="H3" s="121"/>
      <c r="I3" s="121"/>
    </row>
    <row r="4" spans="1:9">
      <c r="A4" s="44" t="s">
        <v>5</v>
      </c>
      <c r="B4" s="34">
        <v>272.39999999999998</v>
      </c>
      <c r="C4" s="34">
        <v>1968</v>
      </c>
      <c r="D4" s="36">
        <v>66</v>
      </c>
      <c r="E4" s="37">
        <v>12450</v>
      </c>
      <c r="F4" s="40">
        <v>30</v>
      </c>
      <c r="G4" s="40">
        <v>1973</v>
      </c>
      <c r="H4" s="42">
        <v>17</v>
      </c>
      <c r="I4" s="42">
        <v>1941</v>
      </c>
    </row>
    <row r="5" spans="1:9">
      <c r="A5" s="44" t="s">
        <v>6</v>
      </c>
      <c r="B5" s="35">
        <v>229.8</v>
      </c>
      <c r="C5" s="35">
        <v>1948</v>
      </c>
      <c r="D5" s="38">
        <v>86.9</v>
      </c>
      <c r="E5" s="39">
        <v>29633</v>
      </c>
      <c r="F5" s="41">
        <v>26</v>
      </c>
      <c r="G5" s="41">
        <v>1971</v>
      </c>
      <c r="H5" s="43">
        <v>21</v>
      </c>
      <c r="I5" s="43">
        <v>2003</v>
      </c>
    </row>
    <row r="6" spans="1:9">
      <c r="A6" s="44" t="s">
        <v>7</v>
      </c>
      <c r="B6" s="35">
        <v>188.9</v>
      </c>
      <c r="C6" s="35">
        <v>1958</v>
      </c>
      <c r="D6" s="38">
        <v>53</v>
      </c>
      <c r="E6" s="39">
        <v>21262</v>
      </c>
      <c r="F6" s="41">
        <v>24</v>
      </c>
      <c r="G6" s="41">
        <v>1971</v>
      </c>
      <c r="H6" s="43">
        <v>15</v>
      </c>
      <c r="I6" s="43">
        <v>1987</v>
      </c>
    </row>
    <row r="7" spans="1:9">
      <c r="A7" s="44" t="s">
        <v>8</v>
      </c>
      <c r="B7" s="35">
        <v>161.30000000000001</v>
      </c>
      <c r="C7" s="35">
        <v>1965</v>
      </c>
      <c r="D7" s="38">
        <v>45</v>
      </c>
      <c r="E7" s="39">
        <v>33337</v>
      </c>
      <c r="F7" s="41">
        <v>22</v>
      </c>
      <c r="G7" s="41">
        <v>1974</v>
      </c>
      <c r="H7" s="43">
        <v>3</v>
      </c>
      <c r="I7" s="43">
        <v>1997</v>
      </c>
    </row>
    <row r="8" spans="1:9">
      <c r="A8" s="44" t="s">
        <v>9</v>
      </c>
      <c r="B8" s="35">
        <v>166.7</v>
      </c>
      <c r="C8" s="35">
        <v>1919</v>
      </c>
      <c r="D8" s="38">
        <v>84</v>
      </c>
      <c r="E8" s="39">
        <v>27160</v>
      </c>
      <c r="F8" s="41">
        <v>19</v>
      </c>
      <c r="G8" s="41">
        <v>1971</v>
      </c>
      <c r="H8" s="43">
        <v>2</v>
      </c>
      <c r="I8" s="43">
        <v>1913</v>
      </c>
    </row>
    <row r="9" spans="1:9">
      <c r="A9" s="44" t="s">
        <v>10</v>
      </c>
      <c r="B9" s="35">
        <v>179.5</v>
      </c>
      <c r="C9" s="35">
        <v>2010</v>
      </c>
      <c r="D9" s="38">
        <v>91</v>
      </c>
      <c r="E9" s="39">
        <v>8938</v>
      </c>
      <c r="F9" s="41">
        <v>22</v>
      </c>
      <c r="G9" s="41">
        <v>1914</v>
      </c>
      <c r="H9" s="105"/>
      <c r="I9" s="106"/>
    </row>
    <row r="10" spans="1:9">
      <c r="A10" s="44" t="s">
        <v>11</v>
      </c>
      <c r="B10" s="35">
        <v>171.2</v>
      </c>
      <c r="C10" s="35">
        <v>1950</v>
      </c>
      <c r="D10" s="38">
        <v>165.8</v>
      </c>
      <c r="E10" s="39">
        <v>18829</v>
      </c>
      <c r="F10" s="41">
        <v>18</v>
      </c>
      <c r="G10" s="41">
        <v>1981</v>
      </c>
      <c r="H10" s="107"/>
      <c r="I10" s="108"/>
    </row>
    <row r="11" spans="1:9">
      <c r="A11" s="44" t="s">
        <v>12</v>
      </c>
      <c r="B11" s="35">
        <v>177.1</v>
      </c>
      <c r="C11" s="35">
        <v>1913</v>
      </c>
      <c r="D11" s="38">
        <v>88.7</v>
      </c>
      <c r="E11" s="39">
        <v>5327</v>
      </c>
      <c r="F11" s="41">
        <v>19</v>
      </c>
      <c r="G11" s="41">
        <v>1971</v>
      </c>
      <c r="H11" s="107"/>
      <c r="I11" s="108"/>
    </row>
    <row r="12" spans="1:9">
      <c r="A12" s="44" t="s">
        <v>13</v>
      </c>
      <c r="B12" s="35">
        <v>339.4</v>
      </c>
      <c r="C12" s="35">
        <v>1964</v>
      </c>
      <c r="D12" s="38">
        <v>123</v>
      </c>
      <c r="E12" s="39">
        <v>22534</v>
      </c>
      <c r="F12" s="41">
        <v>22</v>
      </c>
      <c r="G12" s="41">
        <v>1971</v>
      </c>
      <c r="H12" s="107"/>
      <c r="I12" s="108"/>
    </row>
    <row r="13" spans="1:9">
      <c r="A13" s="44" t="s">
        <v>14</v>
      </c>
      <c r="B13" s="35">
        <v>316</v>
      </c>
      <c r="C13" s="35">
        <v>1997</v>
      </c>
      <c r="D13" s="38">
        <v>131.30000000000001</v>
      </c>
      <c r="E13" s="39">
        <v>15617</v>
      </c>
      <c r="F13" s="41">
        <v>25</v>
      </c>
      <c r="G13" s="41">
        <v>1970</v>
      </c>
      <c r="H13" s="109"/>
      <c r="I13" s="110"/>
    </row>
    <row r="14" spans="1:9">
      <c r="A14" s="44" t="s">
        <v>15</v>
      </c>
      <c r="B14" s="35">
        <v>348.1</v>
      </c>
      <c r="C14" s="35">
        <v>1955</v>
      </c>
      <c r="D14" s="38">
        <v>94.2</v>
      </c>
      <c r="E14" s="39">
        <v>20409</v>
      </c>
      <c r="F14" s="41">
        <v>26</v>
      </c>
      <c r="G14" s="41">
        <v>1970</v>
      </c>
      <c r="H14" s="43">
        <v>7</v>
      </c>
      <c r="I14" s="43">
        <v>1949</v>
      </c>
    </row>
    <row r="15" spans="1:9">
      <c r="A15" s="44" t="s">
        <v>16</v>
      </c>
      <c r="B15" s="35">
        <v>432.2</v>
      </c>
      <c r="C15" s="35">
        <v>2001</v>
      </c>
      <c r="D15" s="38">
        <v>68</v>
      </c>
      <c r="E15" s="39">
        <v>5109</v>
      </c>
      <c r="F15" s="41">
        <v>29</v>
      </c>
      <c r="G15" s="41">
        <v>1969</v>
      </c>
      <c r="H15" s="43">
        <v>11</v>
      </c>
      <c r="I15" s="43">
        <v>1992</v>
      </c>
    </row>
  </sheetData>
  <mergeCells count="14">
    <mergeCell ref="A1:A3"/>
    <mergeCell ref="H9:I13"/>
    <mergeCell ref="B1:C1"/>
    <mergeCell ref="B2:B3"/>
    <mergeCell ref="C2:C3"/>
    <mergeCell ref="D2:D3"/>
    <mergeCell ref="E2:E3"/>
    <mergeCell ref="F2:F3"/>
    <mergeCell ref="G2:G3"/>
    <mergeCell ref="H2:H3"/>
    <mergeCell ref="I2:I3"/>
    <mergeCell ref="D1:E1"/>
    <mergeCell ref="F1:G1"/>
    <mergeCell ref="H1:I1"/>
  </mergeCells>
  <conditionalFormatting sqref="A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4:A15">
    <cfRule type="colorScale" priority="1">
      <colorScale>
        <cfvo type="min" val="0"/>
        <cfvo type="max" val="0"/>
        <color rgb="FFFFEF9C"/>
        <color rgb="FFFF7128"/>
      </colorScale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 codeName="Sayfa7"/>
  <dimension ref="A1:BN368"/>
  <sheetViews>
    <sheetView topLeftCell="D5" zoomScale="98" zoomScaleNormal="98" workbookViewId="0">
      <selection activeCell="C18" sqref="C18"/>
    </sheetView>
  </sheetViews>
  <sheetFormatPr defaultRowHeight="15"/>
  <cols>
    <col min="1" max="1" width="11.85546875" style="27" bestFit="1" customWidth="1"/>
    <col min="2" max="2" width="18.85546875" style="18" bestFit="1" customWidth="1"/>
    <col min="3" max="3" width="16.28515625" style="18" customWidth="1"/>
    <col min="4" max="4" width="10.7109375" style="18" bestFit="1" customWidth="1"/>
    <col min="6" max="6" width="12" style="18" bestFit="1" customWidth="1"/>
    <col min="7" max="7" width="9.140625" style="26"/>
    <col min="8" max="8" width="5.5703125" style="26" bestFit="1" customWidth="1"/>
    <col min="9" max="9" width="11.28515625" style="26" bestFit="1" customWidth="1"/>
    <col min="10" max="10" width="7.140625" style="26" bestFit="1" customWidth="1"/>
    <col min="11" max="11" width="9.28515625" style="26" bestFit="1" customWidth="1"/>
    <col min="12" max="12" width="5.5703125" style="26" customWidth="1"/>
    <col min="13" max="13" width="6" style="26" bestFit="1" customWidth="1"/>
    <col min="14" max="14" width="11.140625" style="26" bestFit="1" customWidth="1"/>
    <col min="15" max="15" width="7" style="26" bestFit="1" customWidth="1"/>
    <col min="16" max="16" width="9.140625" style="26" bestFit="1" customWidth="1"/>
    <col min="17" max="17" width="5" style="26" customWidth="1"/>
    <col min="18" max="18" width="5.140625" style="26" bestFit="1" customWidth="1"/>
    <col min="19" max="19" width="11.140625" style="18" bestFit="1" customWidth="1"/>
    <col min="20" max="20" width="7" style="18" bestFit="1" customWidth="1"/>
    <col min="21" max="21" width="12" style="18" bestFit="1" customWidth="1"/>
    <col min="22" max="22" width="9.140625" style="26"/>
    <col min="23" max="23" width="6" style="26" bestFit="1" customWidth="1"/>
    <col min="24" max="24" width="11.140625" style="26" bestFit="1" customWidth="1"/>
    <col min="25" max="25" width="7" style="18" bestFit="1" customWidth="1"/>
    <col min="26" max="26" width="9.140625" style="18" bestFit="1" customWidth="1"/>
    <col min="27" max="27" width="9.140625" style="26"/>
    <col min="28" max="28" width="6" style="26" bestFit="1" customWidth="1"/>
    <col min="29" max="29" width="9.42578125" style="26" bestFit="1" customWidth="1"/>
    <col min="30" max="30" width="12.42578125" style="18" bestFit="1" customWidth="1"/>
    <col min="31" max="31" width="12.42578125" style="18" customWidth="1"/>
    <col min="32" max="32" width="9.140625" style="26"/>
    <col min="33" max="33" width="7.5703125" style="26" bestFit="1" customWidth="1"/>
    <col min="34" max="34" width="9.42578125" style="26" bestFit="1" customWidth="1"/>
    <col min="35" max="35" width="12.42578125" style="18" bestFit="1" customWidth="1"/>
    <col min="36" max="36" width="12.42578125" style="18" customWidth="1"/>
    <col min="37" max="37" width="9.140625" style="26"/>
    <col min="38" max="38" width="8.5703125" style="26" bestFit="1" customWidth="1"/>
    <col min="39" max="39" width="9.42578125" style="26" bestFit="1" customWidth="1"/>
    <col min="40" max="40" width="12.42578125" style="18" bestFit="1" customWidth="1"/>
    <col min="41" max="41" width="12.42578125" style="18" customWidth="1"/>
    <col min="42" max="42" width="9.140625" style="26"/>
    <col min="43" max="43" width="8" style="26" bestFit="1" customWidth="1"/>
    <col min="44" max="44" width="9.42578125" style="26" bestFit="1" customWidth="1"/>
    <col min="45" max="45" width="12.42578125" style="18" bestFit="1" customWidth="1"/>
    <col min="46" max="46" width="12.42578125" style="18" customWidth="1"/>
    <col min="47" max="47" width="9.140625" style="26"/>
    <col min="48" max="48" width="5.28515625" style="26" bestFit="1" customWidth="1"/>
    <col min="49" max="49" width="9.42578125" style="26" bestFit="1" customWidth="1"/>
    <col min="50" max="50" width="12.42578125" style="18" bestFit="1" customWidth="1"/>
    <col min="51" max="51" width="12.42578125" style="18" customWidth="1"/>
    <col min="52" max="52" width="9.140625" style="26"/>
    <col min="53" max="53" width="5.28515625" style="26" bestFit="1" customWidth="1"/>
    <col min="54" max="54" width="9.42578125" style="26" bestFit="1" customWidth="1"/>
    <col min="55" max="55" width="12.42578125" style="18" bestFit="1" customWidth="1"/>
    <col min="56" max="56" width="12.42578125" style="18" customWidth="1"/>
    <col min="57" max="57" width="9.140625" style="26"/>
    <col min="58" max="58" width="6.140625" style="26" bestFit="1" customWidth="1"/>
    <col min="59" max="59" width="9.42578125" style="26" bestFit="1" customWidth="1"/>
    <col min="60" max="60" width="12.42578125" style="18" bestFit="1" customWidth="1"/>
    <col min="61" max="61" width="12.42578125" style="18" customWidth="1"/>
    <col min="62" max="62" width="9.140625" style="26"/>
    <col min="63" max="63" width="6" style="26" bestFit="1" customWidth="1"/>
    <col min="64" max="64" width="9.42578125" style="26" bestFit="1" customWidth="1"/>
    <col min="65" max="65" width="12.42578125" style="18" bestFit="1" customWidth="1"/>
    <col min="66" max="16384" width="9.140625" style="26"/>
  </cols>
  <sheetData>
    <row r="1" spans="1:66">
      <c r="B1" s="125" t="s">
        <v>2</v>
      </c>
      <c r="C1" s="125"/>
      <c r="D1" s="125" t="s">
        <v>4</v>
      </c>
      <c r="E1" s="125"/>
    </row>
    <row r="2" spans="1:66">
      <c r="B2" s="18" t="s">
        <v>422</v>
      </c>
      <c r="C2" s="18" t="s">
        <v>421</v>
      </c>
      <c r="D2" s="18" t="s">
        <v>419</v>
      </c>
      <c r="E2" t="s">
        <v>420</v>
      </c>
      <c r="F2" s="18" t="s">
        <v>3</v>
      </c>
      <c r="G2"/>
      <c r="H2" s="31" t="s">
        <v>5</v>
      </c>
      <c r="I2" s="31" t="s">
        <v>423</v>
      </c>
      <c r="J2" s="31" t="s">
        <v>3</v>
      </c>
      <c r="K2" s="32" t="s">
        <v>2</v>
      </c>
      <c r="L2" s="30"/>
      <c r="M2" s="25" t="s">
        <v>6</v>
      </c>
      <c r="N2" s="5" t="s">
        <v>423</v>
      </c>
      <c r="O2" s="5" t="s">
        <v>3</v>
      </c>
      <c r="P2" s="32" t="s">
        <v>2</v>
      </c>
      <c r="Q2" s="18"/>
      <c r="R2" s="25" t="s">
        <v>7</v>
      </c>
      <c r="S2" s="5" t="s">
        <v>423</v>
      </c>
      <c r="T2" s="5" t="s">
        <v>3</v>
      </c>
      <c r="U2" s="33" t="s">
        <v>2</v>
      </c>
      <c r="W2" s="25" t="s">
        <v>8</v>
      </c>
      <c r="X2" s="5" t="s">
        <v>423</v>
      </c>
      <c r="Y2" s="5" t="s">
        <v>3</v>
      </c>
      <c r="Z2" s="33" t="s">
        <v>2</v>
      </c>
      <c r="AB2" s="25" t="s">
        <v>9</v>
      </c>
      <c r="AC2" s="25" t="s">
        <v>424</v>
      </c>
      <c r="AD2" s="5" t="s">
        <v>425</v>
      </c>
      <c r="AE2" s="33" t="s">
        <v>2</v>
      </c>
      <c r="AG2" s="25" t="s">
        <v>10</v>
      </c>
      <c r="AH2" s="25" t="s">
        <v>424</v>
      </c>
      <c r="AI2" s="5" t="s">
        <v>425</v>
      </c>
      <c r="AJ2" s="33" t="s">
        <v>2</v>
      </c>
      <c r="AL2" s="25" t="s">
        <v>11</v>
      </c>
      <c r="AM2" s="25" t="s">
        <v>424</v>
      </c>
      <c r="AN2" s="5" t="s">
        <v>425</v>
      </c>
      <c r="AO2" s="33" t="s">
        <v>2</v>
      </c>
      <c r="AQ2" s="25" t="s">
        <v>12</v>
      </c>
      <c r="AR2" s="25" t="s">
        <v>424</v>
      </c>
      <c r="AS2" s="5" t="s">
        <v>425</v>
      </c>
      <c r="AT2" s="33" t="s">
        <v>2</v>
      </c>
      <c r="AV2" s="25" t="s">
        <v>13</v>
      </c>
      <c r="AW2" s="25" t="s">
        <v>424</v>
      </c>
      <c r="AX2" s="5" t="s">
        <v>425</v>
      </c>
      <c r="AY2" s="33" t="s">
        <v>2</v>
      </c>
      <c r="BA2" s="25" t="s">
        <v>14</v>
      </c>
      <c r="BB2" s="25" t="s">
        <v>424</v>
      </c>
      <c r="BC2" s="5" t="s">
        <v>425</v>
      </c>
      <c r="BD2" s="33" t="s">
        <v>2</v>
      </c>
      <c r="BF2" s="25" t="s">
        <v>15</v>
      </c>
      <c r="BG2" s="25" t="s">
        <v>424</v>
      </c>
      <c r="BH2" s="5" t="s">
        <v>425</v>
      </c>
      <c r="BI2" s="33" t="s">
        <v>2</v>
      </c>
      <c r="BK2" s="25" t="s">
        <v>16</v>
      </c>
      <c r="BL2" s="25" t="s">
        <v>424</v>
      </c>
      <c r="BM2" s="5" t="s">
        <v>425</v>
      </c>
      <c r="BN2" s="33" t="s">
        <v>2</v>
      </c>
    </row>
    <row r="3" spans="1:66">
      <c r="A3" s="27">
        <v>40909</v>
      </c>
      <c r="B3" s="18">
        <v>6.4857142857142849</v>
      </c>
      <c r="C3" s="18">
        <v>3.5607843137254895</v>
      </c>
      <c r="D3" s="18">
        <v>35.5</v>
      </c>
      <c r="E3">
        <v>1948</v>
      </c>
      <c r="F3" s="18">
        <v>54.901960784313729</v>
      </c>
      <c r="G3"/>
      <c r="H3" s="19">
        <v>1</v>
      </c>
      <c r="I3" s="5">
        <v>35.5</v>
      </c>
      <c r="J3" s="18">
        <v>54.901960784313729</v>
      </c>
      <c r="K3" s="5">
        <v>3.5607843137254895</v>
      </c>
      <c r="L3"/>
      <c r="M3" s="25">
        <v>1</v>
      </c>
      <c r="N3" s="5">
        <v>35.5</v>
      </c>
      <c r="O3" s="5">
        <v>58.82352941176471</v>
      </c>
      <c r="P3" s="5">
        <v>3.4098039215686269</v>
      </c>
      <c r="Q3" s="18"/>
      <c r="R3" s="25">
        <v>1</v>
      </c>
      <c r="S3" s="5">
        <v>19.7</v>
      </c>
      <c r="T3" s="5">
        <v>46.078431372549019</v>
      </c>
      <c r="U3" s="5">
        <v>2.3745098039215673</v>
      </c>
      <c r="W3" s="25">
        <v>1</v>
      </c>
      <c r="X3" s="5">
        <v>21.8</v>
      </c>
      <c r="Y3" s="5">
        <v>36.274509803921568</v>
      </c>
      <c r="Z3" s="5">
        <v>1.7666666666666668</v>
      </c>
      <c r="AB3" s="25">
        <v>1</v>
      </c>
      <c r="AC3" s="5">
        <v>44.7</v>
      </c>
      <c r="AD3" s="5">
        <v>35.294117647058826</v>
      </c>
      <c r="AE3" s="5">
        <v>1.9519607843137254</v>
      </c>
      <c r="AG3" s="25">
        <v>1</v>
      </c>
      <c r="AH3" s="5">
        <v>48</v>
      </c>
      <c r="AI3" s="5">
        <v>28.431372549019606</v>
      </c>
      <c r="AJ3" s="5">
        <v>1.2598039215686274</v>
      </c>
      <c r="AL3" s="25">
        <v>1</v>
      </c>
      <c r="AM3" s="5">
        <v>30.7</v>
      </c>
      <c r="AN3" s="5">
        <v>19.607843137254903</v>
      </c>
      <c r="AO3" s="5">
        <v>1.0352941176470587</v>
      </c>
      <c r="AQ3" s="25">
        <v>1</v>
      </c>
      <c r="AR3" s="5">
        <v>29.9</v>
      </c>
      <c r="AS3" s="5">
        <v>11.650485436893204</v>
      </c>
      <c r="AT3" s="5">
        <v>0.65436893203883506</v>
      </c>
      <c r="AV3" s="25">
        <v>1</v>
      </c>
      <c r="AW3" s="5">
        <v>37.799999999999997</v>
      </c>
      <c r="AX3" s="5">
        <v>38.834951456310677</v>
      </c>
      <c r="AY3" s="5">
        <v>3.119417475728155</v>
      </c>
      <c r="BA3" s="25">
        <v>1</v>
      </c>
      <c r="BB3" s="5">
        <v>31</v>
      </c>
      <c r="BC3" s="5">
        <v>36.893203883495147</v>
      </c>
      <c r="BD3" s="5">
        <v>2.4873786407766985</v>
      </c>
      <c r="BF3" s="25">
        <v>1</v>
      </c>
      <c r="BG3" s="5">
        <v>47</v>
      </c>
      <c r="BH3" s="5">
        <v>43.689320388349515</v>
      </c>
      <c r="BI3" s="5">
        <v>1.9776699029126212</v>
      </c>
      <c r="BK3" s="25">
        <v>1</v>
      </c>
      <c r="BL3" s="5">
        <v>51.8</v>
      </c>
      <c r="BM3" s="5">
        <v>53.398058252427184</v>
      </c>
      <c r="BN3" s="5">
        <v>3.5067961165048533</v>
      </c>
    </row>
    <row r="4" spans="1:66">
      <c r="A4" s="27">
        <v>40910</v>
      </c>
      <c r="B4" s="18">
        <v>5.8622950819672131</v>
      </c>
      <c r="C4" s="18">
        <v>3.5058823529411769</v>
      </c>
      <c r="D4" s="18">
        <v>31.2</v>
      </c>
      <c r="E4">
        <v>1953</v>
      </c>
      <c r="F4" s="18">
        <v>60.784313725490193</v>
      </c>
      <c r="G4"/>
      <c r="H4" s="19">
        <v>2</v>
      </c>
      <c r="I4" s="5">
        <v>31.2</v>
      </c>
      <c r="J4" s="18">
        <v>60.784313725490193</v>
      </c>
      <c r="K4" s="5">
        <v>3.5058823529411769</v>
      </c>
      <c r="L4"/>
      <c r="M4" s="25">
        <v>2</v>
      </c>
      <c r="N4" s="5">
        <v>39.299999999999997</v>
      </c>
      <c r="O4" s="5">
        <v>58.82352941176471</v>
      </c>
      <c r="P4" s="5">
        <v>4.0382352941176487</v>
      </c>
      <c r="Q4" s="18"/>
      <c r="R4" s="25">
        <v>2</v>
      </c>
      <c r="S4" s="5">
        <v>30</v>
      </c>
      <c r="T4" s="5">
        <v>56.862745098039213</v>
      </c>
      <c r="U4" s="5">
        <v>2.7990196078431362</v>
      </c>
      <c r="W4" s="25">
        <v>2</v>
      </c>
      <c r="X4" s="5">
        <v>23.2</v>
      </c>
      <c r="Y4" s="5">
        <v>36.274509803921568</v>
      </c>
      <c r="Z4" s="5">
        <v>1.5803921568627448</v>
      </c>
      <c r="AB4" s="25">
        <v>2</v>
      </c>
      <c r="AC4" s="5">
        <v>43.2</v>
      </c>
      <c r="AD4" s="5">
        <v>35.294117647058826</v>
      </c>
      <c r="AE4" s="5">
        <v>1.7151515151508634</v>
      </c>
      <c r="AG4" s="25">
        <v>2</v>
      </c>
      <c r="AH4" s="5">
        <v>24</v>
      </c>
      <c r="AI4" s="5">
        <v>24.509803921568626</v>
      </c>
      <c r="AJ4" s="5">
        <v>1.1911764705882353</v>
      </c>
      <c r="AL4" s="25">
        <v>2</v>
      </c>
      <c r="AM4" s="5">
        <v>24.5</v>
      </c>
      <c r="AN4" s="5">
        <v>19.607843137254903</v>
      </c>
      <c r="AO4" s="5">
        <v>1.5941176470588234</v>
      </c>
      <c r="AQ4" s="25">
        <v>2</v>
      </c>
      <c r="AR4" s="5">
        <v>82.1</v>
      </c>
      <c r="AS4" s="5">
        <v>12.621359223300971</v>
      </c>
      <c r="AT4" s="5">
        <v>1.0631067961165046</v>
      </c>
      <c r="AV4" s="25">
        <v>2</v>
      </c>
      <c r="AW4" s="5">
        <v>32.9</v>
      </c>
      <c r="AX4" s="5">
        <v>33.009708737864081</v>
      </c>
      <c r="AY4" s="5">
        <v>2.1271844660194175</v>
      </c>
      <c r="BA4" s="25">
        <v>2</v>
      </c>
      <c r="BB4" s="5">
        <v>26</v>
      </c>
      <c r="BC4" s="5">
        <v>35.922330097087382</v>
      </c>
      <c r="BD4" s="5">
        <v>1.6407766990291259</v>
      </c>
      <c r="BF4" s="25">
        <v>2</v>
      </c>
      <c r="BG4" s="5">
        <v>38.200000000000003</v>
      </c>
      <c r="BH4" s="5">
        <v>40.776699029126213</v>
      </c>
      <c r="BI4" s="5">
        <v>2.4067961165048546</v>
      </c>
      <c r="BK4" s="25">
        <v>2</v>
      </c>
      <c r="BL4" s="5">
        <v>42.5</v>
      </c>
      <c r="BM4" s="5">
        <v>53.398058252427184</v>
      </c>
      <c r="BN4" s="5">
        <v>4.5203883495145636</v>
      </c>
    </row>
    <row r="5" spans="1:66">
      <c r="A5" s="27">
        <v>40911</v>
      </c>
      <c r="B5" s="18">
        <v>5.3499999999999979</v>
      </c>
      <c r="C5" s="18">
        <v>3.2519607843137242</v>
      </c>
      <c r="D5" s="18">
        <v>30.2</v>
      </c>
      <c r="E5">
        <v>1985</v>
      </c>
      <c r="F5" s="18">
        <v>60.784313725490193</v>
      </c>
      <c r="G5"/>
      <c r="H5" s="19">
        <v>3</v>
      </c>
      <c r="I5" s="5">
        <v>30.2</v>
      </c>
      <c r="J5" s="18">
        <v>60.784313725490193</v>
      </c>
      <c r="K5" s="5">
        <v>3.2519607843137242</v>
      </c>
      <c r="L5"/>
      <c r="M5" s="25">
        <v>3</v>
      </c>
      <c r="N5" s="5">
        <v>28.9</v>
      </c>
      <c r="O5" s="5">
        <v>59.803921568627452</v>
      </c>
      <c r="P5" s="5">
        <v>3.077450980392157</v>
      </c>
      <c r="Q5" s="18"/>
      <c r="R5" s="25">
        <v>3</v>
      </c>
      <c r="S5" s="5">
        <v>25</v>
      </c>
      <c r="T5" s="5">
        <v>52.941176470588239</v>
      </c>
      <c r="U5" s="5">
        <v>2.0666666666666664</v>
      </c>
      <c r="W5" s="25">
        <v>3</v>
      </c>
      <c r="X5" s="5">
        <v>12.2</v>
      </c>
      <c r="Y5" s="5">
        <v>30.392156862745097</v>
      </c>
      <c r="Z5" s="5">
        <v>1.006862745098039</v>
      </c>
      <c r="AB5" s="25">
        <v>3</v>
      </c>
      <c r="AC5" s="5">
        <v>23.3</v>
      </c>
      <c r="AD5" s="5">
        <v>33.333333333333329</v>
      </c>
      <c r="AE5" s="5">
        <v>1.0202020202019113</v>
      </c>
      <c r="AG5" s="25">
        <v>3</v>
      </c>
      <c r="AH5" s="5">
        <v>11.5</v>
      </c>
      <c r="AI5" s="5">
        <v>20.588235294117645</v>
      </c>
      <c r="AJ5" s="5">
        <v>0.80490196078431386</v>
      </c>
      <c r="AL5" s="25">
        <v>3</v>
      </c>
      <c r="AM5" s="5">
        <v>71.5</v>
      </c>
      <c r="AN5" s="5">
        <v>18.627450980392158</v>
      </c>
      <c r="AO5" s="5">
        <v>2.197058823529412</v>
      </c>
      <c r="AQ5" s="25">
        <v>3</v>
      </c>
      <c r="AR5" s="5">
        <v>24.5</v>
      </c>
      <c r="AS5" s="5">
        <v>13.592233009708737</v>
      </c>
      <c r="AT5" s="5">
        <v>0.78737864077669895</v>
      </c>
      <c r="AV5" s="25">
        <v>3</v>
      </c>
      <c r="AW5" s="5">
        <v>37</v>
      </c>
      <c r="AX5" s="5">
        <v>32.038834951456316</v>
      </c>
      <c r="AY5" s="5">
        <v>2.1970873786407772</v>
      </c>
      <c r="BA5" s="25">
        <v>3</v>
      </c>
      <c r="BB5" s="5">
        <v>131.30000000000001</v>
      </c>
      <c r="BC5" s="5">
        <v>39.805825242718448</v>
      </c>
      <c r="BD5" s="5">
        <v>3.3203883495145639</v>
      </c>
      <c r="BF5" s="25">
        <v>3</v>
      </c>
      <c r="BG5" s="5">
        <v>44.5</v>
      </c>
      <c r="BH5" s="5">
        <v>36.893203883495147</v>
      </c>
      <c r="BI5" s="5">
        <v>2.063106796116505</v>
      </c>
      <c r="BK5" s="25">
        <v>3</v>
      </c>
      <c r="BL5" s="5">
        <v>30</v>
      </c>
      <c r="BM5" s="5">
        <v>49.514563106796118</v>
      </c>
      <c r="BN5" s="5">
        <v>3.0485436893203883</v>
      </c>
    </row>
    <row r="6" spans="1:66">
      <c r="A6" s="27">
        <v>40912</v>
      </c>
      <c r="B6" s="18">
        <v>6.9999999999999982</v>
      </c>
      <c r="C6" s="18">
        <v>4.1176470588235281</v>
      </c>
      <c r="D6" s="18">
        <v>26.6</v>
      </c>
      <c r="E6">
        <v>2002</v>
      </c>
      <c r="F6" s="18">
        <v>58.82352941176471</v>
      </c>
      <c r="G6"/>
      <c r="H6" s="19">
        <v>4</v>
      </c>
      <c r="I6" s="5">
        <v>26.6</v>
      </c>
      <c r="J6" s="18">
        <v>58.82352941176471</v>
      </c>
      <c r="K6" s="5">
        <v>4.1176470588235281</v>
      </c>
      <c r="L6"/>
      <c r="M6" s="25">
        <v>4</v>
      </c>
      <c r="N6" s="5">
        <v>30</v>
      </c>
      <c r="O6" s="5">
        <v>48.03921568627451</v>
      </c>
      <c r="P6" s="5">
        <v>2.2696078431372544</v>
      </c>
      <c r="Q6" s="18"/>
      <c r="R6" s="25">
        <v>4</v>
      </c>
      <c r="S6" s="5">
        <v>28.7</v>
      </c>
      <c r="T6" s="5">
        <v>43.137254901960787</v>
      </c>
      <c r="U6" s="5">
        <v>2.1549019607843132</v>
      </c>
      <c r="W6" s="25">
        <v>4</v>
      </c>
      <c r="X6" s="5">
        <v>18.399999999999999</v>
      </c>
      <c r="Y6" s="5">
        <v>33.333333333333329</v>
      </c>
      <c r="Z6" s="5">
        <v>0.9539215686274507</v>
      </c>
      <c r="AB6" s="25">
        <v>4</v>
      </c>
      <c r="AC6" s="5">
        <v>14</v>
      </c>
      <c r="AD6" s="5">
        <v>26.47058823529412</v>
      </c>
      <c r="AE6" s="5">
        <v>1.1050505050503823</v>
      </c>
      <c r="AG6" s="25">
        <v>4</v>
      </c>
      <c r="AH6" s="5">
        <v>13.1</v>
      </c>
      <c r="AI6" s="5">
        <v>24.509803921568626</v>
      </c>
      <c r="AJ6" s="5">
        <v>0.91176470588235303</v>
      </c>
      <c r="AL6" s="25">
        <v>4</v>
      </c>
      <c r="AM6" s="5">
        <v>33.200000000000003</v>
      </c>
      <c r="AN6" s="5">
        <v>16.666666666666664</v>
      </c>
      <c r="AO6" s="5">
        <v>1.5284313725490197</v>
      </c>
      <c r="AQ6" s="25">
        <v>4</v>
      </c>
      <c r="AR6" s="5">
        <v>13.9</v>
      </c>
      <c r="AS6" s="5">
        <v>14.563106796116504</v>
      </c>
      <c r="AT6" s="5">
        <v>0.56213592233009713</v>
      </c>
      <c r="AV6" s="25">
        <v>4</v>
      </c>
      <c r="AW6" s="5">
        <v>23.7</v>
      </c>
      <c r="AX6" s="5">
        <v>27.184466019417474</v>
      </c>
      <c r="AY6" s="5">
        <v>1.480582524271844</v>
      </c>
      <c r="BA6" s="25">
        <v>4</v>
      </c>
      <c r="BB6" s="5">
        <v>38.5</v>
      </c>
      <c r="BC6" s="5">
        <v>38.834951456310677</v>
      </c>
      <c r="BD6" s="5">
        <v>2.3106796116504853</v>
      </c>
      <c r="BF6" s="25">
        <v>4</v>
      </c>
      <c r="BG6" s="5">
        <v>29.3</v>
      </c>
      <c r="BH6" s="5">
        <v>39.805825242718448</v>
      </c>
      <c r="BI6" s="5">
        <v>2.2640776699029121</v>
      </c>
      <c r="BK6" s="25">
        <v>4</v>
      </c>
      <c r="BL6" s="5">
        <v>55.1</v>
      </c>
      <c r="BM6" s="5">
        <v>47.572815533980581</v>
      </c>
      <c r="BN6" s="5">
        <v>4.0970873786407775</v>
      </c>
    </row>
    <row r="7" spans="1:66">
      <c r="A7" s="27">
        <v>40913</v>
      </c>
      <c r="B7" s="18">
        <v>6.6480769230769239</v>
      </c>
      <c r="C7" s="18">
        <v>3.3892156862745102</v>
      </c>
      <c r="D7" s="18">
        <v>39.4</v>
      </c>
      <c r="E7">
        <v>1952</v>
      </c>
      <c r="F7" s="18">
        <v>50.980392156862742</v>
      </c>
      <c r="G7"/>
      <c r="H7" s="19">
        <v>5</v>
      </c>
      <c r="I7" s="5">
        <v>39.4</v>
      </c>
      <c r="J7" s="18">
        <v>50.980392156862742</v>
      </c>
      <c r="K7" s="5">
        <v>3.3892156862745102</v>
      </c>
      <c r="L7"/>
      <c r="M7" s="25">
        <v>5</v>
      </c>
      <c r="N7" s="5">
        <v>51</v>
      </c>
      <c r="O7" s="5">
        <v>45.098039215686278</v>
      </c>
      <c r="P7" s="5">
        <v>2.7960784313725484</v>
      </c>
      <c r="Q7" s="18"/>
      <c r="R7" s="25">
        <v>5</v>
      </c>
      <c r="S7" s="5">
        <v>43.6</v>
      </c>
      <c r="T7" s="5">
        <v>44.117647058823529</v>
      </c>
      <c r="U7" s="5">
        <v>2.6196078431372554</v>
      </c>
      <c r="W7" s="25">
        <v>5</v>
      </c>
      <c r="X7" s="5">
        <v>30.9</v>
      </c>
      <c r="Y7" s="5">
        <v>37.254901960784316</v>
      </c>
      <c r="Z7" s="5">
        <v>1.9843137254901959</v>
      </c>
      <c r="AB7" s="25">
        <v>5</v>
      </c>
      <c r="AC7" s="5">
        <v>22</v>
      </c>
      <c r="AD7" s="5">
        <v>24.509803921568626</v>
      </c>
      <c r="AE7" s="5">
        <v>1.160606060605937</v>
      </c>
      <c r="AG7" s="25">
        <v>5</v>
      </c>
      <c r="AH7" s="5">
        <v>24.5</v>
      </c>
      <c r="AI7" s="5">
        <v>24.509803921568626</v>
      </c>
      <c r="AJ7" s="5">
        <v>0.97549019607843124</v>
      </c>
      <c r="AL7" s="25">
        <v>5</v>
      </c>
      <c r="AM7" s="5">
        <v>33.799999999999997</v>
      </c>
      <c r="AN7" s="5">
        <v>18.627450980392158</v>
      </c>
      <c r="AO7" s="5">
        <v>1.0490196078431371</v>
      </c>
      <c r="AQ7" s="25">
        <v>5</v>
      </c>
      <c r="AR7" s="5">
        <v>35</v>
      </c>
      <c r="AS7" s="5">
        <v>15.53398058252427</v>
      </c>
      <c r="AT7" s="5">
        <v>0.93106796116504831</v>
      </c>
      <c r="AV7" s="25">
        <v>5</v>
      </c>
      <c r="AW7" s="5">
        <v>19.8</v>
      </c>
      <c r="AX7" s="5">
        <v>28.155339805825243</v>
      </c>
      <c r="AY7" s="5">
        <v>1.6611650485436891</v>
      </c>
      <c r="BA7" s="25">
        <v>5</v>
      </c>
      <c r="BB7" s="5">
        <v>34.5</v>
      </c>
      <c r="BC7" s="5">
        <v>27.184466019417474</v>
      </c>
      <c r="BD7" s="5">
        <v>1.4213592233009706</v>
      </c>
      <c r="BF7" s="25">
        <v>5</v>
      </c>
      <c r="BG7" s="5">
        <v>34</v>
      </c>
      <c r="BH7" s="5">
        <v>47.572815533980581</v>
      </c>
      <c r="BI7" s="5">
        <v>2.9640776699029128</v>
      </c>
      <c r="BK7" s="25">
        <v>5</v>
      </c>
      <c r="BL7" s="5">
        <v>36.4</v>
      </c>
      <c r="BM7" s="5">
        <v>55.339805825242713</v>
      </c>
      <c r="BN7" s="5">
        <v>3.8155339805825244</v>
      </c>
    </row>
    <row r="8" spans="1:66">
      <c r="A8" s="27">
        <v>40914</v>
      </c>
      <c r="B8" s="18">
        <v>5.0479999999999992</v>
      </c>
      <c r="C8" s="18">
        <v>2.4745098039215683</v>
      </c>
      <c r="D8" s="18">
        <v>23.7</v>
      </c>
      <c r="E8">
        <v>1944</v>
      </c>
      <c r="F8" s="18">
        <v>49.019607843137251</v>
      </c>
      <c r="G8"/>
      <c r="H8" s="19">
        <v>6</v>
      </c>
      <c r="I8" s="5">
        <v>23.7</v>
      </c>
      <c r="J8" s="18">
        <v>49.019607843137251</v>
      </c>
      <c r="K8" s="5">
        <v>2.4745098039215683</v>
      </c>
      <c r="L8"/>
      <c r="M8" s="25">
        <v>6</v>
      </c>
      <c r="N8" s="5">
        <v>29</v>
      </c>
      <c r="O8" s="5">
        <v>60.784313725490193</v>
      </c>
      <c r="P8" s="5">
        <v>3.2274509803921556</v>
      </c>
      <c r="Q8" s="18"/>
      <c r="R8" s="25">
        <v>6</v>
      </c>
      <c r="S8" s="5">
        <v>22.7</v>
      </c>
      <c r="T8" s="5">
        <v>46.078431372549019</v>
      </c>
      <c r="U8" s="5">
        <v>2.0598039215686272</v>
      </c>
      <c r="W8" s="25">
        <v>6</v>
      </c>
      <c r="X8" s="5">
        <v>17.100000000000001</v>
      </c>
      <c r="Y8" s="5">
        <v>35.294117647058826</v>
      </c>
      <c r="Z8" s="5">
        <v>1.6147058823529414</v>
      </c>
      <c r="AB8" s="25">
        <v>6</v>
      </c>
      <c r="AC8" s="5">
        <v>41.4</v>
      </c>
      <c r="AD8" s="5">
        <v>24.509803921568626</v>
      </c>
      <c r="AE8" s="5">
        <v>1.4323232323228143</v>
      </c>
      <c r="AG8" s="25">
        <v>6</v>
      </c>
      <c r="AH8" s="5">
        <v>33.5</v>
      </c>
      <c r="AI8" s="5">
        <v>21.568627450980394</v>
      </c>
      <c r="AJ8" s="5">
        <v>1.9549019607843134</v>
      </c>
      <c r="AL8" s="25">
        <v>6</v>
      </c>
      <c r="AM8" s="5">
        <v>100.5</v>
      </c>
      <c r="AN8" s="5">
        <v>17.647058823529413</v>
      </c>
      <c r="AO8" s="5">
        <v>2.8127450980392159</v>
      </c>
      <c r="AQ8" s="25">
        <v>6</v>
      </c>
      <c r="AR8" s="5">
        <v>32.700000000000003</v>
      </c>
      <c r="AS8" s="5">
        <v>12.621359223300971</v>
      </c>
      <c r="AT8" s="5">
        <v>0.77184466019417475</v>
      </c>
      <c r="AV8" s="25">
        <v>6</v>
      </c>
      <c r="AW8" s="5">
        <v>66.400000000000006</v>
      </c>
      <c r="AX8" s="5">
        <v>31.067961165048541</v>
      </c>
      <c r="AY8" s="5">
        <v>3.5485436893203883</v>
      </c>
      <c r="BA8" s="25">
        <v>6</v>
      </c>
      <c r="BB8" s="5">
        <v>37.700000000000003</v>
      </c>
      <c r="BC8" s="5">
        <v>33.980582524271846</v>
      </c>
      <c r="BD8" s="5">
        <v>2.1368932038834947</v>
      </c>
      <c r="BF8" s="25">
        <v>6</v>
      </c>
      <c r="BG8" s="5">
        <v>32.5</v>
      </c>
      <c r="BH8" s="5">
        <v>44.660194174757287</v>
      </c>
      <c r="BI8" s="5">
        <v>2.7349514563106792</v>
      </c>
      <c r="BK8" s="25">
        <v>6</v>
      </c>
      <c r="BL8" s="5">
        <v>59.3</v>
      </c>
      <c r="BM8" s="5">
        <v>51.456310679611647</v>
      </c>
      <c r="BN8" s="5">
        <v>3.7029126213592236</v>
      </c>
    </row>
    <row r="9" spans="1:66">
      <c r="A9" s="27">
        <v>40915</v>
      </c>
      <c r="B9" s="18">
        <v>5.8567164179104481</v>
      </c>
      <c r="C9" s="18">
        <v>3.8470588235294123</v>
      </c>
      <c r="D9" s="18">
        <v>23.5</v>
      </c>
      <c r="E9">
        <v>1915</v>
      </c>
      <c r="F9" s="18">
        <v>65.686274509803923</v>
      </c>
      <c r="G9"/>
      <c r="H9" s="19">
        <v>7</v>
      </c>
      <c r="I9" s="5">
        <v>23.5</v>
      </c>
      <c r="J9" s="18">
        <v>65.686274509803923</v>
      </c>
      <c r="K9" s="5">
        <v>3.8470588235294123</v>
      </c>
      <c r="L9"/>
      <c r="M9" s="25">
        <v>7</v>
      </c>
      <c r="N9" s="5">
        <v>33.700000000000003</v>
      </c>
      <c r="O9" s="5">
        <v>59.803921568627452</v>
      </c>
      <c r="P9" s="5">
        <v>3.4098039215686264</v>
      </c>
      <c r="Q9" s="18"/>
      <c r="R9" s="25">
        <v>7</v>
      </c>
      <c r="S9" s="5">
        <v>43.8</v>
      </c>
      <c r="T9" s="5">
        <v>45.098039215686278</v>
      </c>
      <c r="U9" s="5">
        <v>2.9156862745098042</v>
      </c>
      <c r="W9" s="25">
        <v>7</v>
      </c>
      <c r="X9" s="5">
        <v>23.2</v>
      </c>
      <c r="Y9" s="5">
        <v>40.196078431372548</v>
      </c>
      <c r="Z9" s="5">
        <v>2.2764705882352945</v>
      </c>
      <c r="AB9" s="25">
        <v>7</v>
      </c>
      <c r="AC9" s="5">
        <v>27.8</v>
      </c>
      <c r="AD9" s="5">
        <v>28.431372549019606</v>
      </c>
      <c r="AE9" s="5">
        <v>1.2080808080804144</v>
      </c>
      <c r="AG9" s="25">
        <v>7</v>
      </c>
      <c r="AH9" s="5">
        <v>46</v>
      </c>
      <c r="AI9" s="5">
        <v>23.52941176470588</v>
      </c>
      <c r="AJ9" s="5">
        <v>2.3264705882352943</v>
      </c>
      <c r="AL9" s="25">
        <v>7</v>
      </c>
      <c r="AM9" s="5">
        <v>16.100000000000001</v>
      </c>
      <c r="AN9" s="5">
        <v>19.607843137254903</v>
      </c>
      <c r="AO9" s="5">
        <v>0.6</v>
      </c>
      <c r="AQ9" s="25">
        <v>7</v>
      </c>
      <c r="AR9" s="5">
        <v>23.7</v>
      </c>
      <c r="AS9" s="5">
        <v>18.446601941747574</v>
      </c>
      <c r="AT9" s="5">
        <v>0.67864077669902922</v>
      </c>
      <c r="AV9" s="25">
        <v>7</v>
      </c>
      <c r="AW9" s="5">
        <v>80.099999999999994</v>
      </c>
      <c r="AX9" s="5">
        <v>33.980582524271846</v>
      </c>
      <c r="AY9" s="5">
        <v>4.272815533980582</v>
      </c>
      <c r="BA9" s="25">
        <v>7</v>
      </c>
      <c r="BB9" s="5">
        <v>120.5</v>
      </c>
      <c r="BC9" s="5">
        <v>31.067961165048541</v>
      </c>
      <c r="BD9" s="5">
        <v>3.8126213592233009</v>
      </c>
      <c r="BF9" s="25">
        <v>7</v>
      </c>
      <c r="BG9" s="5">
        <v>35.299999999999997</v>
      </c>
      <c r="BH9" s="5">
        <v>41.747572815533978</v>
      </c>
      <c r="BI9" s="5">
        <v>2.1902912621359221</v>
      </c>
      <c r="BK9" s="25">
        <v>7</v>
      </c>
      <c r="BL9" s="5">
        <v>66</v>
      </c>
      <c r="BM9" s="5">
        <v>60.194174757281552</v>
      </c>
      <c r="BN9" s="5">
        <v>5.4067961165048546</v>
      </c>
    </row>
    <row r="10" spans="1:66">
      <c r="A10" s="27">
        <v>40916</v>
      </c>
      <c r="B10" s="18">
        <v>6.4709677419354881</v>
      </c>
      <c r="C10" s="18">
        <v>3.9333333333333358</v>
      </c>
      <c r="D10" s="18">
        <v>39</v>
      </c>
      <c r="E10">
        <v>1975</v>
      </c>
      <c r="F10" s="18">
        <v>60.784313725490193</v>
      </c>
      <c r="G10"/>
      <c r="H10" s="19">
        <v>8</v>
      </c>
      <c r="I10" s="5">
        <v>39</v>
      </c>
      <c r="J10" s="18">
        <v>60.784313725490193</v>
      </c>
      <c r="K10" s="5">
        <v>3.9333333333333358</v>
      </c>
      <c r="L10"/>
      <c r="M10" s="25">
        <v>8</v>
      </c>
      <c r="N10" s="5">
        <v>57.5</v>
      </c>
      <c r="O10" s="5">
        <v>51.960784313725497</v>
      </c>
      <c r="P10" s="5">
        <v>3.6215686274509817</v>
      </c>
      <c r="Q10" s="18"/>
      <c r="R10" s="25">
        <v>8</v>
      </c>
      <c r="S10" s="5">
        <v>20</v>
      </c>
      <c r="T10" s="5">
        <v>46.078431372549019</v>
      </c>
      <c r="U10" s="5">
        <v>2.1137254901960785</v>
      </c>
      <c r="W10" s="25">
        <v>8</v>
      </c>
      <c r="X10" s="5">
        <v>23</v>
      </c>
      <c r="Y10" s="5">
        <v>40.196078431372548</v>
      </c>
      <c r="Z10" s="5">
        <v>1.7313725490196075</v>
      </c>
      <c r="AB10" s="25">
        <v>8</v>
      </c>
      <c r="AC10" s="5">
        <v>18.899999999999999</v>
      </c>
      <c r="AD10" s="5">
        <v>26.47058823529412</v>
      </c>
      <c r="AE10" s="5">
        <v>1.1121212121210287</v>
      </c>
      <c r="AG10" s="25">
        <v>8</v>
      </c>
      <c r="AH10" s="5">
        <v>34.200000000000003</v>
      </c>
      <c r="AI10" s="5">
        <v>33.333333333333329</v>
      </c>
      <c r="AJ10" s="5">
        <v>1.8049019607843133</v>
      </c>
      <c r="AL10" s="25">
        <v>8</v>
      </c>
      <c r="AM10" s="5">
        <v>41.7</v>
      </c>
      <c r="AN10" s="5">
        <v>16.666666666666664</v>
      </c>
      <c r="AO10" s="5">
        <v>0.96666666666666679</v>
      </c>
      <c r="AQ10" s="25">
        <v>8</v>
      </c>
      <c r="AR10" s="5">
        <v>88.7</v>
      </c>
      <c r="AS10" s="5">
        <v>13.592233009708737</v>
      </c>
      <c r="AT10" s="5">
        <v>1.6077669902912619</v>
      </c>
      <c r="AV10" s="25">
        <v>8</v>
      </c>
      <c r="AW10" s="5">
        <v>76.400000000000006</v>
      </c>
      <c r="AX10" s="5">
        <v>29.126213592233007</v>
      </c>
      <c r="AY10" s="5">
        <v>3.330097087378642</v>
      </c>
      <c r="BA10" s="25">
        <v>8</v>
      </c>
      <c r="BB10" s="5">
        <v>91.2</v>
      </c>
      <c r="BC10" s="5">
        <v>34.95145631067961</v>
      </c>
      <c r="BD10" s="5">
        <v>3.1378640776699029</v>
      </c>
      <c r="BF10" s="25">
        <v>8</v>
      </c>
      <c r="BG10" s="5">
        <v>23.6</v>
      </c>
      <c r="BH10" s="5">
        <v>44.660194174757287</v>
      </c>
      <c r="BI10" s="5">
        <v>1.9611650485436893</v>
      </c>
      <c r="BK10" s="25">
        <v>8</v>
      </c>
      <c r="BL10" s="5">
        <v>29.2</v>
      </c>
      <c r="BM10" s="5">
        <v>61.165048543689316</v>
      </c>
      <c r="BN10" s="5">
        <v>4.5504854368932035</v>
      </c>
    </row>
    <row r="11" spans="1:66">
      <c r="A11" s="27">
        <v>40917</v>
      </c>
      <c r="B11" s="18">
        <v>6.8701754385964895</v>
      </c>
      <c r="C11" s="18">
        <v>3.839215686274509</v>
      </c>
      <c r="D11" s="18">
        <v>37.4</v>
      </c>
      <c r="E11">
        <v>1985</v>
      </c>
      <c r="F11" s="18">
        <v>55.882352941176471</v>
      </c>
      <c r="G11"/>
      <c r="H11" s="19">
        <v>9</v>
      </c>
      <c r="I11" s="5">
        <v>37.4</v>
      </c>
      <c r="J11" s="18">
        <v>55.882352941176471</v>
      </c>
      <c r="K11" s="5">
        <v>3.839215686274509</v>
      </c>
      <c r="L11"/>
      <c r="M11" s="25">
        <v>9</v>
      </c>
      <c r="N11" s="5">
        <v>42.2</v>
      </c>
      <c r="O11" s="5">
        <v>53.921568627450981</v>
      </c>
      <c r="P11" s="5">
        <v>3.0725490196078433</v>
      </c>
      <c r="Q11" s="18"/>
      <c r="R11" s="25">
        <v>9</v>
      </c>
      <c r="S11" s="5">
        <v>26.4</v>
      </c>
      <c r="T11" s="5">
        <v>49.019607843137251</v>
      </c>
      <c r="U11" s="5">
        <v>2.3343137254901958</v>
      </c>
      <c r="W11" s="25">
        <v>9</v>
      </c>
      <c r="X11" s="5">
        <v>45</v>
      </c>
      <c r="Y11" s="5">
        <v>42.156862745098039</v>
      </c>
      <c r="Z11" s="5">
        <v>2.6480392156862749</v>
      </c>
      <c r="AB11" s="25">
        <v>9</v>
      </c>
      <c r="AC11" s="5">
        <v>11.4</v>
      </c>
      <c r="AD11" s="5">
        <v>31.372549019607842</v>
      </c>
      <c r="AE11" s="5">
        <v>0.77171717171696519</v>
      </c>
      <c r="AG11" s="25">
        <v>9</v>
      </c>
      <c r="AH11" s="5">
        <v>30.9</v>
      </c>
      <c r="AI11" s="5">
        <v>22.549019607843139</v>
      </c>
      <c r="AJ11" s="5">
        <v>0.80980392156862735</v>
      </c>
      <c r="AL11" s="25">
        <v>9</v>
      </c>
      <c r="AM11" s="5">
        <v>67.5</v>
      </c>
      <c r="AN11" s="5">
        <v>18.627450980392158</v>
      </c>
      <c r="AO11" s="5">
        <v>2.1450980392156862</v>
      </c>
      <c r="AQ11" s="25">
        <v>9</v>
      </c>
      <c r="AR11" s="5">
        <v>8.8000000000000007</v>
      </c>
      <c r="AS11" s="5">
        <v>17.475728155339805</v>
      </c>
      <c r="AT11" s="5">
        <v>0.43398058252427196</v>
      </c>
      <c r="AV11" s="25">
        <v>9</v>
      </c>
      <c r="AW11" s="5">
        <v>78.2</v>
      </c>
      <c r="AX11" s="5">
        <v>21.359223300970871</v>
      </c>
      <c r="AY11" s="5">
        <v>1.4533980582524273</v>
      </c>
      <c r="BA11" s="25">
        <v>9</v>
      </c>
      <c r="BB11" s="5">
        <v>42</v>
      </c>
      <c r="BC11" s="5">
        <v>35.922330097087382</v>
      </c>
      <c r="BD11" s="5">
        <v>1.8456310679611647</v>
      </c>
      <c r="BF11" s="25">
        <v>9</v>
      </c>
      <c r="BG11" s="5">
        <v>39.5</v>
      </c>
      <c r="BH11" s="5">
        <v>45.631067961165051</v>
      </c>
      <c r="BI11" s="5">
        <v>3.116504854368932</v>
      </c>
      <c r="BK11" s="25">
        <v>9</v>
      </c>
      <c r="BL11" s="5">
        <v>58.5</v>
      </c>
      <c r="BM11" s="5">
        <v>57.28155339805825</v>
      </c>
      <c r="BN11" s="5">
        <v>5.776699029126215</v>
      </c>
    </row>
    <row r="12" spans="1:66">
      <c r="A12" s="27">
        <v>40918</v>
      </c>
      <c r="B12" s="18">
        <v>8.578571428571431</v>
      </c>
      <c r="C12" s="18">
        <v>4.7098039215686285</v>
      </c>
      <c r="D12" s="18">
        <v>46.8</v>
      </c>
      <c r="E12">
        <v>1918</v>
      </c>
      <c r="F12" s="18">
        <v>54.901960784313729</v>
      </c>
      <c r="G12"/>
      <c r="H12" s="19">
        <v>10</v>
      </c>
      <c r="I12" s="5">
        <v>46.8</v>
      </c>
      <c r="J12" s="18">
        <v>54.901960784313729</v>
      </c>
      <c r="K12" s="5">
        <v>4.7098039215686285</v>
      </c>
      <c r="L12"/>
      <c r="M12" s="25">
        <v>10</v>
      </c>
      <c r="N12" s="5">
        <v>45.6</v>
      </c>
      <c r="O12" s="5">
        <v>47.058823529411761</v>
      </c>
      <c r="P12" s="5">
        <v>3.2382352941176475</v>
      </c>
      <c r="Q12" s="18"/>
      <c r="R12" s="25">
        <v>10</v>
      </c>
      <c r="S12" s="5">
        <v>33.5</v>
      </c>
      <c r="T12" s="5">
        <v>51.960784313725497</v>
      </c>
      <c r="U12" s="5">
        <v>3.0627450980392155</v>
      </c>
      <c r="W12" s="25">
        <v>10</v>
      </c>
      <c r="X12" s="5">
        <v>17.5</v>
      </c>
      <c r="Y12" s="5">
        <v>36.274509803921568</v>
      </c>
      <c r="Z12" s="5">
        <v>1.4294117647058822</v>
      </c>
      <c r="AB12" s="25">
        <v>10</v>
      </c>
      <c r="AC12" s="5">
        <v>36.4</v>
      </c>
      <c r="AD12" s="5">
        <v>26.47058823529412</v>
      </c>
      <c r="AE12" s="5">
        <v>1.0171717171718899</v>
      </c>
      <c r="AG12" s="25">
        <v>10</v>
      </c>
      <c r="AH12" s="5">
        <v>49</v>
      </c>
      <c r="AI12" s="5">
        <v>28.431372549019606</v>
      </c>
      <c r="AJ12" s="5">
        <v>1.2705882352941174</v>
      </c>
      <c r="AL12" s="25">
        <v>10</v>
      </c>
      <c r="AM12" s="5">
        <v>22.3</v>
      </c>
      <c r="AN12" s="5">
        <v>15.686274509803921</v>
      </c>
      <c r="AO12" s="5">
        <v>1.0774509803921566</v>
      </c>
      <c r="AQ12" s="25">
        <v>10</v>
      </c>
      <c r="AR12" s="5">
        <v>30.9</v>
      </c>
      <c r="AS12" s="5">
        <v>21.359223300970871</v>
      </c>
      <c r="AT12" s="5">
        <v>1.4922330097087377</v>
      </c>
      <c r="AV12" s="25">
        <v>10</v>
      </c>
      <c r="AW12" s="5">
        <v>123</v>
      </c>
      <c r="AX12" s="5">
        <v>27.184466019417474</v>
      </c>
      <c r="AY12" s="5">
        <v>4.4902912621359228</v>
      </c>
      <c r="BA12" s="25">
        <v>10</v>
      </c>
      <c r="BB12" s="5">
        <v>53</v>
      </c>
      <c r="BC12" s="5">
        <v>40.776699029126213</v>
      </c>
      <c r="BD12" s="5">
        <v>3.1067961165048539</v>
      </c>
      <c r="BF12" s="25">
        <v>10</v>
      </c>
      <c r="BG12" s="5">
        <v>47.5</v>
      </c>
      <c r="BH12" s="5">
        <v>39.805825242718448</v>
      </c>
      <c r="BI12" s="5">
        <v>3.0854368932038847</v>
      </c>
      <c r="BK12" s="25">
        <v>10</v>
      </c>
      <c r="BL12" s="5">
        <v>28.5</v>
      </c>
      <c r="BM12" s="5">
        <v>58.252427184466015</v>
      </c>
      <c r="BN12" s="5">
        <v>3.1029126213592226</v>
      </c>
    </row>
    <row r="13" spans="1:66">
      <c r="A13" s="27">
        <v>40919</v>
      </c>
      <c r="B13" s="18">
        <v>5.9035087719298245</v>
      </c>
      <c r="C13" s="18">
        <v>3.2990196078431371</v>
      </c>
      <c r="D13" s="18">
        <v>35.5</v>
      </c>
      <c r="E13">
        <v>1979</v>
      </c>
      <c r="F13" s="18">
        <v>55.882352941176471</v>
      </c>
      <c r="G13"/>
      <c r="H13" s="19">
        <v>11</v>
      </c>
      <c r="I13" s="5">
        <v>35.5</v>
      </c>
      <c r="J13" s="18">
        <v>55.882352941176471</v>
      </c>
      <c r="K13" s="5">
        <v>3.2990196078431371</v>
      </c>
      <c r="L13"/>
      <c r="M13" s="25">
        <v>11</v>
      </c>
      <c r="N13" s="5">
        <v>31</v>
      </c>
      <c r="O13" s="5">
        <v>48.03921568627451</v>
      </c>
      <c r="P13" s="5">
        <v>2.9264705882352939</v>
      </c>
      <c r="Q13" s="18"/>
      <c r="R13" s="25">
        <v>11</v>
      </c>
      <c r="S13" s="5">
        <v>27.6</v>
      </c>
      <c r="T13" s="5">
        <v>50</v>
      </c>
      <c r="U13" s="5">
        <v>2.8117647058823523</v>
      </c>
      <c r="W13" s="25">
        <v>11</v>
      </c>
      <c r="X13" s="5">
        <v>30.6</v>
      </c>
      <c r="Y13" s="5">
        <v>39.215686274509807</v>
      </c>
      <c r="Z13" s="5">
        <v>1.723529411764706</v>
      </c>
      <c r="AB13" s="25">
        <v>11</v>
      </c>
      <c r="AC13" s="5">
        <v>84</v>
      </c>
      <c r="AD13" s="5">
        <v>31.372549019607842</v>
      </c>
      <c r="AE13" s="5">
        <v>1.8848484848484934</v>
      </c>
      <c r="AG13" s="25">
        <v>11</v>
      </c>
      <c r="AH13" s="5">
        <v>48.6</v>
      </c>
      <c r="AI13" s="5">
        <v>21.568627450980394</v>
      </c>
      <c r="AJ13" s="5">
        <v>1.4970588235294116</v>
      </c>
      <c r="AL13" s="25">
        <v>11</v>
      </c>
      <c r="AM13" s="5">
        <v>59</v>
      </c>
      <c r="AN13" s="5">
        <v>8.8235294117647065</v>
      </c>
      <c r="AO13" s="5">
        <v>0.74019607843137258</v>
      </c>
      <c r="AQ13" s="25">
        <v>11</v>
      </c>
      <c r="AR13" s="5">
        <v>77.5</v>
      </c>
      <c r="AS13" s="5">
        <v>16.50485436893204</v>
      </c>
      <c r="AT13" s="5">
        <v>2.1951456310679616</v>
      </c>
      <c r="AV13" s="25">
        <v>11</v>
      </c>
      <c r="AW13" s="5">
        <v>27</v>
      </c>
      <c r="AX13" s="5">
        <v>28.155339805825243</v>
      </c>
      <c r="AY13" s="5">
        <v>1.6019417475728153</v>
      </c>
      <c r="BA13" s="25">
        <v>11</v>
      </c>
      <c r="BB13" s="5">
        <v>47.9</v>
      </c>
      <c r="BC13" s="5">
        <v>34.95145631067961</v>
      </c>
      <c r="BD13" s="5">
        <v>2.5815533980582526</v>
      </c>
      <c r="BF13" s="25">
        <v>11</v>
      </c>
      <c r="BG13" s="5">
        <v>55.5</v>
      </c>
      <c r="BH13" s="5">
        <v>42.718446601941743</v>
      </c>
      <c r="BI13" s="5">
        <v>3.2572815533980592</v>
      </c>
      <c r="BK13" s="25">
        <v>11</v>
      </c>
      <c r="BL13" s="5">
        <v>47.2</v>
      </c>
      <c r="BM13" s="5">
        <v>57.28155339805825</v>
      </c>
      <c r="BN13" s="5">
        <v>4.1252427184466018</v>
      </c>
    </row>
    <row r="14" spans="1:66">
      <c r="A14" s="27">
        <v>40920</v>
      </c>
      <c r="B14" s="18">
        <v>5.181132075471699</v>
      </c>
      <c r="C14" s="18">
        <v>2.6921568627450982</v>
      </c>
      <c r="D14" s="18">
        <v>27.1</v>
      </c>
      <c r="E14">
        <v>1942</v>
      </c>
      <c r="F14" s="18">
        <v>51.960784313725497</v>
      </c>
      <c r="G14"/>
      <c r="H14" s="19">
        <v>12</v>
      </c>
      <c r="I14" s="5">
        <v>27.1</v>
      </c>
      <c r="J14" s="18">
        <v>51.960784313725497</v>
      </c>
      <c r="K14" s="5">
        <v>2.6921568627450982</v>
      </c>
      <c r="L14"/>
      <c r="M14" s="25">
        <v>12</v>
      </c>
      <c r="N14" s="5">
        <v>30.3</v>
      </c>
      <c r="O14" s="5">
        <v>49.019607843137251</v>
      </c>
      <c r="P14" s="5">
        <v>2.649999999999999</v>
      </c>
      <c r="Q14" s="18"/>
      <c r="R14" s="25">
        <v>12</v>
      </c>
      <c r="S14" s="5">
        <v>31</v>
      </c>
      <c r="T14" s="5">
        <v>46.078431372549019</v>
      </c>
      <c r="U14" s="5">
        <v>2.4578431372549021</v>
      </c>
      <c r="W14" s="25">
        <v>12</v>
      </c>
      <c r="X14" s="5">
        <v>24.8</v>
      </c>
      <c r="Y14" s="5">
        <v>38.235294117647058</v>
      </c>
      <c r="Z14" s="5">
        <v>1.6519607843137254</v>
      </c>
      <c r="AB14" s="25">
        <v>12</v>
      </c>
      <c r="AC14" s="5">
        <v>15.8</v>
      </c>
      <c r="AD14" s="5">
        <v>31.372549019607842</v>
      </c>
      <c r="AE14" s="5">
        <v>1.2747474747474006</v>
      </c>
      <c r="AG14" s="25">
        <v>12</v>
      </c>
      <c r="AH14" s="5">
        <v>25.6</v>
      </c>
      <c r="AI14" s="5">
        <v>25.490196078431371</v>
      </c>
      <c r="AJ14" s="5">
        <v>1.5303921568627448</v>
      </c>
      <c r="AL14" s="25">
        <v>12</v>
      </c>
      <c r="AM14" s="5">
        <v>45.5</v>
      </c>
      <c r="AN14" s="5">
        <v>19.607843137254903</v>
      </c>
      <c r="AO14" s="5">
        <v>1.2117647058823531</v>
      </c>
      <c r="AQ14" s="25">
        <v>12</v>
      </c>
      <c r="AR14" s="5">
        <v>38.9</v>
      </c>
      <c r="AS14" s="5">
        <v>14.563106796116504</v>
      </c>
      <c r="AT14" s="5">
        <v>1.1990291262135919</v>
      </c>
      <c r="AV14" s="25">
        <v>12</v>
      </c>
      <c r="AW14" s="5">
        <v>30.9</v>
      </c>
      <c r="AX14" s="5">
        <v>25.242718446601941</v>
      </c>
      <c r="AY14" s="5">
        <v>1.2747572815533978</v>
      </c>
      <c r="BA14" s="25">
        <v>12</v>
      </c>
      <c r="BB14" s="5">
        <v>27.4</v>
      </c>
      <c r="BC14" s="5">
        <v>42.718446601941743</v>
      </c>
      <c r="BD14" s="5">
        <v>2.4990291262135909</v>
      </c>
      <c r="BF14" s="25">
        <v>12</v>
      </c>
      <c r="BG14" s="5">
        <v>37.6</v>
      </c>
      <c r="BH14" s="5">
        <v>49.514563106796118</v>
      </c>
      <c r="BI14" s="5">
        <v>2.2699029126213595</v>
      </c>
      <c r="BK14" s="25">
        <v>12</v>
      </c>
      <c r="BL14" s="5">
        <v>44.3</v>
      </c>
      <c r="BM14" s="5">
        <v>65.048543689320397</v>
      </c>
      <c r="BN14" s="5">
        <v>5.3203883495145643</v>
      </c>
    </row>
    <row r="15" spans="1:66">
      <c r="A15" s="27">
        <v>40921</v>
      </c>
      <c r="B15" s="18">
        <v>5.9682539682539675</v>
      </c>
      <c r="C15" s="18">
        <v>3.6862745098039209</v>
      </c>
      <c r="D15" s="18">
        <v>31.3</v>
      </c>
      <c r="E15">
        <v>1959</v>
      </c>
      <c r="F15" s="18">
        <v>61.764705882352942</v>
      </c>
      <c r="G15"/>
      <c r="H15" s="19">
        <v>13</v>
      </c>
      <c r="I15" s="5">
        <v>31.3</v>
      </c>
      <c r="J15" s="18">
        <v>61.764705882352942</v>
      </c>
      <c r="K15" s="5">
        <v>3.6862745098039209</v>
      </c>
      <c r="L15"/>
      <c r="M15" s="25">
        <v>13</v>
      </c>
      <c r="N15" s="5">
        <v>19.100000000000001</v>
      </c>
      <c r="O15" s="5">
        <v>54.901960784313729</v>
      </c>
      <c r="P15" s="5">
        <v>2.6333333333333337</v>
      </c>
      <c r="Q15" s="18"/>
      <c r="R15" s="25">
        <v>13</v>
      </c>
      <c r="S15" s="5">
        <v>16.899999999999999</v>
      </c>
      <c r="T15" s="5">
        <v>44.117647058823529</v>
      </c>
      <c r="U15" s="5">
        <v>1.8421568627450982</v>
      </c>
      <c r="W15" s="25">
        <v>13</v>
      </c>
      <c r="X15" s="5">
        <v>19</v>
      </c>
      <c r="Y15" s="5">
        <v>40.196078431372548</v>
      </c>
      <c r="Z15" s="5">
        <v>1.8117647058823523</v>
      </c>
      <c r="AB15" s="25">
        <v>13</v>
      </c>
      <c r="AC15" s="5">
        <v>15.5</v>
      </c>
      <c r="AD15" s="5">
        <v>37.254901960784316</v>
      </c>
      <c r="AE15" s="5">
        <v>1.3575757575753775</v>
      </c>
      <c r="AG15" s="25">
        <v>13</v>
      </c>
      <c r="AH15" s="5">
        <v>26.8</v>
      </c>
      <c r="AI15" s="5">
        <v>17.647058823529413</v>
      </c>
      <c r="AJ15" s="5">
        <v>0.8715686274509804</v>
      </c>
      <c r="AL15" s="25">
        <v>13</v>
      </c>
      <c r="AM15" s="5">
        <v>30.9</v>
      </c>
      <c r="AN15" s="5">
        <v>15.686274509803921</v>
      </c>
      <c r="AO15" s="5">
        <v>1.3333333333333333</v>
      </c>
      <c r="AQ15" s="25">
        <v>13</v>
      </c>
      <c r="AR15" s="5">
        <v>49.5</v>
      </c>
      <c r="AS15" s="5">
        <v>17.475728155339805</v>
      </c>
      <c r="AT15" s="5">
        <v>1.6300970873786411</v>
      </c>
      <c r="AV15" s="25">
        <v>13</v>
      </c>
      <c r="AW15" s="5">
        <v>23.8</v>
      </c>
      <c r="AX15" s="5">
        <v>26.21359223300971</v>
      </c>
      <c r="AY15" s="5">
        <v>1.4213592233009706</v>
      </c>
      <c r="BA15" s="25">
        <v>13</v>
      </c>
      <c r="BB15" s="5">
        <v>117</v>
      </c>
      <c r="BC15" s="5">
        <v>44.660194174757287</v>
      </c>
      <c r="BD15" s="5">
        <v>5.7533980582524276</v>
      </c>
      <c r="BF15" s="25">
        <v>13</v>
      </c>
      <c r="BG15" s="5">
        <v>37.5</v>
      </c>
      <c r="BH15" s="5">
        <v>42.718446601941743</v>
      </c>
      <c r="BI15" s="5">
        <v>3.0271844660194183</v>
      </c>
      <c r="BK15" s="25">
        <v>13</v>
      </c>
      <c r="BL15" s="5">
        <v>30</v>
      </c>
      <c r="BM15" s="5">
        <v>59.22330097087378</v>
      </c>
      <c r="BN15" s="5">
        <v>3.9941747572815536</v>
      </c>
    </row>
    <row r="16" spans="1:66">
      <c r="A16" s="27">
        <v>40922</v>
      </c>
      <c r="B16" s="18">
        <v>5.4344827586206881</v>
      </c>
      <c r="C16" s="18">
        <v>3.0901960784313718</v>
      </c>
      <c r="D16" s="18">
        <v>24.1</v>
      </c>
      <c r="E16">
        <v>1960</v>
      </c>
      <c r="F16" s="18">
        <v>56.862745098039213</v>
      </c>
      <c r="G16"/>
      <c r="H16" s="19">
        <v>14</v>
      </c>
      <c r="I16" s="5">
        <v>24.1</v>
      </c>
      <c r="J16" s="18">
        <v>56.862745098039213</v>
      </c>
      <c r="K16" s="5">
        <v>3.0901960784313718</v>
      </c>
      <c r="L16"/>
      <c r="M16" s="25">
        <v>14</v>
      </c>
      <c r="N16" s="5">
        <v>51.1</v>
      </c>
      <c r="O16" s="5">
        <v>55.882352941176471</v>
      </c>
      <c r="P16" s="5">
        <v>3.8225490196078442</v>
      </c>
      <c r="Q16" s="18"/>
      <c r="R16" s="25">
        <v>14</v>
      </c>
      <c r="S16" s="5">
        <v>21.4</v>
      </c>
      <c r="T16" s="5">
        <v>48.03921568627451</v>
      </c>
      <c r="U16" s="5">
        <v>1.8294117647058821</v>
      </c>
      <c r="W16" s="25">
        <v>14</v>
      </c>
      <c r="X16" s="5">
        <v>36.5</v>
      </c>
      <c r="Y16" s="5">
        <v>37.254901960784316</v>
      </c>
      <c r="Z16" s="5">
        <v>1.5617647058823529</v>
      </c>
      <c r="AB16" s="25">
        <v>14</v>
      </c>
      <c r="AC16" s="5">
        <v>25.2</v>
      </c>
      <c r="AD16" s="5">
        <v>30.392156862745097</v>
      </c>
      <c r="AE16" s="5">
        <v>1.36161616161605</v>
      </c>
      <c r="AG16" s="25">
        <v>14</v>
      </c>
      <c r="AH16" s="5">
        <v>27.4</v>
      </c>
      <c r="AI16" s="5">
        <v>19.607843137254903</v>
      </c>
      <c r="AJ16" s="5">
        <v>1.1078431372549018</v>
      </c>
      <c r="AL16" s="25">
        <v>14</v>
      </c>
      <c r="AM16" s="5">
        <v>9.6999999999999993</v>
      </c>
      <c r="AN16" s="5">
        <v>11.76470588235294</v>
      </c>
      <c r="AO16" s="5">
        <v>0.37941176470588234</v>
      </c>
      <c r="AQ16" s="25">
        <v>14</v>
      </c>
      <c r="AR16" s="5">
        <v>84</v>
      </c>
      <c r="AS16" s="5">
        <v>12.621359223300971</v>
      </c>
      <c r="AT16" s="5">
        <v>1.2776699029126213</v>
      </c>
      <c r="AV16" s="25">
        <v>14</v>
      </c>
      <c r="AW16" s="5">
        <v>77.8</v>
      </c>
      <c r="AX16" s="5">
        <v>28.155339805825243</v>
      </c>
      <c r="AY16" s="5">
        <v>3.055339805825243</v>
      </c>
      <c r="BA16" s="25">
        <v>14</v>
      </c>
      <c r="BB16" s="5">
        <v>44.5</v>
      </c>
      <c r="BC16" s="5">
        <v>41.747572815533978</v>
      </c>
      <c r="BD16" s="5">
        <v>3.1611650485436891</v>
      </c>
      <c r="BF16" s="25">
        <v>14</v>
      </c>
      <c r="BG16" s="5">
        <v>40.5</v>
      </c>
      <c r="BH16" s="5">
        <v>43.689320388349515</v>
      </c>
      <c r="BI16" s="5">
        <v>3.3834951456310676</v>
      </c>
      <c r="BK16" s="25">
        <v>14</v>
      </c>
      <c r="BL16" s="5">
        <v>48</v>
      </c>
      <c r="BM16" s="5">
        <v>56.310679611650485</v>
      </c>
      <c r="BN16" s="5">
        <v>3.9048543689320399</v>
      </c>
    </row>
    <row r="17" spans="1:66">
      <c r="A17" s="27">
        <v>40923</v>
      </c>
      <c r="B17" s="18">
        <v>5.6476923076923073</v>
      </c>
      <c r="C17" s="18">
        <v>3.5990196078431369</v>
      </c>
      <c r="D17" s="18">
        <v>25.1</v>
      </c>
      <c r="E17">
        <v>1983</v>
      </c>
      <c r="F17" s="18">
        <v>63.725490196078425</v>
      </c>
      <c r="G17"/>
      <c r="H17" s="19">
        <v>15</v>
      </c>
      <c r="I17" s="5">
        <v>25.1</v>
      </c>
      <c r="J17" s="18">
        <v>63.725490196078425</v>
      </c>
      <c r="K17" s="5">
        <v>3.5990196078431369</v>
      </c>
      <c r="L17"/>
      <c r="M17" s="25">
        <v>15</v>
      </c>
      <c r="N17" s="5">
        <v>55.1</v>
      </c>
      <c r="O17" s="5">
        <v>59.803921568627452</v>
      </c>
      <c r="P17" s="5">
        <v>3.0303921568627463</v>
      </c>
      <c r="Q17" s="18"/>
      <c r="R17" s="25">
        <v>15</v>
      </c>
      <c r="S17" s="5">
        <v>39.299999999999997</v>
      </c>
      <c r="T17" s="5">
        <v>45.098039215686278</v>
      </c>
      <c r="U17" s="5">
        <v>2.4323529411764704</v>
      </c>
      <c r="W17" s="25">
        <v>15</v>
      </c>
      <c r="X17" s="5">
        <v>23</v>
      </c>
      <c r="Y17" s="5">
        <v>48.03921568627451</v>
      </c>
      <c r="Z17" s="5">
        <v>2.0333333333333328</v>
      </c>
      <c r="AB17" s="25">
        <v>15</v>
      </c>
      <c r="AC17" s="5">
        <v>19.399999999999999</v>
      </c>
      <c r="AD17" s="5">
        <v>28.431372549019606</v>
      </c>
      <c r="AE17" s="5">
        <v>1.1393939393935888</v>
      </c>
      <c r="AG17" s="25">
        <v>15</v>
      </c>
      <c r="AH17" s="5">
        <v>32.4</v>
      </c>
      <c r="AI17" s="5">
        <v>17.647058823529413</v>
      </c>
      <c r="AJ17" s="5">
        <v>0.91176470588235292</v>
      </c>
      <c r="AL17" s="25">
        <v>15</v>
      </c>
      <c r="AM17" s="5">
        <v>27</v>
      </c>
      <c r="AN17" s="5">
        <v>18.627450980392158</v>
      </c>
      <c r="AO17" s="5">
        <v>0.75098039215686274</v>
      </c>
      <c r="AQ17" s="25">
        <v>15</v>
      </c>
      <c r="AR17" s="5">
        <v>2.8</v>
      </c>
      <c r="AS17" s="5">
        <v>12.621359223300971</v>
      </c>
      <c r="AT17" s="5">
        <v>0.1174757281553398</v>
      </c>
      <c r="AV17" s="25">
        <v>15</v>
      </c>
      <c r="AW17" s="5">
        <v>79.900000000000006</v>
      </c>
      <c r="AX17" s="5">
        <v>26.21359223300971</v>
      </c>
      <c r="AY17" s="5">
        <v>3.0582524271844673</v>
      </c>
      <c r="BA17" s="25">
        <v>15</v>
      </c>
      <c r="BB17" s="5">
        <v>111.8</v>
      </c>
      <c r="BC17" s="5">
        <v>39.805825242718448</v>
      </c>
      <c r="BD17" s="5">
        <v>5.1514563106796123</v>
      </c>
      <c r="BF17" s="25">
        <v>15</v>
      </c>
      <c r="BG17" s="5">
        <v>60.2</v>
      </c>
      <c r="BH17" s="5">
        <v>51.456310679611647</v>
      </c>
      <c r="BI17" s="5">
        <v>3.1475728155339815</v>
      </c>
      <c r="BK17" s="25">
        <v>15</v>
      </c>
      <c r="BL17" s="5">
        <v>36.700000000000003</v>
      </c>
      <c r="BM17" s="5">
        <v>56.310679611650485</v>
      </c>
      <c r="BN17" s="5">
        <v>4.463106796116505</v>
      </c>
    </row>
    <row r="18" spans="1:66">
      <c r="A18" s="27">
        <v>40924</v>
      </c>
      <c r="B18" s="18">
        <v>7.19</v>
      </c>
      <c r="C18" s="18">
        <v>4.2294117647058824</v>
      </c>
      <c r="D18" s="18">
        <v>32.700000000000003</v>
      </c>
      <c r="E18">
        <v>1929</v>
      </c>
      <c r="F18" s="18">
        <v>58.82352941176471</v>
      </c>
      <c r="G18"/>
      <c r="H18" s="19">
        <v>16</v>
      </c>
      <c r="I18" s="5">
        <v>32.700000000000003</v>
      </c>
      <c r="J18" s="18">
        <v>58.82352941176471</v>
      </c>
      <c r="K18" s="5">
        <v>4.2294117647058824</v>
      </c>
      <c r="L18"/>
      <c r="M18" s="25">
        <v>16</v>
      </c>
      <c r="N18" s="5">
        <v>86.9</v>
      </c>
      <c r="O18" s="5">
        <v>58.82352941176471</v>
      </c>
      <c r="P18" s="5">
        <v>3.6588235294117646</v>
      </c>
      <c r="Q18" s="18"/>
      <c r="R18" s="25">
        <v>16</v>
      </c>
      <c r="S18" s="5">
        <v>39.5</v>
      </c>
      <c r="T18" s="5">
        <v>50.980392156862742</v>
      </c>
      <c r="U18" s="5">
        <v>3.0441176470588234</v>
      </c>
      <c r="W18" s="25">
        <v>16</v>
      </c>
      <c r="X18" s="5">
        <v>40.799999999999997</v>
      </c>
      <c r="Y18" s="5">
        <v>45.098039215686278</v>
      </c>
      <c r="Z18" s="5">
        <v>2.5852941176470581</v>
      </c>
      <c r="AB18" s="25">
        <v>16</v>
      </c>
      <c r="AC18" s="5">
        <v>27</v>
      </c>
      <c r="AD18" s="5">
        <v>26.47058823529412</v>
      </c>
      <c r="AE18" s="5">
        <v>0.88484848484838319</v>
      </c>
      <c r="AG18" s="25">
        <v>16</v>
      </c>
      <c r="AH18" s="5">
        <v>28</v>
      </c>
      <c r="AI18" s="5">
        <v>20.588235294117645</v>
      </c>
      <c r="AJ18" s="5">
        <v>0.98627450980392151</v>
      </c>
      <c r="AL18" s="25">
        <v>16</v>
      </c>
      <c r="AM18" s="5">
        <v>20.7</v>
      </c>
      <c r="AN18" s="5">
        <v>8.8235294117647065</v>
      </c>
      <c r="AO18" s="5">
        <v>0.45980392156862743</v>
      </c>
      <c r="AQ18" s="25">
        <v>16</v>
      </c>
      <c r="AR18" s="5">
        <v>41.6</v>
      </c>
      <c r="AS18" s="5">
        <v>13.592233009708737</v>
      </c>
      <c r="AT18" s="5">
        <v>0.64174757281553396</v>
      </c>
      <c r="AV18" s="25">
        <v>16</v>
      </c>
      <c r="AW18" s="5">
        <v>25.2</v>
      </c>
      <c r="AX18" s="5">
        <v>27.184466019417474</v>
      </c>
      <c r="AY18" s="5">
        <v>1.1291262135922331</v>
      </c>
      <c r="BA18" s="25">
        <v>16</v>
      </c>
      <c r="BB18" s="5">
        <v>103.7</v>
      </c>
      <c r="BC18" s="5">
        <v>41.747572815533978</v>
      </c>
      <c r="BD18" s="5">
        <v>3.9466019417475726</v>
      </c>
      <c r="BF18" s="25">
        <v>16</v>
      </c>
      <c r="BG18" s="5">
        <v>94.2</v>
      </c>
      <c r="BH18" s="5">
        <v>53.398058252427184</v>
      </c>
      <c r="BI18" s="5">
        <v>3.9854368932038842</v>
      </c>
      <c r="BK18" s="25">
        <v>16</v>
      </c>
      <c r="BL18" s="5">
        <v>50.6</v>
      </c>
      <c r="BM18" s="5">
        <v>59.22330097087378</v>
      </c>
      <c r="BN18" s="5">
        <v>5.4097087378640785</v>
      </c>
    </row>
    <row r="19" spans="1:66">
      <c r="A19" s="27">
        <v>40925</v>
      </c>
      <c r="B19" s="18">
        <v>5.018965517241381</v>
      </c>
      <c r="C19" s="18">
        <v>2.8539215686274519</v>
      </c>
      <c r="D19" s="18">
        <v>38.6</v>
      </c>
      <c r="E19">
        <v>1922</v>
      </c>
      <c r="F19" s="18">
        <v>56.862745098039213</v>
      </c>
      <c r="G19"/>
      <c r="H19" s="19">
        <v>17</v>
      </c>
      <c r="I19" s="5">
        <v>38.6</v>
      </c>
      <c r="J19" s="18">
        <v>56.862745098039213</v>
      </c>
      <c r="K19" s="5">
        <v>2.8539215686274519</v>
      </c>
      <c r="L19"/>
      <c r="M19" s="25">
        <v>17</v>
      </c>
      <c r="N19" s="5">
        <v>29.6</v>
      </c>
      <c r="O19" s="5">
        <v>50.980392156862742</v>
      </c>
      <c r="P19" s="5">
        <v>3.6990196078431379</v>
      </c>
      <c r="Q19" s="18"/>
      <c r="R19" s="25">
        <v>17</v>
      </c>
      <c r="S19" s="5">
        <v>41.3</v>
      </c>
      <c r="T19" s="5">
        <v>52.941176470588239</v>
      </c>
      <c r="U19" s="5">
        <v>3.2039215686274511</v>
      </c>
      <c r="W19" s="25">
        <v>17</v>
      </c>
      <c r="X19" s="5">
        <v>37</v>
      </c>
      <c r="Y19" s="5">
        <v>41.17647058823529</v>
      </c>
      <c r="Z19" s="5">
        <v>1.8019607843137253</v>
      </c>
      <c r="AB19" s="25">
        <v>17</v>
      </c>
      <c r="AC19" s="5">
        <v>24</v>
      </c>
      <c r="AD19" s="5">
        <v>27.450980392156865</v>
      </c>
      <c r="AE19" s="5">
        <v>1.42828282828246</v>
      </c>
      <c r="AG19" s="25">
        <v>17</v>
      </c>
      <c r="AH19" s="5">
        <v>12.9</v>
      </c>
      <c r="AI19" s="5">
        <v>21.568627450980394</v>
      </c>
      <c r="AJ19" s="5">
        <v>0.49411764705882366</v>
      </c>
      <c r="AL19" s="25">
        <v>17</v>
      </c>
      <c r="AM19" s="5">
        <v>13.6</v>
      </c>
      <c r="AN19" s="5">
        <v>9.8039215686274517</v>
      </c>
      <c r="AO19" s="5">
        <v>0.30784313725490198</v>
      </c>
      <c r="AQ19" s="25">
        <v>17</v>
      </c>
      <c r="AR19" s="5">
        <v>56.3</v>
      </c>
      <c r="AS19" s="5">
        <v>13.592233009708737</v>
      </c>
      <c r="AT19" s="5">
        <v>0.99126213592233015</v>
      </c>
      <c r="AV19" s="25">
        <v>17</v>
      </c>
      <c r="AW19" s="5">
        <v>44</v>
      </c>
      <c r="AX19" s="5">
        <v>19.417475728155338</v>
      </c>
      <c r="AY19" s="5">
        <v>0.8087378640776699</v>
      </c>
      <c r="BA19" s="25">
        <v>17</v>
      </c>
      <c r="BB19" s="5">
        <v>51.5</v>
      </c>
      <c r="BC19" s="5">
        <v>42.718446601941743</v>
      </c>
      <c r="BD19" s="5">
        <v>3.1864077669902913</v>
      </c>
      <c r="BF19" s="25">
        <v>17</v>
      </c>
      <c r="BG19" s="5">
        <v>68.099999999999994</v>
      </c>
      <c r="BH19" s="5">
        <v>49.514563106796118</v>
      </c>
      <c r="BI19" s="5">
        <v>3.7378640776699044</v>
      </c>
      <c r="BK19" s="25">
        <v>17</v>
      </c>
      <c r="BL19" s="5">
        <v>67</v>
      </c>
      <c r="BM19" s="5">
        <v>57.28155339805825</v>
      </c>
      <c r="BN19" s="5">
        <v>5.1310679611650487</v>
      </c>
    </row>
    <row r="20" spans="1:66">
      <c r="A20" s="27">
        <v>40926</v>
      </c>
      <c r="B20" s="18">
        <v>4.8067796610169484</v>
      </c>
      <c r="C20" s="18">
        <v>2.7803921568627445</v>
      </c>
      <c r="D20" s="18">
        <v>25.5</v>
      </c>
      <c r="E20">
        <v>1923</v>
      </c>
      <c r="F20" s="18">
        <v>57.843137254901968</v>
      </c>
      <c r="G20"/>
      <c r="H20" s="19">
        <v>18</v>
      </c>
      <c r="I20" s="5">
        <v>25.5</v>
      </c>
      <c r="J20" s="18">
        <v>57.843137254901968</v>
      </c>
      <c r="K20" s="5">
        <v>2.7803921568627445</v>
      </c>
      <c r="L20"/>
      <c r="M20" s="25">
        <v>18</v>
      </c>
      <c r="N20" s="5">
        <v>26.4</v>
      </c>
      <c r="O20" s="5">
        <v>50.980392156862742</v>
      </c>
      <c r="P20" s="5">
        <v>2.5784313725490189</v>
      </c>
      <c r="Q20" s="18"/>
      <c r="R20" s="25">
        <v>18</v>
      </c>
      <c r="S20" s="5">
        <v>53</v>
      </c>
      <c r="T20" s="5">
        <v>46.078431372549019</v>
      </c>
      <c r="U20" s="5">
        <v>2.2362745098039216</v>
      </c>
      <c r="W20" s="25">
        <v>18</v>
      </c>
      <c r="X20" s="5">
        <v>40.5</v>
      </c>
      <c r="Y20" s="5">
        <v>37.254901960784316</v>
      </c>
      <c r="Z20" s="5">
        <v>2.2568627450980392</v>
      </c>
      <c r="AB20" s="25">
        <v>18</v>
      </c>
      <c r="AC20" s="5">
        <v>24.6</v>
      </c>
      <c r="AD20" s="5">
        <v>27.450980392156865</v>
      </c>
      <c r="AE20" s="5">
        <v>0.86262626262606357</v>
      </c>
      <c r="AG20" s="25">
        <v>18</v>
      </c>
      <c r="AH20" s="5">
        <v>57</v>
      </c>
      <c r="AI20" s="5">
        <v>19.607843137254903</v>
      </c>
      <c r="AJ20" s="5">
        <v>1.3852941176470586</v>
      </c>
      <c r="AL20" s="25">
        <v>18</v>
      </c>
      <c r="AM20" s="5">
        <v>6</v>
      </c>
      <c r="AN20" s="5">
        <v>8.8235294117647065</v>
      </c>
      <c r="AO20" s="5">
        <v>0.28823529411764709</v>
      </c>
      <c r="AQ20" s="25">
        <v>18</v>
      </c>
      <c r="AR20" s="5">
        <v>43.8</v>
      </c>
      <c r="AS20" s="5">
        <v>10.679611650485436</v>
      </c>
      <c r="AT20" s="5">
        <v>0.81747572815533986</v>
      </c>
      <c r="AV20" s="25">
        <v>18</v>
      </c>
      <c r="AW20" s="5">
        <v>19.600000000000001</v>
      </c>
      <c r="AX20" s="5">
        <v>21.359223300970871</v>
      </c>
      <c r="AY20" s="5">
        <v>1.1145631067961166</v>
      </c>
      <c r="BA20" s="25">
        <v>18</v>
      </c>
      <c r="BB20" s="5">
        <v>36.799999999999997</v>
      </c>
      <c r="BC20" s="5">
        <v>33.009708737864081</v>
      </c>
      <c r="BD20" s="5">
        <v>2.2902912621359226</v>
      </c>
      <c r="BF20" s="25">
        <v>18</v>
      </c>
      <c r="BG20" s="5">
        <v>45</v>
      </c>
      <c r="BH20" s="5">
        <v>50.485436893203882</v>
      </c>
      <c r="BI20" s="5">
        <v>3.2087378640776687</v>
      </c>
      <c r="BK20" s="25">
        <v>18</v>
      </c>
      <c r="BL20" s="5">
        <v>58.2</v>
      </c>
      <c r="BM20" s="5">
        <v>58.252427184466015</v>
      </c>
      <c r="BN20" s="5">
        <v>4.8640776699029118</v>
      </c>
    </row>
    <row r="21" spans="1:66">
      <c r="A21" s="27">
        <v>40927</v>
      </c>
      <c r="B21" s="18">
        <v>6.1483333333333308</v>
      </c>
      <c r="C21" s="18">
        <v>3.6166666666666654</v>
      </c>
      <c r="D21" s="18">
        <v>33</v>
      </c>
      <c r="E21">
        <v>1951</v>
      </c>
      <c r="F21" s="18">
        <v>58.82352941176471</v>
      </c>
      <c r="G21"/>
      <c r="H21" s="19">
        <v>19</v>
      </c>
      <c r="I21" s="5">
        <v>33</v>
      </c>
      <c r="J21" s="18">
        <v>58.82352941176471</v>
      </c>
      <c r="K21" s="5">
        <v>3.6166666666666654</v>
      </c>
      <c r="L21"/>
      <c r="M21" s="25">
        <v>19</v>
      </c>
      <c r="N21" s="5">
        <v>19.100000000000001</v>
      </c>
      <c r="O21" s="5">
        <v>47.058823529411761</v>
      </c>
      <c r="P21" s="5">
        <v>1.7735294117647054</v>
      </c>
      <c r="Q21" s="18"/>
      <c r="R21" s="25">
        <v>19</v>
      </c>
      <c r="S21" s="5">
        <v>25.2</v>
      </c>
      <c r="T21" s="5">
        <v>47.058823529411761</v>
      </c>
      <c r="U21" s="5">
        <v>1.6372549019607838</v>
      </c>
      <c r="W21" s="25">
        <v>19</v>
      </c>
      <c r="X21" s="5">
        <v>41.2</v>
      </c>
      <c r="Y21" s="5">
        <v>41.17647058823529</v>
      </c>
      <c r="Z21" s="5">
        <v>2.1607843137254901</v>
      </c>
      <c r="AB21" s="25">
        <v>19</v>
      </c>
      <c r="AC21" s="5">
        <v>21.1</v>
      </c>
      <c r="AD21" s="5">
        <v>29.411764705882355</v>
      </c>
      <c r="AE21" s="5">
        <v>0.95272727272719304</v>
      </c>
      <c r="AG21" s="25">
        <v>19</v>
      </c>
      <c r="AH21" s="5">
        <v>30.5</v>
      </c>
      <c r="AI21" s="5">
        <v>18.627450980392158</v>
      </c>
      <c r="AJ21" s="5">
        <v>0.58235294117647063</v>
      </c>
      <c r="AL21" s="25">
        <v>19</v>
      </c>
      <c r="AM21" s="5">
        <v>9.1999999999999993</v>
      </c>
      <c r="AN21" s="5">
        <v>7.8431372549019605</v>
      </c>
      <c r="AO21" s="5">
        <v>0.18235294117647052</v>
      </c>
      <c r="AQ21" s="25">
        <v>19</v>
      </c>
      <c r="AR21" s="5">
        <v>47</v>
      </c>
      <c r="AS21" s="5">
        <v>13.592233009708737</v>
      </c>
      <c r="AT21" s="5">
        <v>1.5689320388349515</v>
      </c>
      <c r="AV21" s="25">
        <v>19</v>
      </c>
      <c r="AW21" s="5">
        <v>33</v>
      </c>
      <c r="AX21" s="5">
        <v>26.21359223300971</v>
      </c>
      <c r="AY21" s="5">
        <v>1.5805825242718448</v>
      </c>
      <c r="BA21" s="25">
        <v>19</v>
      </c>
      <c r="BB21" s="5">
        <v>45.2</v>
      </c>
      <c r="BC21" s="5">
        <v>41.747572815533978</v>
      </c>
      <c r="BD21" s="5">
        <v>3.6786407766990301</v>
      </c>
      <c r="BF21" s="25">
        <v>19</v>
      </c>
      <c r="BG21" s="5">
        <v>61</v>
      </c>
      <c r="BH21" s="5">
        <v>51.456310679611647</v>
      </c>
      <c r="BI21" s="5">
        <v>5.0902912621359233</v>
      </c>
      <c r="BK21" s="25">
        <v>19</v>
      </c>
      <c r="BL21" s="5">
        <v>28.8</v>
      </c>
      <c r="BM21" s="5">
        <v>64.077669902912632</v>
      </c>
      <c r="BN21" s="5">
        <v>3.1184466019417476</v>
      </c>
    </row>
    <row r="22" spans="1:66">
      <c r="A22" s="27">
        <v>40928</v>
      </c>
      <c r="B22" s="18">
        <v>5.029508196721312</v>
      </c>
      <c r="C22" s="18">
        <v>3.0078431372549019</v>
      </c>
      <c r="D22" s="18">
        <v>32.4</v>
      </c>
      <c r="E22">
        <v>1983</v>
      </c>
      <c r="F22" s="18">
        <v>59.803921568627452</v>
      </c>
      <c r="G22"/>
      <c r="H22" s="19">
        <v>20</v>
      </c>
      <c r="I22" s="5">
        <v>32.4</v>
      </c>
      <c r="J22" s="18">
        <v>59.803921568627452</v>
      </c>
      <c r="K22" s="5">
        <v>3.0078431372549019</v>
      </c>
      <c r="L22"/>
      <c r="M22" s="25">
        <v>20</v>
      </c>
      <c r="N22" s="5">
        <v>52.5</v>
      </c>
      <c r="O22" s="5">
        <v>51.960784313725497</v>
      </c>
      <c r="P22" s="5">
        <v>3.6715686274509802</v>
      </c>
      <c r="Q22" s="18"/>
      <c r="R22" s="25">
        <v>20</v>
      </c>
      <c r="S22" s="5">
        <v>25.2</v>
      </c>
      <c r="T22" s="5">
        <v>42.156862745098039</v>
      </c>
      <c r="U22" s="5">
        <v>1.7950980392156859</v>
      </c>
      <c r="W22" s="25">
        <v>20</v>
      </c>
      <c r="X22" s="5">
        <v>22.1</v>
      </c>
      <c r="Y22" s="5">
        <v>41.17647058823529</v>
      </c>
      <c r="Z22" s="5">
        <v>1.7372549019607841</v>
      </c>
      <c r="AB22" s="25">
        <v>20</v>
      </c>
      <c r="AC22" s="5">
        <v>37</v>
      </c>
      <c r="AD22" s="5">
        <v>25.490196078431371</v>
      </c>
      <c r="AE22" s="5">
        <v>0.95555555555550409</v>
      </c>
      <c r="AG22" s="25">
        <v>20</v>
      </c>
      <c r="AH22" s="5">
        <v>91</v>
      </c>
      <c r="AI22" s="5">
        <v>22.549019607843139</v>
      </c>
      <c r="AJ22" s="5">
        <v>2.3823529411764706</v>
      </c>
      <c r="AL22" s="25">
        <v>20</v>
      </c>
      <c r="AM22" s="5">
        <v>165.8</v>
      </c>
      <c r="AN22" s="5">
        <v>12.745098039215685</v>
      </c>
      <c r="AO22" s="5">
        <v>2.3196078431372547</v>
      </c>
      <c r="AQ22" s="25">
        <v>20</v>
      </c>
      <c r="AR22" s="5">
        <v>49</v>
      </c>
      <c r="AS22" s="5">
        <v>17.475728155339805</v>
      </c>
      <c r="AT22" s="5">
        <v>1.4446601941747574</v>
      </c>
      <c r="AV22" s="25">
        <v>20</v>
      </c>
      <c r="AW22" s="5">
        <v>17.2</v>
      </c>
      <c r="AX22" s="5">
        <v>27.184466019417474</v>
      </c>
      <c r="AY22" s="5">
        <v>0.97961165048543686</v>
      </c>
      <c r="BA22" s="25">
        <v>20</v>
      </c>
      <c r="BB22" s="5">
        <v>21.4</v>
      </c>
      <c r="BC22" s="5">
        <v>31.067961165048541</v>
      </c>
      <c r="BD22" s="5">
        <v>1.6902912621359223</v>
      </c>
      <c r="BF22" s="25">
        <v>20</v>
      </c>
      <c r="BG22" s="5">
        <v>49.6</v>
      </c>
      <c r="BH22" s="5">
        <v>58.252427184466015</v>
      </c>
      <c r="BI22" s="5">
        <v>4.5631067961165046</v>
      </c>
      <c r="BK22" s="25">
        <v>20</v>
      </c>
      <c r="BL22" s="5">
        <v>28.2</v>
      </c>
      <c r="BM22" s="5">
        <v>59.22330097087378</v>
      </c>
      <c r="BN22" s="5">
        <v>4.383495145631068</v>
      </c>
    </row>
    <row r="23" spans="1:66">
      <c r="A23" s="27">
        <v>40929</v>
      </c>
      <c r="B23" s="18">
        <v>5.9249999999999998</v>
      </c>
      <c r="C23" s="18">
        <v>3.4852941176470589</v>
      </c>
      <c r="D23" s="18">
        <v>50.5</v>
      </c>
      <c r="E23">
        <v>2004</v>
      </c>
      <c r="F23" s="18">
        <v>58.82352941176471</v>
      </c>
      <c r="G23"/>
      <c r="H23" s="19">
        <v>21</v>
      </c>
      <c r="I23" s="5">
        <v>50.5</v>
      </c>
      <c r="J23" s="18">
        <v>58.82352941176471</v>
      </c>
      <c r="K23" s="5">
        <v>3.4852941176470589</v>
      </c>
      <c r="L23"/>
      <c r="M23" s="25">
        <v>21</v>
      </c>
      <c r="N23" s="5">
        <v>13.4</v>
      </c>
      <c r="O23" s="5">
        <v>54.901960784313729</v>
      </c>
      <c r="P23" s="5">
        <v>1.9264705882352942</v>
      </c>
      <c r="Q23" s="18"/>
      <c r="R23" s="25">
        <v>21</v>
      </c>
      <c r="S23" s="5">
        <v>25</v>
      </c>
      <c r="T23" s="5">
        <v>36.274509803921568</v>
      </c>
      <c r="U23" s="5">
        <v>1.8490196078431369</v>
      </c>
      <c r="W23" s="25">
        <v>21</v>
      </c>
      <c r="X23" s="5">
        <v>42.5</v>
      </c>
      <c r="Y23" s="5">
        <v>36.274509803921568</v>
      </c>
      <c r="Z23" s="5">
        <v>1.800980392156863</v>
      </c>
      <c r="AB23" s="25">
        <v>21</v>
      </c>
      <c r="AC23" s="5">
        <v>41.5</v>
      </c>
      <c r="AD23" s="5">
        <v>25.490196078431371</v>
      </c>
      <c r="AE23" s="5">
        <v>1.6141414141413657</v>
      </c>
      <c r="AG23" s="25">
        <v>21</v>
      </c>
      <c r="AH23" s="5">
        <v>36</v>
      </c>
      <c r="AI23" s="5">
        <v>20.588235294117645</v>
      </c>
      <c r="AJ23" s="5">
        <v>0.99607843137254914</v>
      </c>
      <c r="AL23" s="25">
        <v>21</v>
      </c>
      <c r="AM23" s="5">
        <v>32.9</v>
      </c>
      <c r="AN23" s="5">
        <v>11.76470588235294</v>
      </c>
      <c r="AO23" s="5">
        <v>0.91960784313725497</v>
      </c>
      <c r="AQ23" s="25">
        <v>21</v>
      </c>
      <c r="AR23" s="5">
        <v>56</v>
      </c>
      <c r="AS23" s="5">
        <v>19.417475728155338</v>
      </c>
      <c r="AT23" s="5">
        <v>1.3563106796116504</v>
      </c>
      <c r="AV23" s="25">
        <v>21</v>
      </c>
      <c r="AW23" s="5">
        <v>55</v>
      </c>
      <c r="AX23" s="5">
        <v>24.271844660194176</v>
      </c>
      <c r="AY23" s="5">
        <v>2.1174757281553402</v>
      </c>
      <c r="BA23" s="25">
        <v>21</v>
      </c>
      <c r="BB23" s="5">
        <v>30.9</v>
      </c>
      <c r="BC23" s="5">
        <v>42.718446601941743</v>
      </c>
      <c r="BD23" s="5">
        <v>2.8320388349514563</v>
      </c>
      <c r="BF23" s="25">
        <v>21</v>
      </c>
      <c r="BG23" s="5">
        <v>42.6</v>
      </c>
      <c r="BH23" s="5">
        <v>50.485436893203882</v>
      </c>
      <c r="BI23" s="5">
        <v>3.4000000000000004</v>
      </c>
      <c r="BK23" s="25">
        <v>21</v>
      </c>
      <c r="BL23" s="5">
        <v>43.3</v>
      </c>
      <c r="BM23" s="5">
        <v>57.28155339805825</v>
      </c>
      <c r="BN23" s="5">
        <v>4.3320388349514554</v>
      </c>
    </row>
    <row r="24" spans="1:66">
      <c r="A24" s="27">
        <v>40930</v>
      </c>
      <c r="B24" s="18">
        <v>6.3054545454545448</v>
      </c>
      <c r="C24" s="18">
        <v>3.3999999999999995</v>
      </c>
      <c r="D24" s="18">
        <v>48.5</v>
      </c>
      <c r="E24">
        <v>2010</v>
      </c>
      <c r="F24" s="18">
        <v>54.901960784313729</v>
      </c>
      <c r="G24"/>
      <c r="H24" s="19">
        <v>22</v>
      </c>
      <c r="I24" s="5">
        <v>48.5</v>
      </c>
      <c r="J24" s="18">
        <v>54.901960784313729</v>
      </c>
      <c r="K24" s="5">
        <v>3.3999999999999995</v>
      </c>
      <c r="L24"/>
      <c r="M24" s="25">
        <v>22</v>
      </c>
      <c r="N24" s="5">
        <v>22.8</v>
      </c>
      <c r="O24" s="5">
        <v>57.843137254901968</v>
      </c>
      <c r="P24" s="5">
        <v>2.306862745098039</v>
      </c>
      <c r="Q24" s="18"/>
      <c r="R24" s="25">
        <v>22</v>
      </c>
      <c r="S24" s="5">
        <v>31</v>
      </c>
      <c r="T24" s="5">
        <v>43.137254901960787</v>
      </c>
      <c r="U24" s="5">
        <v>2.2392156862745094</v>
      </c>
      <c r="W24" s="25">
        <v>22</v>
      </c>
      <c r="X24" s="5">
        <v>35.4</v>
      </c>
      <c r="Y24" s="5">
        <v>31.372549019607842</v>
      </c>
      <c r="Z24" s="5">
        <v>1.5852941176470585</v>
      </c>
      <c r="AB24" s="25">
        <v>22</v>
      </c>
      <c r="AC24" s="5">
        <v>33.4</v>
      </c>
      <c r="AD24" s="5">
        <v>23.52941176470588</v>
      </c>
      <c r="AE24" s="5">
        <v>1.1171717171716971</v>
      </c>
      <c r="AG24" s="25">
        <v>22</v>
      </c>
      <c r="AH24" s="5">
        <v>15.7</v>
      </c>
      <c r="AI24" s="5">
        <v>22.549019607843139</v>
      </c>
      <c r="AJ24" s="5">
        <v>0.92450980392156878</v>
      </c>
      <c r="AL24" s="25">
        <v>22</v>
      </c>
      <c r="AM24" s="5">
        <v>18.8</v>
      </c>
      <c r="AN24" s="5">
        <v>9.8039215686274517</v>
      </c>
      <c r="AO24" s="5">
        <v>0.50196078431372548</v>
      </c>
      <c r="AQ24" s="25">
        <v>22</v>
      </c>
      <c r="AR24" s="5">
        <v>21</v>
      </c>
      <c r="AS24" s="5">
        <v>18.446601941747574</v>
      </c>
      <c r="AT24" s="5">
        <v>0.83495145631067957</v>
      </c>
      <c r="AV24" s="25">
        <v>22</v>
      </c>
      <c r="AW24" s="5">
        <v>50.8</v>
      </c>
      <c r="AX24" s="5">
        <v>28.155339805825243</v>
      </c>
      <c r="AY24" s="5">
        <v>2.5970873786407767</v>
      </c>
      <c r="BA24" s="25">
        <v>22</v>
      </c>
      <c r="BB24" s="5">
        <v>34.5</v>
      </c>
      <c r="BC24" s="5">
        <v>39.805825242718448</v>
      </c>
      <c r="BD24" s="5">
        <v>2.4582524271844655</v>
      </c>
      <c r="BF24" s="25">
        <v>22</v>
      </c>
      <c r="BG24" s="5">
        <v>33.9</v>
      </c>
      <c r="BH24" s="5">
        <v>48.543689320388353</v>
      </c>
      <c r="BI24" s="5">
        <v>3.8106796116504862</v>
      </c>
      <c r="BK24" s="25">
        <v>22</v>
      </c>
      <c r="BL24" s="5">
        <v>50.1</v>
      </c>
      <c r="BM24" s="5">
        <v>62.135922330097081</v>
      </c>
      <c r="BN24" s="5">
        <v>4.2834951456310684</v>
      </c>
    </row>
    <row r="25" spans="1:66">
      <c r="A25" s="27">
        <v>40931</v>
      </c>
      <c r="B25" s="18">
        <v>4.8440677966101688</v>
      </c>
      <c r="C25" s="18">
        <v>2.8019607843137249</v>
      </c>
      <c r="D25" s="18">
        <v>26</v>
      </c>
      <c r="E25">
        <v>1950</v>
      </c>
      <c r="F25" s="18">
        <v>57.843137254901968</v>
      </c>
      <c r="G25"/>
      <c r="H25" s="19">
        <v>23</v>
      </c>
      <c r="I25" s="5">
        <v>26</v>
      </c>
      <c r="J25" s="18">
        <v>57.843137254901968</v>
      </c>
      <c r="K25" s="5">
        <v>2.8019607843137249</v>
      </c>
      <c r="L25"/>
      <c r="M25" s="25">
        <v>23</v>
      </c>
      <c r="N25" s="5">
        <v>22.8</v>
      </c>
      <c r="O25" s="5">
        <v>56.862745098039213</v>
      </c>
      <c r="P25" s="5">
        <v>2.904901960784315</v>
      </c>
      <c r="Q25" s="18"/>
      <c r="R25" s="25">
        <v>23</v>
      </c>
      <c r="S25" s="5">
        <v>27.7</v>
      </c>
      <c r="T25" s="5">
        <v>38.235294117647058</v>
      </c>
      <c r="U25" s="5">
        <v>2.329411764705883</v>
      </c>
      <c r="W25" s="25">
        <v>23</v>
      </c>
      <c r="X25" s="5">
        <v>15.7</v>
      </c>
      <c r="Y25" s="5">
        <v>30.392156862745097</v>
      </c>
      <c r="Z25" s="5">
        <v>0.96372549019607823</v>
      </c>
      <c r="AB25" s="25">
        <v>23</v>
      </c>
      <c r="AC25" s="5">
        <v>27.6</v>
      </c>
      <c r="AD25" s="5">
        <v>26.47058823529412</v>
      </c>
      <c r="AE25" s="5">
        <v>1.4747474747472111</v>
      </c>
      <c r="AG25" s="25">
        <v>23</v>
      </c>
      <c r="AH25" s="5">
        <v>31.6</v>
      </c>
      <c r="AI25" s="5">
        <v>19.607843137254903</v>
      </c>
      <c r="AJ25" s="5">
        <v>0.82254901960784321</v>
      </c>
      <c r="AL25" s="25">
        <v>23</v>
      </c>
      <c r="AM25" s="5">
        <v>6</v>
      </c>
      <c r="AN25" s="5">
        <v>3.9215686274509802</v>
      </c>
      <c r="AO25" s="5">
        <v>6.7647058823529407E-2</v>
      </c>
      <c r="AQ25" s="25">
        <v>23</v>
      </c>
      <c r="AR25" s="5">
        <v>43</v>
      </c>
      <c r="AS25" s="5">
        <v>15.53398058252427</v>
      </c>
      <c r="AT25" s="5">
        <v>1.383495145631068</v>
      </c>
      <c r="AV25" s="25">
        <v>23</v>
      </c>
      <c r="AW25" s="5">
        <v>47.6</v>
      </c>
      <c r="AX25" s="5">
        <v>36.893203883495147</v>
      </c>
      <c r="AY25" s="5">
        <v>3.7242718446601946</v>
      </c>
      <c r="BA25" s="25">
        <v>23</v>
      </c>
      <c r="BB25" s="5">
        <v>22.3</v>
      </c>
      <c r="BC25" s="5">
        <v>39.805825242718448</v>
      </c>
      <c r="BD25" s="5">
        <v>2.3592233009708732</v>
      </c>
      <c r="BF25" s="25">
        <v>23</v>
      </c>
      <c r="BG25" s="5">
        <v>29.7</v>
      </c>
      <c r="BH25" s="5">
        <v>51.456310679611647</v>
      </c>
      <c r="BI25" s="5">
        <v>4.2213592233009694</v>
      </c>
      <c r="BK25" s="25">
        <v>23</v>
      </c>
      <c r="BL25" s="5">
        <v>36.6</v>
      </c>
      <c r="BM25" s="5">
        <v>56.310679611650485</v>
      </c>
      <c r="BN25" s="5">
        <v>3.4640776699029132</v>
      </c>
    </row>
    <row r="26" spans="1:66">
      <c r="A26" s="27">
        <v>40932</v>
      </c>
      <c r="B26" s="18">
        <v>2.6433962264150948</v>
      </c>
      <c r="C26" s="18">
        <v>1.3735294117647061</v>
      </c>
      <c r="D26" s="18">
        <v>30.2</v>
      </c>
      <c r="E26">
        <v>2000</v>
      </c>
      <c r="F26" s="18">
        <v>53.921568627450981</v>
      </c>
      <c r="G26"/>
      <c r="H26" s="19">
        <v>24</v>
      </c>
      <c r="I26" s="5">
        <v>30.2</v>
      </c>
      <c r="J26" s="18">
        <v>53.921568627450981</v>
      </c>
      <c r="K26" s="5">
        <v>1.3735294117647061</v>
      </c>
      <c r="L26"/>
      <c r="M26" s="25">
        <v>24</v>
      </c>
      <c r="N26" s="5">
        <v>49.2</v>
      </c>
      <c r="O26" s="5">
        <v>56.862745098039213</v>
      </c>
      <c r="P26" s="5">
        <v>3.8205882352941187</v>
      </c>
      <c r="Q26" s="18"/>
      <c r="R26" s="25">
        <v>24</v>
      </c>
      <c r="S26" s="5">
        <v>21.7</v>
      </c>
      <c r="T26" s="5">
        <v>43.137254901960787</v>
      </c>
      <c r="U26" s="5">
        <v>1.4813725490196077</v>
      </c>
      <c r="W26" s="25">
        <v>24</v>
      </c>
      <c r="X26" s="5">
        <v>12.6</v>
      </c>
      <c r="Y26" s="5">
        <v>28.431372549019606</v>
      </c>
      <c r="Z26" s="5">
        <v>1.0019607843137255</v>
      </c>
      <c r="AB26" s="25">
        <v>24</v>
      </c>
      <c r="AC26" s="5">
        <v>22.2</v>
      </c>
      <c r="AD26" s="5">
        <v>24.509803921568626</v>
      </c>
      <c r="AE26" s="5">
        <v>0.89393939393935773</v>
      </c>
      <c r="AG26" s="25">
        <v>24</v>
      </c>
      <c r="AH26" s="5">
        <v>25.5</v>
      </c>
      <c r="AI26" s="5">
        <v>19.607843137254903</v>
      </c>
      <c r="AJ26" s="5">
        <v>1.0431372549019606</v>
      </c>
      <c r="AL26" s="25">
        <v>24</v>
      </c>
      <c r="AM26" s="5">
        <v>23.7</v>
      </c>
      <c r="AN26" s="5">
        <v>9.8039215686274517</v>
      </c>
      <c r="AO26" s="5">
        <v>0.59215686274509804</v>
      </c>
      <c r="AQ26" s="25">
        <v>24</v>
      </c>
      <c r="AR26" s="5">
        <v>33.700000000000003</v>
      </c>
      <c r="AS26" s="5">
        <v>17.475728155339805</v>
      </c>
      <c r="AT26" s="5">
        <v>1.0077669902912623</v>
      </c>
      <c r="AV26" s="25">
        <v>24</v>
      </c>
      <c r="AW26" s="5">
        <v>34.4</v>
      </c>
      <c r="AX26" s="5">
        <v>39.805825242718448</v>
      </c>
      <c r="AY26" s="5">
        <v>2.0097087378640781</v>
      </c>
      <c r="BA26" s="25">
        <v>24</v>
      </c>
      <c r="BB26" s="5">
        <v>47</v>
      </c>
      <c r="BC26" s="5">
        <v>43.689320388349515</v>
      </c>
      <c r="BD26" s="5">
        <v>4.0271844660194178</v>
      </c>
      <c r="BF26" s="25">
        <v>24</v>
      </c>
      <c r="BG26" s="5">
        <v>44.5</v>
      </c>
      <c r="BH26" s="5">
        <v>47.572815533980581</v>
      </c>
      <c r="BI26" s="5">
        <v>4.6242718446601936</v>
      </c>
      <c r="BK26" s="25">
        <v>24</v>
      </c>
      <c r="BL26" s="5">
        <v>38.299999999999997</v>
      </c>
      <c r="BM26" s="5">
        <v>62.135922330097081</v>
      </c>
      <c r="BN26" s="5">
        <v>3.0757281553398053</v>
      </c>
    </row>
    <row r="27" spans="1:66">
      <c r="A27" s="27">
        <v>40933</v>
      </c>
      <c r="B27" s="18">
        <v>6.2888888888888905</v>
      </c>
      <c r="C27" s="18">
        <v>3.8843137254901969</v>
      </c>
      <c r="D27" s="18">
        <v>37.6</v>
      </c>
      <c r="E27">
        <v>1986</v>
      </c>
      <c r="F27" s="18">
        <v>61.764705882352942</v>
      </c>
      <c r="G27"/>
      <c r="H27" s="19">
        <v>25</v>
      </c>
      <c r="I27" s="5">
        <v>37.6</v>
      </c>
      <c r="J27" s="18">
        <v>61.764705882352942</v>
      </c>
      <c r="K27" s="5">
        <v>3.8843137254901969</v>
      </c>
      <c r="L27"/>
      <c r="M27" s="25">
        <v>25</v>
      </c>
      <c r="N27" s="5">
        <v>26.3</v>
      </c>
      <c r="O27" s="5">
        <v>55.882352941176471</v>
      </c>
      <c r="P27" s="5">
        <v>3.1784313725490199</v>
      </c>
      <c r="Q27" s="18"/>
      <c r="R27" s="25">
        <v>25</v>
      </c>
      <c r="S27" s="5">
        <v>26</v>
      </c>
      <c r="T27" s="5">
        <v>31.372549019607842</v>
      </c>
      <c r="U27" s="5">
        <v>1.4127450980392156</v>
      </c>
      <c r="W27" s="25">
        <v>25</v>
      </c>
      <c r="X27" s="5">
        <v>16.7</v>
      </c>
      <c r="Y27" s="5">
        <v>31.372549019607842</v>
      </c>
      <c r="Z27" s="5">
        <v>1.1323529411764706</v>
      </c>
      <c r="AB27" s="25">
        <v>25</v>
      </c>
      <c r="AC27" s="5">
        <v>16.100000000000001</v>
      </c>
      <c r="AD27" s="5">
        <v>27.450980392156865</v>
      </c>
      <c r="AE27" s="5">
        <v>0.86969696969689447</v>
      </c>
      <c r="AG27" s="25">
        <v>25</v>
      </c>
      <c r="AH27" s="5">
        <v>14.8</v>
      </c>
      <c r="AI27" s="5">
        <v>19.607843137254903</v>
      </c>
      <c r="AJ27" s="5">
        <v>0.75686274509803919</v>
      </c>
      <c r="AL27" s="25">
        <v>25</v>
      </c>
      <c r="AM27" s="5">
        <v>48.9</v>
      </c>
      <c r="AN27" s="5">
        <v>8.8235294117647065</v>
      </c>
      <c r="AO27" s="5">
        <v>0.84019607843137267</v>
      </c>
      <c r="AQ27" s="25">
        <v>25</v>
      </c>
      <c r="AR27" s="5">
        <v>85.4</v>
      </c>
      <c r="AS27" s="5">
        <v>17.475728155339805</v>
      </c>
      <c r="AT27" s="5">
        <v>1.9058252427184468</v>
      </c>
      <c r="AV27" s="25">
        <v>25</v>
      </c>
      <c r="AW27" s="5">
        <v>39</v>
      </c>
      <c r="AX27" s="5">
        <v>24.271844660194176</v>
      </c>
      <c r="AY27" s="5">
        <v>1.3747572815533984</v>
      </c>
      <c r="BA27" s="25">
        <v>25</v>
      </c>
      <c r="BB27" s="5">
        <v>55.8</v>
      </c>
      <c r="BC27" s="5">
        <v>51.456310679611647</v>
      </c>
      <c r="BD27" s="5">
        <v>3.9456310679611639</v>
      </c>
      <c r="BF27" s="25">
        <v>25</v>
      </c>
      <c r="BG27" s="5">
        <v>74.2</v>
      </c>
      <c r="BH27" s="5">
        <v>56.310679611650485</v>
      </c>
      <c r="BI27" s="5">
        <v>4.9009708737864086</v>
      </c>
      <c r="BK27" s="25">
        <v>25</v>
      </c>
      <c r="BL27" s="5">
        <v>41.3</v>
      </c>
      <c r="BM27" s="5">
        <v>54.368932038834949</v>
      </c>
      <c r="BN27" s="5">
        <v>4.2592233009708744</v>
      </c>
    </row>
    <row r="28" spans="1:66">
      <c r="A28" s="27">
        <v>40934</v>
      </c>
      <c r="B28" s="18">
        <v>5.6396825396825383</v>
      </c>
      <c r="C28" s="18">
        <v>3.4833333333333325</v>
      </c>
      <c r="D28" s="18">
        <v>39.1</v>
      </c>
      <c r="E28">
        <v>1931</v>
      </c>
      <c r="F28" s="18">
        <v>61.764705882352942</v>
      </c>
      <c r="G28"/>
      <c r="H28" s="19">
        <v>26</v>
      </c>
      <c r="I28" s="5">
        <v>39.1</v>
      </c>
      <c r="J28" s="18">
        <v>61.764705882352942</v>
      </c>
      <c r="K28" s="5">
        <v>3.4833333333333325</v>
      </c>
      <c r="L28"/>
      <c r="M28" s="25">
        <v>26</v>
      </c>
      <c r="N28" s="5">
        <v>19</v>
      </c>
      <c r="O28" s="5">
        <v>52.941176470588239</v>
      </c>
      <c r="P28" s="5">
        <v>2.2176470588235291</v>
      </c>
      <c r="Q28" s="18"/>
      <c r="R28" s="25">
        <v>26</v>
      </c>
      <c r="S28" s="5">
        <v>15.1</v>
      </c>
      <c r="T28" s="5">
        <v>37.254901960784316</v>
      </c>
      <c r="U28" s="5">
        <v>1.0764705882352938</v>
      </c>
      <c r="W28" s="25">
        <v>26</v>
      </c>
      <c r="X28" s="5">
        <v>16.7</v>
      </c>
      <c r="Y28" s="5">
        <v>39.215686274509807</v>
      </c>
      <c r="Z28" s="5">
        <v>1.8107843137254904</v>
      </c>
      <c r="AB28" s="25">
        <v>26</v>
      </c>
      <c r="AC28" s="5">
        <v>26.5</v>
      </c>
      <c r="AD28" s="5">
        <v>29.411764705882355</v>
      </c>
      <c r="AE28" s="5">
        <v>1.0868686868686024</v>
      </c>
      <c r="AG28" s="25">
        <v>26</v>
      </c>
      <c r="AH28" s="5">
        <v>21.5</v>
      </c>
      <c r="AI28" s="5">
        <v>20.588235294117645</v>
      </c>
      <c r="AJ28" s="5">
        <v>0.9529411764705884</v>
      </c>
      <c r="AL28" s="25">
        <v>26</v>
      </c>
      <c r="AM28" s="5">
        <v>33.6</v>
      </c>
      <c r="AN28" s="5">
        <v>12.745098039215685</v>
      </c>
      <c r="AO28" s="5">
        <v>0.95882352941176463</v>
      </c>
      <c r="AQ28" s="25">
        <v>26</v>
      </c>
      <c r="AR28" s="5">
        <v>15.4</v>
      </c>
      <c r="AS28" s="5">
        <v>15.53398058252427</v>
      </c>
      <c r="AT28" s="5">
        <v>0.63495145631067962</v>
      </c>
      <c r="AV28" s="25">
        <v>26</v>
      </c>
      <c r="AW28" s="5">
        <v>35.700000000000003</v>
      </c>
      <c r="AX28" s="5">
        <v>35.922330097087382</v>
      </c>
      <c r="AY28" s="5">
        <v>1.5320388349514562</v>
      </c>
      <c r="BA28" s="25">
        <v>26</v>
      </c>
      <c r="BB28" s="5">
        <v>110</v>
      </c>
      <c r="BC28" s="5">
        <v>37.864077669902912</v>
      </c>
      <c r="BD28" s="5">
        <v>3.7281553398058258</v>
      </c>
      <c r="BF28" s="25">
        <v>26</v>
      </c>
      <c r="BG28" s="5">
        <v>37.200000000000003</v>
      </c>
      <c r="BH28" s="5">
        <v>54.368932038834949</v>
      </c>
      <c r="BI28" s="5">
        <v>4.2621359223300965</v>
      </c>
      <c r="BK28" s="25">
        <v>26</v>
      </c>
      <c r="BL28" s="5">
        <v>68</v>
      </c>
      <c r="BM28" s="5">
        <v>58.252427184466015</v>
      </c>
      <c r="BN28" s="5">
        <v>4.0184466019417489</v>
      </c>
    </row>
    <row r="29" spans="1:66">
      <c r="A29" s="27">
        <v>40935</v>
      </c>
      <c r="B29" s="18">
        <v>6.9728813559322047</v>
      </c>
      <c r="C29" s="18">
        <v>4.0333333333333341</v>
      </c>
      <c r="D29" s="18">
        <v>40</v>
      </c>
      <c r="E29">
        <v>1980</v>
      </c>
      <c r="F29" s="18">
        <v>57.843137254901968</v>
      </c>
      <c r="G29"/>
      <c r="H29" s="19">
        <v>27</v>
      </c>
      <c r="I29" s="5">
        <v>40</v>
      </c>
      <c r="J29" s="18">
        <v>57.843137254901968</v>
      </c>
      <c r="K29" s="5">
        <v>4.0333333333333341</v>
      </c>
      <c r="L29"/>
      <c r="M29" s="25">
        <v>27</v>
      </c>
      <c r="N29" s="5">
        <v>31</v>
      </c>
      <c r="O29" s="5">
        <v>52.941176470588239</v>
      </c>
      <c r="P29" s="5">
        <v>2.8892156862745098</v>
      </c>
      <c r="Q29" s="18"/>
      <c r="R29" s="25">
        <v>27</v>
      </c>
      <c r="S29" s="5">
        <v>47.5</v>
      </c>
      <c r="T29" s="5">
        <v>34.313725490196077</v>
      </c>
      <c r="U29" s="5">
        <v>2.4176470588235293</v>
      </c>
      <c r="W29" s="25">
        <v>27</v>
      </c>
      <c r="X29" s="5">
        <v>21</v>
      </c>
      <c r="Y29" s="5">
        <v>30.392156862745097</v>
      </c>
      <c r="Z29" s="5">
        <v>1.2264705882352942</v>
      </c>
      <c r="AB29" s="25">
        <v>27</v>
      </c>
      <c r="AC29" s="5">
        <v>27</v>
      </c>
      <c r="AD29" s="5">
        <v>18.627450980392158</v>
      </c>
      <c r="AE29" s="5">
        <v>0.8404040404039117</v>
      </c>
      <c r="AG29" s="25">
        <v>27</v>
      </c>
      <c r="AH29" s="5">
        <v>40.4</v>
      </c>
      <c r="AI29" s="5">
        <v>21.568627450980394</v>
      </c>
      <c r="AJ29" s="5">
        <v>1.4196078431372541</v>
      </c>
      <c r="AL29" s="25">
        <v>27</v>
      </c>
      <c r="AM29" s="5">
        <v>22.2</v>
      </c>
      <c r="AN29" s="5">
        <v>15.686274509803921</v>
      </c>
      <c r="AO29" s="5">
        <v>0.97941176470588232</v>
      </c>
      <c r="AQ29" s="25">
        <v>27</v>
      </c>
      <c r="AR29" s="5">
        <v>44.2</v>
      </c>
      <c r="AS29" s="5">
        <v>18.446601941747574</v>
      </c>
      <c r="AT29" s="5">
        <v>2.1543689320388348</v>
      </c>
      <c r="AV29" s="25">
        <v>27</v>
      </c>
      <c r="AW29" s="5">
        <v>70.099999999999994</v>
      </c>
      <c r="AX29" s="5">
        <v>39.805825242718448</v>
      </c>
      <c r="AY29" s="5">
        <v>3.5961165048543693</v>
      </c>
      <c r="BA29" s="25">
        <v>27</v>
      </c>
      <c r="BB29" s="5">
        <v>104.9</v>
      </c>
      <c r="BC29" s="5">
        <v>40.776699029126213</v>
      </c>
      <c r="BD29" s="5">
        <v>3.8087378640776706</v>
      </c>
      <c r="BF29" s="25">
        <v>27</v>
      </c>
      <c r="BG29" s="5">
        <v>51.5</v>
      </c>
      <c r="BH29" s="5">
        <v>55.339805825242713</v>
      </c>
      <c r="BI29" s="5">
        <v>3.5592233009708751</v>
      </c>
      <c r="BK29" s="25">
        <v>27</v>
      </c>
      <c r="BL29" s="5">
        <v>56.5</v>
      </c>
      <c r="BM29" s="5">
        <v>55.339805825242713</v>
      </c>
      <c r="BN29" s="5">
        <v>5.2631067961165048</v>
      </c>
    </row>
    <row r="30" spans="1:66">
      <c r="A30" s="27">
        <v>40936</v>
      </c>
      <c r="B30" s="18">
        <v>4.3624999999999998</v>
      </c>
      <c r="C30" s="18">
        <v>2.7372549019607844</v>
      </c>
      <c r="D30" s="18">
        <v>19.8</v>
      </c>
      <c r="E30">
        <v>2005</v>
      </c>
      <c r="F30" s="18">
        <v>62.745098039215684</v>
      </c>
      <c r="G30"/>
      <c r="H30" s="19">
        <v>28</v>
      </c>
      <c r="I30" s="5">
        <v>19.8</v>
      </c>
      <c r="J30" s="18">
        <v>62.745098039215684</v>
      </c>
      <c r="K30" s="5">
        <v>2.7372549019607844</v>
      </c>
      <c r="L30"/>
      <c r="M30" s="25">
        <v>28</v>
      </c>
      <c r="N30" s="5">
        <v>22</v>
      </c>
      <c r="O30" s="5">
        <v>47.058823529411761</v>
      </c>
      <c r="P30" s="5">
        <v>1.6725490196078425</v>
      </c>
      <c r="Q30" s="18"/>
      <c r="R30" s="25">
        <v>28</v>
      </c>
      <c r="S30" s="5">
        <v>25</v>
      </c>
      <c r="T30" s="5">
        <v>47.058823529411761</v>
      </c>
      <c r="U30" s="5">
        <v>2.7245098039215683</v>
      </c>
      <c r="W30" s="25">
        <v>28</v>
      </c>
      <c r="X30" s="5">
        <v>7.6</v>
      </c>
      <c r="Y30" s="5">
        <v>30.392156862745097</v>
      </c>
      <c r="Z30" s="5">
        <v>0.61960784313725481</v>
      </c>
      <c r="AB30" s="25">
        <v>28</v>
      </c>
      <c r="AC30" s="5">
        <v>24.5</v>
      </c>
      <c r="AD30" s="5">
        <v>24.509803921568626</v>
      </c>
      <c r="AE30" s="5">
        <v>1.2242424242422769</v>
      </c>
      <c r="AG30" s="25">
        <v>28</v>
      </c>
      <c r="AH30" s="5">
        <v>35</v>
      </c>
      <c r="AI30" s="5">
        <v>17.647058823529413</v>
      </c>
      <c r="AJ30" s="5">
        <v>0.51764705882352957</v>
      </c>
      <c r="AL30" s="25">
        <v>28</v>
      </c>
      <c r="AM30" s="5">
        <v>37.299999999999997</v>
      </c>
      <c r="AN30" s="5">
        <v>18.627450980392158</v>
      </c>
      <c r="AO30" s="5">
        <v>1.3372549019607844</v>
      </c>
      <c r="AQ30" s="25">
        <v>28</v>
      </c>
      <c r="AR30" s="5">
        <v>13.3</v>
      </c>
      <c r="AS30" s="5">
        <v>17.475728155339805</v>
      </c>
      <c r="AT30" s="5">
        <v>0.63980582524271845</v>
      </c>
      <c r="AV30" s="25">
        <v>28</v>
      </c>
      <c r="AW30" s="5">
        <v>45.9</v>
      </c>
      <c r="AX30" s="5">
        <v>34.95145631067961</v>
      </c>
      <c r="AY30" s="5">
        <v>3.9553398058252429</v>
      </c>
      <c r="BA30" s="25">
        <v>28</v>
      </c>
      <c r="BB30" s="5">
        <v>50.4</v>
      </c>
      <c r="BC30" s="5">
        <v>33.009708737864081</v>
      </c>
      <c r="BD30" s="5">
        <v>2.8436893203883491</v>
      </c>
      <c r="BF30" s="25">
        <v>28</v>
      </c>
      <c r="BG30" s="5">
        <v>40.200000000000003</v>
      </c>
      <c r="BH30" s="5">
        <v>51.456310679611647</v>
      </c>
      <c r="BI30" s="5">
        <v>4.6776699029126219</v>
      </c>
      <c r="BK30" s="25">
        <v>28</v>
      </c>
      <c r="BL30" s="5">
        <v>34</v>
      </c>
      <c r="BM30" s="5">
        <v>58.252427184466015</v>
      </c>
      <c r="BN30" s="5">
        <v>4.0922330097087389</v>
      </c>
    </row>
    <row r="31" spans="1:66">
      <c r="A31" s="27">
        <v>40937</v>
      </c>
      <c r="B31" s="18">
        <v>6.4650793650793661</v>
      </c>
      <c r="C31" s="18">
        <v>3.9931372549019613</v>
      </c>
      <c r="D31" s="18">
        <v>42.5</v>
      </c>
      <c r="E31">
        <v>1945</v>
      </c>
      <c r="F31" s="18">
        <v>62.745098039215684</v>
      </c>
      <c r="G31"/>
      <c r="H31" s="19">
        <v>29</v>
      </c>
      <c r="I31" s="5">
        <v>42.5</v>
      </c>
      <c r="J31" s="18">
        <v>62.745098039215684</v>
      </c>
      <c r="K31" s="5">
        <v>3.9931372549019613</v>
      </c>
      <c r="L31"/>
      <c r="M31" s="25">
        <v>29</v>
      </c>
      <c r="N31" s="5">
        <v>25.9</v>
      </c>
      <c r="O31" s="5">
        <v>12.745098039215685</v>
      </c>
      <c r="P31" s="5">
        <v>0.5186274509803922</v>
      </c>
      <c r="Q31" s="18"/>
      <c r="R31" s="25">
        <v>29</v>
      </c>
      <c r="S31" s="5">
        <v>27.3</v>
      </c>
      <c r="T31" s="5">
        <v>42.156862745098039</v>
      </c>
      <c r="U31" s="5">
        <v>2.2098039215686271</v>
      </c>
      <c r="W31" s="25">
        <v>29</v>
      </c>
      <c r="X31" s="5">
        <v>17.2</v>
      </c>
      <c r="Y31" s="5">
        <v>29.411764705882355</v>
      </c>
      <c r="Z31" s="5">
        <v>1.2313725490196077</v>
      </c>
      <c r="AB31" s="25">
        <v>29</v>
      </c>
      <c r="AC31" s="5">
        <v>18.7</v>
      </c>
      <c r="AD31" s="5">
        <v>26.47058823529412</v>
      </c>
      <c r="AE31" s="5">
        <v>1.1909090909087579</v>
      </c>
      <c r="AG31" s="25">
        <v>29</v>
      </c>
      <c r="AH31" s="5">
        <v>31</v>
      </c>
      <c r="AI31" s="5">
        <v>19.607843137254903</v>
      </c>
      <c r="AJ31" s="5">
        <v>0.96470588235294108</v>
      </c>
      <c r="AL31" s="25">
        <v>29</v>
      </c>
      <c r="AM31" s="5">
        <v>22.7</v>
      </c>
      <c r="AN31" s="5">
        <v>10.784313725490197</v>
      </c>
      <c r="AO31" s="5">
        <v>0.71960784313725501</v>
      </c>
      <c r="AQ31" s="25">
        <v>29</v>
      </c>
      <c r="AR31" s="5">
        <v>42.1</v>
      </c>
      <c r="AS31" s="5">
        <v>22.330097087378643</v>
      </c>
      <c r="AT31" s="5">
        <v>2.4300970873786407</v>
      </c>
      <c r="AV31" s="25">
        <v>29</v>
      </c>
      <c r="AW31" s="5">
        <v>25.3</v>
      </c>
      <c r="AX31" s="5">
        <v>40.776699029126213</v>
      </c>
      <c r="AY31" s="5">
        <v>1.7611650485436892</v>
      </c>
      <c r="BA31" s="25">
        <v>29</v>
      </c>
      <c r="BB31" s="5">
        <v>91</v>
      </c>
      <c r="BC31" s="5">
        <v>36.893203883495147</v>
      </c>
      <c r="BD31" s="5">
        <v>3.0223300970873783</v>
      </c>
      <c r="BF31" s="25">
        <v>29</v>
      </c>
      <c r="BG31" s="5">
        <v>17.600000000000001</v>
      </c>
      <c r="BH31" s="5">
        <v>51.456310679611647</v>
      </c>
      <c r="BI31" s="5">
        <v>2.6660194174757272</v>
      </c>
      <c r="BK31" s="25">
        <v>29</v>
      </c>
      <c r="BL31" s="5">
        <v>34.700000000000003</v>
      </c>
      <c r="BM31" s="5">
        <v>54.368932038834949</v>
      </c>
      <c r="BN31" s="5">
        <v>3.1252427184466023</v>
      </c>
    </row>
    <row r="32" spans="1:66">
      <c r="A32" s="27">
        <v>40938</v>
      </c>
      <c r="B32" s="18">
        <v>4.5985074626865696</v>
      </c>
      <c r="C32" s="18">
        <v>3.0205882352941189</v>
      </c>
      <c r="D32" s="18">
        <v>33.5</v>
      </c>
      <c r="E32">
        <v>1987</v>
      </c>
      <c r="F32" s="18">
        <v>66.666666666666657</v>
      </c>
      <c r="G32"/>
      <c r="H32" s="19">
        <v>30</v>
      </c>
      <c r="I32" s="5">
        <v>33.5</v>
      </c>
      <c r="J32" s="18">
        <v>66.666666666666657</v>
      </c>
      <c r="K32" s="5">
        <v>3.0205882352941189</v>
      </c>
      <c r="L32"/>
      <c r="R32" s="25">
        <v>30</v>
      </c>
      <c r="S32" s="5">
        <v>16.8</v>
      </c>
      <c r="T32" s="5">
        <v>34.313725490196077</v>
      </c>
      <c r="U32" s="5">
        <v>1.5156862745098041</v>
      </c>
      <c r="W32" s="25">
        <v>30</v>
      </c>
      <c r="X32" s="5">
        <v>10.5</v>
      </c>
      <c r="Y32" s="5">
        <v>27.450980392156865</v>
      </c>
      <c r="Z32" s="5">
        <v>0.83921568627450993</v>
      </c>
      <c r="AB32" s="25">
        <v>30</v>
      </c>
      <c r="AC32" s="5">
        <v>6.4</v>
      </c>
      <c r="AD32" s="5">
        <v>29.411764705882355</v>
      </c>
      <c r="AE32" s="5">
        <v>0.57070707070699689</v>
      </c>
      <c r="AG32" s="25">
        <v>30</v>
      </c>
      <c r="AH32" s="5">
        <v>26.6</v>
      </c>
      <c r="AI32" s="5">
        <v>13.725490196078432</v>
      </c>
      <c r="AJ32" s="5">
        <v>0.54803921568627445</v>
      </c>
      <c r="AL32" s="25">
        <v>30</v>
      </c>
      <c r="AM32" s="5">
        <v>27.4</v>
      </c>
      <c r="AN32" s="5">
        <v>14.705882352941178</v>
      </c>
      <c r="AO32" s="5">
        <v>1.2990196078431373</v>
      </c>
      <c r="AQ32" s="25">
        <v>30</v>
      </c>
      <c r="AR32" s="5">
        <v>32.299999999999997</v>
      </c>
      <c r="AS32" s="5">
        <v>21.359223300970871</v>
      </c>
      <c r="AT32" s="5">
        <v>1.2922330097087378</v>
      </c>
      <c r="AV32" s="25">
        <v>30</v>
      </c>
      <c r="AW32" s="5">
        <v>85.7</v>
      </c>
      <c r="AX32" s="5">
        <v>33.009708737864081</v>
      </c>
      <c r="AY32" s="5">
        <v>2.6320388349514565</v>
      </c>
      <c r="BA32" s="25">
        <v>30</v>
      </c>
      <c r="BB32" s="5">
        <v>33.6</v>
      </c>
      <c r="BC32" s="5">
        <v>37.864077669902912</v>
      </c>
      <c r="BD32" s="5">
        <v>1.7456310679611644</v>
      </c>
      <c r="BF32" s="25">
        <v>30</v>
      </c>
      <c r="BG32" s="5">
        <v>54.5</v>
      </c>
      <c r="BH32" s="5">
        <v>50.485436893203882</v>
      </c>
      <c r="BI32" s="5">
        <v>3.9262135922330099</v>
      </c>
      <c r="BK32" s="25">
        <v>30</v>
      </c>
      <c r="BL32" s="5">
        <v>34.5</v>
      </c>
      <c r="BM32" s="5">
        <v>53.398058252427184</v>
      </c>
      <c r="BN32" s="5">
        <v>2.8854368932038823</v>
      </c>
    </row>
    <row r="33" spans="1:66">
      <c r="A33" s="27">
        <v>40939</v>
      </c>
      <c r="B33" s="18">
        <v>5.046875</v>
      </c>
      <c r="C33" s="18">
        <v>3.1666666666666665</v>
      </c>
      <c r="D33" s="18">
        <v>66</v>
      </c>
      <c r="E33">
        <v>1934</v>
      </c>
      <c r="F33" s="18">
        <v>62.745098039215684</v>
      </c>
      <c r="G33"/>
      <c r="H33" s="19">
        <v>31</v>
      </c>
      <c r="I33" s="5">
        <v>66</v>
      </c>
      <c r="J33" s="18">
        <v>62.745098039215684</v>
      </c>
      <c r="K33" s="5">
        <v>3.1666666666666665</v>
      </c>
      <c r="L33"/>
      <c r="R33" s="25">
        <v>31</v>
      </c>
      <c r="S33" s="5">
        <v>14.2</v>
      </c>
      <c r="T33" s="5">
        <v>31.372549019607842</v>
      </c>
      <c r="U33" s="5">
        <v>0.97843137254901957</v>
      </c>
      <c r="AB33" s="25">
        <v>31</v>
      </c>
      <c r="AC33" s="5">
        <v>15.8</v>
      </c>
      <c r="AD33" s="5">
        <v>21.568627450980394</v>
      </c>
      <c r="AE33" s="5">
        <v>1.1373737373736659</v>
      </c>
      <c r="AH33" s="18"/>
      <c r="AL33" s="25">
        <v>31</v>
      </c>
      <c r="AM33" s="5">
        <v>35.1</v>
      </c>
      <c r="AN33" s="5">
        <v>17.647058823529413</v>
      </c>
      <c r="AO33" s="5">
        <v>0.7686274509803922</v>
      </c>
      <c r="AQ33" s="25">
        <v>31</v>
      </c>
      <c r="AR33" s="5">
        <v>42.9</v>
      </c>
      <c r="AS33" s="5">
        <v>19.417475728155338</v>
      </c>
      <c r="AT33" s="5">
        <v>1.1893203883495143</v>
      </c>
      <c r="BA33" s="25">
        <v>31</v>
      </c>
      <c r="BB33" s="5">
        <v>57.5</v>
      </c>
      <c r="BC33" s="5">
        <v>33.009708737864081</v>
      </c>
      <c r="BD33" s="5">
        <v>3.1805825242718444</v>
      </c>
      <c r="BK33" s="25">
        <v>31</v>
      </c>
      <c r="BL33" s="5">
        <v>42.4</v>
      </c>
      <c r="BM33" s="5">
        <v>49.514563106796118</v>
      </c>
      <c r="BN33" s="5">
        <v>2.9737864077669887</v>
      </c>
    </row>
    <row r="34" spans="1:66">
      <c r="A34" s="27">
        <v>40940</v>
      </c>
      <c r="B34" s="18">
        <v>5.796666666666666</v>
      </c>
      <c r="C34" s="18">
        <v>3.4098039215686269</v>
      </c>
      <c r="D34" s="18">
        <v>35.5</v>
      </c>
      <c r="E34">
        <v>1956</v>
      </c>
      <c r="F34" s="18">
        <v>58.82352941176471</v>
      </c>
      <c r="G34"/>
      <c r="H34"/>
      <c r="I34" s="2"/>
      <c r="J34"/>
      <c r="K34"/>
      <c r="L34"/>
    </row>
    <row r="35" spans="1:66">
      <c r="A35" s="27">
        <v>40941</v>
      </c>
      <c r="B35" s="18">
        <v>6.8650000000000029</v>
      </c>
      <c r="C35" s="18">
        <v>4.0382352941176487</v>
      </c>
      <c r="D35" s="18">
        <v>39.299999999999997</v>
      </c>
      <c r="E35">
        <v>2010</v>
      </c>
      <c r="F35" s="18">
        <v>58.82352941176471</v>
      </c>
      <c r="G35"/>
      <c r="H35"/>
      <c r="I35" s="2">
        <f>MAX(I3:I33)</f>
        <v>66</v>
      </c>
      <c r="J35" s="2">
        <f t="shared" ref="J35:K35" si="0">MAX(J3:J33)</f>
        <v>66.666666666666657</v>
      </c>
      <c r="K35" s="2">
        <f t="shared" si="0"/>
        <v>4.7098039215686285</v>
      </c>
      <c r="L35"/>
      <c r="N35" s="2">
        <f>MAX(N3:N33)</f>
        <v>86.9</v>
      </c>
      <c r="O35" s="2">
        <f t="shared" ref="O35:P35" si="1">MAX(O3:O33)</f>
        <v>60.784313725490193</v>
      </c>
      <c r="P35" s="2">
        <f t="shared" si="1"/>
        <v>4.0382352941176487</v>
      </c>
      <c r="S35" s="2">
        <f>MAX(S3:S33)</f>
        <v>53</v>
      </c>
      <c r="T35" s="2">
        <f t="shared" ref="T35:U35" si="2">MAX(T3:T33)</f>
        <v>56.862745098039213</v>
      </c>
      <c r="U35" s="2">
        <f t="shared" si="2"/>
        <v>3.2039215686274511</v>
      </c>
      <c r="X35" s="2">
        <f>MAX(X3:X33)</f>
        <v>45</v>
      </c>
      <c r="Y35" s="2">
        <f t="shared" ref="Y35:Z35" si="3">MAX(Y3:Y33)</f>
        <v>48.03921568627451</v>
      </c>
      <c r="Z35" s="2">
        <f t="shared" si="3"/>
        <v>2.6480392156862749</v>
      </c>
      <c r="AC35" s="2">
        <f>MAX(AC3:AC33)</f>
        <v>84</v>
      </c>
      <c r="AD35" s="2">
        <f t="shared" ref="AD35:AE35" si="4">MAX(AD3:AD33)</f>
        <v>37.254901960784316</v>
      </c>
      <c r="AE35" s="2">
        <f t="shared" si="4"/>
        <v>1.9519607843137254</v>
      </c>
      <c r="AH35" s="2">
        <f>MAX(AH3:AH33)</f>
        <v>91</v>
      </c>
      <c r="AI35" s="2">
        <f t="shared" ref="AI35:AJ35" si="5">MAX(AI3:AI33)</f>
        <v>33.333333333333329</v>
      </c>
      <c r="AJ35" s="2">
        <f t="shared" si="5"/>
        <v>2.3823529411764706</v>
      </c>
      <c r="AM35" s="2">
        <f>MAX(AM3:AM33)</f>
        <v>165.8</v>
      </c>
      <c r="AN35" s="2">
        <f t="shared" ref="AN35:AO35" si="6">MAX(AN3:AN33)</f>
        <v>19.607843137254903</v>
      </c>
      <c r="AO35" s="2">
        <f t="shared" si="6"/>
        <v>2.8127450980392159</v>
      </c>
      <c r="AR35" s="2">
        <f>MAX(AR3:AR33)</f>
        <v>88.7</v>
      </c>
      <c r="AS35" s="2">
        <f t="shared" ref="AS35:AT35" si="7">MAX(AS3:AS33)</f>
        <v>22.330097087378643</v>
      </c>
      <c r="AT35" s="2">
        <f t="shared" si="7"/>
        <v>2.4300970873786407</v>
      </c>
      <c r="AW35" s="2">
        <f>MAX(AW3:AW33)</f>
        <v>123</v>
      </c>
      <c r="AX35" s="2">
        <f t="shared" ref="AX35:AY35" si="8">MAX(AX3:AX33)</f>
        <v>40.776699029126213</v>
      </c>
      <c r="AY35" s="2">
        <f t="shared" si="8"/>
        <v>4.4902912621359228</v>
      </c>
      <c r="BB35" s="2">
        <f>MAX(BB3:BB33)</f>
        <v>131.30000000000001</v>
      </c>
      <c r="BC35" s="2">
        <f t="shared" ref="BC35:BD35" si="9">MAX(BC3:BC33)</f>
        <v>51.456310679611647</v>
      </c>
      <c r="BD35" s="2">
        <f t="shared" si="9"/>
        <v>5.7533980582524276</v>
      </c>
      <c r="BG35" s="2">
        <f>MAX(BG2:BG32)</f>
        <v>94.2</v>
      </c>
      <c r="BH35" s="2">
        <f>MAX(BH2:BH32)</f>
        <v>58.252427184466015</v>
      </c>
      <c r="BI35" s="2">
        <f>MAX(BI2:BI32)</f>
        <v>5.0902912621359233</v>
      </c>
      <c r="BL35" s="2">
        <f>MAX(BL2:BL32)</f>
        <v>68</v>
      </c>
      <c r="BM35" s="2">
        <f>MAX(BM2:BM32)</f>
        <v>65.048543689320397</v>
      </c>
      <c r="BN35" s="2">
        <f>MAX(BN2:BN32)</f>
        <v>5.776699029126215</v>
      </c>
    </row>
    <row r="36" spans="1:66">
      <c r="A36" s="27">
        <v>40942</v>
      </c>
      <c r="B36" s="18">
        <v>5.1459016393442631</v>
      </c>
      <c r="C36" s="18">
        <v>3.077450980392157</v>
      </c>
      <c r="D36" s="18">
        <v>28.9</v>
      </c>
      <c r="E36">
        <v>1982</v>
      </c>
      <c r="F36" s="18">
        <v>59.803921568627452</v>
      </c>
      <c r="I36" s="46">
        <f>MIN(I3:I33)</f>
        <v>19.8</v>
      </c>
      <c r="J36" s="46">
        <f t="shared" ref="J36:K36" si="10">MIN(J3:J33)</f>
        <v>49.019607843137251</v>
      </c>
      <c r="K36" s="46">
        <f t="shared" si="10"/>
        <v>1.3735294117647061</v>
      </c>
      <c r="N36" s="46">
        <f>MIN(N3:N33)</f>
        <v>13.4</v>
      </c>
      <c r="O36" s="46">
        <f t="shared" ref="O36:P36" si="11">MIN(O3:O33)</f>
        <v>12.745098039215685</v>
      </c>
      <c r="P36" s="46">
        <f t="shared" si="11"/>
        <v>0.5186274509803922</v>
      </c>
      <c r="S36" s="46">
        <f>MIN(S3:S33)</f>
        <v>14.2</v>
      </c>
      <c r="T36" s="46">
        <f t="shared" ref="T36:U36" si="12">MIN(T3:T33)</f>
        <v>31.372549019607842</v>
      </c>
      <c r="U36" s="46">
        <f t="shared" si="12"/>
        <v>0.97843137254901957</v>
      </c>
      <c r="X36" s="46">
        <f>MIN(X3:X33)</f>
        <v>7.6</v>
      </c>
      <c r="Y36" s="46">
        <f t="shared" ref="Y36:Z36" si="13">MIN(Y3:Y33)</f>
        <v>27.450980392156865</v>
      </c>
      <c r="Z36" s="46">
        <f t="shared" si="13"/>
        <v>0.61960784313725481</v>
      </c>
      <c r="AC36" s="46">
        <f>MIN(AC3:AC33)</f>
        <v>6.4</v>
      </c>
      <c r="AD36" s="46">
        <f t="shared" ref="AD36:AE36" si="14">MIN(AD3:AD33)</f>
        <v>18.627450980392158</v>
      </c>
      <c r="AE36" s="46">
        <f t="shared" si="14"/>
        <v>0.57070707070699689</v>
      </c>
      <c r="AH36" s="46">
        <f>MIN(AH3:AH33)</f>
        <v>11.5</v>
      </c>
      <c r="AI36" s="46">
        <f t="shared" ref="AI36:AJ36" si="15">MIN(AI3:AI33)</f>
        <v>13.725490196078432</v>
      </c>
      <c r="AJ36" s="46">
        <f t="shared" si="15"/>
        <v>0.49411764705882366</v>
      </c>
      <c r="AM36" s="46">
        <f>MIN(AM3:AM33)</f>
        <v>6</v>
      </c>
      <c r="AN36" s="46">
        <f t="shared" ref="AN36:AO36" si="16">MIN(AN3:AN33)</f>
        <v>3.9215686274509802</v>
      </c>
      <c r="AO36" s="46">
        <f t="shared" si="16"/>
        <v>6.7647058823529407E-2</v>
      </c>
      <c r="AR36" s="46">
        <f>MIN(AR3:AR33)</f>
        <v>2.8</v>
      </c>
      <c r="AS36" s="46">
        <f t="shared" ref="AS36:AT36" si="17">MIN(AS3:AS33)</f>
        <v>10.679611650485436</v>
      </c>
      <c r="AT36" s="46">
        <f t="shared" si="17"/>
        <v>0.1174757281553398</v>
      </c>
      <c r="AW36" s="46">
        <f>MIN(AW3:AW33)</f>
        <v>17.2</v>
      </c>
      <c r="AX36" s="46">
        <f t="shared" ref="AX36:AY36" si="18">MIN(AX3:AX33)</f>
        <v>19.417475728155338</v>
      </c>
      <c r="AY36" s="46">
        <f t="shared" si="18"/>
        <v>0.8087378640776699</v>
      </c>
      <c r="BB36" s="46">
        <f>MIN(BB3:BB33)</f>
        <v>21.4</v>
      </c>
      <c r="BC36" s="46">
        <f t="shared" ref="BC36:BD36" si="19">MIN(BC3:BC33)</f>
        <v>27.184466019417474</v>
      </c>
      <c r="BD36" s="46">
        <f t="shared" si="19"/>
        <v>1.4213592233009706</v>
      </c>
      <c r="BG36" s="46">
        <f>MIN(BG2:BG32)</f>
        <v>17.600000000000001</v>
      </c>
      <c r="BH36" s="46">
        <f>MIN(BH2:BH32)</f>
        <v>36.893203883495147</v>
      </c>
      <c r="BI36" s="46">
        <f>MIN(BI2:BI32)</f>
        <v>1.9611650485436893</v>
      </c>
      <c r="BL36" s="46">
        <f>MIN(BL2:BL32)</f>
        <v>28.2</v>
      </c>
      <c r="BM36" s="46">
        <f>MIN(BM2:BM32)</f>
        <v>47.572815533980581</v>
      </c>
      <c r="BN36" s="46">
        <f>MIN(BN2:BN32)</f>
        <v>2.8854368932038823</v>
      </c>
    </row>
    <row r="37" spans="1:66">
      <c r="A37" s="27">
        <v>40943</v>
      </c>
      <c r="B37" s="18">
        <v>4.724489795918366</v>
      </c>
      <c r="C37" s="18">
        <v>2.2696078431372544</v>
      </c>
      <c r="D37" s="18">
        <v>30</v>
      </c>
      <c r="E37">
        <v>2005</v>
      </c>
      <c r="F37" s="18">
        <v>48.03921568627451</v>
      </c>
    </row>
    <row r="38" spans="1:66">
      <c r="A38" s="27">
        <v>40944</v>
      </c>
      <c r="B38" s="18">
        <v>6.1999999999999984</v>
      </c>
      <c r="C38" s="18">
        <v>2.7960784313725484</v>
      </c>
      <c r="D38" s="18">
        <v>51</v>
      </c>
      <c r="E38">
        <v>1947</v>
      </c>
      <c r="F38" s="18">
        <v>45.098039215686278</v>
      </c>
      <c r="J38" s="18"/>
    </row>
    <row r="39" spans="1:66">
      <c r="A39" s="27">
        <v>40945</v>
      </c>
      <c r="B39" s="18">
        <v>5.3096774193548368</v>
      </c>
      <c r="C39" s="18">
        <v>3.2274509803921556</v>
      </c>
      <c r="D39" s="18">
        <v>29</v>
      </c>
      <c r="E39">
        <v>1999</v>
      </c>
      <c r="F39" s="18">
        <v>60.784313725490193</v>
      </c>
    </row>
    <row r="40" spans="1:66">
      <c r="A40" s="27">
        <v>40946</v>
      </c>
      <c r="B40" s="18">
        <v>5.7016393442622935</v>
      </c>
      <c r="C40" s="18">
        <v>3.4098039215686264</v>
      </c>
      <c r="D40" s="18">
        <v>33.700000000000003</v>
      </c>
      <c r="E40">
        <v>2003</v>
      </c>
      <c r="F40" s="18">
        <v>59.803921568627452</v>
      </c>
    </row>
    <row r="41" spans="1:66">
      <c r="A41" s="27">
        <v>40947</v>
      </c>
      <c r="B41" s="18">
        <v>6.9698113207547197</v>
      </c>
      <c r="C41" s="18">
        <v>3.6215686274509817</v>
      </c>
      <c r="D41" s="18">
        <v>57.5</v>
      </c>
      <c r="E41">
        <v>1936</v>
      </c>
      <c r="F41" s="18">
        <v>51.960784313725497</v>
      </c>
    </row>
    <row r="42" spans="1:66">
      <c r="A42" s="27">
        <v>40948</v>
      </c>
      <c r="B42" s="18">
        <v>5.6981818181818191</v>
      </c>
      <c r="C42" s="18">
        <v>3.0725490196078433</v>
      </c>
      <c r="D42" s="18">
        <v>42.2</v>
      </c>
      <c r="E42">
        <v>1920</v>
      </c>
      <c r="F42" s="18">
        <v>53.921568627450981</v>
      </c>
    </row>
    <row r="43" spans="1:66">
      <c r="A43" s="27">
        <v>40949</v>
      </c>
      <c r="B43" s="18">
        <v>6.8812500000000014</v>
      </c>
      <c r="C43" s="18">
        <v>3.2382352941176475</v>
      </c>
      <c r="D43" s="18">
        <v>45.6</v>
      </c>
      <c r="E43">
        <v>1935</v>
      </c>
      <c r="F43" s="18">
        <v>47.058823529411761</v>
      </c>
    </row>
    <row r="44" spans="1:66">
      <c r="A44" s="27">
        <v>40950</v>
      </c>
      <c r="B44" s="18">
        <v>6.091836734693878</v>
      </c>
      <c r="C44" s="18">
        <v>2.9264705882352939</v>
      </c>
      <c r="D44" s="18">
        <v>31</v>
      </c>
      <c r="E44">
        <v>1969</v>
      </c>
      <c r="F44" s="18">
        <v>48.03921568627451</v>
      </c>
    </row>
    <row r="45" spans="1:66">
      <c r="A45" s="27">
        <v>40951</v>
      </c>
      <c r="B45" s="18">
        <v>5.4059999999999979</v>
      </c>
      <c r="C45" s="18">
        <v>2.649999999999999</v>
      </c>
      <c r="D45" s="18">
        <v>30.3</v>
      </c>
      <c r="E45">
        <v>1927</v>
      </c>
      <c r="F45" s="18">
        <v>49.019607843137251</v>
      </c>
    </row>
    <row r="46" spans="1:66">
      <c r="A46" s="27">
        <v>40952</v>
      </c>
      <c r="B46" s="18">
        <v>4.7964285714285717</v>
      </c>
      <c r="C46" s="18">
        <v>2.6333333333333337</v>
      </c>
      <c r="D46" s="18">
        <v>19.100000000000001</v>
      </c>
      <c r="E46">
        <v>2004</v>
      </c>
      <c r="F46" s="18">
        <v>54.901960784313729</v>
      </c>
    </row>
    <row r="47" spans="1:66">
      <c r="A47" s="27">
        <v>40953</v>
      </c>
      <c r="B47" s="18">
        <v>6.840350877192984</v>
      </c>
      <c r="C47" s="18">
        <v>3.8225490196078442</v>
      </c>
      <c r="D47" s="18">
        <v>51.1</v>
      </c>
      <c r="E47">
        <v>1927</v>
      </c>
      <c r="F47" s="18">
        <v>55.882352941176471</v>
      </c>
    </row>
    <row r="48" spans="1:66">
      <c r="A48" s="27">
        <v>40954</v>
      </c>
      <c r="B48" s="18">
        <v>5.0672131147541002</v>
      </c>
      <c r="C48" s="18">
        <v>3.0303921568627463</v>
      </c>
      <c r="D48" s="18">
        <v>55.1</v>
      </c>
      <c r="E48">
        <v>1927</v>
      </c>
      <c r="F48" s="18">
        <v>59.803921568627452</v>
      </c>
    </row>
    <row r="49" spans="1:6">
      <c r="A49" s="27">
        <v>40955</v>
      </c>
      <c r="B49" s="18">
        <v>6.22</v>
      </c>
      <c r="C49" s="18">
        <v>3.6588235294117646</v>
      </c>
      <c r="D49" s="18">
        <v>86.9</v>
      </c>
      <c r="E49">
        <v>1981</v>
      </c>
      <c r="F49" s="18">
        <v>58.82352941176471</v>
      </c>
    </row>
    <row r="50" spans="1:6">
      <c r="A50" s="27">
        <v>40956</v>
      </c>
      <c r="B50" s="18">
        <v>7.2557692307692321</v>
      </c>
      <c r="C50" s="18">
        <v>3.6990196078431379</v>
      </c>
      <c r="D50" s="18">
        <v>29.6</v>
      </c>
      <c r="E50">
        <v>2008</v>
      </c>
      <c r="F50" s="18">
        <v>50.980392156862742</v>
      </c>
    </row>
    <row r="51" spans="1:6">
      <c r="A51" s="27">
        <v>40957</v>
      </c>
      <c r="B51" s="18">
        <v>5.0576923076923066</v>
      </c>
      <c r="C51" s="18">
        <v>2.5784313725490189</v>
      </c>
      <c r="D51" s="18">
        <v>26.4</v>
      </c>
      <c r="E51">
        <v>1954</v>
      </c>
      <c r="F51" s="18">
        <v>50.980392156862742</v>
      </c>
    </row>
    <row r="52" spans="1:6">
      <c r="A52" s="27">
        <v>40958</v>
      </c>
      <c r="B52" s="18">
        <v>3.7687499999999989</v>
      </c>
      <c r="C52" s="18">
        <v>1.7735294117647054</v>
      </c>
      <c r="D52" s="18">
        <v>19.100000000000001</v>
      </c>
      <c r="E52">
        <v>1945</v>
      </c>
      <c r="F52" s="18">
        <v>47.058823529411761</v>
      </c>
    </row>
    <row r="53" spans="1:6">
      <c r="A53" s="27">
        <v>40959</v>
      </c>
      <c r="B53" s="18">
        <v>7.0660377358490569</v>
      </c>
      <c r="C53" s="18">
        <v>3.6715686274509802</v>
      </c>
      <c r="D53" s="18">
        <v>52.5</v>
      </c>
      <c r="E53">
        <v>1958</v>
      </c>
      <c r="F53" s="18">
        <v>51.960784313725497</v>
      </c>
    </row>
    <row r="54" spans="1:6">
      <c r="A54" s="27">
        <v>40960</v>
      </c>
      <c r="B54" s="18">
        <v>3.5089285714285716</v>
      </c>
      <c r="C54" s="18">
        <v>1.9264705882352942</v>
      </c>
      <c r="D54" s="18">
        <v>13.4</v>
      </c>
      <c r="E54">
        <v>1927</v>
      </c>
      <c r="F54" s="18">
        <v>54.901960784313729</v>
      </c>
    </row>
    <row r="55" spans="1:6">
      <c r="A55" s="27">
        <v>40961</v>
      </c>
      <c r="B55" s="18">
        <v>3.9881355932203388</v>
      </c>
      <c r="C55" s="18">
        <v>2.306862745098039</v>
      </c>
      <c r="D55" s="18">
        <v>22.8</v>
      </c>
      <c r="E55">
        <v>1930</v>
      </c>
      <c r="F55" s="18">
        <v>57.843137254901968</v>
      </c>
    </row>
    <row r="56" spans="1:6">
      <c r="A56" s="27">
        <v>40962</v>
      </c>
      <c r="B56" s="18">
        <v>5.1086206896551749</v>
      </c>
      <c r="C56" s="18">
        <v>2.904901960784315</v>
      </c>
      <c r="D56" s="18">
        <v>22.8</v>
      </c>
      <c r="E56">
        <v>1946</v>
      </c>
      <c r="F56" s="18">
        <v>56.862745098039213</v>
      </c>
    </row>
    <row r="57" spans="1:6">
      <c r="A57" s="27">
        <v>40963</v>
      </c>
      <c r="B57" s="18">
        <v>6.7189655172413811</v>
      </c>
      <c r="C57" s="18">
        <v>3.8205882352941187</v>
      </c>
      <c r="D57" s="18">
        <v>49.2</v>
      </c>
      <c r="E57">
        <v>1948</v>
      </c>
      <c r="F57" s="18">
        <v>56.862745098039213</v>
      </c>
    </row>
    <row r="58" spans="1:6">
      <c r="A58" s="27">
        <v>40964</v>
      </c>
      <c r="B58" s="18">
        <v>5.6877192982456144</v>
      </c>
      <c r="C58" s="18">
        <v>3.1784313725490199</v>
      </c>
      <c r="D58" s="18">
        <v>26.3</v>
      </c>
      <c r="E58">
        <v>1996</v>
      </c>
      <c r="F58" s="18">
        <v>55.882352941176471</v>
      </c>
    </row>
    <row r="59" spans="1:6">
      <c r="A59" s="27">
        <v>40965</v>
      </c>
      <c r="B59" s="18">
        <v>4.1888888888888891</v>
      </c>
      <c r="C59" s="18">
        <v>2.2176470588235291</v>
      </c>
      <c r="D59" s="18">
        <v>19</v>
      </c>
      <c r="E59">
        <v>1956</v>
      </c>
      <c r="F59" s="18">
        <v>52.941176470588239</v>
      </c>
    </row>
    <row r="60" spans="1:6">
      <c r="A60" s="27">
        <v>40966</v>
      </c>
      <c r="B60" s="18">
        <v>5.4574074074074073</v>
      </c>
      <c r="C60" s="18">
        <v>2.8892156862745098</v>
      </c>
      <c r="D60" s="18">
        <v>31</v>
      </c>
      <c r="E60">
        <v>1970</v>
      </c>
      <c r="F60" s="18">
        <v>52.941176470588239</v>
      </c>
    </row>
    <row r="61" spans="1:6">
      <c r="A61" s="27">
        <v>40967</v>
      </c>
      <c r="B61" s="18">
        <v>3.5541666666666654</v>
      </c>
      <c r="C61" s="18">
        <v>1.6725490196078425</v>
      </c>
      <c r="D61" s="18">
        <v>22</v>
      </c>
      <c r="E61">
        <v>1990</v>
      </c>
      <c r="F61" s="18">
        <v>47.058823529411761</v>
      </c>
    </row>
    <row r="62" spans="1:6">
      <c r="A62" s="27">
        <v>40968</v>
      </c>
      <c r="B62" s="18">
        <v>4.0692307692307699</v>
      </c>
      <c r="C62" s="18">
        <v>0.5186274509803922</v>
      </c>
      <c r="D62" s="18">
        <v>25.9</v>
      </c>
      <c r="E62">
        <v>1968</v>
      </c>
      <c r="F62" s="18">
        <v>12.745098039215685</v>
      </c>
    </row>
    <row r="63" spans="1:6">
      <c r="A63" s="27">
        <v>40969</v>
      </c>
      <c r="B63" s="18">
        <v>5.1531914893616992</v>
      </c>
      <c r="C63" s="18">
        <v>2.3745098039215673</v>
      </c>
      <c r="D63" s="18">
        <v>19.7</v>
      </c>
      <c r="E63">
        <v>1913</v>
      </c>
      <c r="F63" s="18">
        <v>46.078431372549019</v>
      </c>
    </row>
    <row r="64" spans="1:6">
      <c r="A64" s="27">
        <v>40970</v>
      </c>
      <c r="B64" s="18">
        <v>4.9224137931034466</v>
      </c>
      <c r="C64" s="18">
        <v>2.7990196078431362</v>
      </c>
      <c r="D64" s="18">
        <v>30</v>
      </c>
      <c r="E64">
        <v>1929</v>
      </c>
      <c r="F64" s="18">
        <v>56.862745098039213</v>
      </c>
    </row>
    <row r="65" spans="1:6">
      <c r="A65" s="27">
        <v>40971</v>
      </c>
      <c r="B65" s="18">
        <v>3.9037037037037035</v>
      </c>
      <c r="C65" s="18">
        <v>2.0666666666666664</v>
      </c>
      <c r="D65" s="18">
        <v>25</v>
      </c>
      <c r="E65">
        <v>1929</v>
      </c>
      <c r="F65" s="18">
        <v>52.941176470588239</v>
      </c>
    </row>
    <row r="66" spans="1:6">
      <c r="A66" s="27">
        <v>40972</v>
      </c>
      <c r="B66" s="18">
        <v>4.9954545454545443</v>
      </c>
      <c r="C66" s="18">
        <v>2.1549019607843132</v>
      </c>
      <c r="D66" s="18">
        <v>28.7</v>
      </c>
      <c r="E66">
        <v>1945</v>
      </c>
      <c r="F66" s="18">
        <v>43.137254901960787</v>
      </c>
    </row>
    <row r="67" spans="1:6">
      <c r="A67" s="27">
        <v>40973</v>
      </c>
      <c r="B67" s="18">
        <v>5.9377777777777787</v>
      </c>
      <c r="C67" s="18">
        <v>2.6196078431372554</v>
      </c>
      <c r="D67" s="18">
        <v>43.6</v>
      </c>
      <c r="E67">
        <v>1950</v>
      </c>
      <c r="F67" s="18">
        <v>44.117647058823529</v>
      </c>
    </row>
    <row r="68" spans="1:6">
      <c r="A68" s="27">
        <v>40974</v>
      </c>
      <c r="B68" s="18">
        <v>4.470212765957446</v>
      </c>
      <c r="C68" s="18">
        <v>2.0598039215686272</v>
      </c>
      <c r="D68" s="18">
        <v>22.7</v>
      </c>
      <c r="E68">
        <v>1940</v>
      </c>
      <c r="F68" s="18">
        <v>46.078431372549019</v>
      </c>
    </row>
    <row r="69" spans="1:6">
      <c r="A69" s="27">
        <v>40975</v>
      </c>
      <c r="B69" s="18">
        <v>6.4652173913043489</v>
      </c>
      <c r="C69" s="18">
        <v>2.9156862745098042</v>
      </c>
      <c r="D69" s="18">
        <v>43.8</v>
      </c>
      <c r="E69">
        <v>1929</v>
      </c>
      <c r="F69" s="18">
        <v>45.098039215686278</v>
      </c>
    </row>
    <row r="70" spans="1:6">
      <c r="A70" s="27">
        <v>40976</v>
      </c>
      <c r="B70" s="18">
        <v>4.5872340425531917</v>
      </c>
      <c r="C70" s="18">
        <v>2.1137254901960785</v>
      </c>
      <c r="D70" s="18">
        <v>20</v>
      </c>
      <c r="E70">
        <v>1962</v>
      </c>
      <c r="F70" s="18">
        <v>46.078431372549019</v>
      </c>
    </row>
    <row r="71" spans="1:6">
      <c r="A71" s="27">
        <v>40977</v>
      </c>
      <c r="B71" s="18">
        <v>4.7619999999999996</v>
      </c>
      <c r="C71" s="18">
        <v>2.3343137254901958</v>
      </c>
      <c r="D71" s="18">
        <v>26.4</v>
      </c>
      <c r="E71">
        <v>1955</v>
      </c>
      <c r="F71" s="18">
        <v>49.019607843137251</v>
      </c>
    </row>
    <row r="72" spans="1:6">
      <c r="A72" s="27">
        <v>40978</v>
      </c>
      <c r="B72" s="18">
        <v>5.8943396226415086</v>
      </c>
      <c r="C72" s="18">
        <v>3.0627450980392155</v>
      </c>
      <c r="D72" s="18">
        <v>33.5</v>
      </c>
      <c r="E72">
        <v>1930</v>
      </c>
      <c r="F72" s="18">
        <v>51.960784313725497</v>
      </c>
    </row>
    <row r="73" spans="1:6">
      <c r="A73" s="27">
        <v>40979</v>
      </c>
      <c r="B73" s="18">
        <v>5.6235294117647046</v>
      </c>
      <c r="C73" s="18">
        <v>2.8117647058823523</v>
      </c>
      <c r="D73" s="18">
        <v>27.6</v>
      </c>
      <c r="E73">
        <v>1968</v>
      </c>
      <c r="F73" s="18">
        <v>50</v>
      </c>
    </row>
    <row r="74" spans="1:6">
      <c r="A74" s="27">
        <v>40980</v>
      </c>
      <c r="B74" s="18">
        <v>5.3340425531914901</v>
      </c>
      <c r="C74" s="18">
        <v>2.4578431372549021</v>
      </c>
      <c r="D74" s="18">
        <v>31</v>
      </c>
      <c r="E74">
        <v>1939</v>
      </c>
      <c r="F74" s="18">
        <v>46.078431372549019</v>
      </c>
    </row>
    <row r="75" spans="1:6">
      <c r="A75" s="27">
        <v>40981</v>
      </c>
      <c r="B75" s="18">
        <v>4.1755555555555555</v>
      </c>
      <c r="C75" s="18">
        <v>1.8421568627450982</v>
      </c>
      <c r="D75" s="18">
        <v>16.899999999999999</v>
      </c>
      <c r="E75">
        <v>2008</v>
      </c>
      <c r="F75" s="18">
        <v>44.117647058823529</v>
      </c>
    </row>
    <row r="76" spans="1:6">
      <c r="A76" s="27">
        <v>40982</v>
      </c>
      <c r="B76" s="18">
        <v>3.8081632653061219</v>
      </c>
      <c r="C76" s="18">
        <v>1.8294117647058821</v>
      </c>
      <c r="D76" s="18">
        <v>21.4</v>
      </c>
      <c r="E76">
        <v>1966</v>
      </c>
      <c r="F76" s="18">
        <v>48.03921568627451</v>
      </c>
    </row>
    <row r="77" spans="1:6">
      <c r="A77" s="27">
        <v>40983</v>
      </c>
      <c r="B77" s="18">
        <v>5.3934782608695642</v>
      </c>
      <c r="C77" s="18">
        <v>2.4323529411764704</v>
      </c>
      <c r="D77" s="18">
        <v>39.299999999999997</v>
      </c>
      <c r="E77">
        <v>1966</v>
      </c>
      <c r="F77" s="18">
        <v>45.098039215686278</v>
      </c>
    </row>
    <row r="78" spans="1:6">
      <c r="A78" s="27">
        <v>40984</v>
      </c>
      <c r="B78" s="18">
        <v>5.9711538461538458</v>
      </c>
      <c r="C78" s="18">
        <v>3.0441176470588234</v>
      </c>
      <c r="D78" s="18">
        <v>39.5</v>
      </c>
      <c r="E78">
        <v>2000</v>
      </c>
      <c r="F78" s="18">
        <v>50.980392156862742</v>
      </c>
    </row>
    <row r="79" spans="1:6">
      <c r="A79" s="27">
        <v>40985</v>
      </c>
      <c r="B79" s="18">
        <v>6.0518518518518523</v>
      </c>
      <c r="C79" s="18">
        <v>3.2039215686274511</v>
      </c>
      <c r="D79" s="18">
        <v>41.3</v>
      </c>
      <c r="E79">
        <v>1992</v>
      </c>
      <c r="F79" s="18">
        <v>52.941176470588239</v>
      </c>
    </row>
    <row r="80" spans="1:6">
      <c r="A80" s="27">
        <v>40986</v>
      </c>
      <c r="B80" s="18">
        <v>4.8531914893617021</v>
      </c>
      <c r="C80" s="18">
        <v>2.2362745098039216</v>
      </c>
      <c r="D80" s="18">
        <v>53</v>
      </c>
      <c r="E80">
        <v>1958</v>
      </c>
      <c r="F80" s="18">
        <v>46.078431372549019</v>
      </c>
    </row>
    <row r="81" spans="1:6">
      <c r="A81" s="27">
        <v>40987</v>
      </c>
      <c r="B81" s="18">
        <v>3.4791666666666656</v>
      </c>
      <c r="C81" s="18">
        <v>1.6372549019607838</v>
      </c>
      <c r="D81" s="18">
        <v>25.2</v>
      </c>
      <c r="E81">
        <v>2008</v>
      </c>
      <c r="F81" s="18">
        <v>47.058823529411761</v>
      </c>
    </row>
    <row r="82" spans="1:6">
      <c r="A82" s="27">
        <v>40988</v>
      </c>
      <c r="B82" s="18">
        <v>4.2581395348837203</v>
      </c>
      <c r="C82" s="18">
        <v>1.7950980392156859</v>
      </c>
      <c r="D82" s="18">
        <v>25.2</v>
      </c>
      <c r="E82">
        <v>1997</v>
      </c>
      <c r="F82" s="18">
        <v>42.156862745098039</v>
      </c>
    </row>
    <row r="83" spans="1:6">
      <c r="A83" s="27">
        <v>40989</v>
      </c>
      <c r="B83" s="18">
        <v>5.0972972972972963</v>
      </c>
      <c r="C83" s="18">
        <v>1.8490196078431369</v>
      </c>
      <c r="D83" s="18">
        <v>25</v>
      </c>
      <c r="E83">
        <v>1997</v>
      </c>
      <c r="F83" s="18">
        <v>36.274509803921568</v>
      </c>
    </row>
    <row r="84" spans="1:6">
      <c r="A84" s="27">
        <v>40990</v>
      </c>
      <c r="B84" s="18">
        <v>5.1909090909090896</v>
      </c>
      <c r="C84" s="18">
        <v>2.2392156862745094</v>
      </c>
      <c r="D84" s="18">
        <v>31</v>
      </c>
      <c r="E84">
        <v>1958</v>
      </c>
      <c r="F84" s="18">
        <v>43.137254901960787</v>
      </c>
    </row>
    <row r="85" spans="1:6">
      <c r="A85" s="27">
        <v>40991</v>
      </c>
      <c r="B85" s="18">
        <v>6.0923076923076938</v>
      </c>
      <c r="C85" s="18">
        <v>2.329411764705883</v>
      </c>
      <c r="D85" s="18">
        <v>27.7</v>
      </c>
      <c r="E85">
        <v>1961</v>
      </c>
      <c r="F85" s="18">
        <v>38.235294117647058</v>
      </c>
    </row>
    <row r="86" spans="1:6">
      <c r="A86" s="27">
        <v>40992</v>
      </c>
      <c r="B86" s="18">
        <v>3.4340909090909091</v>
      </c>
      <c r="C86" s="18">
        <v>1.4813725490196077</v>
      </c>
      <c r="D86" s="18">
        <v>21.7</v>
      </c>
      <c r="E86">
        <v>1971</v>
      </c>
      <c r="F86" s="18">
        <v>43.137254901960787</v>
      </c>
    </row>
    <row r="87" spans="1:6">
      <c r="A87" s="27">
        <v>40993</v>
      </c>
      <c r="B87" s="18">
        <v>4.5031249999999998</v>
      </c>
      <c r="C87" s="18">
        <v>1.4127450980392156</v>
      </c>
      <c r="D87" s="18">
        <v>26</v>
      </c>
      <c r="E87">
        <v>1971</v>
      </c>
      <c r="F87" s="18">
        <v>31.372549019607842</v>
      </c>
    </row>
    <row r="88" spans="1:6">
      <c r="A88" s="27">
        <v>40994</v>
      </c>
      <c r="B88" s="18">
        <v>2.8894736842105258</v>
      </c>
      <c r="C88" s="18">
        <v>1.0764705882352938</v>
      </c>
      <c r="D88" s="18">
        <v>15.1</v>
      </c>
      <c r="E88">
        <v>1962</v>
      </c>
      <c r="F88" s="18">
        <v>37.254901960784316</v>
      </c>
    </row>
    <row r="89" spans="1:6">
      <c r="A89" s="27">
        <v>40995</v>
      </c>
      <c r="B89" s="18">
        <v>7.0457142857142845</v>
      </c>
      <c r="C89" s="18">
        <v>2.4176470588235293</v>
      </c>
      <c r="D89" s="18">
        <v>47.5</v>
      </c>
      <c r="E89">
        <v>1980</v>
      </c>
      <c r="F89" s="18">
        <v>34.313725490196077</v>
      </c>
    </row>
    <row r="90" spans="1:6">
      <c r="A90" s="27">
        <v>40996</v>
      </c>
      <c r="B90" s="18">
        <v>5.7895833333333329</v>
      </c>
      <c r="C90" s="18">
        <v>2.7245098039215683</v>
      </c>
      <c r="D90" s="18">
        <v>25</v>
      </c>
      <c r="E90">
        <v>1994</v>
      </c>
      <c r="F90" s="18">
        <v>47.058823529411761</v>
      </c>
    </row>
    <row r="91" spans="1:6">
      <c r="A91" s="27">
        <v>40997</v>
      </c>
      <c r="B91" s="18">
        <v>5.2418604651162788</v>
      </c>
      <c r="C91" s="18">
        <v>2.2098039215686271</v>
      </c>
      <c r="D91" s="18">
        <v>27.3</v>
      </c>
      <c r="E91">
        <v>1918</v>
      </c>
      <c r="F91" s="18">
        <v>42.156862745098039</v>
      </c>
    </row>
    <row r="92" spans="1:6">
      <c r="A92" s="27">
        <v>40998</v>
      </c>
      <c r="B92" s="18">
        <v>4.5470588235294125</v>
      </c>
      <c r="C92" s="18">
        <v>1.5156862745098041</v>
      </c>
      <c r="D92" s="18">
        <v>16.8</v>
      </c>
      <c r="E92">
        <v>1971</v>
      </c>
      <c r="F92" s="18">
        <v>34.313725490196077</v>
      </c>
    </row>
    <row r="93" spans="1:6">
      <c r="A93" s="27">
        <v>40999</v>
      </c>
      <c r="B93" s="18">
        <v>3.1187499999999999</v>
      </c>
      <c r="C93" s="18">
        <v>0.97843137254901957</v>
      </c>
      <c r="D93" s="18">
        <v>14.2</v>
      </c>
      <c r="E93">
        <v>1925</v>
      </c>
      <c r="F93" s="18">
        <v>31.372549019607842</v>
      </c>
    </row>
    <row r="94" spans="1:6">
      <c r="A94" s="27">
        <v>41000</v>
      </c>
      <c r="B94" s="18">
        <v>4.8702702702702707</v>
      </c>
      <c r="C94" s="18">
        <v>1.7666666666666668</v>
      </c>
      <c r="D94" s="18">
        <v>21.8</v>
      </c>
      <c r="E94">
        <v>2012</v>
      </c>
      <c r="F94" s="18">
        <v>36.274509803921568</v>
      </c>
    </row>
    <row r="95" spans="1:6">
      <c r="A95" s="27">
        <v>41001</v>
      </c>
      <c r="B95" s="18">
        <v>4.3567567567567558</v>
      </c>
      <c r="C95" s="18">
        <v>1.5803921568627448</v>
      </c>
      <c r="D95" s="18">
        <v>23.2</v>
      </c>
      <c r="E95">
        <v>2011</v>
      </c>
      <c r="F95" s="18">
        <v>36.274509803921568</v>
      </c>
    </row>
    <row r="96" spans="1:6">
      <c r="A96" s="27">
        <v>41002</v>
      </c>
      <c r="B96" s="18">
        <v>3.3129032258064508</v>
      </c>
      <c r="C96" s="18">
        <v>1.006862745098039</v>
      </c>
      <c r="D96" s="18">
        <v>12.2</v>
      </c>
      <c r="E96">
        <v>1963</v>
      </c>
      <c r="F96" s="18">
        <v>30.392156862745097</v>
      </c>
    </row>
    <row r="97" spans="1:6">
      <c r="A97" s="27">
        <v>41003</v>
      </c>
      <c r="B97" s="18">
        <v>2.8617647058823521</v>
      </c>
      <c r="C97" s="18">
        <v>0.9539215686274507</v>
      </c>
      <c r="D97" s="18">
        <v>18.399999999999999</v>
      </c>
      <c r="E97">
        <v>1924</v>
      </c>
      <c r="F97" s="18">
        <v>33.333333333333329</v>
      </c>
    </row>
    <row r="98" spans="1:6">
      <c r="A98" s="27">
        <v>41004</v>
      </c>
      <c r="B98" s="18">
        <v>5.3263157894736839</v>
      </c>
      <c r="C98" s="18">
        <v>1.9843137254901959</v>
      </c>
      <c r="D98" s="18">
        <v>30.9</v>
      </c>
      <c r="E98">
        <v>1997</v>
      </c>
      <c r="F98" s="18">
        <v>37.254901960784316</v>
      </c>
    </row>
    <row r="99" spans="1:6">
      <c r="A99" s="27">
        <v>41005</v>
      </c>
      <c r="B99" s="18">
        <v>4.5750000000000002</v>
      </c>
      <c r="C99" s="18">
        <v>1.6147058823529414</v>
      </c>
      <c r="D99" s="18">
        <v>17.100000000000001</v>
      </c>
      <c r="E99">
        <v>1915</v>
      </c>
      <c r="F99" s="18">
        <v>35.294117647058826</v>
      </c>
    </row>
    <row r="100" spans="1:6">
      <c r="A100" s="27">
        <v>41006</v>
      </c>
      <c r="B100" s="18">
        <v>5.6634146341463429</v>
      </c>
      <c r="C100" s="18">
        <v>2.2764705882352945</v>
      </c>
      <c r="D100" s="18">
        <v>23.2</v>
      </c>
      <c r="E100">
        <v>1913</v>
      </c>
      <c r="F100" s="18">
        <v>40.196078431372548</v>
      </c>
    </row>
    <row r="101" spans="1:6">
      <c r="A101" s="27">
        <v>41007</v>
      </c>
      <c r="B101" s="18">
        <v>4.4149999999999991</v>
      </c>
      <c r="C101" s="18">
        <v>1.7313725490196075</v>
      </c>
      <c r="D101" s="18">
        <v>23</v>
      </c>
      <c r="E101">
        <v>1929</v>
      </c>
      <c r="F101" s="18">
        <v>40.196078431372548</v>
      </c>
    </row>
    <row r="102" spans="1:6">
      <c r="A102" s="27">
        <v>41008</v>
      </c>
      <c r="B102" s="18">
        <v>6.2813953488372096</v>
      </c>
      <c r="C102" s="18">
        <v>2.6480392156862749</v>
      </c>
      <c r="D102" s="18">
        <v>45</v>
      </c>
      <c r="E102">
        <v>1991</v>
      </c>
      <c r="F102" s="18">
        <v>42.156862745098039</v>
      </c>
    </row>
    <row r="103" spans="1:6">
      <c r="A103" s="27">
        <v>41009</v>
      </c>
      <c r="B103" s="18">
        <v>3.9405405405405403</v>
      </c>
      <c r="C103" s="18">
        <v>1.4294117647058822</v>
      </c>
      <c r="D103" s="18">
        <v>17.5</v>
      </c>
      <c r="E103">
        <v>1926</v>
      </c>
      <c r="F103" s="18">
        <v>36.274509803921568</v>
      </c>
    </row>
    <row r="104" spans="1:6">
      <c r="A104" s="27">
        <v>41010</v>
      </c>
      <c r="B104" s="18">
        <v>4.5076923076923077</v>
      </c>
      <c r="C104" s="18">
        <v>1.723529411764706</v>
      </c>
      <c r="D104" s="18">
        <v>30.6</v>
      </c>
      <c r="E104">
        <v>1977</v>
      </c>
      <c r="F104" s="18">
        <v>39.215686274509807</v>
      </c>
    </row>
    <row r="105" spans="1:6">
      <c r="A105" s="27">
        <v>41011</v>
      </c>
      <c r="B105" s="18">
        <v>4.4342105263157894</v>
      </c>
      <c r="C105" s="18">
        <v>1.6519607843137254</v>
      </c>
      <c r="D105" s="18">
        <v>24.8</v>
      </c>
      <c r="E105">
        <v>1947</v>
      </c>
      <c r="F105" s="18">
        <v>38.235294117647058</v>
      </c>
    </row>
    <row r="106" spans="1:6">
      <c r="A106" s="27">
        <v>41012</v>
      </c>
      <c r="B106" s="18">
        <v>4.5073170731707295</v>
      </c>
      <c r="C106" s="18">
        <v>1.8117647058823523</v>
      </c>
      <c r="D106" s="18">
        <v>19</v>
      </c>
      <c r="E106">
        <v>1949</v>
      </c>
      <c r="F106" s="18">
        <v>40.196078431372548</v>
      </c>
    </row>
    <row r="107" spans="1:6">
      <c r="A107" s="27">
        <v>41013</v>
      </c>
      <c r="B107" s="18">
        <v>4.1921052631578952</v>
      </c>
      <c r="C107" s="18">
        <v>1.5617647058823529</v>
      </c>
      <c r="D107" s="18">
        <v>36.5</v>
      </c>
      <c r="E107">
        <v>2012</v>
      </c>
      <c r="F107" s="18">
        <v>37.254901960784316</v>
      </c>
    </row>
    <row r="108" spans="1:6">
      <c r="A108" s="27">
        <v>41014</v>
      </c>
      <c r="B108" s="18">
        <v>4.2326530612244886</v>
      </c>
      <c r="C108" s="18">
        <v>2.0333333333333328</v>
      </c>
      <c r="D108" s="18">
        <v>23</v>
      </c>
      <c r="E108">
        <v>1974</v>
      </c>
      <c r="F108" s="18">
        <v>48.03921568627451</v>
      </c>
    </row>
    <row r="109" spans="1:6">
      <c r="A109" s="27">
        <v>41015</v>
      </c>
      <c r="B109" s="18">
        <v>5.7326086956521722</v>
      </c>
      <c r="C109" s="18">
        <v>2.5852941176470581</v>
      </c>
      <c r="D109" s="18">
        <v>40.799999999999997</v>
      </c>
      <c r="E109">
        <v>1970</v>
      </c>
      <c r="F109" s="18">
        <v>45.098039215686278</v>
      </c>
    </row>
    <row r="110" spans="1:6">
      <c r="A110" s="27">
        <v>41016</v>
      </c>
      <c r="B110" s="18">
        <v>4.3761904761904757</v>
      </c>
      <c r="C110" s="18">
        <v>1.8019607843137253</v>
      </c>
      <c r="D110" s="18">
        <v>37</v>
      </c>
      <c r="E110">
        <v>1970</v>
      </c>
      <c r="F110" s="18">
        <v>41.17647058823529</v>
      </c>
    </row>
    <row r="111" spans="1:6">
      <c r="A111" s="27">
        <v>41017</v>
      </c>
      <c r="B111" s="18">
        <v>6.0578947368421048</v>
      </c>
      <c r="C111" s="18">
        <v>2.2568627450980392</v>
      </c>
      <c r="D111" s="18">
        <v>40.5</v>
      </c>
      <c r="E111">
        <v>1949</v>
      </c>
      <c r="F111" s="18">
        <v>37.254901960784316</v>
      </c>
    </row>
    <row r="112" spans="1:6">
      <c r="A112" s="27">
        <v>41018</v>
      </c>
      <c r="B112" s="18">
        <v>5.2476190476190476</v>
      </c>
      <c r="C112" s="18">
        <v>2.1607843137254901</v>
      </c>
      <c r="D112" s="18">
        <v>41.2</v>
      </c>
      <c r="E112">
        <v>1978</v>
      </c>
      <c r="F112" s="18">
        <v>41.17647058823529</v>
      </c>
    </row>
    <row r="113" spans="1:6">
      <c r="A113" s="27">
        <v>41019</v>
      </c>
      <c r="B113" s="18">
        <v>4.2190476190476192</v>
      </c>
      <c r="C113" s="18">
        <v>1.7372549019607841</v>
      </c>
      <c r="D113" s="18">
        <v>22.1</v>
      </c>
      <c r="E113">
        <v>1932</v>
      </c>
      <c r="F113" s="18">
        <v>41.17647058823529</v>
      </c>
    </row>
    <row r="114" spans="1:6">
      <c r="A114" s="27">
        <v>41020</v>
      </c>
      <c r="B114" s="18">
        <v>4.9648648648648654</v>
      </c>
      <c r="C114" s="18">
        <v>1.800980392156863</v>
      </c>
      <c r="D114" s="18">
        <v>42.5</v>
      </c>
      <c r="E114">
        <v>1912</v>
      </c>
      <c r="F114" s="18">
        <v>36.274509803921568</v>
      </c>
    </row>
    <row r="115" spans="1:6">
      <c r="A115" s="27">
        <v>41021</v>
      </c>
      <c r="B115" s="18">
        <v>5.0531249999999988</v>
      </c>
      <c r="C115" s="18">
        <v>1.5852941176470585</v>
      </c>
      <c r="D115" s="18">
        <v>35.4</v>
      </c>
      <c r="E115">
        <v>1965</v>
      </c>
      <c r="F115" s="18">
        <v>31.372549019607842</v>
      </c>
    </row>
    <row r="116" spans="1:6">
      <c r="A116" s="27">
        <v>41022</v>
      </c>
      <c r="B116" s="18">
        <v>3.1709677419354834</v>
      </c>
      <c r="C116" s="18">
        <v>0.96372549019607823</v>
      </c>
      <c r="D116" s="18">
        <v>15.7</v>
      </c>
      <c r="E116">
        <v>1967</v>
      </c>
      <c r="F116" s="18">
        <v>30.392156862745097</v>
      </c>
    </row>
    <row r="117" spans="1:6">
      <c r="A117" s="27">
        <v>41023</v>
      </c>
      <c r="B117" s="18">
        <v>3.5241379310344825</v>
      </c>
      <c r="C117" s="18">
        <v>1.0019607843137255</v>
      </c>
      <c r="D117" s="18">
        <v>12.6</v>
      </c>
      <c r="E117">
        <v>1992</v>
      </c>
      <c r="F117" s="18">
        <v>28.431372549019606</v>
      </c>
    </row>
    <row r="118" spans="1:6">
      <c r="A118" s="27">
        <v>41024</v>
      </c>
      <c r="B118" s="18">
        <v>3.609375</v>
      </c>
      <c r="C118" s="18">
        <v>1.1323529411764706</v>
      </c>
      <c r="D118" s="18">
        <v>16.7</v>
      </c>
      <c r="E118">
        <v>1977</v>
      </c>
      <c r="F118" s="18">
        <v>31.372549019607842</v>
      </c>
    </row>
    <row r="119" spans="1:6">
      <c r="A119" s="27">
        <v>41025</v>
      </c>
      <c r="B119" s="18">
        <v>4.6175000000000006</v>
      </c>
      <c r="C119" s="18">
        <v>1.8107843137254904</v>
      </c>
      <c r="D119" s="18">
        <v>16.7</v>
      </c>
      <c r="E119">
        <v>1927</v>
      </c>
      <c r="F119" s="18">
        <v>39.215686274509807</v>
      </c>
    </row>
    <row r="120" spans="1:6">
      <c r="A120" s="27">
        <v>41026</v>
      </c>
      <c r="B120" s="18">
        <v>4.0354838709677425</v>
      </c>
      <c r="C120" s="18">
        <v>1.2264705882352942</v>
      </c>
      <c r="D120" s="18">
        <v>21</v>
      </c>
      <c r="E120">
        <v>1965</v>
      </c>
      <c r="F120" s="18">
        <v>30.392156862745097</v>
      </c>
    </row>
    <row r="121" spans="1:6">
      <c r="A121" s="27">
        <v>41027</v>
      </c>
      <c r="B121" s="18">
        <v>2.0387096774193543</v>
      </c>
      <c r="C121" s="18">
        <v>0.61960784313725481</v>
      </c>
      <c r="D121" s="18">
        <v>7.6</v>
      </c>
      <c r="E121">
        <v>1984</v>
      </c>
      <c r="F121" s="18">
        <v>30.392156862745097</v>
      </c>
    </row>
    <row r="122" spans="1:6">
      <c r="A122" s="27">
        <v>41028</v>
      </c>
      <c r="B122" s="18">
        <v>4.1866666666666656</v>
      </c>
      <c r="C122" s="18">
        <v>1.2313725490196077</v>
      </c>
      <c r="D122" s="18">
        <v>17.2</v>
      </c>
      <c r="E122">
        <v>1966</v>
      </c>
      <c r="F122" s="18">
        <v>29.411764705882355</v>
      </c>
    </row>
    <row r="123" spans="1:6">
      <c r="A123" s="27">
        <v>41029</v>
      </c>
      <c r="B123" s="18">
        <v>3.0571428571428574</v>
      </c>
      <c r="C123" s="18">
        <v>0.83921568627450993</v>
      </c>
      <c r="D123" s="18">
        <v>10.5</v>
      </c>
      <c r="E123">
        <v>1972</v>
      </c>
      <c r="F123" s="18">
        <v>27.450980392156865</v>
      </c>
    </row>
    <row r="124" spans="1:6">
      <c r="A124" s="27">
        <v>41030</v>
      </c>
      <c r="B124" s="18">
        <v>5.530555555555555</v>
      </c>
      <c r="C124" s="18">
        <v>1.9519607843137254</v>
      </c>
      <c r="D124" s="18">
        <v>44.7</v>
      </c>
      <c r="E124">
        <v>1924</v>
      </c>
      <c r="F124" s="18">
        <v>35.294117647058826</v>
      </c>
    </row>
    <row r="125" spans="1:6">
      <c r="A125" s="27">
        <v>41031</v>
      </c>
      <c r="B125" s="18">
        <v>4.7166666666666686</v>
      </c>
      <c r="C125" s="18">
        <v>1.6647058823529419</v>
      </c>
      <c r="D125" s="18">
        <v>43.2</v>
      </c>
      <c r="E125">
        <v>1935</v>
      </c>
      <c r="F125" s="18">
        <v>35.294117647058826</v>
      </c>
    </row>
    <row r="126" spans="1:6">
      <c r="A126" s="27">
        <v>41032</v>
      </c>
      <c r="B126" s="18">
        <v>3.2617647058823533</v>
      </c>
      <c r="C126" s="18">
        <v>1.0872549019607844</v>
      </c>
      <c r="D126" s="18">
        <v>23.3</v>
      </c>
      <c r="E126">
        <v>1938</v>
      </c>
      <c r="F126" s="18">
        <v>33.333333333333329</v>
      </c>
    </row>
    <row r="127" spans="1:6">
      <c r="A127" s="27">
        <v>41033</v>
      </c>
      <c r="B127" s="18">
        <v>4.3555555555555543</v>
      </c>
      <c r="C127" s="18">
        <v>1.1529411764705879</v>
      </c>
      <c r="D127" s="18">
        <v>14</v>
      </c>
      <c r="E127">
        <v>1957</v>
      </c>
      <c r="F127" s="18">
        <v>26.47058823529412</v>
      </c>
    </row>
    <row r="128" spans="1:6">
      <c r="A128" s="27">
        <v>41034</v>
      </c>
      <c r="B128" s="18">
        <v>4.5999999999999988</v>
      </c>
      <c r="C128" s="18">
        <v>1.1274509803921566</v>
      </c>
      <c r="D128" s="18">
        <v>22</v>
      </c>
      <c r="E128">
        <v>1959</v>
      </c>
      <c r="F128" s="18">
        <v>24.509803921568626</v>
      </c>
    </row>
    <row r="129" spans="1:6">
      <c r="A129" s="27">
        <v>41035</v>
      </c>
      <c r="B129" s="18">
        <v>5.7119999999999997</v>
      </c>
      <c r="C129" s="18">
        <v>1.4</v>
      </c>
      <c r="D129" s="18">
        <v>41.4</v>
      </c>
      <c r="E129">
        <v>1941</v>
      </c>
      <c r="F129" s="18">
        <v>24.509803921568626</v>
      </c>
    </row>
    <row r="130" spans="1:6">
      <c r="A130" s="27">
        <v>41036</v>
      </c>
      <c r="B130" s="18">
        <v>4.1275862068965514</v>
      </c>
      <c r="C130" s="18">
        <v>1.1735294117647059</v>
      </c>
      <c r="D130" s="18">
        <v>27.8</v>
      </c>
      <c r="E130">
        <v>1981</v>
      </c>
      <c r="F130" s="18">
        <v>28.431372549019606</v>
      </c>
    </row>
    <row r="131" spans="1:6">
      <c r="A131" s="27">
        <v>41037</v>
      </c>
      <c r="B131" s="18">
        <v>4.0777777777777766</v>
      </c>
      <c r="C131" s="18">
        <v>1.0794117647058821</v>
      </c>
      <c r="D131" s="18">
        <v>18.899999999999999</v>
      </c>
      <c r="E131">
        <v>1964</v>
      </c>
      <c r="F131" s="18">
        <v>26.47058823529412</v>
      </c>
    </row>
    <row r="132" spans="1:6">
      <c r="A132" s="27">
        <v>41038</v>
      </c>
      <c r="B132" s="18">
        <v>2.3906249999999996</v>
      </c>
      <c r="C132" s="18">
        <v>0.74999999999999989</v>
      </c>
      <c r="D132" s="18">
        <v>11.4</v>
      </c>
      <c r="E132">
        <v>1953</v>
      </c>
      <c r="F132" s="18">
        <v>31.372549019607842</v>
      </c>
    </row>
    <row r="133" spans="1:6">
      <c r="A133" s="27">
        <v>41039</v>
      </c>
      <c r="B133" s="18">
        <v>3.7333333333333321</v>
      </c>
      <c r="C133" s="18">
        <v>0.98823529411764677</v>
      </c>
      <c r="D133" s="18">
        <v>36.4</v>
      </c>
      <c r="E133">
        <v>1974</v>
      </c>
      <c r="F133" s="18">
        <v>26.47058823529412</v>
      </c>
    </row>
    <row r="134" spans="1:6">
      <c r="A134" s="27">
        <v>41040</v>
      </c>
      <c r="B134" s="18">
        <v>5.8375000000000004</v>
      </c>
      <c r="C134" s="18">
        <v>1.831372549019608</v>
      </c>
      <c r="D134" s="18">
        <v>84</v>
      </c>
      <c r="E134">
        <v>1974</v>
      </c>
      <c r="F134" s="18">
        <v>31.372549019607842</v>
      </c>
    </row>
    <row r="135" spans="1:6">
      <c r="A135" s="27">
        <v>41041</v>
      </c>
      <c r="B135" s="18">
        <v>4.0093749999999986</v>
      </c>
      <c r="C135" s="18">
        <v>1.2578431372549015</v>
      </c>
      <c r="D135" s="18">
        <v>15.8</v>
      </c>
      <c r="E135">
        <v>1920</v>
      </c>
      <c r="F135" s="18">
        <v>31.372549019607842</v>
      </c>
    </row>
    <row r="136" spans="1:6">
      <c r="A136" s="27">
        <v>41042</v>
      </c>
      <c r="B136" s="18">
        <v>3.7081081081081071</v>
      </c>
      <c r="C136" s="18">
        <v>1.3450980392156859</v>
      </c>
      <c r="D136" s="18">
        <v>15.5</v>
      </c>
      <c r="E136">
        <v>1969</v>
      </c>
      <c r="F136" s="18">
        <v>37.254901960784316</v>
      </c>
    </row>
    <row r="137" spans="1:6">
      <c r="A137" s="27">
        <v>41043</v>
      </c>
      <c r="B137" s="18">
        <v>5.0032258064516117</v>
      </c>
      <c r="C137" s="18">
        <v>1.5205882352941174</v>
      </c>
      <c r="D137" s="18">
        <v>25.2</v>
      </c>
      <c r="E137">
        <v>1996</v>
      </c>
      <c r="F137" s="18">
        <v>30.392156862745097</v>
      </c>
    </row>
    <row r="138" spans="1:6">
      <c r="A138" s="27">
        <v>41044</v>
      </c>
      <c r="B138" s="18">
        <v>4.1103448275862062</v>
      </c>
      <c r="C138" s="18">
        <v>1.168627450980392</v>
      </c>
      <c r="D138" s="18">
        <v>19.399999999999999</v>
      </c>
      <c r="E138">
        <v>1975</v>
      </c>
      <c r="F138" s="18">
        <v>28.431372549019606</v>
      </c>
    </row>
    <row r="139" spans="1:6">
      <c r="A139" s="27">
        <v>41045</v>
      </c>
      <c r="B139" s="18">
        <v>3.2999999999999989</v>
      </c>
      <c r="C139" s="18">
        <v>0.87352941176470555</v>
      </c>
      <c r="D139" s="18">
        <v>27</v>
      </c>
      <c r="E139">
        <v>1933</v>
      </c>
      <c r="F139" s="18">
        <v>26.47058823529412</v>
      </c>
    </row>
    <row r="140" spans="1:6">
      <c r="A140" s="27">
        <v>41046</v>
      </c>
      <c r="B140" s="18">
        <v>5.0749999999999984</v>
      </c>
      <c r="C140" s="18">
        <v>1.3931372549019605</v>
      </c>
      <c r="D140" s="18">
        <v>24</v>
      </c>
      <c r="E140">
        <v>1932</v>
      </c>
      <c r="F140" s="18">
        <v>27.450980392156865</v>
      </c>
    </row>
    <row r="141" spans="1:6">
      <c r="A141" s="27">
        <v>41047</v>
      </c>
      <c r="B141" s="18">
        <v>3.9321428571428569</v>
      </c>
      <c r="C141" s="18">
        <v>1.0794117647058823</v>
      </c>
      <c r="D141" s="18">
        <v>24.6</v>
      </c>
      <c r="E141">
        <v>2012</v>
      </c>
      <c r="F141" s="18">
        <v>27.450980392156865</v>
      </c>
    </row>
    <row r="142" spans="1:6">
      <c r="A142" s="27">
        <v>41048</v>
      </c>
      <c r="B142" s="18">
        <v>3.1733333333333338</v>
      </c>
      <c r="C142" s="18">
        <v>0.93333333333333346</v>
      </c>
      <c r="D142" s="18">
        <v>21.1</v>
      </c>
      <c r="E142">
        <v>1957</v>
      </c>
      <c r="F142" s="18">
        <v>29.411764705882355</v>
      </c>
    </row>
    <row r="143" spans="1:6">
      <c r="A143" s="27">
        <v>41049</v>
      </c>
      <c r="B143" s="18">
        <v>3.8038461538461541</v>
      </c>
      <c r="C143" s="18">
        <v>0.96960784313725501</v>
      </c>
      <c r="D143" s="18">
        <v>37</v>
      </c>
      <c r="E143">
        <v>1925</v>
      </c>
      <c r="F143" s="18">
        <v>25.490196078431371</v>
      </c>
    </row>
    <row r="144" spans="1:6">
      <c r="A144" s="27">
        <v>41050</v>
      </c>
      <c r="B144" s="18">
        <v>6.1461538461538456</v>
      </c>
      <c r="C144" s="18">
        <v>1.5666666666666664</v>
      </c>
      <c r="D144" s="18">
        <v>41.5</v>
      </c>
      <c r="E144">
        <v>1919</v>
      </c>
      <c r="F144" s="18">
        <v>25.490196078431371</v>
      </c>
    </row>
    <row r="145" spans="1:6">
      <c r="A145" s="27">
        <v>41051</v>
      </c>
      <c r="B145" s="18">
        <v>4.6083333333333334</v>
      </c>
      <c r="C145" s="18">
        <v>1.084313725490196</v>
      </c>
      <c r="D145" s="18">
        <v>33.4</v>
      </c>
      <c r="E145">
        <v>1919</v>
      </c>
      <c r="F145" s="18">
        <v>23.52941176470588</v>
      </c>
    </row>
    <row r="146" spans="1:6">
      <c r="A146" s="27">
        <v>41052</v>
      </c>
      <c r="B146" s="18">
        <v>5.4222222222222225</v>
      </c>
      <c r="C146" s="18">
        <v>1.4352941176470588</v>
      </c>
      <c r="D146" s="18">
        <v>27.6</v>
      </c>
      <c r="E146">
        <v>1922</v>
      </c>
      <c r="F146" s="18">
        <v>26.47058823529412</v>
      </c>
    </row>
    <row r="147" spans="1:6">
      <c r="A147" s="27">
        <v>41053</v>
      </c>
      <c r="B147" s="18">
        <v>3.5439999999999996</v>
      </c>
      <c r="C147" s="18">
        <v>0.86862745098039207</v>
      </c>
      <c r="D147" s="18">
        <v>22.2</v>
      </c>
      <c r="E147">
        <v>1927</v>
      </c>
      <c r="F147" s="18">
        <v>24.509803921568626</v>
      </c>
    </row>
    <row r="148" spans="1:6">
      <c r="A148" s="27">
        <v>41054</v>
      </c>
      <c r="B148" s="18">
        <v>3.4642857142857153</v>
      </c>
      <c r="C148" s="18">
        <v>0.95098039215686303</v>
      </c>
      <c r="D148" s="18">
        <v>16.100000000000001</v>
      </c>
      <c r="E148">
        <v>1970</v>
      </c>
      <c r="F148" s="18">
        <v>27.450980392156865</v>
      </c>
    </row>
    <row r="149" spans="1:6">
      <c r="A149" s="27">
        <v>41055</v>
      </c>
      <c r="B149" s="18">
        <v>3.5866666666666656</v>
      </c>
      <c r="C149" s="18">
        <v>1.0549019607843133</v>
      </c>
      <c r="D149" s="18">
        <v>26.5</v>
      </c>
      <c r="E149">
        <v>1943</v>
      </c>
      <c r="F149" s="18">
        <v>29.411764705882355</v>
      </c>
    </row>
    <row r="150" spans="1:6">
      <c r="A150" s="27">
        <v>41056</v>
      </c>
      <c r="B150" s="18">
        <v>4.5105263157894733</v>
      </c>
      <c r="C150" s="18">
        <v>0.84019607843137245</v>
      </c>
      <c r="D150" s="18">
        <v>27</v>
      </c>
      <c r="E150">
        <v>1992</v>
      </c>
      <c r="F150" s="18">
        <v>18.627450980392158</v>
      </c>
    </row>
    <row r="151" spans="1:6">
      <c r="A151" s="27">
        <v>41057</v>
      </c>
      <c r="B151" s="18">
        <v>5.0119999999999996</v>
      </c>
      <c r="C151" s="18">
        <v>1.2284313725490195</v>
      </c>
      <c r="D151" s="18">
        <v>24.5</v>
      </c>
      <c r="E151">
        <v>1931</v>
      </c>
      <c r="F151" s="18">
        <v>24.509803921568626</v>
      </c>
    </row>
    <row r="152" spans="1:6">
      <c r="A152" s="27">
        <v>41058</v>
      </c>
      <c r="B152" s="18">
        <v>4.3851851851851853</v>
      </c>
      <c r="C152" s="18">
        <v>1.1607843137254901</v>
      </c>
      <c r="D152" s="18">
        <v>18.7</v>
      </c>
      <c r="E152">
        <v>1944</v>
      </c>
      <c r="F152" s="18">
        <v>26.47058823529412</v>
      </c>
    </row>
    <row r="153" spans="1:6">
      <c r="A153" s="27">
        <v>41059</v>
      </c>
      <c r="B153" s="18">
        <v>1.8833333333333335</v>
      </c>
      <c r="C153" s="18">
        <v>0.55392156862745101</v>
      </c>
      <c r="D153" s="18">
        <v>6.4</v>
      </c>
      <c r="E153">
        <v>1928</v>
      </c>
      <c r="F153" s="18">
        <v>29.411764705882355</v>
      </c>
    </row>
    <row r="154" spans="1:6">
      <c r="A154" s="27">
        <v>41060</v>
      </c>
      <c r="B154" s="18">
        <v>5.1181818181818191</v>
      </c>
      <c r="C154" s="18">
        <v>1.1039215686274513</v>
      </c>
      <c r="D154" s="18">
        <v>15.8</v>
      </c>
      <c r="E154">
        <v>2004</v>
      </c>
      <c r="F154" s="18">
        <v>21.568627450980394</v>
      </c>
    </row>
    <row r="155" spans="1:6">
      <c r="A155" s="27">
        <v>41061</v>
      </c>
      <c r="B155" s="18">
        <v>4.431034482758621</v>
      </c>
      <c r="C155" s="18">
        <v>1.2598039215686274</v>
      </c>
      <c r="D155" s="18">
        <v>48</v>
      </c>
      <c r="E155">
        <v>1990</v>
      </c>
      <c r="F155" s="18">
        <v>28.431372549019606</v>
      </c>
    </row>
    <row r="156" spans="1:6">
      <c r="A156" s="27">
        <v>41062</v>
      </c>
      <c r="B156" s="18">
        <v>4.8600000000000003</v>
      </c>
      <c r="C156" s="18">
        <v>1.1911764705882353</v>
      </c>
      <c r="D156" s="18">
        <v>24</v>
      </c>
      <c r="E156">
        <v>1999</v>
      </c>
      <c r="F156" s="18">
        <v>24.509803921568626</v>
      </c>
    </row>
    <row r="157" spans="1:6">
      <c r="A157" s="27">
        <v>41063</v>
      </c>
      <c r="B157" s="18">
        <v>3.9095238095238098</v>
      </c>
      <c r="C157" s="18">
        <v>0.80490196078431386</v>
      </c>
      <c r="D157" s="18">
        <v>11.5</v>
      </c>
      <c r="E157">
        <v>1997</v>
      </c>
      <c r="F157" s="18">
        <v>20.588235294117645</v>
      </c>
    </row>
    <row r="158" spans="1:6">
      <c r="A158" s="27">
        <v>41064</v>
      </c>
      <c r="B158" s="18">
        <v>3.7200000000000006</v>
      </c>
      <c r="C158" s="18">
        <v>0.91176470588235303</v>
      </c>
      <c r="D158" s="18">
        <v>13.1</v>
      </c>
      <c r="E158">
        <v>1941</v>
      </c>
      <c r="F158" s="18">
        <v>24.509803921568626</v>
      </c>
    </row>
    <row r="159" spans="1:6">
      <c r="A159" s="27">
        <v>41065</v>
      </c>
      <c r="B159" s="18">
        <v>3.9799999999999995</v>
      </c>
      <c r="C159" s="18">
        <v>0.97549019607843124</v>
      </c>
      <c r="D159" s="18">
        <v>24.5</v>
      </c>
      <c r="E159">
        <v>1919</v>
      </c>
      <c r="F159" s="18">
        <v>24.509803921568626</v>
      </c>
    </row>
    <row r="160" spans="1:6">
      <c r="A160" s="27">
        <v>41066</v>
      </c>
      <c r="B160" s="18">
        <v>9.0636363636363626</v>
      </c>
      <c r="C160" s="18">
        <v>1.9549019607843134</v>
      </c>
      <c r="D160" s="18">
        <v>33.5</v>
      </c>
      <c r="E160">
        <v>1975</v>
      </c>
      <c r="F160" s="18">
        <v>21.568627450980394</v>
      </c>
    </row>
    <row r="161" spans="1:6">
      <c r="A161" s="27">
        <v>41067</v>
      </c>
      <c r="B161" s="18">
        <v>9.8875000000000011</v>
      </c>
      <c r="C161" s="18">
        <v>2.3264705882352943</v>
      </c>
      <c r="D161" s="18">
        <v>46</v>
      </c>
      <c r="E161">
        <v>2010</v>
      </c>
      <c r="F161" s="18">
        <v>23.52941176470588</v>
      </c>
    </row>
    <row r="162" spans="1:6">
      <c r="A162" s="27">
        <v>41068</v>
      </c>
      <c r="B162" s="18">
        <v>5.4147058823529406</v>
      </c>
      <c r="C162" s="18">
        <v>1.8049019607843133</v>
      </c>
      <c r="D162" s="18">
        <v>34.200000000000003</v>
      </c>
      <c r="E162">
        <v>2010</v>
      </c>
      <c r="F162" s="18">
        <v>33.333333333333329</v>
      </c>
    </row>
    <row r="163" spans="1:6">
      <c r="A163" s="27">
        <v>41069</v>
      </c>
      <c r="B163" s="18">
        <v>3.5913043478260867</v>
      </c>
      <c r="C163" s="18">
        <v>0.80980392156862735</v>
      </c>
      <c r="D163" s="18">
        <v>30.9</v>
      </c>
      <c r="E163">
        <v>2006</v>
      </c>
      <c r="F163" s="18">
        <v>22.549019607843139</v>
      </c>
    </row>
    <row r="164" spans="1:6">
      <c r="A164" s="27">
        <v>41070</v>
      </c>
      <c r="B164" s="18">
        <v>4.4689655172413785</v>
      </c>
      <c r="C164" s="18">
        <v>1.2705882352941174</v>
      </c>
      <c r="D164" s="18">
        <v>49</v>
      </c>
      <c r="E164">
        <v>1932</v>
      </c>
      <c r="F164" s="18">
        <v>28.431372549019606</v>
      </c>
    </row>
    <row r="165" spans="1:6">
      <c r="A165" s="27">
        <v>41071</v>
      </c>
      <c r="B165" s="18">
        <v>6.9409090909090905</v>
      </c>
      <c r="C165" s="18">
        <v>1.4970588235294116</v>
      </c>
      <c r="D165" s="18">
        <v>48.6</v>
      </c>
      <c r="E165">
        <v>1986</v>
      </c>
      <c r="F165" s="18">
        <v>21.568627450980394</v>
      </c>
    </row>
    <row r="166" spans="1:6">
      <c r="A166" s="27">
        <v>41072</v>
      </c>
      <c r="B166" s="18">
        <v>6.0038461538461529</v>
      </c>
      <c r="C166" s="18">
        <v>1.5303921568627448</v>
      </c>
      <c r="D166" s="18">
        <v>25.6</v>
      </c>
      <c r="E166">
        <v>1961</v>
      </c>
      <c r="F166" s="18">
        <v>25.490196078431371</v>
      </c>
    </row>
    <row r="167" spans="1:6">
      <c r="A167" s="27">
        <v>41073</v>
      </c>
      <c r="B167" s="18">
        <v>4.9388888888888891</v>
      </c>
      <c r="C167" s="18">
        <v>0.8715686274509804</v>
      </c>
      <c r="D167" s="18">
        <v>26.8</v>
      </c>
      <c r="E167">
        <v>1920</v>
      </c>
      <c r="F167" s="18">
        <v>17.647058823529413</v>
      </c>
    </row>
    <row r="168" spans="1:6">
      <c r="A168" s="27">
        <v>41074</v>
      </c>
      <c r="B168" s="18">
        <v>5.6499999999999995</v>
      </c>
      <c r="C168" s="18">
        <v>1.1078431372549018</v>
      </c>
      <c r="D168" s="18">
        <v>27.4</v>
      </c>
      <c r="E168">
        <v>1981</v>
      </c>
      <c r="F168" s="18">
        <v>19.607843137254903</v>
      </c>
    </row>
    <row r="169" spans="1:6">
      <c r="A169" s="27">
        <v>41075</v>
      </c>
      <c r="B169" s="18">
        <v>5.166666666666667</v>
      </c>
      <c r="C169" s="18">
        <v>0.91176470588235292</v>
      </c>
      <c r="D169" s="18">
        <v>32.4</v>
      </c>
      <c r="E169">
        <v>1994</v>
      </c>
      <c r="F169" s="18">
        <v>17.647058823529413</v>
      </c>
    </row>
    <row r="170" spans="1:6">
      <c r="A170" s="27">
        <v>41076</v>
      </c>
      <c r="B170" s="18">
        <v>4.7904761904761903</v>
      </c>
      <c r="C170" s="18">
        <v>0.98627450980392151</v>
      </c>
      <c r="D170" s="18">
        <v>28</v>
      </c>
      <c r="E170">
        <v>1938</v>
      </c>
      <c r="F170" s="18">
        <v>20.588235294117645</v>
      </c>
    </row>
    <row r="171" spans="1:6">
      <c r="A171" s="27">
        <v>41077</v>
      </c>
      <c r="B171" s="18">
        <v>2.2909090909090915</v>
      </c>
      <c r="C171" s="18">
        <v>0.49411764705882366</v>
      </c>
      <c r="D171" s="18">
        <v>12.9</v>
      </c>
      <c r="E171">
        <v>1930</v>
      </c>
      <c r="F171" s="18">
        <v>21.568627450980394</v>
      </c>
    </row>
    <row r="172" spans="1:6">
      <c r="A172" s="27">
        <v>41078</v>
      </c>
      <c r="B172" s="18">
        <v>7.0649999999999995</v>
      </c>
      <c r="C172" s="18">
        <v>1.3852941176470586</v>
      </c>
      <c r="D172" s="18">
        <v>57</v>
      </c>
      <c r="E172">
        <v>1987</v>
      </c>
      <c r="F172" s="18">
        <v>19.607843137254903</v>
      </c>
    </row>
    <row r="173" spans="1:6">
      <c r="A173" s="27">
        <v>41079</v>
      </c>
      <c r="B173" s="18">
        <v>3.1263157894736842</v>
      </c>
      <c r="C173" s="18">
        <v>0.58235294117647063</v>
      </c>
      <c r="D173" s="18">
        <v>30.5</v>
      </c>
      <c r="E173">
        <v>1993</v>
      </c>
      <c r="F173" s="18">
        <v>18.627450980392158</v>
      </c>
    </row>
    <row r="174" spans="1:6">
      <c r="A174" s="27">
        <v>41080</v>
      </c>
      <c r="B174" s="18">
        <v>10.565217391304348</v>
      </c>
      <c r="C174" s="18">
        <v>2.3823529411764706</v>
      </c>
      <c r="D174" s="18">
        <v>91</v>
      </c>
      <c r="E174">
        <v>1924</v>
      </c>
      <c r="F174" s="18">
        <v>22.549019607843139</v>
      </c>
    </row>
    <row r="175" spans="1:6">
      <c r="A175" s="27">
        <v>41081</v>
      </c>
      <c r="B175" s="18">
        <v>4.8380952380952387</v>
      </c>
      <c r="C175" s="18">
        <v>0.99607843137254914</v>
      </c>
      <c r="D175" s="18">
        <v>36</v>
      </c>
      <c r="E175">
        <v>1988</v>
      </c>
      <c r="F175" s="18">
        <v>20.588235294117645</v>
      </c>
    </row>
    <row r="176" spans="1:6">
      <c r="A176" s="27">
        <v>41082</v>
      </c>
      <c r="B176" s="18">
        <v>4.1000000000000005</v>
      </c>
      <c r="C176" s="18">
        <v>0.92450980392156878</v>
      </c>
      <c r="D176" s="18">
        <v>15.7</v>
      </c>
      <c r="E176">
        <v>1921</v>
      </c>
      <c r="F176" s="18">
        <v>22.549019607843139</v>
      </c>
    </row>
    <row r="177" spans="1:6">
      <c r="A177" s="27">
        <v>41083</v>
      </c>
      <c r="B177" s="18">
        <v>4.1950000000000003</v>
      </c>
      <c r="C177" s="18">
        <v>0.82254901960784321</v>
      </c>
      <c r="D177" s="18">
        <v>31.6</v>
      </c>
      <c r="E177">
        <v>2010</v>
      </c>
      <c r="F177" s="18">
        <v>19.607843137254903</v>
      </c>
    </row>
    <row r="178" spans="1:6">
      <c r="A178" s="27">
        <v>41084</v>
      </c>
      <c r="B178" s="18">
        <v>5.3199999999999985</v>
      </c>
      <c r="C178" s="18">
        <v>1.0431372549019606</v>
      </c>
      <c r="D178" s="18">
        <v>25.5</v>
      </c>
      <c r="E178">
        <v>1960</v>
      </c>
      <c r="F178" s="18">
        <v>19.607843137254903</v>
      </c>
    </row>
    <row r="179" spans="1:6">
      <c r="A179" s="27">
        <v>41085</v>
      </c>
      <c r="B179" s="18">
        <v>3.8600000000000003</v>
      </c>
      <c r="C179" s="18">
        <v>0.75686274509803919</v>
      </c>
      <c r="D179" s="18">
        <v>14.8</v>
      </c>
      <c r="E179">
        <v>1952</v>
      </c>
      <c r="F179" s="18">
        <v>19.607843137254903</v>
      </c>
    </row>
    <row r="180" spans="1:6">
      <c r="A180" s="27">
        <v>41086</v>
      </c>
      <c r="B180" s="18">
        <v>4.628571428571429</v>
      </c>
      <c r="C180" s="18">
        <v>0.9529411764705884</v>
      </c>
      <c r="D180" s="18">
        <v>21.5</v>
      </c>
      <c r="E180">
        <v>1992</v>
      </c>
      <c r="F180" s="18">
        <v>20.588235294117645</v>
      </c>
    </row>
    <row r="181" spans="1:6">
      <c r="A181" s="27">
        <v>41087</v>
      </c>
      <c r="B181" s="18">
        <v>6.5818181818181785</v>
      </c>
      <c r="C181" s="18">
        <v>1.4196078431372541</v>
      </c>
      <c r="D181" s="18">
        <v>40.4</v>
      </c>
      <c r="E181">
        <v>1940</v>
      </c>
      <c r="F181" s="18">
        <v>21.568627450980394</v>
      </c>
    </row>
    <row r="182" spans="1:6">
      <c r="A182" s="27">
        <v>41088</v>
      </c>
      <c r="B182" s="18">
        <v>2.933333333333334</v>
      </c>
      <c r="C182" s="18">
        <v>0.51764705882352957</v>
      </c>
      <c r="D182" s="18">
        <v>35</v>
      </c>
      <c r="E182">
        <v>1931</v>
      </c>
      <c r="F182" s="18">
        <v>17.647058823529413</v>
      </c>
    </row>
    <row r="183" spans="1:6">
      <c r="A183" s="27">
        <v>41089</v>
      </c>
      <c r="B183" s="18">
        <v>4.92</v>
      </c>
      <c r="C183" s="18">
        <v>0.96470588235294108</v>
      </c>
      <c r="D183" s="18">
        <v>31</v>
      </c>
      <c r="E183">
        <v>1925</v>
      </c>
      <c r="F183" s="18">
        <v>19.607843137254903</v>
      </c>
    </row>
    <row r="184" spans="1:6">
      <c r="A184" s="27">
        <v>41090</v>
      </c>
      <c r="B184" s="18">
        <v>3.9928571428571429</v>
      </c>
      <c r="C184" s="18">
        <v>0.54803921568627445</v>
      </c>
      <c r="D184" s="18">
        <v>26.6</v>
      </c>
      <c r="E184">
        <v>1942</v>
      </c>
      <c r="F184" s="18">
        <v>13.725490196078432</v>
      </c>
    </row>
    <row r="185" spans="1:6">
      <c r="A185" s="27">
        <v>41091</v>
      </c>
      <c r="B185" s="18">
        <v>5.2799999999999994</v>
      </c>
      <c r="C185" s="18">
        <v>1.0352941176470587</v>
      </c>
      <c r="D185" s="18">
        <v>30.7</v>
      </c>
      <c r="E185">
        <v>1981</v>
      </c>
      <c r="F185" s="18">
        <v>19.607843137254903</v>
      </c>
    </row>
    <row r="186" spans="1:6">
      <c r="A186" s="27">
        <v>41092</v>
      </c>
      <c r="B186" s="18">
        <v>8.129999999999999</v>
      </c>
      <c r="C186" s="18">
        <v>1.5941176470588234</v>
      </c>
      <c r="D186" s="18">
        <v>24.5</v>
      </c>
      <c r="E186">
        <v>1955</v>
      </c>
      <c r="F186" s="18">
        <v>19.607843137254903</v>
      </c>
    </row>
    <row r="187" spans="1:6">
      <c r="A187" s="27">
        <v>41093</v>
      </c>
      <c r="B187" s="18">
        <v>11.794736842105264</v>
      </c>
      <c r="C187" s="18">
        <v>2.197058823529412</v>
      </c>
      <c r="D187" s="18">
        <v>71.5</v>
      </c>
      <c r="E187">
        <v>1977</v>
      </c>
      <c r="F187" s="18">
        <v>18.627450980392158</v>
      </c>
    </row>
    <row r="188" spans="1:6">
      <c r="A188" s="27">
        <v>41094</v>
      </c>
      <c r="B188" s="18">
        <v>9.1705882352941188</v>
      </c>
      <c r="C188" s="18">
        <v>1.5284313725490197</v>
      </c>
      <c r="D188" s="18">
        <v>33.200000000000003</v>
      </c>
      <c r="E188">
        <v>1926</v>
      </c>
      <c r="F188" s="18">
        <v>16.666666666666664</v>
      </c>
    </row>
    <row r="189" spans="1:6">
      <c r="A189" s="27">
        <v>41095</v>
      </c>
      <c r="B189" s="18">
        <v>5.6315789473684204</v>
      </c>
      <c r="C189" s="18">
        <v>1.0490196078431371</v>
      </c>
      <c r="D189" s="18">
        <v>33.799999999999997</v>
      </c>
      <c r="E189">
        <v>1936</v>
      </c>
      <c r="F189" s="18">
        <v>18.627450980392158</v>
      </c>
    </row>
    <row r="190" spans="1:6">
      <c r="A190" s="27">
        <v>41096</v>
      </c>
      <c r="B190" s="18">
        <v>15.93888888888889</v>
      </c>
      <c r="C190" s="18">
        <v>2.8127450980392159</v>
      </c>
      <c r="D190" s="18">
        <v>100.5</v>
      </c>
      <c r="E190">
        <v>1987</v>
      </c>
      <c r="F190" s="18">
        <v>17.647058823529413</v>
      </c>
    </row>
    <row r="191" spans="1:6">
      <c r="A191" s="27">
        <v>41097</v>
      </c>
      <c r="B191" s="18">
        <v>3.0599999999999996</v>
      </c>
      <c r="C191" s="18">
        <v>0.6</v>
      </c>
      <c r="D191" s="18">
        <v>16.100000000000001</v>
      </c>
      <c r="E191">
        <v>1982</v>
      </c>
      <c r="F191" s="18">
        <v>19.607843137254903</v>
      </c>
    </row>
    <row r="192" spans="1:6">
      <c r="A192" s="27">
        <v>41098</v>
      </c>
      <c r="B192" s="18">
        <v>5.8000000000000007</v>
      </c>
      <c r="C192" s="18">
        <v>0.96666666666666679</v>
      </c>
      <c r="D192" s="18">
        <v>41.7</v>
      </c>
      <c r="E192">
        <v>1918</v>
      </c>
      <c r="F192" s="18">
        <v>16.666666666666664</v>
      </c>
    </row>
    <row r="193" spans="1:6">
      <c r="A193" s="27">
        <v>41099</v>
      </c>
      <c r="B193" s="18">
        <v>11.51578947368421</v>
      </c>
      <c r="C193" s="18">
        <v>2.1450980392156862</v>
      </c>
      <c r="D193" s="18">
        <v>67.5</v>
      </c>
      <c r="E193">
        <v>1995</v>
      </c>
      <c r="F193" s="18">
        <v>18.627450980392158</v>
      </c>
    </row>
    <row r="194" spans="1:6">
      <c r="A194" s="27">
        <v>41100</v>
      </c>
      <c r="B194" s="18">
        <v>6.8687499999999986</v>
      </c>
      <c r="C194" s="18">
        <v>1.0774509803921566</v>
      </c>
      <c r="D194" s="18">
        <v>22.3</v>
      </c>
      <c r="E194">
        <v>1972</v>
      </c>
      <c r="F194" s="18">
        <v>15.686274509803921</v>
      </c>
    </row>
    <row r="195" spans="1:6">
      <c r="A195" s="27">
        <v>41101</v>
      </c>
      <c r="B195" s="18">
        <v>8.3888888888888893</v>
      </c>
      <c r="C195" s="18">
        <v>0.74019607843137258</v>
      </c>
      <c r="D195" s="18">
        <v>59</v>
      </c>
      <c r="E195">
        <v>1949</v>
      </c>
      <c r="F195" s="18">
        <v>8.8235294117647065</v>
      </c>
    </row>
    <row r="196" spans="1:6">
      <c r="A196" s="27">
        <v>41102</v>
      </c>
      <c r="B196" s="18">
        <v>6.1800000000000006</v>
      </c>
      <c r="C196" s="18">
        <v>1.2117647058823531</v>
      </c>
      <c r="D196" s="18">
        <v>45.5</v>
      </c>
      <c r="E196">
        <v>1914</v>
      </c>
      <c r="F196" s="18">
        <v>19.607843137254903</v>
      </c>
    </row>
    <row r="197" spans="1:6">
      <c r="A197" s="27">
        <v>41103</v>
      </c>
      <c r="B197" s="18">
        <v>8.5</v>
      </c>
      <c r="C197" s="18">
        <v>1.3333333333333333</v>
      </c>
      <c r="D197" s="18">
        <v>30.9</v>
      </c>
      <c r="E197">
        <v>1925</v>
      </c>
      <c r="F197" s="18">
        <v>15.686274509803921</v>
      </c>
    </row>
    <row r="198" spans="1:6">
      <c r="A198" s="27">
        <v>41104</v>
      </c>
      <c r="B198" s="18">
        <v>3.2249999999999996</v>
      </c>
      <c r="C198" s="18">
        <v>0.37941176470588234</v>
      </c>
      <c r="D198" s="18">
        <v>9.6999999999999993</v>
      </c>
      <c r="E198">
        <v>1965</v>
      </c>
      <c r="F198" s="18">
        <v>11.76470588235294</v>
      </c>
    </row>
    <row r="199" spans="1:6">
      <c r="A199" s="27">
        <v>41105</v>
      </c>
      <c r="B199" s="18">
        <v>4.0315789473684207</v>
      </c>
      <c r="C199" s="18">
        <v>0.75098039215686274</v>
      </c>
      <c r="D199" s="18">
        <v>27</v>
      </c>
      <c r="E199">
        <v>1945</v>
      </c>
      <c r="F199" s="18">
        <v>18.627450980392158</v>
      </c>
    </row>
    <row r="200" spans="1:6">
      <c r="A200" s="27">
        <v>41106</v>
      </c>
      <c r="B200" s="18">
        <v>5.2111111111111112</v>
      </c>
      <c r="C200" s="18">
        <v>0.45980392156862743</v>
      </c>
      <c r="D200" s="18">
        <v>20.7</v>
      </c>
      <c r="E200">
        <v>1997</v>
      </c>
      <c r="F200" s="18">
        <v>8.8235294117647065</v>
      </c>
    </row>
    <row r="201" spans="1:6">
      <c r="A201" s="27">
        <v>41107</v>
      </c>
      <c r="B201" s="18">
        <v>3.14</v>
      </c>
      <c r="C201" s="18">
        <v>0.30784313725490198</v>
      </c>
      <c r="D201" s="18">
        <v>13.6</v>
      </c>
      <c r="E201">
        <v>1982</v>
      </c>
      <c r="F201" s="18">
        <v>9.8039215686274517</v>
      </c>
    </row>
    <row r="202" spans="1:6">
      <c r="A202" s="27">
        <v>41108</v>
      </c>
      <c r="B202" s="18">
        <v>3.2666666666666671</v>
      </c>
      <c r="C202" s="18">
        <v>0.28823529411764709</v>
      </c>
      <c r="D202" s="18">
        <v>6</v>
      </c>
      <c r="E202">
        <v>1926</v>
      </c>
      <c r="F202" s="18">
        <v>8.8235294117647065</v>
      </c>
    </row>
    <row r="203" spans="1:6">
      <c r="A203" s="27">
        <v>41109</v>
      </c>
      <c r="B203" s="18">
        <v>2.3249999999999993</v>
      </c>
      <c r="C203" s="18">
        <v>0.18235294117647052</v>
      </c>
      <c r="D203" s="18">
        <v>9.1999999999999993</v>
      </c>
      <c r="E203">
        <v>1914</v>
      </c>
      <c r="F203" s="18">
        <v>7.8431372549019605</v>
      </c>
    </row>
    <row r="204" spans="1:6">
      <c r="A204" s="27">
        <v>41110</v>
      </c>
      <c r="B204" s="18">
        <v>18.2</v>
      </c>
      <c r="C204" s="18">
        <v>2.3196078431372547</v>
      </c>
      <c r="D204" s="18">
        <v>165.8</v>
      </c>
      <c r="E204">
        <v>1951</v>
      </c>
      <c r="F204" s="18">
        <v>12.745098039215685</v>
      </c>
    </row>
    <row r="205" spans="1:6">
      <c r="A205" s="27">
        <v>41111</v>
      </c>
      <c r="B205" s="18">
        <v>7.8166666666666673</v>
      </c>
      <c r="C205" s="18">
        <v>0.91960784313725497</v>
      </c>
      <c r="D205" s="18">
        <v>32.9</v>
      </c>
      <c r="E205">
        <v>1945</v>
      </c>
      <c r="F205" s="18">
        <v>11.76470588235294</v>
      </c>
    </row>
    <row r="206" spans="1:6">
      <c r="A206" s="27">
        <v>41112</v>
      </c>
      <c r="B206" s="18">
        <v>5.12</v>
      </c>
      <c r="C206" s="18">
        <v>0.50196078431372548</v>
      </c>
      <c r="D206" s="18">
        <v>18.8</v>
      </c>
      <c r="E206">
        <v>1923</v>
      </c>
      <c r="F206" s="18">
        <v>9.8039215686274517</v>
      </c>
    </row>
    <row r="207" spans="1:6">
      <c r="A207" s="27">
        <v>41113</v>
      </c>
      <c r="B207" s="18">
        <v>1.7249999999999999</v>
      </c>
      <c r="C207" s="18">
        <v>6.7647058823529407E-2</v>
      </c>
      <c r="D207" s="18">
        <v>6</v>
      </c>
      <c r="E207">
        <v>1926</v>
      </c>
      <c r="F207" s="18">
        <v>3.9215686274509802</v>
      </c>
    </row>
    <row r="208" spans="1:6">
      <c r="A208" s="27">
        <v>41114</v>
      </c>
      <c r="B208" s="18">
        <v>6.0400000000000009</v>
      </c>
      <c r="C208" s="18">
        <v>0.59215686274509804</v>
      </c>
      <c r="D208" s="18">
        <v>23.7</v>
      </c>
      <c r="E208">
        <v>1974</v>
      </c>
      <c r="F208" s="18">
        <v>9.8039215686274517</v>
      </c>
    </row>
    <row r="209" spans="1:6">
      <c r="A209" s="27">
        <v>41115</v>
      </c>
      <c r="B209" s="18">
        <v>9.5222222222222239</v>
      </c>
      <c r="C209" s="18">
        <v>0.84019607843137267</v>
      </c>
      <c r="D209" s="18">
        <v>48.9</v>
      </c>
      <c r="E209">
        <v>1936</v>
      </c>
      <c r="F209" s="18">
        <v>8.8235294117647065</v>
      </c>
    </row>
    <row r="210" spans="1:6">
      <c r="A210" s="27">
        <v>41116</v>
      </c>
      <c r="B210" s="18">
        <v>7.523076923076923</v>
      </c>
      <c r="C210" s="18">
        <v>0.95882352941176463</v>
      </c>
      <c r="D210" s="18">
        <v>33.6</v>
      </c>
      <c r="E210">
        <v>1997</v>
      </c>
      <c r="F210" s="18">
        <v>12.745098039215685</v>
      </c>
    </row>
    <row r="211" spans="1:6">
      <c r="A211" s="27">
        <v>41117</v>
      </c>
      <c r="B211" s="18">
        <v>6.2437499999999995</v>
      </c>
      <c r="C211" s="18">
        <v>0.97941176470588232</v>
      </c>
      <c r="D211" s="18">
        <v>22.2</v>
      </c>
      <c r="E211">
        <v>1988</v>
      </c>
      <c r="F211" s="18">
        <v>15.686274509803921</v>
      </c>
    </row>
    <row r="212" spans="1:6">
      <c r="A212" s="27">
        <v>41118</v>
      </c>
      <c r="B212" s="18">
        <v>7.1789473684210527</v>
      </c>
      <c r="C212" s="18">
        <v>1.3372549019607844</v>
      </c>
      <c r="D212" s="18">
        <v>37.299999999999997</v>
      </c>
      <c r="E212">
        <v>2008</v>
      </c>
      <c r="F212" s="18">
        <v>18.627450980392158</v>
      </c>
    </row>
    <row r="213" spans="1:6">
      <c r="A213" s="27">
        <v>41119</v>
      </c>
      <c r="B213" s="18">
        <v>6.6727272727272728</v>
      </c>
      <c r="C213" s="18">
        <v>0.71960784313725501</v>
      </c>
      <c r="D213" s="18">
        <v>22.7</v>
      </c>
      <c r="E213">
        <v>1943</v>
      </c>
      <c r="F213" s="18">
        <v>10.784313725490197</v>
      </c>
    </row>
    <row r="214" spans="1:6">
      <c r="A214" s="27">
        <v>41120</v>
      </c>
      <c r="B214" s="18">
        <v>8.8333333333333339</v>
      </c>
      <c r="C214" s="18">
        <v>1.2990196078431373</v>
      </c>
      <c r="D214" s="18">
        <v>27.4</v>
      </c>
      <c r="E214">
        <v>1979</v>
      </c>
      <c r="F214" s="18">
        <v>14.705882352941178</v>
      </c>
    </row>
    <row r="215" spans="1:6">
      <c r="A215" s="27">
        <v>41121</v>
      </c>
      <c r="B215" s="18">
        <v>4.3555555555555561</v>
      </c>
      <c r="C215" s="18">
        <v>0.7686274509803922</v>
      </c>
      <c r="D215" s="18">
        <v>35.1</v>
      </c>
      <c r="E215">
        <v>1922</v>
      </c>
      <c r="F215" s="18">
        <v>17.647058823529413</v>
      </c>
    </row>
    <row r="216" spans="1:6">
      <c r="A216" s="27">
        <v>41122</v>
      </c>
      <c r="B216" s="18">
        <v>5.6166666666666671</v>
      </c>
      <c r="C216" s="18">
        <v>0.65436893203883506</v>
      </c>
      <c r="D216" s="18">
        <v>29.9</v>
      </c>
      <c r="E216">
        <v>1914</v>
      </c>
      <c r="F216" s="18">
        <v>11.650485436893204</v>
      </c>
    </row>
    <row r="217" spans="1:6">
      <c r="A217" s="27">
        <v>41123</v>
      </c>
      <c r="B217" s="18">
        <v>8.4230769230769216</v>
      </c>
      <c r="C217" s="18">
        <v>1.0631067961165046</v>
      </c>
      <c r="D217" s="18">
        <v>82.1</v>
      </c>
      <c r="E217">
        <v>1914</v>
      </c>
      <c r="F217" s="18">
        <v>12.621359223300971</v>
      </c>
    </row>
    <row r="218" spans="1:6">
      <c r="A218" s="27">
        <v>41124</v>
      </c>
      <c r="B218" s="18">
        <v>5.7928571428571427</v>
      </c>
      <c r="C218" s="18">
        <v>0.78737864077669895</v>
      </c>
      <c r="D218" s="18">
        <v>24.5</v>
      </c>
      <c r="E218">
        <v>1924</v>
      </c>
      <c r="F218" s="18">
        <v>13.592233009708737</v>
      </c>
    </row>
    <row r="219" spans="1:6">
      <c r="A219" s="27">
        <v>41125</v>
      </c>
      <c r="B219" s="18">
        <v>3.86</v>
      </c>
      <c r="C219" s="18">
        <v>0.56213592233009713</v>
      </c>
      <c r="D219" s="18">
        <v>13.9</v>
      </c>
      <c r="E219">
        <v>1955</v>
      </c>
      <c r="F219" s="18">
        <v>14.563106796116504</v>
      </c>
    </row>
    <row r="220" spans="1:6">
      <c r="A220" s="27">
        <v>41126</v>
      </c>
      <c r="B220" s="18">
        <v>5.9937499999999986</v>
      </c>
      <c r="C220" s="18">
        <v>0.93106796116504831</v>
      </c>
      <c r="D220" s="18">
        <v>35</v>
      </c>
      <c r="E220">
        <v>1945</v>
      </c>
      <c r="F220" s="18">
        <v>15.53398058252427</v>
      </c>
    </row>
    <row r="221" spans="1:6">
      <c r="A221" s="27">
        <v>41127</v>
      </c>
      <c r="B221" s="18">
        <v>6.115384615384615</v>
      </c>
      <c r="C221" s="18">
        <v>0.77184466019417475</v>
      </c>
      <c r="D221" s="18">
        <v>32.700000000000003</v>
      </c>
      <c r="E221">
        <v>1924</v>
      </c>
      <c r="F221" s="18">
        <v>12.621359223300971</v>
      </c>
    </row>
    <row r="222" spans="1:6">
      <c r="A222" s="27">
        <v>41128</v>
      </c>
      <c r="B222" s="18">
        <v>3.6789473684210527</v>
      </c>
      <c r="C222" s="18">
        <v>0.67864077669902922</v>
      </c>
      <c r="D222" s="18">
        <v>23.7</v>
      </c>
      <c r="E222">
        <v>2002</v>
      </c>
      <c r="F222" s="18">
        <v>18.446601941747574</v>
      </c>
    </row>
    <row r="223" spans="1:6">
      <c r="A223" s="27">
        <v>41129</v>
      </c>
      <c r="B223" s="18">
        <v>11.828571428571426</v>
      </c>
      <c r="C223" s="18">
        <v>1.6077669902912619</v>
      </c>
      <c r="D223" s="18">
        <v>88.7</v>
      </c>
      <c r="E223">
        <v>1924</v>
      </c>
      <c r="F223" s="18">
        <v>13.592233009708737</v>
      </c>
    </row>
    <row r="224" spans="1:6">
      <c r="A224" s="27">
        <v>41130</v>
      </c>
      <c r="B224" s="18">
        <v>2.4833333333333338</v>
      </c>
      <c r="C224" s="18">
        <v>0.43398058252427196</v>
      </c>
      <c r="D224" s="18">
        <v>8.8000000000000007</v>
      </c>
      <c r="E224">
        <v>1935</v>
      </c>
      <c r="F224" s="18">
        <v>17.475728155339805</v>
      </c>
    </row>
    <row r="225" spans="1:6">
      <c r="A225" s="27">
        <v>41131</v>
      </c>
      <c r="B225" s="18">
        <v>6.9863636363636354</v>
      </c>
      <c r="C225" s="18">
        <v>1.4922330097087377</v>
      </c>
      <c r="D225" s="18">
        <v>30.9</v>
      </c>
      <c r="E225">
        <v>1975</v>
      </c>
      <c r="F225" s="18">
        <v>21.359223300970871</v>
      </c>
    </row>
    <row r="226" spans="1:6">
      <c r="A226" s="27">
        <v>41132</v>
      </c>
      <c r="B226" s="18">
        <v>13.3</v>
      </c>
      <c r="C226" s="18">
        <v>2.1951456310679616</v>
      </c>
      <c r="D226" s="18">
        <v>77.5</v>
      </c>
      <c r="E226">
        <v>1990</v>
      </c>
      <c r="F226" s="18">
        <v>16.50485436893204</v>
      </c>
    </row>
    <row r="227" spans="1:6">
      <c r="A227" s="27">
        <v>41133</v>
      </c>
      <c r="B227" s="18">
        <v>8.2333333333333307</v>
      </c>
      <c r="C227" s="18">
        <v>1.1990291262135919</v>
      </c>
      <c r="D227" s="18">
        <v>38.9</v>
      </c>
      <c r="E227">
        <v>1964</v>
      </c>
      <c r="F227" s="18">
        <v>14.563106796116504</v>
      </c>
    </row>
    <row r="228" spans="1:6">
      <c r="A228" s="27">
        <v>41134</v>
      </c>
      <c r="B228" s="18">
        <v>9.3277777777777793</v>
      </c>
      <c r="C228" s="18">
        <v>1.6300970873786411</v>
      </c>
      <c r="D228" s="18">
        <v>49.5</v>
      </c>
      <c r="E228">
        <v>1939</v>
      </c>
      <c r="F228" s="18">
        <v>17.475728155339805</v>
      </c>
    </row>
    <row r="229" spans="1:6">
      <c r="A229" s="27">
        <v>41135</v>
      </c>
      <c r="B229" s="18">
        <v>10.123076923076923</v>
      </c>
      <c r="C229" s="18">
        <v>1.2776699029126213</v>
      </c>
      <c r="D229" s="18">
        <v>84</v>
      </c>
      <c r="E229">
        <v>1974</v>
      </c>
      <c r="F229" s="18">
        <v>12.621359223300971</v>
      </c>
    </row>
    <row r="230" spans="1:6">
      <c r="A230" s="27">
        <v>41136</v>
      </c>
      <c r="B230" s="18">
        <v>0.93076923076923079</v>
      </c>
      <c r="C230" s="18">
        <v>0.1174757281553398</v>
      </c>
      <c r="D230" s="18">
        <v>2.8</v>
      </c>
      <c r="E230">
        <v>1977</v>
      </c>
      <c r="F230" s="18">
        <v>12.621359223300971</v>
      </c>
    </row>
    <row r="231" spans="1:6">
      <c r="A231" s="27">
        <v>41137</v>
      </c>
      <c r="B231" s="18">
        <v>4.7214285714285706</v>
      </c>
      <c r="C231" s="18">
        <v>0.64174757281553396</v>
      </c>
      <c r="D231" s="18">
        <v>41.6</v>
      </c>
      <c r="E231">
        <v>2004</v>
      </c>
      <c r="F231" s="18">
        <v>13.592233009708737</v>
      </c>
    </row>
    <row r="232" spans="1:6">
      <c r="A232" s="27">
        <v>41138</v>
      </c>
      <c r="B232" s="18">
        <v>7.2928571428571436</v>
      </c>
      <c r="C232" s="18">
        <v>0.99126213592233015</v>
      </c>
      <c r="D232" s="18">
        <v>56.3</v>
      </c>
      <c r="E232">
        <v>2002</v>
      </c>
      <c r="F232" s="18">
        <v>13.592233009708737</v>
      </c>
    </row>
    <row r="233" spans="1:6">
      <c r="A233" s="27">
        <v>41139</v>
      </c>
      <c r="B233" s="18">
        <v>7.6545454545454552</v>
      </c>
      <c r="C233" s="18">
        <v>0.81747572815533986</v>
      </c>
      <c r="D233" s="18">
        <v>43.8</v>
      </c>
      <c r="E233">
        <v>1980</v>
      </c>
      <c r="F233" s="18">
        <v>10.679611650485436</v>
      </c>
    </row>
    <row r="234" spans="1:6">
      <c r="A234" s="27">
        <v>41140</v>
      </c>
      <c r="B234" s="18">
        <v>11.542857142857143</v>
      </c>
      <c r="C234" s="18">
        <v>1.5689320388349515</v>
      </c>
      <c r="D234" s="18">
        <v>47</v>
      </c>
      <c r="E234">
        <v>1981</v>
      </c>
      <c r="F234" s="18">
        <v>13.592233009708737</v>
      </c>
    </row>
    <row r="235" spans="1:6">
      <c r="A235" s="27">
        <v>41141</v>
      </c>
      <c r="B235" s="18">
        <v>8.2666666666666675</v>
      </c>
      <c r="C235" s="18">
        <v>1.4446601941747574</v>
      </c>
      <c r="D235" s="18">
        <v>49</v>
      </c>
      <c r="E235">
        <v>2002</v>
      </c>
      <c r="F235" s="18">
        <v>17.475728155339805</v>
      </c>
    </row>
    <row r="236" spans="1:6">
      <c r="A236" s="27">
        <v>41142</v>
      </c>
      <c r="B236" s="18">
        <v>6.9849999999999994</v>
      </c>
      <c r="C236" s="18">
        <v>1.3563106796116504</v>
      </c>
      <c r="D236" s="18">
        <v>56</v>
      </c>
      <c r="E236">
        <v>1951</v>
      </c>
      <c r="F236" s="18">
        <v>19.417475728155338</v>
      </c>
    </row>
    <row r="237" spans="1:6">
      <c r="A237" s="27">
        <v>41143</v>
      </c>
      <c r="B237" s="18">
        <v>4.5263157894736841</v>
      </c>
      <c r="C237" s="18">
        <v>0.83495145631067957</v>
      </c>
      <c r="D237" s="18">
        <v>21</v>
      </c>
      <c r="E237">
        <v>1957</v>
      </c>
      <c r="F237" s="18">
        <v>18.446601941747574</v>
      </c>
    </row>
    <row r="238" spans="1:6">
      <c r="A238" s="27">
        <v>41144</v>
      </c>
      <c r="B238" s="18">
        <v>8.90625</v>
      </c>
      <c r="C238" s="18">
        <v>1.383495145631068</v>
      </c>
      <c r="D238" s="18">
        <v>43</v>
      </c>
      <c r="E238">
        <v>1979</v>
      </c>
      <c r="F238" s="18">
        <v>15.53398058252427</v>
      </c>
    </row>
    <row r="239" spans="1:6">
      <c r="A239" s="27">
        <v>41145</v>
      </c>
      <c r="B239" s="18">
        <v>5.7666666666666675</v>
      </c>
      <c r="C239" s="18">
        <v>1.0077669902912623</v>
      </c>
      <c r="D239" s="18">
        <v>33.700000000000003</v>
      </c>
      <c r="E239">
        <v>1999</v>
      </c>
      <c r="F239" s="18">
        <v>17.475728155339805</v>
      </c>
    </row>
    <row r="240" spans="1:6">
      <c r="A240" s="27">
        <v>41146</v>
      </c>
      <c r="B240" s="18">
        <v>10.905555555555557</v>
      </c>
      <c r="C240" s="18">
        <v>1.9058252427184468</v>
      </c>
      <c r="D240" s="18">
        <v>85.4</v>
      </c>
      <c r="E240">
        <v>1913</v>
      </c>
      <c r="F240" s="18">
        <v>17.475728155339805</v>
      </c>
    </row>
    <row r="241" spans="1:6">
      <c r="A241" s="27">
        <v>41147</v>
      </c>
      <c r="B241" s="18">
        <v>4.0875000000000004</v>
      </c>
      <c r="C241" s="18">
        <v>0.63495145631067962</v>
      </c>
      <c r="D241" s="18">
        <v>15.4</v>
      </c>
      <c r="E241">
        <v>1972</v>
      </c>
      <c r="F241" s="18">
        <v>15.53398058252427</v>
      </c>
    </row>
    <row r="242" spans="1:6">
      <c r="A242" s="27">
        <v>41148</v>
      </c>
      <c r="B242" s="18">
        <v>11.678947368421053</v>
      </c>
      <c r="C242" s="18">
        <v>2.1543689320388348</v>
      </c>
      <c r="D242" s="18">
        <v>44.2</v>
      </c>
      <c r="E242">
        <v>1946</v>
      </c>
      <c r="F242" s="18">
        <v>18.446601941747574</v>
      </c>
    </row>
    <row r="243" spans="1:6">
      <c r="A243" s="27">
        <v>41149</v>
      </c>
      <c r="B243" s="18">
        <v>3.6611111111111114</v>
      </c>
      <c r="C243" s="18">
        <v>0.63980582524271845</v>
      </c>
      <c r="D243" s="18">
        <v>13.3</v>
      </c>
      <c r="E243">
        <v>1913</v>
      </c>
      <c r="F243" s="18">
        <v>17.475728155339805</v>
      </c>
    </row>
    <row r="244" spans="1:6">
      <c r="A244" s="27">
        <v>41150</v>
      </c>
      <c r="B244" s="18">
        <v>10.882608695652175</v>
      </c>
      <c r="C244" s="18">
        <v>2.4300970873786407</v>
      </c>
      <c r="D244" s="18">
        <v>42.1</v>
      </c>
      <c r="E244">
        <v>1939</v>
      </c>
      <c r="F244" s="18">
        <v>22.330097087378643</v>
      </c>
    </row>
    <row r="245" spans="1:6">
      <c r="A245" s="27">
        <v>41151</v>
      </c>
      <c r="B245" s="18">
        <v>6.05</v>
      </c>
      <c r="C245" s="18">
        <v>1.2922330097087378</v>
      </c>
      <c r="D245" s="18">
        <v>32.299999999999997</v>
      </c>
      <c r="E245">
        <v>2008</v>
      </c>
      <c r="F245" s="18">
        <v>21.359223300970871</v>
      </c>
    </row>
    <row r="246" spans="1:6">
      <c r="A246" s="27">
        <v>41152</v>
      </c>
      <c r="B246" s="18">
        <v>6.1249999999999982</v>
      </c>
      <c r="C246" s="18">
        <v>1.1893203883495143</v>
      </c>
      <c r="D246" s="18">
        <v>42.9</v>
      </c>
      <c r="E246">
        <v>1913</v>
      </c>
      <c r="F246" s="18">
        <v>19.417475728155338</v>
      </c>
    </row>
    <row r="247" spans="1:6">
      <c r="A247" s="27">
        <v>41153</v>
      </c>
      <c r="B247" s="18">
        <v>8.0324999999999989</v>
      </c>
      <c r="C247" s="18">
        <v>3.119417475728155</v>
      </c>
      <c r="D247" s="18">
        <v>37.799999999999997</v>
      </c>
      <c r="E247">
        <v>2002</v>
      </c>
      <c r="F247" s="18">
        <v>38.834951456310677</v>
      </c>
    </row>
    <row r="248" spans="1:6">
      <c r="A248" s="27">
        <v>41154</v>
      </c>
      <c r="B248" s="18">
        <v>6.4441176470588237</v>
      </c>
      <c r="C248" s="18">
        <v>2.1271844660194175</v>
      </c>
      <c r="D248" s="18">
        <v>32.9</v>
      </c>
      <c r="E248">
        <v>1940</v>
      </c>
      <c r="F248" s="18">
        <v>33.009708737864081</v>
      </c>
    </row>
    <row r="249" spans="1:6">
      <c r="A249" s="27">
        <v>41155</v>
      </c>
      <c r="B249" s="18">
        <v>6.8575757575757592</v>
      </c>
      <c r="C249" s="18">
        <v>2.1970873786407772</v>
      </c>
      <c r="D249" s="18">
        <v>37</v>
      </c>
      <c r="E249">
        <v>1931</v>
      </c>
      <c r="F249" s="18">
        <v>32.038834951456316</v>
      </c>
    </row>
    <row r="250" spans="1:6">
      <c r="A250" s="27">
        <v>41156</v>
      </c>
      <c r="B250" s="18">
        <v>5.4464285714285694</v>
      </c>
      <c r="C250" s="18">
        <v>1.480582524271844</v>
      </c>
      <c r="D250" s="18">
        <v>23.7</v>
      </c>
      <c r="E250">
        <v>1958</v>
      </c>
      <c r="F250" s="18">
        <v>27.184466019417474</v>
      </c>
    </row>
    <row r="251" spans="1:6">
      <c r="A251" s="27">
        <v>41157</v>
      </c>
      <c r="B251" s="18">
        <v>5.8999999999999986</v>
      </c>
      <c r="C251" s="18">
        <v>1.6611650485436891</v>
      </c>
      <c r="D251" s="18">
        <v>19.8</v>
      </c>
      <c r="E251">
        <v>1993</v>
      </c>
      <c r="F251" s="18">
        <v>28.155339805825243</v>
      </c>
    </row>
    <row r="252" spans="1:6">
      <c r="A252" s="27">
        <v>41158</v>
      </c>
      <c r="B252" s="18">
        <v>11.421875</v>
      </c>
      <c r="C252" s="18">
        <v>3.5485436893203883</v>
      </c>
      <c r="D252" s="18">
        <v>66.400000000000006</v>
      </c>
      <c r="E252">
        <v>1949</v>
      </c>
      <c r="F252" s="18">
        <v>31.067961165048541</v>
      </c>
    </row>
    <row r="253" spans="1:6">
      <c r="A253" s="27">
        <v>41159</v>
      </c>
      <c r="B253" s="18">
        <v>12.574285714285711</v>
      </c>
      <c r="C253" s="18">
        <v>4.272815533980582</v>
      </c>
      <c r="D253" s="18">
        <v>80.099999999999994</v>
      </c>
      <c r="E253">
        <v>1949</v>
      </c>
      <c r="F253" s="18">
        <v>33.980582524271846</v>
      </c>
    </row>
    <row r="254" spans="1:6">
      <c r="A254" s="27">
        <v>41160</v>
      </c>
      <c r="B254" s="18">
        <v>11.433333333333337</v>
      </c>
      <c r="C254" s="18">
        <v>3.330097087378642</v>
      </c>
      <c r="D254" s="18">
        <v>76.400000000000006</v>
      </c>
      <c r="E254">
        <v>1943</v>
      </c>
      <c r="F254" s="18">
        <v>29.126213592233007</v>
      </c>
    </row>
    <row r="255" spans="1:6">
      <c r="A255" s="27">
        <v>41161</v>
      </c>
      <c r="B255" s="18">
        <v>6.8045454545454556</v>
      </c>
      <c r="C255" s="18">
        <v>1.4533980582524273</v>
      </c>
      <c r="D255" s="18">
        <v>78.2</v>
      </c>
      <c r="E255">
        <v>1981</v>
      </c>
      <c r="F255" s="18">
        <v>21.359223300970871</v>
      </c>
    </row>
    <row r="256" spans="1:6">
      <c r="A256" s="27">
        <v>41162</v>
      </c>
      <c r="B256" s="18">
        <v>16.517857142857146</v>
      </c>
      <c r="C256" s="18">
        <v>4.4902912621359228</v>
      </c>
      <c r="D256" s="18">
        <v>123</v>
      </c>
      <c r="E256">
        <v>1961</v>
      </c>
      <c r="F256" s="18">
        <v>27.184466019417474</v>
      </c>
    </row>
    <row r="257" spans="1:6">
      <c r="A257" s="27">
        <v>41163</v>
      </c>
      <c r="B257" s="18">
        <v>5.6896551724137918</v>
      </c>
      <c r="C257" s="18">
        <v>1.6019417475728153</v>
      </c>
      <c r="D257" s="18">
        <v>27</v>
      </c>
      <c r="E257">
        <v>1933</v>
      </c>
      <c r="F257" s="18">
        <v>28.155339805825243</v>
      </c>
    </row>
    <row r="258" spans="1:6">
      <c r="A258" s="27">
        <v>41164</v>
      </c>
      <c r="B258" s="18">
        <v>5.0499999999999989</v>
      </c>
      <c r="C258" s="18">
        <v>1.2747572815533978</v>
      </c>
      <c r="D258" s="18">
        <v>30.9</v>
      </c>
      <c r="E258">
        <v>2010</v>
      </c>
      <c r="F258" s="18">
        <v>25.242718446601941</v>
      </c>
    </row>
    <row r="259" spans="1:6">
      <c r="A259" s="27">
        <v>41165</v>
      </c>
      <c r="B259" s="18">
        <v>5.4222222222222216</v>
      </c>
      <c r="C259" s="18">
        <v>1.4213592233009706</v>
      </c>
      <c r="D259" s="18">
        <v>23.8</v>
      </c>
      <c r="E259">
        <v>1960</v>
      </c>
      <c r="F259" s="18">
        <v>26.21359223300971</v>
      </c>
    </row>
    <row r="260" spans="1:6">
      <c r="A260" s="27">
        <v>41166</v>
      </c>
      <c r="B260" s="18">
        <v>10.851724137931036</v>
      </c>
      <c r="C260" s="18">
        <v>3.055339805825243</v>
      </c>
      <c r="D260" s="18">
        <v>77.8</v>
      </c>
      <c r="E260">
        <v>1938</v>
      </c>
      <c r="F260" s="18">
        <v>28.155339805825243</v>
      </c>
    </row>
    <row r="261" spans="1:6">
      <c r="A261" s="27">
        <v>41167</v>
      </c>
      <c r="B261" s="18">
        <v>11.666666666666671</v>
      </c>
      <c r="C261" s="18">
        <v>3.0582524271844673</v>
      </c>
      <c r="D261" s="18">
        <v>79.900000000000006</v>
      </c>
      <c r="E261">
        <v>1938</v>
      </c>
      <c r="F261" s="18">
        <v>26.21359223300971</v>
      </c>
    </row>
    <row r="262" spans="1:6">
      <c r="A262" s="27">
        <v>41168</v>
      </c>
      <c r="B262" s="18">
        <v>4.1535714285714285</v>
      </c>
      <c r="C262" s="18">
        <v>1.1291262135922331</v>
      </c>
      <c r="D262" s="18">
        <v>25.2</v>
      </c>
      <c r="E262">
        <v>1979</v>
      </c>
      <c r="F262" s="18">
        <v>27.184466019417474</v>
      </c>
    </row>
    <row r="263" spans="1:6">
      <c r="A263" s="27">
        <v>41169</v>
      </c>
      <c r="B263" s="18">
        <v>4.165</v>
      </c>
      <c r="C263" s="18">
        <v>0.8087378640776699</v>
      </c>
      <c r="D263" s="18">
        <v>44</v>
      </c>
      <c r="E263">
        <v>1938</v>
      </c>
      <c r="F263" s="18">
        <v>19.417475728155338</v>
      </c>
    </row>
    <row r="264" spans="1:6">
      <c r="A264" s="27">
        <v>41170</v>
      </c>
      <c r="B264" s="18">
        <v>5.2181818181818187</v>
      </c>
      <c r="C264" s="18">
        <v>1.1145631067961166</v>
      </c>
      <c r="D264" s="18">
        <v>19.600000000000001</v>
      </c>
      <c r="E264">
        <v>1991</v>
      </c>
      <c r="F264" s="18">
        <v>21.359223300970871</v>
      </c>
    </row>
    <row r="265" spans="1:6">
      <c r="A265" s="27">
        <v>41171</v>
      </c>
      <c r="B265" s="18">
        <v>6.0296296296296301</v>
      </c>
      <c r="C265" s="18">
        <v>1.5805825242718448</v>
      </c>
      <c r="D265" s="18">
        <v>33</v>
      </c>
      <c r="E265">
        <v>1976</v>
      </c>
      <c r="F265" s="18">
        <v>26.21359223300971</v>
      </c>
    </row>
    <row r="266" spans="1:6">
      <c r="A266" s="27">
        <v>41172</v>
      </c>
      <c r="B266" s="18">
        <v>3.6035714285714282</v>
      </c>
      <c r="C266" s="18">
        <v>0.97961165048543686</v>
      </c>
      <c r="D266" s="18">
        <v>17.2</v>
      </c>
      <c r="E266">
        <v>2008</v>
      </c>
      <c r="F266" s="18">
        <v>27.184466019417474</v>
      </c>
    </row>
    <row r="267" spans="1:6">
      <c r="A267" s="27">
        <v>41173</v>
      </c>
      <c r="B267" s="18">
        <v>8.724000000000002</v>
      </c>
      <c r="C267" s="18">
        <v>2.1174757281553402</v>
      </c>
      <c r="D267" s="18">
        <v>55</v>
      </c>
      <c r="E267">
        <v>1970</v>
      </c>
      <c r="F267" s="18">
        <v>24.271844660194176</v>
      </c>
    </row>
    <row r="268" spans="1:6">
      <c r="A268" s="27">
        <v>41174</v>
      </c>
      <c r="B268" s="18">
        <v>9.2241379310344822</v>
      </c>
      <c r="C268" s="18">
        <v>2.5970873786407767</v>
      </c>
      <c r="D268" s="18">
        <v>50.8</v>
      </c>
      <c r="E268">
        <v>1964</v>
      </c>
      <c r="F268" s="18">
        <v>28.155339805825243</v>
      </c>
    </row>
    <row r="269" spans="1:6">
      <c r="A269" s="27">
        <v>41175</v>
      </c>
      <c r="B269" s="18">
        <v>10.094736842105263</v>
      </c>
      <c r="C269" s="18">
        <v>3.7242718446601946</v>
      </c>
      <c r="D269" s="18">
        <v>47.6</v>
      </c>
      <c r="E269">
        <v>2006</v>
      </c>
      <c r="F269" s="18">
        <v>36.893203883495147</v>
      </c>
    </row>
    <row r="270" spans="1:6">
      <c r="A270" s="27">
        <v>41176</v>
      </c>
      <c r="B270" s="18">
        <v>5.0487804878048799</v>
      </c>
      <c r="C270" s="18">
        <v>2.0097087378640781</v>
      </c>
      <c r="D270" s="18">
        <v>34.4</v>
      </c>
      <c r="E270">
        <v>1964</v>
      </c>
      <c r="F270" s="18">
        <v>39.805825242718448</v>
      </c>
    </row>
    <row r="271" spans="1:6">
      <c r="A271" s="27">
        <v>41177</v>
      </c>
      <c r="B271" s="18">
        <v>5.6640000000000006</v>
      </c>
      <c r="C271" s="18">
        <v>1.3747572815533984</v>
      </c>
      <c r="D271" s="18">
        <v>39</v>
      </c>
      <c r="E271">
        <v>1954</v>
      </c>
      <c r="F271" s="18">
        <v>24.271844660194176</v>
      </c>
    </row>
    <row r="272" spans="1:6">
      <c r="A272" s="27">
        <v>41178</v>
      </c>
      <c r="B272" s="18">
        <v>4.2648648648648644</v>
      </c>
      <c r="C272" s="18">
        <v>1.5320388349514562</v>
      </c>
      <c r="D272" s="18">
        <v>35.700000000000003</v>
      </c>
      <c r="E272">
        <v>1935</v>
      </c>
      <c r="F272" s="18">
        <v>35.922330097087382</v>
      </c>
    </row>
    <row r="273" spans="1:6">
      <c r="A273" s="27">
        <v>41179</v>
      </c>
      <c r="B273" s="18">
        <v>9.0341463414634156</v>
      </c>
      <c r="C273" s="18">
        <v>3.5961165048543693</v>
      </c>
      <c r="D273" s="18">
        <v>70.099999999999994</v>
      </c>
      <c r="E273">
        <v>1911</v>
      </c>
      <c r="F273" s="18">
        <v>39.805825242718448</v>
      </c>
    </row>
    <row r="274" spans="1:6">
      <c r="A274" s="27">
        <v>41180</v>
      </c>
      <c r="B274" s="18">
        <v>11.316666666666668</v>
      </c>
      <c r="C274" s="18">
        <v>3.9553398058252429</v>
      </c>
      <c r="D274" s="18">
        <v>45.9</v>
      </c>
      <c r="E274">
        <v>1911</v>
      </c>
      <c r="F274" s="18">
        <v>34.95145631067961</v>
      </c>
    </row>
    <row r="275" spans="1:6">
      <c r="A275" s="27">
        <v>41181</v>
      </c>
      <c r="B275" s="18">
        <v>4.3190476190476188</v>
      </c>
      <c r="C275" s="18">
        <v>1.7611650485436892</v>
      </c>
      <c r="D275" s="18">
        <v>25.3</v>
      </c>
      <c r="E275">
        <v>1972</v>
      </c>
      <c r="F275" s="18">
        <v>40.776699029126213</v>
      </c>
    </row>
    <row r="276" spans="1:6">
      <c r="A276" s="27">
        <v>41182</v>
      </c>
      <c r="B276" s="18">
        <v>7.9735294117647069</v>
      </c>
      <c r="C276" s="18">
        <v>2.6320388349514565</v>
      </c>
      <c r="D276" s="18">
        <v>85.7</v>
      </c>
      <c r="E276">
        <v>1913</v>
      </c>
      <c r="F276" s="18">
        <v>33.009708737864081</v>
      </c>
    </row>
    <row r="277" spans="1:6">
      <c r="A277" s="27">
        <v>41183</v>
      </c>
      <c r="B277" s="18">
        <v>6.7421052631578933</v>
      </c>
      <c r="C277" s="18">
        <v>2.4873786407766985</v>
      </c>
      <c r="D277" s="18">
        <v>31</v>
      </c>
      <c r="E277">
        <v>1987</v>
      </c>
      <c r="F277" s="18">
        <v>36.893203883495147</v>
      </c>
    </row>
    <row r="278" spans="1:6">
      <c r="A278" s="27">
        <v>41184</v>
      </c>
      <c r="B278" s="18">
        <v>4.5675675675675667</v>
      </c>
      <c r="C278" s="18">
        <v>1.6407766990291259</v>
      </c>
      <c r="D278" s="18">
        <v>26</v>
      </c>
      <c r="E278">
        <v>1948</v>
      </c>
      <c r="F278" s="18">
        <v>35.922330097087382</v>
      </c>
    </row>
    <row r="279" spans="1:6">
      <c r="A279" s="27">
        <v>41185</v>
      </c>
      <c r="B279" s="18">
        <v>8.3414634146341484</v>
      </c>
      <c r="C279" s="18">
        <v>3.3203883495145639</v>
      </c>
      <c r="D279" s="18">
        <v>131.30000000000001</v>
      </c>
      <c r="E279">
        <v>1942</v>
      </c>
      <c r="F279" s="18">
        <v>39.805825242718448</v>
      </c>
    </row>
    <row r="280" spans="1:6">
      <c r="A280" s="27">
        <v>41186</v>
      </c>
      <c r="B280" s="18">
        <v>5.9499999999999993</v>
      </c>
      <c r="C280" s="18">
        <v>2.3106796116504853</v>
      </c>
      <c r="D280" s="18">
        <v>38.5</v>
      </c>
      <c r="E280">
        <v>1970</v>
      </c>
      <c r="F280" s="18">
        <v>38.834951456310677</v>
      </c>
    </row>
    <row r="281" spans="1:6">
      <c r="A281" s="27">
        <v>41187</v>
      </c>
      <c r="B281" s="18">
        <v>5.4222222222222216</v>
      </c>
      <c r="C281" s="18">
        <v>1.4213592233009706</v>
      </c>
      <c r="D281" s="18">
        <v>34.5</v>
      </c>
      <c r="E281">
        <v>1973</v>
      </c>
      <c r="F281" s="18">
        <v>27.184466019417474</v>
      </c>
    </row>
    <row r="282" spans="1:6">
      <c r="A282" s="27">
        <v>41188</v>
      </c>
      <c r="B282" s="18">
        <v>6.2885714285714274</v>
      </c>
      <c r="C282" s="18">
        <v>2.1368932038834947</v>
      </c>
      <c r="D282" s="18">
        <v>37.700000000000003</v>
      </c>
      <c r="E282">
        <v>1920</v>
      </c>
      <c r="F282" s="18">
        <v>33.980582524271846</v>
      </c>
    </row>
    <row r="283" spans="1:6">
      <c r="A283" s="27">
        <v>41189</v>
      </c>
      <c r="B283" s="18">
        <v>12.271875</v>
      </c>
      <c r="C283" s="18">
        <v>3.8126213592233009</v>
      </c>
      <c r="D283" s="18">
        <v>120.5</v>
      </c>
      <c r="E283">
        <v>2004</v>
      </c>
      <c r="F283" s="18">
        <v>31.067961165048541</v>
      </c>
    </row>
    <row r="284" spans="1:6">
      <c r="A284" s="27">
        <v>41190</v>
      </c>
      <c r="B284" s="18">
        <v>8.9777777777777779</v>
      </c>
      <c r="C284" s="18">
        <v>3.1378640776699029</v>
      </c>
      <c r="D284" s="18">
        <v>91.2</v>
      </c>
      <c r="E284">
        <v>2010</v>
      </c>
      <c r="F284" s="18">
        <v>34.95145631067961</v>
      </c>
    </row>
    <row r="285" spans="1:6">
      <c r="A285" s="27">
        <v>41191</v>
      </c>
      <c r="B285" s="18">
        <v>5.1378378378378367</v>
      </c>
      <c r="C285" s="18">
        <v>1.8456310679611647</v>
      </c>
      <c r="D285" s="18">
        <v>42</v>
      </c>
      <c r="E285">
        <v>1924</v>
      </c>
      <c r="F285" s="18">
        <v>35.922330097087382</v>
      </c>
    </row>
    <row r="286" spans="1:6">
      <c r="A286" s="27">
        <v>41192</v>
      </c>
      <c r="B286" s="18">
        <v>7.6190476190476177</v>
      </c>
      <c r="C286" s="18">
        <v>3.1067961165048539</v>
      </c>
      <c r="D286" s="18">
        <v>53</v>
      </c>
      <c r="E286">
        <v>1934</v>
      </c>
      <c r="F286" s="18">
        <v>40.776699029126213</v>
      </c>
    </row>
    <row r="287" spans="1:6">
      <c r="A287" s="27">
        <v>41193</v>
      </c>
      <c r="B287" s="18">
        <v>7.386111111111112</v>
      </c>
      <c r="C287" s="18">
        <v>2.5815533980582526</v>
      </c>
      <c r="D287" s="18">
        <v>47.9</v>
      </c>
      <c r="E287">
        <v>1994</v>
      </c>
      <c r="F287" s="18">
        <v>34.95145631067961</v>
      </c>
    </row>
    <row r="288" spans="1:6">
      <c r="A288" s="27">
        <v>41194</v>
      </c>
      <c r="B288" s="18">
        <v>5.849999999999997</v>
      </c>
      <c r="C288" s="18">
        <v>2.4990291262135909</v>
      </c>
      <c r="D288" s="18">
        <v>27.4</v>
      </c>
      <c r="E288">
        <v>1915</v>
      </c>
      <c r="F288" s="18">
        <v>42.718446601941743</v>
      </c>
    </row>
    <row r="289" spans="1:6">
      <c r="A289" s="27">
        <v>41195</v>
      </c>
      <c r="B289" s="18">
        <v>12.882608695652175</v>
      </c>
      <c r="C289" s="18">
        <v>5.7533980582524276</v>
      </c>
      <c r="D289" s="18">
        <v>117</v>
      </c>
      <c r="E289">
        <v>1997</v>
      </c>
      <c r="F289" s="18">
        <v>44.660194174757287</v>
      </c>
    </row>
    <row r="290" spans="1:6">
      <c r="A290" s="27">
        <v>41196</v>
      </c>
      <c r="B290" s="18">
        <v>7.572093023255813</v>
      </c>
      <c r="C290" s="18">
        <v>3.1611650485436891</v>
      </c>
      <c r="D290" s="18">
        <v>44.5</v>
      </c>
      <c r="E290">
        <v>1929</v>
      </c>
      <c r="F290" s="18">
        <v>41.747572815533978</v>
      </c>
    </row>
    <row r="291" spans="1:6">
      <c r="A291" s="27">
        <v>41197</v>
      </c>
      <c r="B291" s="18">
        <v>12.941463414634146</v>
      </c>
      <c r="C291" s="18">
        <v>5.1514563106796123</v>
      </c>
      <c r="D291" s="18">
        <v>111.8</v>
      </c>
      <c r="E291">
        <v>1985</v>
      </c>
      <c r="F291" s="18">
        <v>39.805825242718448</v>
      </c>
    </row>
    <row r="292" spans="1:6">
      <c r="A292" s="27">
        <v>41198</v>
      </c>
      <c r="B292" s="18">
        <v>9.4534883720930232</v>
      </c>
      <c r="C292" s="18">
        <v>3.9466019417475726</v>
      </c>
      <c r="D292" s="18">
        <v>103.7</v>
      </c>
      <c r="E292">
        <v>1985</v>
      </c>
      <c r="F292" s="18">
        <v>41.747572815533978</v>
      </c>
    </row>
    <row r="293" spans="1:6">
      <c r="A293" s="27">
        <v>41199</v>
      </c>
      <c r="B293" s="18">
        <v>7.459090909090909</v>
      </c>
      <c r="C293" s="18">
        <v>3.1864077669902913</v>
      </c>
      <c r="D293" s="18">
        <v>51.5</v>
      </c>
      <c r="E293">
        <v>1989</v>
      </c>
      <c r="F293" s="18">
        <v>42.718446601941743</v>
      </c>
    </row>
    <row r="294" spans="1:6">
      <c r="A294" s="27">
        <v>41200</v>
      </c>
      <c r="B294" s="18">
        <v>6.9382352941176473</v>
      </c>
      <c r="C294" s="18">
        <v>2.2902912621359226</v>
      </c>
      <c r="D294" s="18">
        <v>36.799999999999997</v>
      </c>
      <c r="E294">
        <v>1960</v>
      </c>
      <c r="F294" s="18">
        <v>33.009708737864081</v>
      </c>
    </row>
    <row r="295" spans="1:6">
      <c r="A295" s="27">
        <v>41201</v>
      </c>
      <c r="B295" s="18">
        <v>8.8116279069767458</v>
      </c>
      <c r="C295" s="18">
        <v>3.6786407766990301</v>
      </c>
      <c r="D295" s="18">
        <v>45.2</v>
      </c>
      <c r="E295">
        <v>1931</v>
      </c>
      <c r="F295" s="18">
        <v>41.747572815533978</v>
      </c>
    </row>
    <row r="296" spans="1:6">
      <c r="A296" s="27">
        <v>41202</v>
      </c>
      <c r="B296" s="18">
        <v>5.4406249999999998</v>
      </c>
      <c r="C296" s="18">
        <v>1.6902912621359223</v>
      </c>
      <c r="D296" s="18">
        <v>21.4</v>
      </c>
      <c r="E296">
        <v>1912</v>
      </c>
      <c r="F296" s="18">
        <v>31.067961165048541</v>
      </c>
    </row>
    <row r="297" spans="1:6">
      <c r="A297" s="27">
        <v>41203</v>
      </c>
      <c r="B297" s="18">
        <v>6.629545454545454</v>
      </c>
      <c r="C297" s="18">
        <v>2.8320388349514563</v>
      </c>
      <c r="D297" s="18">
        <v>30.9</v>
      </c>
      <c r="E297">
        <v>1987</v>
      </c>
      <c r="F297" s="18">
        <v>42.718446601941743</v>
      </c>
    </row>
    <row r="298" spans="1:6">
      <c r="A298" s="27">
        <v>41204</v>
      </c>
      <c r="B298" s="18">
        <v>6.1756097560975602</v>
      </c>
      <c r="C298" s="18">
        <v>2.4582524271844655</v>
      </c>
      <c r="D298" s="18">
        <v>34.5</v>
      </c>
      <c r="E298">
        <v>2000</v>
      </c>
      <c r="F298" s="18">
        <v>39.805825242718448</v>
      </c>
    </row>
    <row r="299" spans="1:6">
      <c r="A299" s="27">
        <v>41205</v>
      </c>
      <c r="B299" s="18">
        <v>5.926829268292682</v>
      </c>
      <c r="C299" s="18">
        <v>2.3592233009708732</v>
      </c>
      <c r="D299" s="18">
        <v>22.3</v>
      </c>
      <c r="E299">
        <v>1992</v>
      </c>
      <c r="F299" s="18">
        <v>39.805825242718448</v>
      </c>
    </row>
    <row r="300" spans="1:6">
      <c r="A300" s="27">
        <v>41206</v>
      </c>
      <c r="B300" s="18">
        <v>9.2177777777777798</v>
      </c>
      <c r="C300" s="18">
        <v>4.0271844660194178</v>
      </c>
      <c r="D300" s="18">
        <v>47</v>
      </c>
      <c r="E300">
        <v>1943</v>
      </c>
      <c r="F300" s="18">
        <v>43.689320388349515</v>
      </c>
    </row>
    <row r="301" spans="1:6">
      <c r="A301" s="27">
        <v>41207</v>
      </c>
      <c r="B301" s="18">
        <v>7.6679245283018842</v>
      </c>
      <c r="C301" s="18">
        <v>3.9456310679611639</v>
      </c>
      <c r="D301" s="18">
        <v>55.8</v>
      </c>
      <c r="E301">
        <v>2008</v>
      </c>
      <c r="F301" s="18">
        <v>51.456310679611647</v>
      </c>
    </row>
    <row r="302" spans="1:6">
      <c r="A302" s="27">
        <v>41208</v>
      </c>
      <c r="B302" s="18">
        <v>9.8461538461538485</v>
      </c>
      <c r="C302" s="18">
        <v>3.7281553398058258</v>
      </c>
      <c r="D302" s="18">
        <v>110</v>
      </c>
      <c r="E302">
        <v>2008</v>
      </c>
      <c r="F302" s="18">
        <v>37.864077669902912</v>
      </c>
    </row>
    <row r="303" spans="1:6">
      <c r="A303" s="27">
        <v>41209</v>
      </c>
      <c r="B303" s="18">
        <v>9.3404761904761919</v>
      </c>
      <c r="C303" s="18">
        <v>3.8087378640776706</v>
      </c>
      <c r="D303" s="18">
        <v>104.9</v>
      </c>
      <c r="E303">
        <v>1927</v>
      </c>
      <c r="F303" s="18">
        <v>40.776699029126213</v>
      </c>
    </row>
    <row r="304" spans="1:6">
      <c r="A304" s="27">
        <v>41210</v>
      </c>
      <c r="B304" s="18">
        <v>8.6147058823529399</v>
      </c>
      <c r="C304" s="18">
        <v>2.8436893203883491</v>
      </c>
      <c r="D304" s="18">
        <v>50.4</v>
      </c>
      <c r="E304">
        <v>1978</v>
      </c>
      <c r="F304" s="18">
        <v>33.009708737864081</v>
      </c>
    </row>
    <row r="305" spans="1:6">
      <c r="A305" s="27">
        <v>41211</v>
      </c>
      <c r="B305" s="18">
        <v>8.1921052631578934</v>
      </c>
      <c r="C305" s="18">
        <v>3.0223300970873783</v>
      </c>
      <c r="D305" s="18">
        <v>91</v>
      </c>
      <c r="E305">
        <v>1978</v>
      </c>
      <c r="F305" s="18">
        <v>36.893203883495147</v>
      </c>
    </row>
    <row r="306" spans="1:6">
      <c r="A306" s="27">
        <v>41212</v>
      </c>
      <c r="B306" s="18">
        <v>4.6102564102564081</v>
      </c>
      <c r="C306" s="18">
        <v>1.7456310679611644</v>
      </c>
      <c r="D306" s="18">
        <v>33.6</v>
      </c>
      <c r="E306">
        <v>2006</v>
      </c>
      <c r="F306" s="18">
        <v>37.864077669902912</v>
      </c>
    </row>
    <row r="307" spans="1:6">
      <c r="A307" s="27">
        <v>41213</v>
      </c>
      <c r="B307" s="18">
        <v>9.6352941176470583</v>
      </c>
      <c r="C307" s="18">
        <v>3.1805825242718444</v>
      </c>
      <c r="D307" s="18">
        <v>57.5</v>
      </c>
      <c r="E307">
        <v>2009</v>
      </c>
      <c r="F307" s="18">
        <v>33.009708737864081</v>
      </c>
    </row>
    <row r="308" spans="1:6">
      <c r="A308" s="27">
        <v>41214</v>
      </c>
      <c r="B308" s="18">
        <v>4.5266666666666664</v>
      </c>
      <c r="C308" s="18">
        <v>1.9776699029126212</v>
      </c>
      <c r="D308" s="18">
        <v>47</v>
      </c>
      <c r="E308">
        <v>1979</v>
      </c>
      <c r="F308" s="18">
        <v>43.689320388349515</v>
      </c>
    </row>
    <row r="309" spans="1:6">
      <c r="A309" s="27">
        <v>41215</v>
      </c>
      <c r="B309" s="18">
        <v>5.9023809523809527</v>
      </c>
      <c r="C309" s="18">
        <v>2.4067961165048546</v>
      </c>
      <c r="D309" s="18">
        <v>38.200000000000003</v>
      </c>
      <c r="E309">
        <v>1912</v>
      </c>
      <c r="F309" s="18">
        <v>40.776699029126213</v>
      </c>
    </row>
    <row r="310" spans="1:6">
      <c r="A310" s="27">
        <v>41216</v>
      </c>
      <c r="B310" s="18">
        <v>5.5921052631578947</v>
      </c>
      <c r="C310" s="18">
        <v>2.063106796116505</v>
      </c>
      <c r="D310" s="18">
        <v>44.5</v>
      </c>
      <c r="E310">
        <v>1962</v>
      </c>
      <c r="F310" s="18">
        <v>36.893203883495147</v>
      </c>
    </row>
    <row r="311" spans="1:6">
      <c r="A311" s="27">
        <v>41217</v>
      </c>
      <c r="B311" s="18">
        <v>5.6878048780487793</v>
      </c>
      <c r="C311" s="18">
        <v>2.2640776699029121</v>
      </c>
      <c r="D311" s="18">
        <v>29.3</v>
      </c>
      <c r="E311">
        <v>1956</v>
      </c>
      <c r="F311" s="18">
        <v>39.805825242718448</v>
      </c>
    </row>
    <row r="312" spans="1:6">
      <c r="A312" s="27">
        <v>41218</v>
      </c>
      <c r="B312" s="18">
        <v>6.2306122448979595</v>
      </c>
      <c r="C312" s="18">
        <v>2.9640776699029128</v>
      </c>
      <c r="D312" s="18">
        <v>34</v>
      </c>
      <c r="E312">
        <v>1990</v>
      </c>
      <c r="F312" s="18">
        <v>47.572815533980581</v>
      </c>
    </row>
    <row r="313" spans="1:6">
      <c r="A313" s="27">
        <v>41219</v>
      </c>
      <c r="B313" s="18">
        <v>6.1239130434782592</v>
      </c>
      <c r="C313" s="18">
        <v>2.7349514563106792</v>
      </c>
      <c r="D313" s="18">
        <v>32.5</v>
      </c>
      <c r="E313">
        <v>1932</v>
      </c>
      <c r="F313" s="18">
        <v>44.660194174757287</v>
      </c>
    </row>
    <row r="314" spans="1:6">
      <c r="A314" s="27">
        <v>41220</v>
      </c>
      <c r="B314" s="18">
        <v>5.2465116279069761</v>
      </c>
      <c r="C314" s="18">
        <v>2.1902912621359221</v>
      </c>
      <c r="D314" s="18">
        <v>35.299999999999997</v>
      </c>
      <c r="E314">
        <v>2012</v>
      </c>
      <c r="F314" s="18">
        <v>41.747572815533978</v>
      </c>
    </row>
    <row r="315" spans="1:6">
      <c r="A315" s="27">
        <v>41221</v>
      </c>
      <c r="B315" s="18">
        <v>4.3913043478260869</v>
      </c>
      <c r="C315" s="18">
        <v>1.9611650485436893</v>
      </c>
      <c r="D315" s="18">
        <v>23.6</v>
      </c>
      <c r="E315">
        <v>1981</v>
      </c>
      <c r="F315" s="18">
        <v>44.660194174757287</v>
      </c>
    </row>
    <row r="316" spans="1:6">
      <c r="A316" s="27">
        <v>41222</v>
      </c>
      <c r="B316" s="18">
        <v>6.8297872340425529</v>
      </c>
      <c r="C316" s="18">
        <v>3.116504854368932</v>
      </c>
      <c r="D316" s="18">
        <v>39.5</v>
      </c>
      <c r="E316">
        <v>1990</v>
      </c>
      <c r="F316" s="18">
        <v>45.631067961165051</v>
      </c>
    </row>
    <row r="317" spans="1:6">
      <c r="A317" s="27">
        <v>41223</v>
      </c>
      <c r="B317" s="18">
        <v>7.7512195121951253</v>
      </c>
      <c r="C317" s="18">
        <v>3.0854368932038847</v>
      </c>
      <c r="D317" s="18">
        <v>47.5</v>
      </c>
      <c r="E317">
        <v>1980</v>
      </c>
      <c r="F317" s="18">
        <v>39.805825242718448</v>
      </c>
    </row>
    <row r="318" spans="1:6">
      <c r="A318" s="27">
        <v>41224</v>
      </c>
      <c r="B318" s="18">
        <v>7.6250000000000027</v>
      </c>
      <c r="C318" s="18">
        <v>3.2572815533980592</v>
      </c>
      <c r="D318" s="18">
        <v>55.5</v>
      </c>
      <c r="E318">
        <v>1915</v>
      </c>
      <c r="F318" s="18">
        <v>42.718446601941743</v>
      </c>
    </row>
    <row r="319" spans="1:6">
      <c r="A319" s="27">
        <v>41225</v>
      </c>
      <c r="B319" s="18">
        <v>4.5843137254901967</v>
      </c>
      <c r="C319" s="18">
        <v>2.2699029126213595</v>
      </c>
      <c r="D319" s="18">
        <v>37.6</v>
      </c>
      <c r="E319">
        <v>1972</v>
      </c>
      <c r="F319" s="18">
        <v>49.514563106796118</v>
      </c>
    </row>
    <row r="320" spans="1:6">
      <c r="A320" s="27">
        <v>41226</v>
      </c>
      <c r="B320" s="18">
        <v>7.0863636363636378</v>
      </c>
      <c r="C320" s="18">
        <v>3.0271844660194183</v>
      </c>
      <c r="D320" s="18">
        <v>37.5</v>
      </c>
      <c r="E320">
        <v>1943</v>
      </c>
      <c r="F320" s="18">
        <v>42.718446601941743</v>
      </c>
    </row>
    <row r="321" spans="1:6">
      <c r="A321" s="27">
        <v>41227</v>
      </c>
      <c r="B321" s="18">
        <v>7.7444444444444436</v>
      </c>
      <c r="C321" s="18">
        <v>3.3834951456310676</v>
      </c>
      <c r="D321" s="18">
        <v>40.5</v>
      </c>
      <c r="E321">
        <v>1922</v>
      </c>
      <c r="F321" s="18">
        <v>43.689320388349515</v>
      </c>
    </row>
    <row r="322" spans="1:6">
      <c r="A322" s="27">
        <v>41228</v>
      </c>
      <c r="B322" s="18">
        <v>6.1169811320754732</v>
      </c>
      <c r="C322" s="18">
        <v>3.1475728155339815</v>
      </c>
      <c r="D322" s="18">
        <v>60.2</v>
      </c>
      <c r="E322">
        <v>1955</v>
      </c>
      <c r="F322" s="18">
        <v>51.456310679611647</v>
      </c>
    </row>
    <row r="323" spans="1:6">
      <c r="A323" s="27">
        <v>41229</v>
      </c>
      <c r="B323" s="18">
        <v>7.601851851851853</v>
      </c>
      <c r="C323" s="18">
        <v>3.9854368932038842</v>
      </c>
      <c r="D323" s="18">
        <v>94.2</v>
      </c>
      <c r="E323">
        <v>1955</v>
      </c>
      <c r="F323" s="18">
        <v>53.398058252427184</v>
      </c>
    </row>
    <row r="324" spans="1:6">
      <c r="A324" s="27">
        <v>41230</v>
      </c>
      <c r="B324" s="18">
        <v>7.5490196078431406</v>
      </c>
      <c r="C324" s="18">
        <v>3.7378640776699044</v>
      </c>
      <c r="D324" s="18">
        <v>68.099999999999994</v>
      </c>
      <c r="E324">
        <v>1993</v>
      </c>
      <c r="F324" s="18">
        <v>49.514563106796118</v>
      </c>
    </row>
    <row r="325" spans="1:6">
      <c r="A325" s="27">
        <v>41231</v>
      </c>
      <c r="B325" s="18">
        <v>6.3557692307692282</v>
      </c>
      <c r="C325" s="18">
        <v>3.2087378640776687</v>
      </c>
      <c r="D325" s="18">
        <v>45</v>
      </c>
      <c r="E325">
        <v>1999</v>
      </c>
      <c r="F325" s="18">
        <v>50.485436893203882</v>
      </c>
    </row>
    <row r="326" spans="1:6">
      <c r="A326" s="27">
        <v>41232</v>
      </c>
      <c r="B326" s="18">
        <v>9.8924528301886809</v>
      </c>
      <c r="C326" s="18">
        <v>5.0902912621359233</v>
      </c>
      <c r="D326" s="18">
        <v>61</v>
      </c>
      <c r="E326">
        <v>1965</v>
      </c>
      <c r="F326" s="18">
        <v>51.456310679611647</v>
      </c>
    </row>
    <row r="327" spans="1:6">
      <c r="A327" s="27">
        <v>41233</v>
      </c>
      <c r="B327" s="18">
        <v>7.833333333333333</v>
      </c>
      <c r="C327" s="18">
        <v>4.5631067961165046</v>
      </c>
      <c r="D327" s="18">
        <v>49.6</v>
      </c>
      <c r="E327">
        <v>1918</v>
      </c>
      <c r="F327" s="18">
        <v>58.252427184466015</v>
      </c>
    </row>
    <row r="328" spans="1:6">
      <c r="A328" s="27">
        <v>41234</v>
      </c>
      <c r="B328" s="18">
        <v>6.7346153846153856</v>
      </c>
      <c r="C328" s="18">
        <v>3.4000000000000004</v>
      </c>
      <c r="D328" s="18">
        <v>42.6</v>
      </c>
      <c r="E328">
        <v>1995</v>
      </c>
      <c r="F328" s="18">
        <v>50.485436893203882</v>
      </c>
    </row>
    <row r="329" spans="1:6">
      <c r="A329" s="27">
        <v>41235</v>
      </c>
      <c r="B329" s="18">
        <v>7.8500000000000014</v>
      </c>
      <c r="C329" s="18">
        <v>3.8106796116504862</v>
      </c>
      <c r="D329" s="18">
        <v>33.9</v>
      </c>
      <c r="E329">
        <v>1939</v>
      </c>
      <c r="F329" s="18">
        <v>48.543689320388353</v>
      </c>
    </row>
    <row r="330" spans="1:6">
      <c r="A330" s="27">
        <v>41236</v>
      </c>
      <c r="B330" s="18">
        <v>8.3615384615384585</v>
      </c>
      <c r="C330" s="18">
        <v>4.2213592233009694</v>
      </c>
      <c r="D330" s="18">
        <v>29.7</v>
      </c>
      <c r="E330">
        <v>1976</v>
      </c>
      <c r="F330" s="18">
        <v>51.456310679611647</v>
      </c>
    </row>
    <row r="331" spans="1:6">
      <c r="A331" s="27">
        <v>41237</v>
      </c>
      <c r="B331" s="18">
        <v>9.7204081632653043</v>
      </c>
      <c r="C331" s="18">
        <v>4.6242718446601936</v>
      </c>
      <c r="D331" s="18">
        <v>44.5</v>
      </c>
      <c r="E331">
        <v>1942</v>
      </c>
      <c r="F331" s="18">
        <v>47.572815533980581</v>
      </c>
    </row>
    <row r="332" spans="1:6">
      <c r="A332" s="27">
        <v>41238</v>
      </c>
      <c r="B332" s="18">
        <v>8.8561403508771956</v>
      </c>
      <c r="C332" s="18">
        <v>4.9009708737864086</v>
      </c>
      <c r="D332" s="18">
        <v>74.2</v>
      </c>
      <c r="E332">
        <v>1955</v>
      </c>
      <c r="F332" s="18">
        <v>56.310679611650485</v>
      </c>
    </row>
    <row r="333" spans="1:6">
      <c r="A333" s="27">
        <v>41239</v>
      </c>
      <c r="B333" s="18">
        <v>7.8392857142857135</v>
      </c>
      <c r="C333" s="18">
        <v>4.2621359223300965</v>
      </c>
      <c r="D333" s="18">
        <v>37.200000000000003</v>
      </c>
      <c r="E333">
        <v>1955</v>
      </c>
      <c r="F333" s="18">
        <v>54.368932038834949</v>
      </c>
    </row>
    <row r="334" spans="1:6">
      <c r="A334" s="27">
        <v>41240</v>
      </c>
      <c r="B334" s="18">
        <v>6.5464285714285735</v>
      </c>
      <c r="C334" s="18">
        <v>3.5592233009708751</v>
      </c>
      <c r="D334" s="18">
        <v>51.5</v>
      </c>
      <c r="E334">
        <v>1985</v>
      </c>
      <c r="F334" s="18">
        <v>55.339805825242713</v>
      </c>
    </row>
    <row r="335" spans="1:6">
      <c r="A335" s="27">
        <v>41241</v>
      </c>
      <c r="B335" s="18">
        <v>9.2653846153846171</v>
      </c>
      <c r="C335" s="18">
        <v>4.6776699029126219</v>
      </c>
      <c r="D335" s="18">
        <v>40.200000000000003</v>
      </c>
      <c r="E335">
        <v>1978</v>
      </c>
      <c r="F335" s="18">
        <v>51.456310679611647</v>
      </c>
    </row>
    <row r="336" spans="1:6">
      <c r="A336" s="27">
        <v>41242</v>
      </c>
      <c r="B336" s="18">
        <v>5.1811320754716963</v>
      </c>
      <c r="C336" s="18">
        <v>2.6660194174757272</v>
      </c>
      <c r="D336" s="18">
        <v>17.600000000000001</v>
      </c>
      <c r="E336">
        <v>1922</v>
      </c>
      <c r="F336" s="18">
        <v>51.456310679611647</v>
      </c>
    </row>
    <row r="337" spans="1:6">
      <c r="A337" s="27">
        <v>41243</v>
      </c>
      <c r="B337" s="18">
        <v>7.7769230769230777</v>
      </c>
      <c r="C337" s="18">
        <v>3.9262135922330099</v>
      </c>
      <c r="D337" s="18">
        <v>54.5</v>
      </c>
      <c r="E337">
        <v>1931</v>
      </c>
      <c r="F337" s="18">
        <v>50.485436893203882</v>
      </c>
    </row>
    <row r="338" spans="1:6">
      <c r="A338" s="27">
        <v>41244</v>
      </c>
      <c r="B338" s="18">
        <v>6.5672727272727247</v>
      </c>
      <c r="C338" s="18">
        <v>3.5067961165048533</v>
      </c>
      <c r="D338" s="18">
        <v>51.8</v>
      </c>
      <c r="E338">
        <v>1957</v>
      </c>
      <c r="F338" s="18">
        <v>53.398058252427184</v>
      </c>
    </row>
    <row r="339" spans="1:6">
      <c r="A339" s="27">
        <v>41245</v>
      </c>
      <c r="B339" s="18">
        <v>8.4654545454545467</v>
      </c>
      <c r="C339" s="18">
        <v>4.5203883495145636</v>
      </c>
      <c r="D339" s="18">
        <v>42.5</v>
      </c>
      <c r="E339">
        <v>1987</v>
      </c>
      <c r="F339" s="18">
        <v>53.398058252427184</v>
      </c>
    </row>
    <row r="340" spans="1:6">
      <c r="A340" s="27">
        <v>41246</v>
      </c>
      <c r="B340" s="18">
        <v>6.1568627450980395</v>
      </c>
      <c r="C340" s="18">
        <v>3.0485436893203883</v>
      </c>
      <c r="D340" s="18">
        <v>30</v>
      </c>
      <c r="E340">
        <v>2001</v>
      </c>
      <c r="F340" s="18">
        <v>49.514563106796118</v>
      </c>
    </row>
    <row r="341" spans="1:6">
      <c r="A341" s="27">
        <v>41247</v>
      </c>
      <c r="B341" s="18">
        <v>8.6122448979591866</v>
      </c>
      <c r="C341" s="18">
        <v>4.0970873786407775</v>
      </c>
      <c r="D341" s="18">
        <v>55.1</v>
      </c>
      <c r="E341">
        <v>1965</v>
      </c>
      <c r="F341" s="18">
        <v>47.572815533980581</v>
      </c>
    </row>
    <row r="342" spans="1:6">
      <c r="A342" s="27">
        <v>41248</v>
      </c>
      <c r="B342" s="18">
        <v>6.8947368421052628</v>
      </c>
      <c r="C342" s="18">
        <v>3.8155339805825244</v>
      </c>
      <c r="D342" s="18">
        <v>36.4</v>
      </c>
      <c r="E342">
        <v>1980</v>
      </c>
      <c r="F342" s="18">
        <v>55.339805825242713</v>
      </c>
    </row>
    <row r="343" spans="1:6">
      <c r="A343" s="27">
        <v>41249</v>
      </c>
      <c r="B343" s="18">
        <v>7.1962264150943405</v>
      </c>
      <c r="C343" s="18">
        <v>3.7029126213592236</v>
      </c>
      <c r="D343" s="18">
        <v>59.3</v>
      </c>
      <c r="E343">
        <v>1963</v>
      </c>
      <c r="F343" s="18">
        <v>51.456310679611647</v>
      </c>
    </row>
    <row r="344" spans="1:6">
      <c r="A344" s="27">
        <v>41250</v>
      </c>
      <c r="B344" s="18">
        <v>8.9822580645161292</v>
      </c>
      <c r="C344" s="18">
        <v>5.4067961165048546</v>
      </c>
      <c r="D344" s="18">
        <v>66</v>
      </c>
      <c r="E344">
        <v>1991</v>
      </c>
      <c r="F344" s="18">
        <v>60.194174757281552</v>
      </c>
    </row>
    <row r="345" spans="1:6">
      <c r="A345" s="27">
        <v>41251</v>
      </c>
      <c r="B345" s="18">
        <v>7.439682539682539</v>
      </c>
      <c r="C345" s="18">
        <v>4.5504854368932035</v>
      </c>
      <c r="D345" s="18">
        <v>29.2</v>
      </c>
      <c r="E345">
        <v>1964</v>
      </c>
      <c r="F345" s="18">
        <v>61.165048543689316</v>
      </c>
    </row>
    <row r="346" spans="1:6">
      <c r="A346" s="27">
        <v>41252</v>
      </c>
      <c r="B346" s="18">
        <v>10.084745762711867</v>
      </c>
      <c r="C346" s="18">
        <v>5.776699029126215</v>
      </c>
      <c r="D346" s="18">
        <v>58.5</v>
      </c>
      <c r="E346">
        <v>1987</v>
      </c>
      <c r="F346" s="18">
        <v>57.28155339805825</v>
      </c>
    </row>
    <row r="347" spans="1:6">
      <c r="A347" s="27">
        <v>41253</v>
      </c>
      <c r="B347" s="18">
        <v>5.3266666666666653</v>
      </c>
      <c r="C347" s="18">
        <v>3.1029126213592226</v>
      </c>
      <c r="D347" s="18">
        <v>28.5</v>
      </c>
      <c r="E347">
        <v>2010</v>
      </c>
      <c r="F347" s="18">
        <v>58.252427184466015</v>
      </c>
    </row>
    <row r="348" spans="1:6">
      <c r="A348" s="27">
        <v>41254</v>
      </c>
      <c r="B348" s="18">
        <v>7.2016949152542376</v>
      </c>
      <c r="C348" s="18">
        <v>4.1252427184466018</v>
      </c>
      <c r="D348" s="18">
        <v>47.2</v>
      </c>
      <c r="E348">
        <v>1923</v>
      </c>
      <c r="F348" s="18">
        <v>57.28155339805825</v>
      </c>
    </row>
    <row r="349" spans="1:6">
      <c r="A349" s="27">
        <v>41255</v>
      </c>
      <c r="B349" s="18">
        <v>8.1791044776119417</v>
      </c>
      <c r="C349" s="18">
        <v>5.3203883495145643</v>
      </c>
      <c r="D349" s="18">
        <v>44.3</v>
      </c>
      <c r="E349">
        <v>1940</v>
      </c>
      <c r="F349" s="18">
        <v>65.048543689320397</v>
      </c>
    </row>
    <row r="350" spans="1:6">
      <c r="A350" s="27">
        <v>41256</v>
      </c>
      <c r="B350" s="18">
        <v>6.7442622950819677</v>
      </c>
      <c r="C350" s="18">
        <v>3.9941747572815536</v>
      </c>
      <c r="D350" s="18">
        <v>30</v>
      </c>
      <c r="E350">
        <v>1992</v>
      </c>
      <c r="F350" s="18">
        <v>59.22330097087378</v>
      </c>
    </row>
    <row r="351" spans="1:6">
      <c r="A351" s="27">
        <v>41257</v>
      </c>
      <c r="B351" s="18">
        <v>6.9344827586206916</v>
      </c>
      <c r="C351" s="18">
        <v>3.9048543689320399</v>
      </c>
      <c r="D351" s="18">
        <v>48</v>
      </c>
      <c r="E351">
        <v>1933</v>
      </c>
      <c r="F351" s="18">
        <v>56.310679611650485</v>
      </c>
    </row>
    <row r="352" spans="1:6">
      <c r="A352" s="27">
        <v>41258</v>
      </c>
      <c r="B352" s="18">
        <v>7.9258620689655173</v>
      </c>
      <c r="C352" s="18">
        <v>4.463106796116505</v>
      </c>
      <c r="D352" s="18">
        <v>36.700000000000003</v>
      </c>
      <c r="E352">
        <v>1982</v>
      </c>
      <c r="F352" s="18">
        <v>56.310679611650485</v>
      </c>
    </row>
    <row r="353" spans="1:6">
      <c r="A353" s="27">
        <v>41259</v>
      </c>
      <c r="B353" s="18">
        <v>9.1344262295081968</v>
      </c>
      <c r="C353" s="18">
        <v>5.4097087378640785</v>
      </c>
      <c r="D353" s="18">
        <v>50.6</v>
      </c>
      <c r="E353">
        <v>1966</v>
      </c>
      <c r="F353" s="18">
        <v>59.22330097087378</v>
      </c>
    </row>
    <row r="354" spans="1:6">
      <c r="A354" s="27">
        <v>41260</v>
      </c>
      <c r="B354" s="18">
        <v>8.9576271186440675</v>
      </c>
      <c r="C354" s="18">
        <v>5.1310679611650487</v>
      </c>
      <c r="D354" s="18">
        <v>67</v>
      </c>
      <c r="E354">
        <v>1988</v>
      </c>
      <c r="F354" s="18">
        <v>57.28155339805825</v>
      </c>
    </row>
    <row r="355" spans="1:6">
      <c r="A355" s="27">
        <v>41261</v>
      </c>
      <c r="B355" s="18">
        <v>8.4915254237288131</v>
      </c>
      <c r="C355" s="18">
        <v>4.8640776699029118</v>
      </c>
      <c r="D355" s="18">
        <v>58.2</v>
      </c>
      <c r="E355">
        <v>1963</v>
      </c>
      <c r="F355" s="18">
        <v>58.252427184466015</v>
      </c>
    </row>
    <row r="356" spans="1:6">
      <c r="A356" s="27">
        <v>41262</v>
      </c>
      <c r="B356" s="18">
        <v>4.8666666666666663</v>
      </c>
      <c r="C356" s="18">
        <v>3.1184466019417476</v>
      </c>
      <c r="D356" s="18">
        <v>28.8</v>
      </c>
      <c r="E356">
        <v>1975</v>
      </c>
      <c r="F356" s="18">
        <v>64.077669902912632</v>
      </c>
    </row>
    <row r="357" spans="1:6">
      <c r="A357" s="27">
        <v>41263</v>
      </c>
      <c r="B357" s="18">
        <v>7.4016393442622954</v>
      </c>
      <c r="C357" s="18">
        <v>4.383495145631068</v>
      </c>
      <c r="D357" s="18">
        <v>28.2</v>
      </c>
      <c r="E357">
        <v>2009</v>
      </c>
      <c r="F357" s="18">
        <v>59.22330097087378</v>
      </c>
    </row>
    <row r="358" spans="1:6">
      <c r="A358" s="27">
        <v>41264</v>
      </c>
      <c r="B358" s="18">
        <v>7.6931034482758607</v>
      </c>
      <c r="C358" s="18">
        <v>4.3320388349514554</v>
      </c>
      <c r="D358" s="18">
        <v>43.3</v>
      </c>
      <c r="E358">
        <v>1918</v>
      </c>
      <c r="F358" s="18">
        <v>57.28155339805825</v>
      </c>
    </row>
    <row r="359" spans="1:6">
      <c r="A359" s="27">
        <v>41265</v>
      </c>
      <c r="B359" s="18">
        <v>6.8937500000000007</v>
      </c>
      <c r="C359" s="18">
        <v>4.2834951456310684</v>
      </c>
      <c r="D359" s="18">
        <v>50.1</v>
      </c>
      <c r="E359">
        <v>1999</v>
      </c>
      <c r="F359" s="18">
        <v>62.135922330097081</v>
      </c>
    </row>
    <row r="360" spans="1:6">
      <c r="A360" s="27">
        <v>41266</v>
      </c>
      <c r="B360" s="18">
        <v>6.1517241379310352</v>
      </c>
      <c r="C360" s="18">
        <v>3.4640776699029132</v>
      </c>
      <c r="D360" s="18">
        <v>36.6</v>
      </c>
      <c r="E360">
        <v>2011</v>
      </c>
      <c r="F360" s="18">
        <v>56.310679611650485</v>
      </c>
    </row>
    <row r="361" spans="1:6">
      <c r="A361" s="27">
        <v>41267</v>
      </c>
      <c r="B361" s="18">
        <v>4.9499999999999993</v>
      </c>
      <c r="C361" s="18">
        <v>3.0757281553398053</v>
      </c>
      <c r="D361" s="18">
        <v>38.299999999999997</v>
      </c>
      <c r="E361">
        <v>2001</v>
      </c>
      <c r="F361" s="18">
        <v>62.135922330097081</v>
      </c>
    </row>
    <row r="362" spans="1:6">
      <c r="A362" s="27">
        <v>41268</v>
      </c>
      <c r="B362" s="18">
        <v>7.8339285714285722</v>
      </c>
      <c r="C362" s="18">
        <v>4.2592233009708744</v>
      </c>
      <c r="D362" s="18">
        <v>41.3</v>
      </c>
      <c r="E362">
        <v>1996</v>
      </c>
      <c r="F362" s="18">
        <v>54.368932038834949</v>
      </c>
    </row>
    <row r="363" spans="1:6">
      <c r="A363" s="27">
        <v>41269</v>
      </c>
      <c r="B363" s="18">
        <v>6.8983333333333352</v>
      </c>
      <c r="C363" s="18">
        <v>4.0184466019417489</v>
      </c>
      <c r="D363" s="18">
        <v>68</v>
      </c>
      <c r="E363">
        <v>1913</v>
      </c>
      <c r="F363" s="18">
        <v>58.252427184466015</v>
      </c>
    </row>
    <row r="364" spans="1:6">
      <c r="A364" s="27">
        <v>41270</v>
      </c>
      <c r="B364" s="18">
        <v>9.5105263157894733</v>
      </c>
      <c r="C364" s="18">
        <v>5.2631067961165048</v>
      </c>
      <c r="D364" s="18">
        <v>56.5</v>
      </c>
      <c r="E364">
        <v>1939</v>
      </c>
      <c r="F364" s="18">
        <v>55.339805825242713</v>
      </c>
    </row>
    <row r="365" spans="1:6">
      <c r="A365" s="27">
        <v>41271</v>
      </c>
      <c r="B365" s="18">
        <v>7.0250000000000021</v>
      </c>
      <c r="C365" s="18">
        <v>4.0922330097087389</v>
      </c>
      <c r="D365" s="18">
        <v>34</v>
      </c>
      <c r="E365">
        <v>1968</v>
      </c>
      <c r="F365" s="18">
        <v>58.252427184466015</v>
      </c>
    </row>
    <row r="366" spans="1:6">
      <c r="A366" s="27">
        <v>41272</v>
      </c>
      <c r="B366" s="18">
        <v>5.8527272727272734</v>
      </c>
      <c r="C366" s="18">
        <v>3.1252427184466023</v>
      </c>
      <c r="D366" s="18">
        <v>34.700000000000003</v>
      </c>
      <c r="E366">
        <v>1982</v>
      </c>
      <c r="F366" s="18">
        <v>54.368932038834949</v>
      </c>
    </row>
    <row r="367" spans="1:6">
      <c r="A367" s="27">
        <v>41273</v>
      </c>
      <c r="B367" s="18">
        <v>5.4036363636363616</v>
      </c>
      <c r="C367" s="18">
        <v>2.8854368932038823</v>
      </c>
      <c r="D367" s="18">
        <v>34.5</v>
      </c>
      <c r="E367">
        <v>1923</v>
      </c>
      <c r="F367" s="18">
        <v>53.398058252427184</v>
      </c>
    </row>
    <row r="368" spans="1:6">
      <c r="A368" s="27">
        <v>41274</v>
      </c>
      <c r="B368" s="18">
        <v>6.0058823529411738</v>
      </c>
      <c r="C368" s="18">
        <v>2.9737864077669887</v>
      </c>
      <c r="D368" s="18">
        <v>42.4</v>
      </c>
      <c r="E368">
        <v>1977</v>
      </c>
      <c r="F368" s="18">
        <v>49.514563106796118</v>
      </c>
    </row>
  </sheetData>
  <mergeCells count="2">
    <mergeCell ref="B1:C1"/>
    <mergeCell ref="D1:E1"/>
  </mergeCells>
  <pageMargins left="0.7" right="0.7" top="0.75" bottom="0.75" header="0.3" footer="0.3"/>
  <pageSetup paperSize="9" orientation="portrait" r:id="rId1"/>
  <drawing r:id="rId2"/>
  <webPublishItems count="1">
    <webPublishItem id="5945" divId="Yağış 1911-2013 Hepsi-web sitesi için_5945" sourceType="sheet" destinationFile="D:\Meteoroloji\Çalışmalar\Yağış\Yağış 1911-2013 Hepsi-web sitesi için-gunluk yagis.htm"/>
  </webPublishItems>
</worksheet>
</file>

<file path=xl/worksheets/sheet6.xml><?xml version="1.0" encoding="utf-8"?>
<worksheet xmlns="http://schemas.openxmlformats.org/spreadsheetml/2006/main" xmlns:r="http://schemas.openxmlformats.org/officeDocument/2006/relationships">
  <sheetPr codeName="Sayfa2"/>
  <dimension ref="A1:DH370"/>
  <sheetViews>
    <sheetView topLeftCell="CU343" workbookViewId="0">
      <selection activeCell="C18" sqref="C18"/>
    </sheetView>
  </sheetViews>
  <sheetFormatPr defaultRowHeight="15"/>
  <cols>
    <col min="1" max="1" width="12.28515625" bestFit="1" customWidth="1"/>
    <col min="2" max="2" width="7" bestFit="1" customWidth="1"/>
    <col min="3" max="12" width="5.5703125" bestFit="1" customWidth="1"/>
    <col min="13" max="13" width="6.5703125" bestFit="1" customWidth="1"/>
    <col min="14" max="17" width="5.5703125" bestFit="1" customWidth="1"/>
    <col min="18" max="19" width="6" bestFit="1" customWidth="1"/>
    <col min="20" max="29" width="5.5703125" bestFit="1" customWidth="1"/>
    <col min="30" max="31" width="6.5703125" bestFit="1" customWidth="1"/>
    <col min="32" max="32" width="5.5703125" bestFit="1" customWidth="1"/>
    <col min="33" max="33" width="6" bestFit="1" customWidth="1"/>
    <col min="34" max="41" width="5.5703125" bestFit="1" customWidth="1"/>
    <col min="42" max="42" width="6.5703125" bestFit="1" customWidth="1"/>
    <col min="43" max="45" width="5.5703125" bestFit="1" customWidth="1"/>
    <col min="46" max="46" width="6.5703125" bestFit="1" customWidth="1"/>
    <col min="47" max="47" width="5.5703125" bestFit="1" customWidth="1"/>
    <col min="48" max="48" width="6" bestFit="1" customWidth="1"/>
    <col min="49" max="51" width="5.5703125" bestFit="1" customWidth="1"/>
    <col min="52" max="54" width="6.5703125" bestFit="1" customWidth="1"/>
    <col min="55" max="55" width="5.5703125" bestFit="1" customWidth="1"/>
    <col min="56" max="56" width="6.5703125" bestFit="1" customWidth="1"/>
    <col min="57" max="58" width="5.5703125" bestFit="1" customWidth="1"/>
    <col min="59" max="59" width="6.5703125" bestFit="1" customWidth="1"/>
    <col min="60" max="70" width="5.5703125" bestFit="1" customWidth="1"/>
    <col min="71" max="71" width="6" bestFit="1" customWidth="1"/>
    <col min="72" max="72" width="6.5703125" bestFit="1" customWidth="1"/>
    <col min="73" max="75" width="5.5703125" bestFit="1" customWidth="1"/>
    <col min="76" max="76" width="6" bestFit="1" customWidth="1"/>
    <col min="77" max="77" width="5.5703125" bestFit="1" customWidth="1"/>
    <col min="78" max="78" width="6.5703125" bestFit="1" customWidth="1"/>
    <col min="79" max="87" width="5.5703125" bestFit="1" customWidth="1"/>
    <col min="88" max="88" width="6.5703125" bestFit="1" customWidth="1"/>
    <col min="89" max="91" width="5.5703125" bestFit="1" customWidth="1"/>
    <col min="92" max="92" width="6.5703125" bestFit="1" customWidth="1"/>
    <col min="93" max="94" width="5.5703125" bestFit="1" customWidth="1"/>
    <col min="95" max="95" width="6" bestFit="1" customWidth="1"/>
    <col min="96" max="100" width="5.5703125" bestFit="1" customWidth="1"/>
    <col min="101" max="101" width="6.5703125" bestFit="1" customWidth="1"/>
    <col min="102" max="104" width="5.5703125" bestFit="1" customWidth="1"/>
    <col min="109" max="109" width="11" style="28" bestFit="1" customWidth="1"/>
    <col min="110" max="110" width="11" style="27" bestFit="1" customWidth="1"/>
  </cols>
  <sheetData>
    <row r="1" spans="1:112">
      <c r="B1">
        <v>1911</v>
      </c>
      <c r="C1">
        <v>1912</v>
      </c>
      <c r="D1">
        <v>1913</v>
      </c>
      <c r="E1">
        <v>1914</v>
      </c>
      <c r="F1">
        <v>1915</v>
      </c>
      <c r="G1">
        <v>1916</v>
      </c>
      <c r="H1">
        <v>1917</v>
      </c>
      <c r="I1">
        <v>1918</v>
      </c>
      <c r="J1">
        <v>1919</v>
      </c>
      <c r="K1">
        <v>1920</v>
      </c>
      <c r="L1">
        <v>1921</v>
      </c>
      <c r="M1">
        <v>1922</v>
      </c>
      <c r="N1">
        <v>1923</v>
      </c>
      <c r="O1">
        <v>1924</v>
      </c>
      <c r="P1">
        <v>1925</v>
      </c>
      <c r="Q1">
        <v>1926</v>
      </c>
      <c r="R1">
        <v>1927</v>
      </c>
      <c r="S1">
        <v>1928</v>
      </c>
      <c r="T1">
        <v>1929</v>
      </c>
      <c r="U1">
        <v>1930</v>
      </c>
      <c r="V1">
        <v>1931</v>
      </c>
      <c r="W1">
        <v>1932</v>
      </c>
      <c r="X1">
        <v>1933</v>
      </c>
      <c r="Y1">
        <v>1934</v>
      </c>
      <c r="Z1">
        <v>1935</v>
      </c>
      <c r="AA1">
        <v>1936</v>
      </c>
      <c r="AB1">
        <v>1937</v>
      </c>
      <c r="AC1">
        <v>1938</v>
      </c>
      <c r="AD1">
        <v>1939</v>
      </c>
      <c r="AE1">
        <v>1940</v>
      </c>
      <c r="AF1">
        <v>1941</v>
      </c>
      <c r="AG1">
        <v>1942</v>
      </c>
      <c r="AH1">
        <v>1943</v>
      </c>
      <c r="AI1">
        <v>1944</v>
      </c>
      <c r="AJ1">
        <v>1945</v>
      </c>
      <c r="AK1">
        <v>1946</v>
      </c>
      <c r="AL1">
        <v>1947</v>
      </c>
      <c r="AM1">
        <v>1948</v>
      </c>
      <c r="AN1">
        <v>1949</v>
      </c>
      <c r="AO1">
        <v>1950</v>
      </c>
      <c r="AP1">
        <v>1951</v>
      </c>
      <c r="AQ1">
        <v>1952</v>
      </c>
      <c r="AR1">
        <v>1953</v>
      </c>
      <c r="AS1">
        <v>1954</v>
      </c>
      <c r="AT1">
        <v>1955</v>
      </c>
      <c r="AU1">
        <v>1956</v>
      </c>
      <c r="AV1">
        <v>1957</v>
      </c>
      <c r="AW1">
        <v>1958</v>
      </c>
      <c r="AX1">
        <v>1959</v>
      </c>
      <c r="AY1">
        <v>1960</v>
      </c>
      <c r="AZ1">
        <v>1961</v>
      </c>
      <c r="BA1">
        <v>1962</v>
      </c>
      <c r="BB1">
        <v>1963</v>
      </c>
      <c r="BC1">
        <v>1964</v>
      </c>
      <c r="BD1">
        <v>1965</v>
      </c>
      <c r="BE1">
        <v>1966</v>
      </c>
      <c r="BF1">
        <v>1967</v>
      </c>
      <c r="BG1">
        <v>1968</v>
      </c>
      <c r="BH1">
        <v>1969</v>
      </c>
      <c r="BI1">
        <v>1970</v>
      </c>
      <c r="BJ1">
        <v>1971</v>
      </c>
      <c r="BK1">
        <v>1972</v>
      </c>
      <c r="BL1">
        <v>1973</v>
      </c>
      <c r="BM1">
        <v>1974</v>
      </c>
      <c r="BN1">
        <v>1975</v>
      </c>
      <c r="BO1">
        <v>1976</v>
      </c>
      <c r="BP1">
        <v>1977</v>
      </c>
      <c r="BQ1">
        <v>1978</v>
      </c>
      <c r="BR1">
        <v>1979</v>
      </c>
      <c r="BS1">
        <v>1980</v>
      </c>
      <c r="BT1">
        <v>1981</v>
      </c>
      <c r="BU1">
        <v>1982</v>
      </c>
      <c r="BV1">
        <v>1983</v>
      </c>
      <c r="BW1">
        <v>1984</v>
      </c>
      <c r="BX1">
        <v>1985</v>
      </c>
      <c r="BY1">
        <v>1986</v>
      </c>
      <c r="BZ1">
        <v>1987</v>
      </c>
      <c r="CA1">
        <v>1988</v>
      </c>
      <c r="CB1">
        <v>1989</v>
      </c>
      <c r="CC1">
        <v>1990</v>
      </c>
      <c r="CD1">
        <v>1991</v>
      </c>
      <c r="CE1">
        <v>1992</v>
      </c>
      <c r="CF1">
        <v>1993</v>
      </c>
      <c r="CG1">
        <v>1994</v>
      </c>
      <c r="CH1">
        <v>1995</v>
      </c>
      <c r="CI1">
        <v>1996</v>
      </c>
      <c r="CJ1">
        <v>1997</v>
      </c>
      <c r="CK1">
        <v>1998</v>
      </c>
      <c r="CL1">
        <v>1999</v>
      </c>
      <c r="CM1">
        <v>2000</v>
      </c>
      <c r="CN1">
        <v>2001</v>
      </c>
      <c r="CO1">
        <v>2002</v>
      </c>
      <c r="CP1">
        <v>2003</v>
      </c>
      <c r="CQ1">
        <v>2004</v>
      </c>
      <c r="CR1">
        <v>2005</v>
      </c>
      <c r="CS1">
        <v>2006</v>
      </c>
      <c r="CT1">
        <v>2007</v>
      </c>
      <c r="CU1">
        <v>2008</v>
      </c>
      <c r="CV1">
        <v>2009</v>
      </c>
      <c r="CW1">
        <v>2010</v>
      </c>
      <c r="CX1">
        <v>2011</v>
      </c>
      <c r="CY1">
        <v>2012</v>
      </c>
      <c r="CZ1">
        <v>2013</v>
      </c>
      <c r="DA1">
        <v>105</v>
      </c>
      <c r="DB1" s="126" t="s">
        <v>418</v>
      </c>
      <c r="DC1" s="126"/>
    </row>
    <row r="2" spans="1:112">
      <c r="A2" s="1">
        <v>40909</v>
      </c>
      <c r="B2" s="2"/>
      <c r="C2" s="2">
        <v>17.7</v>
      </c>
      <c r="D2" s="2"/>
      <c r="E2" s="2">
        <v>4.5</v>
      </c>
      <c r="F2" s="2"/>
      <c r="G2" s="2"/>
      <c r="H2" s="2"/>
      <c r="I2" s="2">
        <v>5.4</v>
      </c>
      <c r="J2" s="2"/>
      <c r="K2" s="2">
        <v>0.8</v>
      </c>
      <c r="L2" s="2">
        <v>0.6</v>
      </c>
      <c r="M2" s="2">
        <v>11.3</v>
      </c>
      <c r="N2" s="2"/>
      <c r="O2" s="2">
        <v>11</v>
      </c>
      <c r="P2" s="2"/>
      <c r="Q2" s="2">
        <v>21.7</v>
      </c>
      <c r="R2" s="2"/>
      <c r="S2" s="2">
        <v>3.5</v>
      </c>
      <c r="T2" s="2"/>
      <c r="U2" s="2"/>
      <c r="V2" s="2">
        <v>0.3</v>
      </c>
      <c r="W2" s="2">
        <v>14</v>
      </c>
      <c r="X2" s="2"/>
      <c r="Y2" s="2"/>
      <c r="Z2" s="2"/>
      <c r="AA2" s="2"/>
      <c r="AB2" s="2"/>
      <c r="AC2" s="2"/>
      <c r="AD2" s="2">
        <v>16.2</v>
      </c>
      <c r="AE2" s="2">
        <v>8</v>
      </c>
      <c r="AF2" s="2"/>
      <c r="AG2" s="2">
        <v>0</v>
      </c>
      <c r="AH2" s="2">
        <v>0.39999999999963598</v>
      </c>
      <c r="AI2" s="2">
        <v>0.29999999999972699</v>
      </c>
      <c r="AJ2" s="2">
        <v>1.79999999999927</v>
      </c>
      <c r="AK2" s="2">
        <v>0.79999999999927196</v>
      </c>
      <c r="AL2" s="2">
        <v>8.5</v>
      </c>
      <c r="AM2" s="2">
        <v>35.5</v>
      </c>
      <c r="AN2" s="2"/>
      <c r="AO2" s="2">
        <v>9.3999999999941792</v>
      </c>
      <c r="AP2" s="2">
        <v>3.5</v>
      </c>
      <c r="AQ2" s="2">
        <v>9.9999999999908995E-2</v>
      </c>
      <c r="AR2" s="2"/>
      <c r="AS2" s="2">
        <v>2.0999999999985399</v>
      </c>
      <c r="AT2" s="2">
        <v>0.39999999999963598</v>
      </c>
      <c r="AU2" s="2"/>
      <c r="AV2" s="2">
        <v>0.5</v>
      </c>
      <c r="AW2" s="2">
        <v>1.5999999999985499</v>
      </c>
      <c r="AX2" s="2"/>
      <c r="AY2" s="2">
        <v>7.5999999999985501</v>
      </c>
      <c r="AZ2" s="2">
        <v>2.5999999999985399</v>
      </c>
      <c r="BA2" s="2"/>
      <c r="BB2" s="2">
        <v>3.2999999999992702</v>
      </c>
      <c r="BC2" s="2"/>
      <c r="BD2" s="2"/>
      <c r="BE2" s="2">
        <v>0.89999999999963598</v>
      </c>
      <c r="BF2" s="2"/>
      <c r="BG2" s="2">
        <v>0.5</v>
      </c>
      <c r="BH2" s="2">
        <v>0.100000000000023</v>
      </c>
      <c r="BI2" s="2"/>
      <c r="BJ2" s="2">
        <v>5.5999999999985501</v>
      </c>
      <c r="BK2" s="2">
        <v>0.60000000000036402</v>
      </c>
      <c r="BL2" s="2">
        <v>0.100000000000023</v>
      </c>
      <c r="BM2" s="2">
        <v>0.100000000000023</v>
      </c>
      <c r="BN2" s="2">
        <v>9</v>
      </c>
      <c r="BO2" s="2"/>
      <c r="BP2" s="2">
        <v>0.200000000000045</v>
      </c>
      <c r="BQ2" s="2">
        <v>11.1999999999971</v>
      </c>
      <c r="BR2" s="2">
        <v>12</v>
      </c>
      <c r="BS2" s="2">
        <v>14.8000000000029</v>
      </c>
      <c r="BT2" s="2">
        <v>0</v>
      </c>
      <c r="BU2" s="2"/>
      <c r="BV2" s="2">
        <v>0.80000000000018201</v>
      </c>
      <c r="BW2" s="2"/>
      <c r="BX2" s="2">
        <v>2.1</v>
      </c>
      <c r="BY2" s="2">
        <v>28</v>
      </c>
      <c r="BZ2" s="2">
        <v>0.2</v>
      </c>
      <c r="CA2" s="2"/>
      <c r="CB2" s="2">
        <v>2</v>
      </c>
      <c r="CC2" s="2"/>
      <c r="CD2" s="2"/>
      <c r="CE2" s="2">
        <v>4.4000000000000004</v>
      </c>
      <c r="CF2" s="2">
        <v>15.5</v>
      </c>
      <c r="CG2" s="2">
        <v>2.2999999999999998</v>
      </c>
      <c r="CH2" s="2">
        <v>0</v>
      </c>
      <c r="CI2" s="2">
        <v>0.8</v>
      </c>
      <c r="CJ2" s="2"/>
      <c r="CK2" s="2"/>
      <c r="CL2" s="2"/>
      <c r="CM2" s="2"/>
      <c r="CN2" s="2"/>
      <c r="CO2" s="2">
        <v>25.4</v>
      </c>
      <c r="CP2" s="2">
        <v>20.2</v>
      </c>
      <c r="CQ2" s="2"/>
      <c r="CR2" s="2">
        <v>2.6</v>
      </c>
      <c r="CS2" s="2"/>
      <c r="CT2" s="2"/>
      <c r="CU2" s="2">
        <v>0.1</v>
      </c>
      <c r="CV2" s="2"/>
      <c r="CW2" s="2">
        <v>8.9</v>
      </c>
      <c r="CX2" s="2"/>
      <c r="CY2" s="2">
        <v>1.4</v>
      </c>
      <c r="CZ2" s="2"/>
      <c r="DB2">
        <v>1948</v>
      </c>
      <c r="DC2">
        <v>35.5</v>
      </c>
      <c r="DE2" s="28">
        <v>1911</v>
      </c>
      <c r="DF2" s="27">
        <v>41179</v>
      </c>
      <c r="DG2">
        <v>70.099999999999994</v>
      </c>
      <c r="DH2">
        <v>1</v>
      </c>
    </row>
    <row r="3" spans="1:112">
      <c r="A3" s="1">
        <v>40910</v>
      </c>
      <c r="B3" s="2"/>
      <c r="C3" s="2">
        <v>6</v>
      </c>
      <c r="D3" s="2"/>
      <c r="E3" s="2">
        <v>1.6</v>
      </c>
      <c r="F3" s="2">
        <v>3.8</v>
      </c>
      <c r="G3" s="2"/>
      <c r="H3" s="2"/>
      <c r="I3" s="2"/>
      <c r="J3" s="2">
        <v>0.2</v>
      </c>
      <c r="K3" s="2">
        <v>0.4</v>
      </c>
      <c r="L3" s="2">
        <v>0.4</v>
      </c>
      <c r="M3" s="2"/>
      <c r="N3" s="2"/>
      <c r="O3" s="2">
        <v>1.5</v>
      </c>
      <c r="P3" s="2">
        <v>1.1000000000000001</v>
      </c>
      <c r="Q3" s="2">
        <v>0.7</v>
      </c>
      <c r="R3" s="2"/>
      <c r="S3" s="2">
        <v>0.1</v>
      </c>
      <c r="T3" s="2"/>
      <c r="U3" s="2">
        <v>10.7</v>
      </c>
      <c r="V3" s="2">
        <v>9.1999999999999993</v>
      </c>
      <c r="W3" s="2">
        <v>6</v>
      </c>
      <c r="X3" s="2"/>
      <c r="Y3" s="2"/>
      <c r="Z3" s="2"/>
      <c r="AA3" s="2"/>
      <c r="AB3" s="2"/>
      <c r="AC3" s="2">
        <v>28</v>
      </c>
      <c r="AD3" s="2">
        <v>0.2</v>
      </c>
      <c r="AE3" s="2">
        <v>1.79999999999927</v>
      </c>
      <c r="AF3" s="2"/>
      <c r="AG3" s="2">
        <v>23</v>
      </c>
      <c r="AH3" s="2">
        <v>2.5</v>
      </c>
      <c r="AI3" s="2">
        <v>0.59999999999945397</v>
      </c>
      <c r="AJ3" s="2">
        <v>12.5</v>
      </c>
      <c r="AK3" s="2"/>
      <c r="AL3" s="2">
        <v>4.5999999999985501</v>
      </c>
      <c r="AM3" s="2">
        <v>23.5</v>
      </c>
      <c r="AN3" s="2"/>
      <c r="AO3" s="2"/>
      <c r="AP3" s="2">
        <v>0.29999999999972699</v>
      </c>
      <c r="AQ3" s="2">
        <v>0.19999999999981799</v>
      </c>
      <c r="AR3" s="2">
        <v>31.199999999982499</v>
      </c>
      <c r="AS3" s="2">
        <v>1.0999999999985499</v>
      </c>
      <c r="AT3" s="2">
        <v>0.5</v>
      </c>
      <c r="AU3" s="2">
        <v>7.3999999999941801</v>
      </c>
      <c r="AV3" s="2"/>
      <c r="AW3" s="2">
        <v>0.29999999999972699</v>
      </c>
      <c r="AX3" s="2"/>
      <c r="AY3" s="2"/>
      <c r="AZ3" s="2"/>
      <c r="BA3" s="2">
        <v>0</v>
      </c>
      <c r="BB3" s="2">
        <v>1.89999999999964</v>
      </c>
      <c r="BC3" s="2"/>
      <c r="BD3" s="2"/>
      <c r="BE3" s="2"/>
      <c r="BF3" s="2"/>
      <c r="BG3" s="2">
        <v>16.600000000005799</v>
      </c>
      <c r="BH3" s="2">
        <v>2.4000000000014601</v>
      </c>
      <c r="BI3" s="2">
        <v>18.799999999988401</v>
      </c>
      <c r="BJ3" s="2"/>
      <c r="BK3" s="2">
        <v>0.200000000000045</v>
      </c>
      <c r="BL3" s="2"/>
      <c r="BM3" s="2"/>
      <c r="BN3" s="2">
        <v>17.600000000005799</v>
      </c>
      <c r="BO3" s="2"/>
      <c r="BP3" s="2">
        <v>1.60000000000036</v>
      </c>
      <c r="BQ3" s="2">
        <v>0.200000000000045</v>
      </c>
      <c r="BR3" s="2">
        <v>18</v>
      </c>
      <c r="BS3" s="2">
        <v>0.60000000000036402</v>
      </c>
      <c r="BT3" s="2">
        <v>10.5</v>
      </c>
      <c r="BU3" s="2">
        <v>12.600000000005799</v>
      </c>
      <c r="BV3" s="2">
        <v>0.200000000000045</v>
      </c>
      <c r="BW3" s="2"/>
      <c r="BX3" s="2">
        <v>0.2</v>
      </c>
      <c r="BY3" s="2">
        <v>0.5</v>
      </c>
      <c r="BZ3" s="2"/>
      <c r="CA3" s="2"/>
      <c r="CB3" s="2">
        <v>3.5</v>
      </c>
      <c r="CC3" s="2">
        <v>0.3</v>
      </c>
      <c r="CD3" s="2">
        <v>10.8</v>
      </c>
      <c r="CE3" s="2"/>
      <c r="CF3" s="2">
        <v>17.899999999999999</v>
      </c>
      <c r="CG3" s="2">
        <v>3.9</v>
      </c>
      <c r="CH3" s="2">
        <v>13.5</v>
      </c>
      <c r="CI3" s="2">
        <v>0.6</v>
      </c>
      <c r="CJ3" s="2"/>
      <c r="CK3" s="2"/>
      <c r="CL3" s="2"/>
      <c r="CM3" s="2">
        <v>2</v>
      </c>
      <c r="CN3" s="2">
        <v>1.5</v>
      </c>
      <c r="CO3" s="2">
        <v>0.6</v>
      </c>
      <c r="CP3" s="2">
        <v>0.5</v>
      </c>
      <c r="CQ3" s="2">
        <v>0.1</v>
      </c>
      <c r="CR3" s="2">
        <v>0.8</v>
      </c>
      <c r="CS3" s="2"/>
      <c r="CT3" s="2"/>
      <c r="CU3" s="2">
        <v>1.1000000000000001</v>
      </c>
      <c r="CV3" s="2">
        <v>6.9</v>
      </c>
      <c r="CW3" s="2">
        <v>12.1</v>
      </c>
      <c r="CX3" s="2">
        <v>0.2</v>
      </c>
      <c r="CY3" s="2"/>
      <c r="CZ3" s="2"/>
      <c r="DB3">
        <v>1953</v>
      </c>
      <c r="DC3">
        <v>31.199999999982499</v>
      </c>
      <c r="DE3" s="28">
        <v>1912</v>
      </c>
      <c r="DF3" s="27">
        <v>41020</v>
      </c>
      <c r="DG3">
        <v>42.5</v>
      </c>
      <c r="DH3">
        <v>2</v>
      </c>
    </row>
    <row r="4" spans="1:112">
      <c r="A4" s="1">
        <v>40911</v>
      </c>
      <c r="B4" s="2"/>
      <c r="C4" s="2">
        <v>3.4</v>
      </c>
      <c r="D4" s="2"/>
      <c r="E4" s="2"/>
      <c r="F4" s="2">
        <v>8.1999999999999993</v>
      </c>
      <c r="G4" s="2">
        <v>0.7</v>
      </c>
      <c r="H4" s="2">
        <v>9.5</v>
      </c>
      <c r="I4" s="2">
        <v>0.8</v>
      </c>
      <c r="J4" s="2"/>
      <c r="K4" s="2">
        <v>0.1</v>
      </c>
      <c r="L4" s="2"/>
      <c r="M4" s="2">
        <v>3.5</v>
      </c>
      <c r="N4" s="2"/>
      <c r="O4" s="2"/>
      <c r="P4" s="2">
        <v>0.3</v>
      </c>
      <c r="Q4" s="2"/>
      <c r="R4" s="2"/>
      <c r="S4" s="2"/>
      <c r="T4" s="2"/>
      <c r="U4" s="2">
        <v>14.5</v>
      </c>
      <c r="V4" s="2">
        <v>0.7</v>
      </c>
      <c r="W4" s="2">
        <v>0.3</v>
      </c>
      <c r="X4" s="2">
        <v>2.6</v>
      </c>
      <c r="Y4" s="2">
        <v>3</v>
      </c>
      <c r="Z4" s="2"/>
      <c r="AA4" s="2"/>
      <c r="AB4" s="2"/>
      <c r="AC4" s="2">
        <v>6.8999999999941801</v>
      </c>
      <c r="AD4" s="2"/>
      <c r="AE4" s="2">
        <v>0</v>
      </c>
      <c r="AF4" s="2"/>
      <c r="AG4" s="2">
        <v>0</v>
      </c>
      <c r="AH4" s="2">
        <v>13.5</v>
      </c>
      <c r="AI4" s="2"/>
      <c r="AJ4" s="2">
        <v>13.599999999991301</v>
      </c>
      <c r="AK4" s="2">
        <v>2.7999999999992702</v>
      </c>
      <c r="AL4" s="2">
        <v>5.3999999999941801</v>
      </c>
      <c r="AM4" s="2"/>
      <c r="AN4" s="2"/>
      <c r="AO4" s="2">
        <v>8.5999999999912706</v>
      </c>
      <c r="AP4" s="2"/>
      <c r="AQ4" s="2"/>
      <c r="AR4" s="2">
        <v>3.0999999999985399</v>
      </c>
      <c r="AS4" s="2"/>
      <c r="AT4" s="2">
        <v>9.9999999999908995E-2</v>
      </c>
      <c r="AU4" s="2"/>
      <c r="AV4" s="2"/>
      <c r="AW4" s="2">
        <v>0.19999999999981799</v>
      </c>
      <c r="AX4" s="2">
        <v>0.69999999999981799</v>
      </c>
      <c r="AY4" s="2"/>
      <c r="AZ4" s="2"/>
      <c r="BA4" s="2">
        <v>21</v>
      </c>
      <c r="BB4" s="2">
        <v>0.69999999999981799</v>
      </c>
      <c r="BC4" s="2">
        <v>1.39999999999964</v>
      </c>
      <c r="BD4" s="2"/>
      <c r="BE4" s="2">
        <v>5.8000000000029104</v>
      </c>
      <c r="BF4" s="2">
        <v>6.0999999999985501</v>
      </c>
      <c r="BG4" s="2">
        <v>9</v>
      </c>
      <c r="BH4" s="2">
        <v>1.29999999999927</v>
      </c>
      <c r="BI4" s="2">
        <v>0.100000000000023</v>
      </c>
      <c r="BJ4" s="2">
        <v>0.400000000000091</v>
      </c>
      <c r="BK4" s="2">
        <v>10</v>
      </c>
      <c r="BL4" s="2">
        <v>0.100000000000023</v>
      </c>
      <c r="BM4" s="2"/>
      <c r="BN4" s="2">
        <v>0.100000000000023</v>
      </c>
      <c r="BO4" s="2"/>
      <c r="BP4" s="2">
        <v>2.4000000000014601</v>
      </c>
      <c r="BQ4" s="2"/>
      <c r="BR4" s="2">
        <v>7.5</v>
      </c>
      <c r="BS4" s="2">
        <v>2.7000000000007298</v>
      </c>
      <c r="BT4" s="2"/>
      <c r="BU4" s="2">
        <v>9.8999999999941792</v>
      </c>
      <c r="BV4" s="2">
        <v>2.0999999999985399</v>
      </c>
      <c r="BW4" s="2"/>
      <c r="BX4" s="2">
        <v>30.2</v>
      </c>
      <c r="BY4" s="2"/>
      <c r="BZ4" s="2">
        <v>22.3</v>
      </c>
      <c r="CA4" s="2">
        <v>0.1</v>
      </c>
      <c r="CB4" s="2">
        <v>2.6</v>
      </c>
      <c r="CC4" s="2">
        <v>0.6</v>
      </c>
      <c r="CD4" s="2"/>
      <c r="CE4" s="2"/>
      <c r="CF4" s="2">
        <v>3.1</v>
      </c>
      <c r="CG4" s="2">
        <v>1.5</v>
      </c>
      <c r="CH4" s="2">
        <v>7.6</v>
      </c>
      <c r="CI4" s="2">
        <v>10.4</v>
      </c>
      <c r="CJ4" s="2">
        <v>0.4</v>
      </c>
      <c r="CK4" s="2">
        <v>0.1</v>
      </c>
      <c r="CL4" s="2">
        <v>1</v>
      </c>
      <c r="CM4" s="2">
        <v>4.5999999999999996</v>
      </c>
      <c r="CN4" s="2">
        <v>2.5</v>
      </c>
      <c r="CO4" s="2"/>
      <c r="CP4" s="2">
        <v>7.4</v>
      </c>
      <c r="CQ4" s="2">
        <v>9.6999999999999993</v>
      </c>
      <c r="CR4" s="2">
        <v>3.5</v>
      </c>
      <c r="CS4" s="2"/>
      <c r="CT4" s="2">
        <v>8</v>
      </c>
      <c r="CU4" s="2">
        <v>2.8</v>
      </c>
      <c r="CV4" s="2">
        <v>5.4</v>
      </c>
      <c r="CW4" s="2">
        <v>7.4</v>
      </c>
      <c r="CX4" s="2">
        <v>17.399999999999999</v>
      </c>
      <c r="CY4" s="2"/>
      <c r="CZ4" s="2"/>
      <c r="DB4">
        <v>1985</v>
      </c>
      <c r="DC4">
        <v>30.2</v>
      </c>
      <c r="DE4" s="28">
        <v>1913</v>
      </c>
      <c r="DF4" s="27">
        <v>41182</v>
      </c>
      <c r="DG4">
        <v>85.7</v>
      </c>
      <c r="DH4">
        <v>3</v>
      </c>
    </row>
    <row r="5" spans="1:112">
      <c r="A5" s="1">
        <v>40912</v>
      </c>
      <c r="B5" s="2"/>
      <c r="C5" s="2"/>
      <c r="D5" s="2">
        <v>1.7</v>
      </c>
      <c r="E5" s="2">
        <v>0.1</v>
      </c>
      <c r="F5" s="2"/>
      <c r="G5" s="2">
        <v>3.2</v>
      </c>
      <c r="H5" s="2">
        <v>9.5</v>
      </c>
      <c r="I5" s="2">
        <v>8.8000000000000007</v>
      </c>
      <c r="J5" s="2"/>
      <c r="K5" s="2"/>
      <c r="L5" s="2">
        <v>0.4</v>
      </c>
      <c r="M5" s="2">
        <v>24.5</v>
      </c>
      <c r="N5" s="2"/>
      <c r="O5" s="2"/>
      <c r="P5" s="2"/>
      <c r="Q5" s="2"/>
      <c r="R5" s="2"/>
      <c r="S5" s="2"/>
      <c r="T5" s="2"/>
      <c r="U5" s="2">
        <v>14</v>
      </c>
      <c r="V5" s="2">
        <v>0.3</v>
      </c>
      <c r="W5" s="2">
        <v>13</v>
      </c>
      <c r="X5" s="2">
        <v>1.9</v>
      </c>
      <c r="Y5" s="2">
        <v>1.79999999999927</v>
      </c>
      <c r="Z5" s="2">
        <v>15.099999999991301</v>
      </c>
      <c r="AA5" s="2"/>
      <c r="AB5" s="2">
        <v>7.3999999999941801</v>
      </c>
      <c r="AC5" s="2">
        <v>10.599999999991301</v>
      </c>
      <c r="AD5" s="2">
        <v>1.29999999999927</v>
      </c>
      <c r="AE5" s="2"/>
      <c r="AF5" s="2"/>
      <c r="AG5" s="2">
        <v>0</v>
      </c>
      <c r="AH5" s="2">
        <v>22</v>
      </c>
      <c r="AI5" s="2"/>
      <c r="AJ5" s="2">
        <v>0.59999999999945397</v>
      </c>
      <c r="AK5" s="2">
        <v>1.79999999999927</v>
      </c>
      <c r="AL5" s="2">
        <v>7.9</v>
      </c>
      <c r="AM5" s="2">
        <v>1.39999999999964</v>
      </c>
      <c r="AN5" s="2"/>
      <c r="AO5" s="2">
        <v>14.099999999991301</v>
      </c>
      <c r="AP5" s="2"/>
      <c r="AQ5" s="2"/>
      <c r="AR5" s="2"/>
      <c r="AS5" s="2">
        <v>0.79999999999927196</v>
      </c>
      <c r="AT5" s="2">
        <v>0.19999999999981799</v>
      </c>
      <c r="AU5" s="2"/>
      <c r="AV5" s="2"/>
      <c r="AW5" s="2">
        <v>3</v>
      </c>
      <c r="AX5" s="2">
        <v>10.599999999991301</v>
      </c>
      <c r="AY5" s="2">
        <v>6</v>
      </c>
      <c r="AZ5" s="2"/>
      <c r="BA5" s="2">
        <v>0</v>
      </c>
      <c r="BB5" s="2">
        <v>3.3999999999978199</v>
      </c>
      <c r="BC5" s="2"/>
      <c r="BD5" s="2">
        <v>11.5</v>
      </c>
      <c r="BE5" s="2">
        <v>17.200000000011599</v>
      </c>
      <c r="BF5" s="2">
        <v>18.200000000011599</v>
      </c>
      <c r="BG5" s="2">
        <v>11</v>
      </c>
      <c r="BH5" s="2">
        <v>7</v>
      </c>
      <c r="BI5" s="2"/>
      <c r="BJ5" s="2"/>
      <c r="BK5" s="2">
        <v>1.89999999999964</v>
      </c>
      <c r="BL5" s="2">
        <v>0</v>
      </c>
      <c r="BM5" s="2">
        <v>0.100000000000023</v>
      </c>
      <c r="BN5" s="2"/>
      <c r="BO5" s="2">
        <v>21</v>
      </c>
      <c r="BP5" s="2">
        <v>1.39999999999964</v>
      </c>
      <c r="BQ5" s="2"/>
      <c r="BR5" s="2">
        <v>0.30000000000018201</v>
      </c>
      <c r="BS5" s="2">
        <v>5.1999999999970896</v>
      </c>
      <c r="BT5" s="2">
        <v>0.100000000000023</v>
      </c>
      <c r="BU5" s="2"/>
      <c r="BV5" s="2">
        <v>0.200000000000045</v>
      </c>
      <c r="BW5" s="2"/>
      <c r="BX5" s="2">
        <v>9.9</v>
      </c>
      <c r="BY5" s="2"/>
      <c r="BZ5" s="2">
        <v>5.5</v>
      </c>
      <c r="CA5" s="2">
        <v>0.5</v>
      </c>
      <c r="CB5" s="2"/>
      <c r="CC5" s="2">
        <v>11.3</v>
      </c>
      <c r="CD5" s="2"/>
      <c r="CE5" s="2"/>
      <c r="CF5" s="2">
        <v>0.4</v>
      </c>
      <c r="CG5" s="2"/>
      <c r="CH5" s="2">
        <v>12.5</v>
      </c>
      <c r="CI5" s="2">
        <v>5.9</v>
      </c>
      <c r="CJ5" s="2"/>
      <c r="CK5" s="2">
        <v>0.9</v>
      </c>
      <c r="CL5" s="2"/>
      <c r="CM5" s="2">
        <v>2.6</v>
      </c>
      <c r="CN5" s="2"/>
      <c r="CO5" s="2">
        <v>26.6</v>
      </c>
      <c r="CP5" s="2">
        <v>2.2999999999999998</v>
      </c>
      <c r="CQ5" s="2">
        <v>22.4</v>
      </c>
      <c r="CR5" s="2">
        <v>2.5</v>
      </c>
      <c r="CS5" s="2">
        <v>0.8</v>
      </c>
      <c r="CT5" s="2"/>
      <c r="CU5" s="2">
        <v>5.4</v>
      </c>
      <c r="CV5" s="2">
        <v>20.399999999999999</v>
      </c>
      <c r="CW5" s="2">
        <v>0.3</v>
      </c>
      <c r="CX5" s="2">
        <v>8</v>
      </c>
      <c r="CY5" s="2"/>
      <c r="CZ5" s="2">
        <v>1.3</v>
      </c>
      <c r="DB5">
        <v>2002</v>
      </c>
      <c r="DC5">
        <v>26.6</v>
      </c>
      <c r="DE5" s="28">
        <v>1914</v>
      </c>
      <c r="DF5" s="27">
        <v>41123</v>
      </c>
      <c r="DG5">
        <v>82.1</v>
      </c>
      <c r="DH5">
        <v>4</v>
      </c>
    </row>
    <row r="6" spans="1:112">
      <c r="A6" s="1">
        <v>40913</v>
      </c>
      <c r="B6" s="2"/>
      <c r="C6" s="2"/>
      <c r="D6" s="2">
        <v>17.600000000000001</v>
      </c>
      <c r="E6" s="2"/>
      <c r="F6" s="2"/>
      <c r="G6" s="2">
        <v>1.7</v>
      </c>
      <c r="H6" s="2"/>
      <c r="I6" s="2"/>
      <c r="J6" s="2"/>
      <c r="K6" s="2">
        <v>0.1</v>
      </c>
      <c r="L6" s="2">
        <v>1.2</v>
      </c>
      <c r="M6" s="2">
        <v>23.2</v>
      </c>
      <c r="N6" s="2"/>
      <c r="O6" s="2"/>
      <c r="P6" s="2"/>
      <c r="Q6" s="2"/>
      <c r="R6" s="2"/>
      <c r="S6" s="2"/>
      <c r="T6" s="2">
        <v>2.6</v>
      </c>
      <c r="U6" s="2">
        <v>1.1000000000000001</v>
      </c>
      <c r="V6" s="2"/>
      <c r="W6" s="2"/>
      <c r="X6" s="2">
        <v>0.5</v>
      </c>
      <c r="Y6" s="2"/>
      <c r="Z6" s="2">
        <v>12.599999999991301</v>
      </c>
      <c r="AA6" s="2"/>
      <c r="AB6" s="2">
        <v>1.6999999999989099</v>
      </c>
      <c r="AC6" s="2">
        <v>16.099999999976699</v>
      </c>
      <c r="AD6" s="2">
        <v>1.6999999999989099</v>
      </c>
      <c r="AE6" s="2">
        <v>23.099999999976699</v>
      </c>
      <c r="AF6" s="2">
        <v>12</v>
      </c>
      <c r="AG6" s="2"/>
      <c r="AH6" s="2">
        <v>0.69999999999981799</v>
      </c>
      <c r="AI6" s="2">
        <v>2.5</v>
      </c>
      <c r="AJ6" s="2"/>
      <c r="AK6" s="2">
        <v>1.39999999999964</v>
      </c>
      <c r="AL6" s="2">
        <v>7.8</v>
      </c>
      <c r="AM6" s="2"/>
      <c r="AN6" s="2"/>
      <c r="AO6" s="2"/>
      <c r="AP6" s="2"/>
      <c r="AQ6" s="2">
        <v>39.399999999965097</v>
      </c>
      <c r="AR6" s="2"/>
      <c r="AS6" s="2">
        <v>9.9999999999908995E-2</v>
      </c>
      <c r="AT6" s="2">
        <v>9.9999999999908995E-2</v>
      </c>
      <c r="AU6" s="2">
        <v>9.6999999999970896</v>
      </c>
      <c r="AV6" s="2"/>
      <c r="AW6" s="2"/>
      <c r="AX6" s="2">
        <v>12.5</v>
      </c>
      <c r="AY6" s="2">
        <v>13.599999999991301</v>
      </c>
      <c r="AZ6" s="2"/>
      <c r="BA6" s="2"/>
      <c r="BB6" s="2"/>
      <c r="BC6" s="2"/>
      <c r="BD6" s="2"/>
      <c r="BE6" s="2">
        <v>0.200000000000045</v>
      </c>
      <c r="BF6" s="2">
        <v>7.3000000000029104</v>
      </c>
      <c r="BG6" s="2"/>
      <c r="BH6" s="2">
        <v>22.5</v>
      </c>
      <c r="BI6" s="2"/>
      <c r="BJ6" s="2">
        <v>0</v>
      </c>
      <c r="BK6" s="2">
        <v>0.100000000000023</v>
      </c>
      <c r="BL6" s="2">
        <v>0.100000000000023</v>
      </c>
      <c r="BM6" s="2">
        <v>0.100000000000023</v>
      </c>
      <c r="BN6" s="2"/>
      <c r="BO6" s="2">
        <v>1.70000000000073</v>
      </c>
      <c r="BP6" s="2">
        <v>0.100000000000023</v>
      </c>
      <c r="BQ6" s="2">
        <v>25.5</v>
      </c>
      <c r="BR6" s="2">
        <v>5.5</v>
      </c>
      <c r="BS6" s="2">
        <v>2.7999999999992702</v>
      </c>
      <c r="BT6" s="2">
        <v>17.5</v>
      </c>
      <c r="BU6" s="2"/>
      <c r="BV6" s="2">
        <v>3.0999999999999099</v>
      </c>
      <c r="BW6" s="2">
        <v>0.8</v>
      </c>
      <c r="BX6" s="2"/>
      <c r="BY6" s="2">
        <v>14.6</v>
      </c>
      <c r="BZ6" s="2">
        <v>0.3</v>
      </c>
      <c r="CA6" s="2"/>
      <c r="CB6" s="2"/>
      <c r="CC6" s="2">
        <v>2.2000000000000002</v>
      </c>
      <c r="CD6" s="2"/>
      <c r="CE6" s="2"/>
      <c r="CF6" s="2">
        <v>0.5</v>
      </c>
      <c r="CG6" s="2"/>
      <c r="CH6" s="2">
        <v>3.8</v>
      </c>
      <c r="CI6" s="2">
        <v>5.0999999999999996</v>
      </c>
      <c r="CJ6" s="2"/>
      <c r="CK6" s="2"/>
      <c r="CL6" s="2">
        <v>0</v>
      </c>
      <c r="CM6" s="2">
        <v>1</v>
      </c>
      <c r="CN6" s="2"/>
      <c r="CO6" s="2">
        <v>4.5</v>
      </c>
      <c r="CP6" s="2">
        <v>0.2</v>
      </c>
      <c r="CQ6" s="2">
        <v>13.3</v>
      </c>
      <c r="CR6" s="2"/>
      <c r="CS6" s="2">
        <v>2</v>
      </c>
      <c r="CT6" s="2"/>
      <c r="CU6" s="2">
        <v>2.2999999999999998</v>
      </c>
      <c r="CV6" s="2">
        <v>4.2</v>
      </c>
      <c r="CW6" s="2"/>
      <c r="CX6" s="2"/>
      <c r="CY6" s="2"/>
      <c r="CZ6" s="2">
        <v>1.4</v>
      </c>
      <c r="DB6">
        <v>1952</v>
      </c>
      <c r="DC6">
        <v>39.399999999965097</v>
      </c>
      <c r="DE6" s="28">
        <v>1915</v>
      </c>
      <c r="DF6" s="27">
        <v>41224</v>
      </c>
      <c r="DG6">
        <v>55.5</v>
      </c>
      <c r="DH6">
        <v>5</v>
      </c>
    </row>
    <row r="7" spans="1:112">
      <c r="A7" s="1">
        <v>40914</v>
      </c>
      <c r="B7" s="2"/>
      <c r="C7" s="2"/>
      <c r="D7" s="2">
        <v>7.4</v>
      </c>
      <c r="E7" s="2">
        <v>0.5</v>
      </c>
      <c r="F7" s="2">
        <v>1.1000000000000001</v>
      </c>
      <c r="G7" s="2">
        <v>0.3</v>
      </c>
      <c r="H7" s="2"/>
      <c r="I7" s="2"/>
      <c r="J7" s="2"/>
      <c r="K7" s="2"/>
      <c r="L7" s="2">
        <v>0.1</v>
      </c>
      <c r="M7" s="2">
        <v>10.4</v>
      </c>
      <c r="N7" s="2"/>
      <c r="O7" s="2">
        <v>5.3</v>
      </c>
      <c r="P7" s="2"/>
      <c r="Q7" s="2">
        <v>0.3</v>
      </c>
      <c r="R7" s="2">
        <v>11.2</v>
      </c>
      <c r="S7" s="2"/>
      <c r="T7" s="2">
        <v>15.2</v>
      </c>
      <c r="U7" s="2">
        <v>1.1000000000000001</v>
      </c>
      <c r="V7" s="2">
        <v>0.5</v>
      </c>
      <c r="W7" s="2"/>
      <c r="X7" s="2"/>
      <c r="Y7" s="2">
        <v>1.5999999999985499</v>
      </c>
      <c r="Z7" s="2">
        <v>1</v>
      </c>
      <c r="AA7" s="2"/>
      <c r="AB7" s="2">
        <v>0.29999999999972699</v>
      </c>
      <c r="AC7" s="2"/>
      <c r="AD7" s="2"/>
      <c r="AE7" s="2">
        <v>20</v>
      </c>
      <c r="AF7" s="2"/>
      <c r="AG7" s="2"/>
      <c r="AH7" s="2"/>
      <c r="AI7" s="2">
        <v>23.699999999982499</v>
      </c>
      <c r="AJ7" s="2"/>
      <c r="AK7" s="2"/>
      <c r="AL7" s="2">
        <v>0</v>
      </c>
      <c r="AM7" s="2">
        <v>9.0999999999912706</v>
      </c>
      <c r="AN7" s="2"/>
      <c r="AO7" s="2"/>
      <c r="AP7" s="2">
        <v>1.6999999999989099</v>
      </c>
      <c r="AQ7" s="2">
        <v>7.5999999999985501</v>
      </c>
      <c r="AR7" s="2"/>
      <c r="AS7" s="2">
        <v>0.5</v>
      </c>
      <c r="AT7" s="2">
        <v>11.299999999988399</v>
      </c>
      <c r="AU7" s="2"/>
      <c r="AV7" s="2">
        <v>7.6999999999970896</v>
      </c>
      <c r="AW7" s="2"/>
      <c r="AX7" s="2">
        <v>6.29999999999563</v>
      </c>
      <c r="AY7" s="2">
        <v>1.0999999999985499</v>
      </c>
      <c r="AZ7" s="2">
        <v>2.6999999999970901</v>
      </c>
      <c r="BA7" s="2"/>
      <c r="BB7" s="2"/>
      <c r="BC7" s="2"/>
      <c r="BD7" s="2"/>
      <c r="BE7" s="2"/>
      <c r="BF7" s="2"/>
      <c r="BG7" s="2"/>
      <c r="BH7" s="2">
        <v>12.6999999999971</v>
      </c>
      <c r="BI7" s="2">
        <v>5.8000000000029104</v>
      </c>
      <c r="BJ7" s="2">
        <v>1.20000000000073</v>
      </c>
      <c r="BK7" s="2"/>
      <c r="BL7" s="2">
        <v>1.79999999999927</v>
      </c>
      <c r="BM7" s="2">
        <v>0.30000000000018201</v>
      </c>
      <c r="BN7" s="2"/>
      <c r="BO7" s="2">
        <v>0.69999999999981799</v>
      </c>
      <c r="BP7" s="2"/>
      <c r="BQ7" s="2">
        <v>20.200000000011599</v>
      </c>
      <c r="BR7" s="2"/>
      <c r="BS7" s="2"/>
      <c r="BT7" s="2">
        <v>7.1999999999970896</v>
      </c>
      <c r="BU7" s="2">
        <v>0</v>
      </c>
      <c r="BV7" s="2">
        <v>2.3000000000012002</v>
      </c>
      <c r="BW7" s="2">
        <v>2.5</v>
      </c>
      <c r="BX7" s="2"/>
      <c r="BY7" s="2">
        <v>3.6</v>
      </c>
      <c r="BZ7" s="2">
        <v>2.6</v>
      </c>
      <c r="CA7" s="2"/>
      <c r="CB7" s="2"/>
      <c r="CC7" s="2"/>
      <c r="CD7" s="2"/>
      <c r="CE7" s="2"/>
      <c r="CF7" s="2">
        <v>0.6</v>
      </c>
      <c r="CG7" s="2">
        <v>0.5</v>
      </c>
      <c r="CH7" s="2">
        <v>3.6</v>
      </c>
      <c r="CI7" s="2">
        <v>1</v>
      </c>
      <c r="CJ7" s="2"/>
      <c r="CK7" s="2"/>
      <c r="CL7" s="2"/>
      <c r="CM7" s="2">
        <v>2</v>
      </c>
      <c r="CN7" s="2"/>
      <c r="CO7" s="2">
        <v>15.9</v>
      </c>
      <c r="CP7" s="2">
        <v>0.9</v>
      </c>
      <c r="CQ7" s="2">
        <v>1.3</v>
      </c>
      <c r="CR7" s="2"/>
      <c r="CS7" s="2">
        <v>2</v>
      </c>
      <c r="CT7" s="2"/>
      <c r="CU7" s="2"/>
      <c r="CV7" s="2">
        <v>11.5</v>
      </c>
      <c r="CW7" s="2"/>
      <c r="CX7" s="2">
        <v>1.6</v>
      </c>
      <c r="CY7" s="2">
        <v>2.6</v>
      </c>
      <c r="CZ7" s="2"/>
      <c r="DB7">
        <v>1944</v>
      </c>
      <c r="DC7">
        <v>23.699999999982499</v>
      </c>
      <c r="DE7" s="28">
        <v>1916</v>
      </c>
      <c r="DF7" s="27">
        <v>41175</v>
      </c>
      <c r="DG7">
        <v>24.1</v>
      </c>
      <c r="DH7">
        <v>6</v>
      </c>
    </row>
    <row r="8" spans="1:112">
      <c r="A8" s="1">
        <v>40915</v>
      </c>
      <c r="B8" s="2"/>
      <c r="C8" s="2">
        <v>0.7</v>
      </c>
      <c r="D8" s="2">
        <v>2</v>
      </c>
      <c r="E8" s="2"/>
      <c r="F8" s="2">
        <v>23.5</v>
      </c>
      <c r="G8" s="2">
        <v>0.8</v>
      </c>
      <c r="H8" s="2"/>
      <c r="I8" s="2"/>
      <c r="J8" s="2"/>
      <c r="K8" s="2"/>
      <c r="L8" s="2">
        <v>2</v>
      </c>
      <c r="M8" s="2">
        <v>5.8</v>
      </c>
      <c r="N8" s="2">
        <v>9.6</v>
      </c>
      <c r="O8" s="2">
        <v>2.1</v>
      </c>
      <c r="P8" s="2">
        <v>2.4</v>
      </c>
      <c r="Q8" s="2"/>
      <c r="R8" s="2">
        <v>3.2</v>
      </c>
      <c r="S8" s="2">
        <v>3</v>
      </c>
      <c r="T8" s="2">
        <v>2</v>
      </c>
      <c r="U8" s="2">
        <v>0.2</v>
      </c>
      <c r="V8" s="2">
        <v>1.6</v>
      </c>
      <c r="W8" s="2"/>
      <c r="X8" s="2"/>
      <c r="Y8" s="2">
        <v>1.5999999999985499</v>
      </c>
      <c r="Z8" s="2">
        <v>1</v>
      </c>
      <c r="AA8" s="2"/>
      <c r="AB8" s="2"/>
      <c r="AC8" s="2">
        <v>1</v>
      </c>
      <c r="AD8" s="2"/>
      <c r="AE8" s="2">
        <v>0.69999999999981799</v>
      </c>
      <c r="AF8" s="2"/>
      <c r="AG8" s="2">
        <v>1.0999999999985499</v>
      </c>
      <c r="AH8" s="2">
        <v>4</v>
      </c>
      <c r="AI8" s="2">
        <v>10</v>
      </c>
      <c r="AJ8" s="2">
        <v>10</v>
      </c>
      <c r="AK8" s="2">
        <v>0.5</v>
      </c>
      <c r="AL8" s="2">
        <v>12.7</v>
      </c>
      <c r="AM8" s="2">
        <v>0.89999999999963598</v>
      </c>
      <c r="AN8" s="2"/>
      <c r="AO8" s="2">
        <v>13.399999999994201</v>
      </c>
      <c r="AP8" s="2"/>
      <c r="AQ8" s="2">
        <v>7.5</v>
      </c>
      <c r="AR8" s="2"/>
      <c r="AS8" s="2">
        <v>14</v>
      </c>
      <c r="AT8" s="2"/>
      <c r="AU8" s="2">
        <v>7.79999999999563</v>
      </c>
      <c r="AV8" s="2">
        <v>1.5999999999985499</v>
      </c>
      <c r="AW8" s="2">
        <v>1.6999999999989099</v>
      </c>
      <c r="AX8" s="2"/>
      <c r="AY8" s="2">
        <v>16.899999999994201</v>
      </c>
      <c r="AZ8" s="2">
        <v>2.8999999999978199</v>
      </c>
      <c r="BA8" s="2"/>
      <c r="BB8" s="2"/>
      <c r="BC8" s="2"/>
      <c r="BD8" s="2">
        <v>2.5</v>
      </c>
      <c r="BE8" s="2">
        <v>10.8000000000029</v>
      </c>
      <c r="BF8" s="2">
        <v>5.1999999999970896</v>
      </c>
      <c r="BG8" s="2">
        <v>6.3000000000029104</v>
      </c>
      <c r="BH8" s="2">
        <v>5</v>
      </c>
      <c r="BI8" s="2">
        <v>5</v>
      </c>
      <c r="BJ8" s="2">
        <v>3.7999999999992702</v>
      </c>
      <c r="BK8" s="2">
        <v>0</v>
      </c>
      <c r="BL8" s="2">
        <v>0.69999999999981799</v>
      </c>
      <c r="BM8" s="2">
        <v>9.5</v>
      </c>
      <c r="BN8" s="2">
        <v>0</v>
      </c>
      <c r="BO8" s="2">
        <v>0.60000000000036402</v>
      </c>
      <c r="BP8" s="2"/>
      <c r="BQ8" s="2">
        <v>17.799999999988401</v>
      </c>
      <c r="BR8" s="2">
        <v>0.5</v>
      </c>
      <c r="BS8" s="2">
        <v>2.4000000000014601</v>
      </c>
      <c r="BT8" s="2">
        <v>14.899999999994201</v>
      </c>
      <c r="BU8" s="2">
        <v>21.399999999994201</v>
      </c>
      <c r="BV8" s="2"/>
      <c r="BW8" s="2">
        <v>8.4</v>
      </c>
      <c r="BX8" s="2">
        <v>5.0999999999999996</v>
      </c>
      <c r="BY8" s="2">
        <v>6.1</v>
      </c>
      <c r="BZ8" s="2">
        <v>13.1</v>
      </c>
      <c r="CA8" s="2"/>
      <c r="CB8" s="2">
        <v>3.5</v>
      </c>
      <c r="CC8" s="2"/>
      <c r="CD8" s="2"/>
      <c r="CE8" s="2"/>
      <c r="CF8" s="2">
        <v>5.7</v>
      </c>
      <c r="CG8" s="2"/>
      <c r="CH8" s="2">
        <v>0.2</v>
      </c>
      <c r="CI8" s="2">
        <v>0.1</v>
      </c>
      <c r="CJ8" s="2">
        <v>13.9</v>
      </c>
      <c r="CK8" s="2">
        <v>3.5</v>
      </c>
      <c r="CL8" s="2"/>
      <c r="CM8" s="2">
        <v>20.100000000000001</v>
      </c>
      <c r="CN8" s="2"/>
      <c r="CO8" s="2">
        <v>4.5999999999999996</v>
      </c>
      <c r="CP8" s="2">
        <v>1.2</v>
      </c>
      <c r="CQ8" s="2">
        <v>0.2</v>
      </c>
      <c r="CR8" s="2">
        <v>1</v>
      </c>
      <c r="CS8" s="2">
        <v>2.2000000000000002</v>
      </c>
      <c r="CT8" s="2"/>
      <c r="CU8" s="2">
        <v>2.9</v>
      </c>
      <c r="CV8" s="2"/>
      <c r="CW8" s="2"/>
      <c r="CX8" s="2"/>
      <c r="CY8" s="2">
        <v>20</v>
      </c>
      <c r="CZ8" s="2">
        <v>6</v>
      </c>
      <c r="DB8">
        <v>1915</v>
      </c>
      <c r="DC8">
        <v>23.5</v>
      </c>
      <c r="DE8" s="28">
        <v>1917</v>
      </c>
      <c r="DF8" s="27">
        <v>40984</v>
      </c>
      <c r="DG8">
        <v>32.1</v>
      </c>
      <c r="DH8">
        <v>7</v>
      </c>
    </row>
    <row r="9" spans="1:112">
      <c r="A9" s="1">
        <v>40916</v>
      </c>
      <c r="B9" s="2"/>
      <c r="C9" s="2">
        <v>29.3</v>
      </c>
      <c r="D9" s="2">
        <v>11.6</v>
      </c>
      <c r="E9" s="2">
        <v>9.6</v>
      </c>
      <c r="F9" s="2"/>
      <c r="G9" s="2"/>
      <c r="H9" s="2">
        <v>8.6999999999999993</v>
      </c>
      <c r="I9" s="2"/>
      <c r="J9" s="2"/>
      <c r="K9" s="2"/>
      <c r="L9" s="2">
        <v>0.4</v>
      </c>
      <c r="M9" s="2">
        <v>12.9</v>
      </c>
      <c r="N9" s="2">
        <v>0.1</v>
      </c>
      <c r="O9" s="2"/>
      <c r="P9" s="2">
        <v>0.5</v>
      </c>
      <c r="Q9" s="2">
        <v>0.1</v>
      </c>
      <c r="R9" s="2"/>
      <c r="S9" s="2">
        <v>2</v>
      </c>
      <c r="T9" s="2">
        <v>6.2</v>
      </c>
      <c r="U9" s="2"/>
      <c r="V9" s="2"/>
      <c r="W9" s="2"/>
      <c r="X9" s="2"/>
      <c r="Y9" s="2"/>
      <c r="Z9" s="2">
        <v>0.19999999999981799</v>
      </c>
      <c r="AA9" s="2"/>
      <c r="AB9" s="2">
        <v>17.799999999988401</v>
      </c>
      <c r="AC9" s="2">
        <v>4</v>
      </c>
      <c r="AD9" s="2">
        <v>1.1999999999989099</v>
      </c>
      <c r="AE9" s="2">
        <v>1.0999999999985499</v>
      </c>
      <c r="AF9" s="2">
        <v>0.19999999999981799</v>
      </c>
      <c r="AG9" s="2"/>
      <c r="AH9" s="2">
        <v>0.29999999999972699</v>
      </c>
      <c r="AI9" s="2">
        <v>2.3999999999978199</v>
      </c>
      <c r="AJ9" s="2">
        <v>1.29999999999927</v>
      </c>
      <c r="AK9" s="2"/>
      <c r="AL9" s="2">
        <v>0</v>
      </c>
      <c r="AM9" s="2"/>
      <c r="AN9" s="2"/>
      <c r="AO9" s="2"/>
      <c r="AP9" s="2"/>
      <c r="AQ9" s="2">
        <v>15.299999999988399</v>
      </c>
      <c r="AR9" s="2">
        <v>1.89999999999964</v>
      </c>
      <c r="AS9" s="2">
        <v>6.29999999999563</v>
      </c>
      <c r="AT9" s="2"/>
      <c r="AU9" s="2">
        <v>2.8999999999978199</v>
      </c>
      <c r="AV9" s="2"/>
      <c r="AW9" s="2">
        <v>20.199999999982499</v>
      </c>
      <c r="AX9" s="2">
        <v>1.1999999999989099</v>
      </c>
      <c r="AY9" s="2">
        <v>5</v>
      </c>
      <c r="AZ9" s="2">
        <v>0.19999999999981799</v>
      </c>
      <c r="BA9" s="2">
        <v>7</v>
      </c>
      <c r="BB9" s="2">
        <v>3.2999999999992702</v>
      </c>
      <c r="BC9" s="2"/>
      <c r="BD9" s="2">
        <v>0.89999999999963598</v>
      </c>
      <c r="BE9" s="2">
        <v>4.5</v>
      </c>
      <c r="BF9" s="2">
        <v>7.8000000000029104</v>
      </c>
      <c r="BG9" s="2">
        <v>35</v>
      </c>
      <c r="BH9" s="2">
        <v>0.30000000000018201</v>
      </c>
      <c r="BI9" s="2">
        <v>4.9000000000014596</v>
      </c>
      <c r="BJ9" s="2">
        <v>9.8000000000029104</v>
      </c>
      <c r="BK9" s="2"/>
      <c r="BL9" s="2">
        <v>0.80000000000018201</v>
      </c>
      <c r="BM9" s="2">
        <v>3.5999999999985399</v>
      </c>
      <c r="BN9" s="2">
        <v>39</v>
      </c>
      <c r="BO9" s="2">
        <v>0.100000000000023</v>
      </c>
      <c r="BP9" s="2">
        <v>3</v>
      </c>
      <c r="BQ9" s="2">
        <v>10.600000000005799</v>
      </c>
      <c r="BR9" s="2">
        <v>3.2999999999992702</v>
      </c>
      <c r="BS9" s="2">
        <v>3.5999999999985399</v>
      </c>
      <c r="BT9" s="2">
        <v>28.399999999994201</v>
      </c>
      <c r="BU9" s="2">
        <v>0</v>
      </c>
      <c r="BV9" s="2"/>
      <c r="BW9" s="2">
        <v>0.6</v>
      </c>
      <c r="BX9" s="2">
        <v>0.1</v>
      </c>
      <c r="BY9" s="2">
        <v>0.2</v>
      </c>
      <c r="BZ9" s="2"/>
      <c r="CA9" s="2"/>
      <c r="CB9" s="2">
        <v>6.3</v>
      </c>
      <c r="CC9" s="2"/>
      <c r="CD9" s="2">
        <v>0.8</v>
      </c>
      <c r="CE9" s="2"/>
      <c r="CF9" s="2">
        <v>3.1</v>
      </c>
      <c r="CG9" s="2"/>
      <c r="CH9" s="2">
        <v>0.8</v>
      </c>
      <c r="CI9" s="2"/>
      <c r="CJ9" s="2">
        <v>12.6</v>
      </c>
      <c r="CK9" s="2"/>
      <c r="CL9" s="2"/>
      <c r="CM9" s="2">
        <v>23.7</v>
      </c>
      <c r="CN9" s="2"/>
      <c r="CO9" s="2">
        <v>2.1</v>
      </c>
      <c r="CP9" s="2"/>
      <c r="CQ9" s="2">
        <v>0.1</v>
      </c>
      <c r="CR9" s="2"/>
      <c r="CS9" s="2">
        <v>7.2</v>
      </c>
      <c r="CT9" s="2"/>
      <c r="CU9" s="2">
        <v>0.1</v>
      </c>
      <c r="CV9" s="2">
        <v>7</v>
      </c>
      <c r="CW9" s="2"/>
      <c r="CX9" s="2"/>
      <c r="CY9" s="2">
        <v>4.5</v>
      </c>
      <c r="CZ9" s="2">
        <v>3.2</v>
      </c>
      <c r="DB9">
        <v>1975</v>
      </c>
      <c r="DC9">
        <v>39</v>
      </c>
      <c r="DE9" s="28">
        <v>1918</v>
      </c>
      <c r="DF9" s="27">
        <v>41224</v>
      </c>
      <c r="DG9">
        <v>54.9</v>
      </c>
      <c r="DH9">
        <v>8</v>
      </c>
    </row>
    <row r="10" spans="1:112">
      <c r="A10" s="1">
        <v>40917</v>
      </c>
      <c r="B10" s="2"/>
      <c r="C10" s="2">
        <v>0.6</v>
      </c>
      <c r="D10" s="2">
        <v>0.5</v>
      </c>
      <c r="E10" s="2">
        <v>35.799999999999997</v>
      </c>
      <c r="F10" s="2"/>
      <c r="G10" s="2">
        <v>0.9</v>
      </c>
      <c r="H10" s="2">
        <v>0.7</v>
      </c>
      <c r="I10" s="2"/>
      <c r="J10" s="2">
        <v>6.1</v>
      </c>
      <c r="K10" s="2">
        <v>20.7</v>
      </c>
      <c r="L10" s="2">
        <v>0.1</v>
      </c>
      <c r="M10" s="2">
        <v>0.4</v>
      </c>
      <c r="N10" s="2"/>
      <c r="O10" s="2"/>
      <c r="P10" s="2"/>
      <c r="Q10" s="2">
        <v>0.2</v>
      </c>
      <c r="R10" s="2"/>
      <c r="S10" s="2"/>
      <c r="T10" s="2">
        <v>0.5</v>
      </c>
      <c r="U10" s="2"/>
      <c r="V10" s="2">
        <v>1.8</v>
      </c>
      <c r="W10" s="2"/>
      <c r="X10" s="2">
        <v>11.7</v>
      </c>
      <c r="Y10" s="2"/>
      <c r="Z10" s="2">
        <v>1.1999999999989099</v>
      </c>
      <c r="AA10" s="2">
        <v>0.19999999999981799</v>
      </c>
      <c r="AB10" s="2">
        <v>9.8999999999941792</v>
      </c>
      <c r="AC10" s="2"/>
      <c r="AD10" s="2"/>
      <c r="AE10" s="2">
        <v>1.0999999999985499</v>
      </c>
      <c r="AF10" s="2">
        <v>1.1999999999989099</v>
      </c>
      <c r="AG10" s="2">
        <v>5.0999999999985501</v>
      </c>
      <c r="AH10" s="2"/>
      <c r="AI10" s="2">
        <v>0.19999999999981799</v>
      </c>
      <c r="AJ10" s="2"/>
      <c r="AK10" s="2"/>
      <c r="AL10" s="2">
        <v>2.9</v>
      </c>
      <c r="AM10" s="2">
        <v>16</v>
      </c>
      <c r="AN10" s="2"/>
      <c r="AO10" s="2"/>
      <c r="AP10" s="2"/>
      <c r="AQ10" s="2"/>
      <c r="AR10" s="2">
        <v>10.099999999991301</v>
      </c>
      <c r="AS10" s="2">
        <v>8.5</v>
      </c>
      <c r="AT10" s="2">
        <v>0.2</v>
      </c>
      <c r="AU10" s="2"/>
      <c r="AV10" s="2"/>
      <c r="AW10" s="2">
        <v>0</v>
      </c>
      <c r="AX10" s="2">
        <v>13</v>
      </c>
      <c r="AY10" s="2"/>
      <c r="AZ10" s="2"/>
      <c r="BA10" s="2">
        <v>7.1999999999970896</v>
      </c>
      <c r="BB10" s="2">
        <v>20.099999999976699</v>
      </c>
      <c r="BC10" s="2">
        <v>0.5</v>
      </c>
      <c r="BD10" s="2">
        <v>0</v>
      </c>
      <c r="BE10" s="2"/>
      <c r="BF10" s="2">
        <v>1</v>
      </c>
      <c r="BG10" s="2">
        <v>0</v>
      </c>
      <c r="BH10" s="2">
        <v>4.6999999999970896</v>
      </c>
      <c r="BI10" s="2">
        <v>0.30000000000018201</v>
      </c>
      <c r="BJ10" s="2">
        <v>19.700000000011599</v>
      </c>
      <c r="BK10" s="2"/>
      <c r="BL10" s="2">
        <v>2.2000000000007298</v>
      </c>
      <c r="BM10" s="2">
        <v>14.399999999994201</v>
      </c>
      <c r="BN10" s="2">
        <v>27.5</v>
      </c>
      <c r="BO10" s="2"/>
      <c r="BP10" s="2">
        <v>5.9000000000014596</v>
      </c>
      <c r="BQ10" s="2">
        <v>5.5</v>
      </c>
      <c r="BR10" s="2">
        <v>0.100000000000023</v>
      </c>
      <c r="BS10" s="2">
        <v>1.79999999999927</v>
      </c>
      <c r="BT10" s="2">
        <v>6.8000000000029104</v>
      </c>
      <c r="BU10" s="2"/>
      <c r="BV10" s="2">
        <v>1.2000000000000499</v>
      </c>
      <c r="BW10" s="2"/>
      <c r="BX10" s="2">
        <v>37.4</v>
      </c>
      <c r="BY10" s="2"/>
      <c r="BZ10" s="2">
        <v>22</v>
      </c>
      <c r="CA10" s="2"/>
      <c r="CB10" s="2">
        <v>4.5</v>
      </c>
      <c r="CC10" s="2"/>
      <c r="CD10" s="2">
        <v>0.9</v>
      </c>
      <c r="CE10" s="2"/>
      <c r="CF10" s="2">
        <v>2.5</v>
      </c>
      <c r="CG10" s="2">
        <v>0.2</v>
      </c>
      <c r="CH10" s="2">
        <v>5.2</v>
      </c>
      <c r="CI10" s="2"/>
      <c r="CJ10" s="2">
        <v>3.7</v>
      </c>
      <c r="CK10" s="2"/>
      <c r="CL10" s="2">
        <v>0.2</v>
      </c>
      <c r="CM10" s="2">
        <v>6.2</v>
      </c>
      <c r="CN10" s="2">
        <v>1.5</v>
      </c>
      <c r="CO10" s="2">
        <v>0</v>
      </c>
      <c r="CP10" s="2"/>
      <c r="CQ10" s="2"/>
      <c r="CR10" s="2">
        <v>0.1</v>
      </c>
      <c r="CS10" s="2">
        <v>32.4</v>
      </c>
      <c r="CT10" s="2"/>
      <c r="CU10" s="2">
        <v>4.3</v>
      </c>
      <c r="CV10" s="2"/>
      <c r="CW10" s="2"/>
      <c r="CX10" s="2"/>
      <c r="CY10" s="2">
        <v>2</v>
      </c>
      <c r="CZ10" s="2"/>
      <c r="DB10">
        <v>1985</v>
      </c>
      <c r="DC10">
        <v>37.4</v>
      </c>
      <c r="DE10" s="28">
        <v>1919</v>
      </c>
      <c r="DF10" s="27">
        <v>41050</v>
      </c>
      <c r="DG10">
        <v>41.5</v>
      </c>
      <c r="DH10">
        <v>9</v>
      </c>
    </row>
    <row r="11" spans="1:112">
      <c r="A11" s="1">
        <v>40918</v>
      </c>
      <c r="B11" s="2"/>
      <c r="C11" s="2"/>
      <c r="D11" s="2"/>
      <c r="E11" s="2">
        <v>0.3</v>
      </c>
      <c r="F11" s="2"/>
      <c r="G11" s="2">
        <v>23.1</v>
      </c>
      <c r="H11" s="2"/>
      <c r="I11" s="2">
        <v>46.8</v>
      </c>
      <c r="J11" s="2">
        <v>11.1</v>
      </c>
      <c r="K11" s="2">
        <v>16.8</v>
      </c>
      <c r="L11" s="2"/>
      <c r="M11" s="2"/>
      <c r="N11" s="2">
        <v>4.2</v>
      </c>
      <c r="O11" s="2"/>
      <c r="P11" s="2">
        <v>0.2</v>
      </c>
      <c r="Q11" s="2">
        <v>42</v>
      </c>
      <c r="R11" s="2"/>
      <c r="S11" s="2"/>
      <c r="T11" s="2"/>
      <c r="U11" s="2"/>
      <c r="V11" s="2">
        <v>5</v>
      </c>
      <c r="W11" s="2">
        <v>43.8</v>
      </c>
      <c r="X11" s="2">
        <v>3.5</v>
      </c>
      <c r="Y11" s="2">
        <v>3.1999999999970901</v>
      </c>
      <c r="Z11" s="2">
        <v>3</v>
      </c>
      <c r="AA11" s="2"/>
      <c r="AB11" s="2">
        <v>1.79999999999927</v>
      </c>
      <c r="AC11" s="2"/>
      <c r="AD11" s="2"/>
      <c r="AE11" s="2">
        <v>0.9</v>
      </c>
      <c r="AF11" s="2">
        <v>1.1999999999989099</v>
      </c>
      <c r="AG11" s="2">
        <v>2.6999999999970901</v>
      </c>
      <c r="AH11" s="2">
        <v>7.1</v>
      </c>
      <c r="AI11" s="2"/>
      <c r="AJ11" s="2"/>
      <c r="AK11" s="2"/>
      <c r="AL11" s="2"/>
      <c r="AM11" s="2"/>
      <c r="AN11" s="2">
        <v>8.1999999999970896</v>
      </c>
      <c r="AO11" s="2">
        <v>0.5</v>
      </c>
      <c r="AP11" s="2"/>
      <c r="AQ11" s="2"/>
      <c r="AR11" s="2">
        <v>5.0999999999985501</v>
      </c>
      <c r="AS11" s="2">
        <v>5.6999999999970896</v>
      </c>
      <c r="AT11" s="2">
        <v>1.29999999999927</v>
      </c>
      <c r="AU11" s="2"/>
      <c r="AV11" s="2"/>
      <c r="AW11" s="2"/>
      <c r="AX11" s="2">
        <v>6.3999999999941801</v>
      </c>
      <c r="AY11" s="2">
        <v>2.2999999999992702</v>
      </c>
      <c r="AZ11" s="2">
        <v>10.099999999991301</v>
      </c>
      <c r="BA11" s="2"/>
      <c r="BB11" s="2"/>
      <c r="BC11" s="2">
        <v>9</v>
      </c>
      <c r="BD11" s="2">
        <v>3.2999999999992702</v>
      </c>
      <c r="BE11" s="2"/>
      <c r="BF11" s="2">
        <v>18.700000000011599</v>
      </c>
      <c r="BG11" s="2">
        <v>22.5</v>
      </c>
      <c r="BH11" s="2">
        <v>15.100000000005799</v>
      </c>
      <c r="BI11" s="2"/>
      <c r="BJ11" s="2">
        <v>10</v>
      </c>
      <c r="BK11" s="2">
        <v>2</v>
      </c>
      <c r="BL11" s="2">
        <v>0.80000000000018201</v>
      </c>
      <c r="BM11" s="2">
        <v>0</v>
      </c>
      <c r="BN11" s="2">
        <v>0.200000000000045</v>
      </c>
      <c r="BO11" s="2">
        <v>0.100000000000023</v>
      </c>
      <c r="BP11" s="2">
        <v>0.69999999999981799</v>
      </c>
      <c r="BQ11" s="2">
        <v>4</v>
      </c>
      <c r="BR11" s="2">
        <v>0.100000000000023</v>
      </c>
      <c r="BS11" s="2"/>
      <c r="BT11" s="2">
        <v>32.099999999976703</v>
      </c>
      <c r="BU11" s="2">
        <v>12.5</v>
      </c>
      <c r="BV11" s="2">
        <v>0.200000000000045</v>
      </c>
      <c r="BW11" s="2">
        <v>15.8</v>
      </c>
      <c r="BX11" s="2">
        <v>20</v>
      </c>
      <c r="BY11" s="2">
        <v>10.5</v>
      </c>
      <c r="BZ11" s="2"/>
      <c r="CA11" s="2">
        <v>1</v>
      </c>
      <c r="CB11" s="2"/>
      <c r="CC11" s="2"/>
      <c r="CD11" s="2"/>
      <c r="CE11" s="2"/>
      <c r="CF11" s="2"/>
      <c r="CG11" s="2">
        <v>1.1000000000000001</v>
      </c>
      <c r="CH11" s="2">
        <v>1.6</v>
      </c>
      <c r="CI11" s="2"/>
      <c r="CJ11" s="2">
        <v>0.4</v>
      </c>
      <c r="CK11" s="2">
        <v>8.3000000000000007</v>
      </c>
      <c r="CL11" s="2"/>
      <c r="CM11" s="2">
        <v>1.5</v>
      </c>
      <c r="CN11" s="2"/>
      <c r="CO11" s="2">
        <v>2.8</v>
      </c>
      <c r="CP11" s="2"/>
      <c r="CQ11" s="2"/>
      <c r="CR11" s="2"/>
      <c r="CS11" s="2">
        <v>12</v>
      </c>
      <c r="CT11" s="2"/>
      <c r="CU11" s="2">
        <v>1.3</v>
      </c>
      <c r="CV11" s="2"/>
      <c r="CW11" s="2">
        <v>10.5</v>
      </c>
      <c r="CX11" s="2"/>
      <c r="CY11" s="2">
        <v>6</v>
      </c>
      <c r="CZ11" s="2"/>
      <c r="DB11">
        <v>1918</v>
      </c>
      <c r="DC11">
        <v>46.8</v>
      </c>
      <c r="DE11" s="28">
        <v>1920</v>
      </c>
      <c r="DF11" s="27">
        <v>40948</v>
      </c>
      <c r="DG11">
        <v>42.2</v>
      </c>
      <c r="DH11">
        <v>10</v>
      </c>
    </row>
    <row r="12" spans="1:112">
      <c r="A12" s="1">
        <v>40919</v>
      </c>
      <c r="B12" s="2"/>
      <c r="C12" s="2"/>
      <c r="D12" s="2"/>
      <c r="E12" s="2"/>
      <c r="F12" s="2">
        <v>4.5</v>
      </c>
      <c r="G12" s="2">
        <v>0.1</v>
      </c>
      <c r="H12" s="2"/>
      <c r="I12" s="2">
        <v>24</v>
      </c>
      <c r="J12" s="2">
        <v>0.8</v>
      </c>
      <c r="K12" s="2"/>
      <c r="L12" s="2"/>
      <c r="M12" s="2">
        <v>1.1000000000000001</v>
      </c>
      <c r="N12" s="2">
        <v>7.6</v>
      </c>
      <c r="O12" s="2"/>
      <c r="P12" s="2">
        <v>1.7</v>
      </c>
      <c r="Q12" s="2">
        <v>7.8</v>
      </c>
      <c r="R12" s="2">
        <v>2</v>
      </c>
      <c r="S12" s="2"/>
      <c r="T12" s="2"/>
      <c r="U12" s="2"/>
      <c r="V12" s="2">
        <v>1.1000000000000001</v>
      </c>
      <c r="W12" s="2">
        <v>1.6</v>
      </c>
      <c r="X12" s="2">
        <v>5.8</v>
      </c>
      <c r="Y12" s="2"/>
      <c r="Z12" s="2">
        <v>0.79999999999927196</v>
      </c>
      <c r="AA12" s="2">
        <v>1.5</v>
      </c>
      <c r="AB12" s="2">
        <v>6.29999999999563</v>
      </c>
      <c r="AC12" s="2"/>
      <c r="AD12" s="2"/>
      <c r="AE12" s="2">
        <v>0.89999999999963598</v>
      </c>
      <c r="AF12" s="2">
        <v>12.799999999988399</v>
      </c>
      <c r="AG12" s="2">
        <v>14.399999999994201</v>
      </c>
      <c r="AH12" s="2">
        <v>2</v>
      </c>
      <c r="AI12" s="2"/>
      <c r="AJ12" s="2">
        <v>3.5</v>
      </c>
      <c r="AK12" s="2"/>
      <c r="AL12" s="2">
        <v>5.3999999999941801</v>
      </c>
      <c r="AM12" s="2"/>
      <c r="AN12" s="2"/>
      <c r="AO12" s="2">
        <v>0</v>
      </c>
      <c r="AP12" s="2">
        <v>9.9999999999908995E-2</v>
      </c>
      <c r="AQ12" s="2"/>
      <c r="AR12" s="2"/>
      <c r="AS12" s="2">
        <v>5.2</v>
      </c>
      <c r="AT12" s="2">
        <v>0.39999999999963598</v>
      </c>
      <c r="AU12" s="2"/>
      <c r="AV12" s="2">
        <v>0.5</v>
      </c>
      <c r="AW12" s="2"/>
      <c r="AX12" s="2">
        <v>9</v>
      </c>
      <c r="AY12" s="2">
        <v>22.599999999976699</v>
      </c>
      <c r="AZ12" s="2">
        <v>1.6999999999989099</v>
      </c>
      <c r="BA12" s="2"/>
      <c r="BB12" s="2">
        <v>1.79999999999927</v>
      </c>
      <c r="BC12" s="2">
        <v>1.70000000000073</v>
      </c>
      <c r="BD12" s="2">
        <v>4.4000000000014596</v>
      </c>
      <c r="BE12" s="2"/>
      <c r="BF12" s="2"/>
      <c r="BG12" s="2">
        <v>32</v>
      </c>
      <c r="BH12" s="2">
        <v>6.4000000000014596</v>
      </c>
      <c r="BI12" s="2">
        <v>0.100000000000023</v>
      </c>
      <c r="BJ12" s="2">
        <v>12.5</v>
      </c>
      <c r="BK12" s="2">
        <v>3.2999999999992702</v>
      </c>
      <c r="BL12" s="2">
        <v>4.1999999999970896</v>
      </c>
      <c r="BM12" s="2">
        <v>1.89999999999964</v>
      </c>
      <c r="BN12" s="2">
        <v>0.100000000000023</v>
      </c>
      <c r="BO12" s="2"/>
      <c r="BP12" s="2"/>
      <c r="BQ12" s="2">
        <v>0.200000000000045</v>
      </c>
      <c r="BR12" s="2">
        <v>35.5</v>
      </c>
      <c r="BS12" s="2">
        <v>0.100000000000023</v>
      </c>
      <c r="BT12" s="2">
        <v>0</v>
      </c>
      <c r="BU12" s="2">
        <v>0.200000000000045</v>
      </c>
      <c r="BV12" s="2"/>
      <c r="BW12" s="2">
        <v>25.8</v>
      </c>
      <c r="BX12" s="2">
        <v>2.7</v>
      </c>
      <c r="BY12" s="2">
        <v>1.5</v>
      </c>
      <c r="BZ12" s="2"/>
      <c r="CA12" s="2">
        <v>5</v>
      </c>
      <c r="CB12" s="2"/>
      <c r="CC12" s="2"/>
      <c r="CD12" s="2"/>
      <c r="CE12" s="2"/>
      <c r="CF12" s="2"/>
      <c r="CG12" s="2">
        <v>0.1</v>
      </c>
      <c r="CH12" s="2">
        <v>1.9</v>
      </c>
      <c r="CI12" s="2"/>
      <c r="CJ12" s="2"/>
      <c r="CK12" s="2">
        <v>0.1</v>
      </c>
      <c r="CL12" s="2"/>
      <c r="CM12" s="2">
        <v>5.5</v>
      </c>
      <c r="CN12" s="2"/>
      <c r="CO12" s="2"/>
      <c r="CP12" s="2"/>
      <c r="CQ12" s="2">
        <v>3.8</v>
      </c>
      <c r="CR12" s="2">
        <v>0</v>
      </c>
      <c r="CS12" s="2">
        <v>9.3000000000000007</v>
      </c>
      <c r="CT12" s="2"/>
      <c r="CU12" s="2"/>
      <c r="CV12" s="2">
        <v>1.7</v>
      </c>
      <c r="CW12" s="2">
        <v>1.7</v>
      </c>
      <c r="CX12" s="2"/>
      <c r="CY12" s="2">
        <v>14</v>
      </c>
      <c r="CZ12" s="2">
        <v>13.8</v>
      </c>
      <c r="DB12">
        <v>1979</v>
      </c>
      <c r="DC12">
        <v>35.5</v>
      </c>
      <c r="DE12" s="28">
        <v>1921</v>
      </c>
      <c r="DF12" s="27">
        <v>41254</v>
      </c>
      <c r="DG12">
        <v>38.6</v>
      </c>
      <c r="DH12">
        <v>11</v>
      </c>
    </row>
    <row r="13" spans="1:112">
      <c r="A13" s="1">
        <v>40920</v>
      </c>
      <c r="B13" s="2"/>
      <c r="C13" s="2">
        <v>2</v>
      </c>
      <c r="D13" s="2">
        <v>3</v>
      </c>
      <c r="E13" s="2">
        <v>0.3</v>
      </c>
      <c r="F13" s="2">
        <v>2.6</v>
      </c>
      <c r="G13" s="2">
        <v>2.2999999999999998</v>
      </c>
      <c r="H13" s="2">
        <v>5.6</v>
      </c>
      <c r="I13" s="2">
        <v>1</v>
      </c>
      <c r="J13" s="2"/>
      <c r="K13" s="2">
        <v>9.9</v>
      </c>
      <c r="L13" s="2"/>
      <c r="M13" s="2"/>
      <c r="N13" s="2"/>
      <c r="O13" s="2">
        <v>5.2</v>
      </c>
      <c r="P13" s="2">
        <v>1.9</v>
      </c>
      <c r="Q13" s="2">
        <v>0</v>
      </c>
      <c r="R13" s="2">
        <v>2.4</v>
      </c>
      <c r="S13" s="2"/>
      <c r="T13" s="2"/>
      <c r="U13" s="2">
        <v>1.1000000000000001</v>
      </c>
      <c r="V13" s="2">
        <v>1.7</v>
      </c>
      <c r="W13" s="2"/>
      <c r="X13" s="2">
        <v>2.2999999999999998</v>
      </c>
      <c r="Y13" s="2"/>
      <c r="Z13" s="2">
        <v>1.89999999999964</v>
      </c>
      <c r="AA13" s="2"/>
      <c r="AB13" s="2">
        <v>5.0999999999985501</v>
      </c>
      <c r="AC13" s="2"/>
      <c r="AD13" s="2"/>
      <c r="AE13" s="2"/>
      <c r="AF13" s="2">
        <v>3.6999999999970901</v>
      </c>
      <c r="AG13" s="2">
        <v>27.099999999976699</v>
      </c>
      <c r="AH13" s="2"/>
      <c r="AI13" s="2"/>
      <c r="AJ13" s="2">
        <v>1.79999999999927</v>
      </c>
      <c r="AK13" s="2"/>
      <c r="AL13" s="2">
        <v>0.39999999999963598</v>
      </c>
      <c r="AM13" s="2"/>
      <c r="AN13" s="2"/>
      <c r="AO13" s="2">
        <v>10</v>
      </c>
      <c r="AP13" s="2"/>
      <c r="AQ13" s="2">
        <v>2.5999999999985399</v>
      </c>
      <c r="AR13" s="2">
        <v>1</v>
      </c>
      <c r="AS13" s="2"/>
      <c r="AT13" s="2"/>
      <c r="AU13" s="2"/>
      <c r="AV13" s="2">
        <v>2.5999999999985399</v>
      </c>
      <c r="AW13" s="2">
        <v>0.9</v>
      </c>
      <c r="AX13" s="2"/>
      <c r="AY13" s="2"/>
      <c r="AZ13" s="2"/>
      <c r="BA13" s="2"/>
      <c r="BB13" s="2">
        <v>7.5999999999985501</v>
      </c>
      <c r="BC13" s="2"/>
      <c r="BD13" s="2">
        <v>0.200000000000045</v>
      </c>
      <c r="BE13" s="2"/>
      <c r="BF13" s="2">
        <v>3.4000000000014601</v>
      </c>
      <c r="BG13" s="2">
        <v>16</v>
      </c>
      <c r="BH13" s="2">
        <v>14.399999999994201</v>
      </c>
      <c r="BI13" s="2"/>
      <c r="BJ13" s="2">
        <v>4.5999999999985501</v>
      </c>
      <c r="BK13" s="2">
        <v>12.100000000005799</v>
      </c>
      <c r="BL13" s="2">
        <v>6.4000000000014596</v>
      </c>
      <c r="BM13" s="2">
        <v>6.3000000000029104</v>
      </c>
      <c r="BN13" s="2"/>
      <c r="BO13" s="2"/>
      <c r="BP13" s="2">
        <v>0</v>
      </c>
      <c r="BQ13" s="2"/>
      <c r="BR13" s="2">
        <v>4.8000000000029104</v>
      </c>
      <c r="BS13" s="2">
        <v>4</v>
      </c>
      <c r="BT13" s="2"/>
      <c r="BU13" s="2">
        <v>2.5</v>
      </c>
      <c r="BV13" s="2">
        <v>0.100000000000023</v>
      </c>
      <c r="BW13" s="2">
        <v>3.5</v>
      </c>
      <c r="BX13" s="2">
        <v>1.3</v>
      </c>
      <c r="BY13" s="2">
        <v>11.7</v>
      </c>
      <c r="BZ13" s="2">
        <v>6.6</v>
      </c>
      <c r="CA13" s="2">
        <v>0.9</v>
      </c>
      <c r="CB13" s="2"/>
      <c r="CC13" s="2"/>
      <c r="CD13" s="2"/>
      <c r="CE13" s="2">
        <v>0.3</v>
      </c>
      <c r="CF13" s="2"/>
      <c r="CG13" s="2"/>
      <c r="CH13" s="2">
        <v>18.7</v>
      </c>
      <c r="CI13" s="2"/>
      <c r="CJ13" s="2">
        <v>1.2</v>
      </c>
      <c r="CK13" s="2"/>
      <c r="CL13" s="2"/>
      <c r="CM13" s="2">
        <v>10.3</v>
      </c>
      <c r="CN13" s="2"/>
      <c r="CO13" s="2"/>
      <c r="CP13" s="2">
        <v>10.4</v>
      </c>
      <c r="CQ13" s="2"/>
      <c r="CR13" s="2">
        <v>0.1</v>
      </c>
      <c r="CS13" s="2">
        <v>8.8000000000000007</v>
      </c>
      <c r="CT13" s="2">
        <v>2</v>
      </c>
      <c r="CU13" s="2"/>
      <c r="CV13" s="2"/>
      <c r="CW13" s="2">
        <v>3</v>
      </c>
      <c r="CX13" s="2"/>
      <c r="CY13" s="2"/>
      <c r="CZ13" s="2">
        <v>15</v>
      </c>
      <c r="DB13">
        <v>1942</v>
      </c>
      <c r="DC13">
        <v>27.099999999976699</v>
      </c>
      <c r="DE13" s="28">
        <v>1922</v>
      </c>
      <c r="DF13" s="27">
        <v>41227</v>
      </c>
      <c r="DG13">
        <v>40.5</v>
      </c>
      <c r="DH13">
        <v>12</v>
      </c>
    </row>
    <row r="14" spans="1:112">
      <c r="A14" s="1">
        <v>40921</v>
      </c>
      <c r="B14" s="2"/>
      <c r="C14" s="2"/>
      <c r="D14" s="2">
        <v>13.8</v>
      </c>
      <c r="E14" s="2">
        <v>0</v>
      </c>
      <c r="F14" s="2">
        <v>9.8000000000000007</v>
      </c>
      <c r="G14" s="2">
        <v>1.6</v>
      </c>
      <c r="H14" s="2">
        <v>1</v>
      </c>
      <c r="I14" s="2"/>
      <c r="J14" s="2"/>
      <c r="K14" s="2"/>
      <c r="L14" s="2">
        <v>0.1</v>
      </c>
      <c r="M14" s="2"/>
      <c r="N14" s="2">
        <v>4.8</v>
      </c>
      <c r="O14" s="2">
        <v>3.2</v>
      </c>
      <c r="P14" s="2">
        <v>4.7</v>
      </c>
      <c r="Q14" s="2"/>
      <c r="R14" s="2">
        <v>3.7</v>
      </c>
      <c r="S14" s="2">
        <v>12.8</v>
      </c>
      <c r="T14" s="2">
        <v>2.5</v>
      </c>
      <c r="U14" s="2">
        <v>3.2</v>
      </c>
      <c r="V14" s="2"/>
      <c r="W14" s="2"/>
      <c r="X14" s="2">
        <v>2</v>
      </c>
      <c r="Y14" s="2"/>
      <c r="Z14" s="2">
        <v>0.5</v>
      </c>
      <c r="AA14" s="2">
        <v>4.2999999999956398</v>
      </c>
      <c r="AB14" s="2">
        <v>2.5</v>
      </c>
      <c r="AC14" s="2"/>
      <c r="AD14" s="2">
        <v>12.599999999991301</v>
      </c>
      <c r="AE14" s="2">
        <v>0.29999999999972699</v>
      </c>
      <c r="AF14" s="2">
        <v>6</v>
      </c>
      <c r="AG14" s="2">
        <v>0</v>
      </c>
      <c r="AH14" s="2">
        <v>4.6999999999970896</v>
      </c>
      <c r="AI14" s="2">
        <v>4.2999999999956398</v>
      </c>
      <c r="AJ14" s="2">
        <v>1.29999999999927</v>
      </c>
      <c r="AK14" s="2">
        <v>2.6999999999970901</v>
      </c>
      <c r="AL14" s="2">
        <v>1.39999999999964</v>
      </c>
      <c r="AM14" s="2"/>
      <c r="AN14" s="2">
        <v>0.59999999999945397</v>
      </c>
      <c r="AO14" s="2">
        <v>2</v>
      </c>
      <c r="AP14" s="2"/>
      <c r="AQ14" s="2"/>
      <c r="AR14" s="2">
        <v>10.1999999999971</v>
      </c>
      <c r="AS14" s="2">
        <v>3.4</v>
      </c>
      <c r="AT14" s="2"/>
      <c r="AU14" s="2"/>
      <c r="AV14" s="2">
        <v>3.8999999999978199</v>
      </c>
      <c r="AW14" s="2">
        <v>0.4</v>
      </c>
      <c r="AX14" s="2">
        <v>31.299999999988401</v>
      </c>
      <c r="AY14" s="2"/>
      <c r="AZ14" s="2">
        <v>13.5</v>
      </c>
      <c r="BA14" s="2"/>
      <c r="BB14" s="2">
        <v>15</v>
      </c>
      <c r="BC14" s="2"/>
      <c r="BD14" s="2">
        <v>0.69999999999981799</v>
      </c>
      <c r="BE14" s="2">
        <v>2.2000000000007298</v>
      </c>
      <c r="BF14" s="2">
        <v>27.200000000011599</v>
      </c>
      <c r="BG14" s="2">
        <v>23</v>
      </c>
      <c r="BH14" s="2">
        <v>5</v>
      </c>
      <c r="BI14" s="2"/>
      <c r="BJ14" s="2">
        <v>0.400000000000091</v>
      </c>
      <c r="BK14" s="2">
        <v>3.7000000000007298</v>
      </c>
      <c r="BL14" s="2">
        <v>16.299999999988401</v>
      </c>
      <c r="BM14" s="2">
        <v>26.5</v>
      </c>
      <c r="BN14" s="2">
        <v>0.30000000000018201</v>
      </c>
      <c r="BO14" s="2"/>
      <c r="BP14" s="2">
        <v>5</v>
      </c>
      <c r="BQ14" s="2"/>
      <c r="BR14" s="2">
        <v>8.8000000000029104</v>
      </c>
      <c r="BS14" s="2">
        <v>11</v>
      </c>
      <c r="BT14" s="2">
        <v>0.30000000000018201</v>
      </c>
      <c r="BU14" s="2">
        <v>7.6999999999970896</v>
      </c>
      <c r="BV14" s="2"/>
      <c r="BW14" s="2">
        <v>1.9</v>
      </c>
      <c r="BX14" s="2">
        <v>0.2</v>
      </c>
      <c r="BY14" s="2">
        <v>1.9</v>
      </c>
      <c r="BZ14" s="2"/>
      <c r="CA14" s="2">
        <v>1.4</v>
      </c>
      <c r="CB14" s="2"/>
      <c r="CC14" s="2"/>
      <c r="CD14" s="2"/>
      <c r="CE14" s="2">
        <v>0.2</v>
      </c>
      <c r="CF14" s="2"/>
      <c r="CG14" s="2"/>
      <c r="CH14" s="2">
        <v>25.5</v>
      </c>
      <c r="CI14" s="2"/>
      <c r="CJ14" s="2">
        <v>9</v>
      </c>
      <c r="CK14" s="2"/>
      <c r="CL14" s="2"/>
      <c r="CM14" s="2">
        <v>1.5</v>
      </c>
      <c r="CN14" s="2">
        <v>3.5</v>
      </c>
      <c r="CO14" s="2"/>
      <c r="CP14" s="2">
        <v>0.3</v>
      </c>
      <c r="CQ14" s="2"/>
      <c r="CR14" s="2">
        <v>0.1</v>
      </c>
      <c r="CS14" s="2">
        <v>2.4</v>
      </c>
      <c r="CT14" s="2">
        <v>0.3</v>
      </c>
      <c r="CU14" s="2"/>
      <c r="CV14" s="2"/>
      <c r="CW14" s="2">
        <v>5.5</v>
      </c>
      <c r="CX14" s="2"/>
      <c r="CY14" s="2">
        <v>0.1</v>
      </c>
      <c r="CZ14" s="2"/>
      <c r="DB14">
        <v>1959</v>
      </c>
      <c r="DC14">
        <v>31.299999999988401</v>
      </c>
      <c r="DE14" s="28">
        <v>1923</v>
      </c>
      <c r="DF14" s="27">
        <v>41199</v>
      </c>
      <c r="DG14">
        <v>51.4</v>
      </c>
      <c r="DH14">
        <v>13</v>
      </c>
    </row>
    <row r="15" spans="1:112">
      <c r="A15" s="1">
        <v>40922</v>
      </c>
      <c r="B15" s="2"/>
      <c r="C15" s="2">
        <v>1</v>
      </c>
      <c r="D15" s="2"/>
      <c r="E15" s="2">
        <v>0.3</v>
      </c>
      <c r="F15" s="2">
        <v>2.6</v>
      </c>
      <c r="G15" s="2">
        <v>0.7</v>
      </c>
      <c r="H15" s="2"/>
      <c r="I15" s="2"/>
      <c r="J15" s="2"/>
      <c r="K15" s="2"/>
      <c r="L15" s="2"/>
      <c r="M15" s="2">
        <v>19.2</v>
      </c>
      <c r="N15" s="2">
        <v>15</v>
      </c>
      <c r="O15" s="2">
        <v>0.8</v>
      </c>
      <c r="P15" s="2"/>
      <c r="Q15" s="2">
        <v>3</v>
      </c>
      <c r="R15" s="2"/>
      <c r="S15" s="2">
        <v>0.3</v>
      </c>
      <c r="T15" s="2"/>
      <c r="U15" s="2">
        <v>7</v>
      </c>
      <c r="V15" s="2"/>
      <c r="W15" s="2"/>
      <c r="X15" s="2">
        <v>3.9</v>
      </c>
      <c r="Y15" s="2"/>
      <c r="Z15" s="2"/>
      <c r="AA15" s="2"/>
      <c r="AB15" s="2">
        <v>4.2999999999956398</v>
      </c>
      <c r="AC15" s="2">
        <v>3</v>
      </c>
      <c r="AD15" s="2"/>
      <c r="AE15" s="2"/>
      <c r="AF15" s="2"/>
      <c r="AG15" s="2">
        <v>0.89999999999963598</v>
      </c>
      <c r="AH15" s="2">
        <v>11.1999999999971</v>
      </c>
      <c r="AI15" s="2">
        <v>0.59999999999945397</v>
      </c>
      <c r="AJ15" s="2">
        <v>2.0999999999985399</v>
      </c>
      <c r="AK15" s="2">
        <v>6.3999999999941801</v>
      </c>
      <c r="AL15" s="2"/>
      <c r="AM15" s="2"/>
      <c r="AN15" s="2">
        <v>3.0999999999985399</v>
      </c>
      <c r="AO15" s="2"/>
      <c r="AP15" s="2">
        <v>9.2999999999883602</v>
      </c>
      <c r="AQ15" s="2">
        <v>13.899999999994201</v>
      </c>
      <c r="AR15" s="2"/>
      <c r="AS15" s="2"/>
      <c r="AT15" s="2"/>
      <c r="AU15" s="2"/>
      <c r="AV15" s="2">
        <v>2.7999999999992702</v>
      </c>
      <c r="AW15" s="2">
        <v>2.8</v>
      </c>
      <c r="AX15" s="2"/>
      <c r="AY15" s="2">
        <v>24.099999999976699</v>
      </c>
      <c r="AZ15" s="2">
        <v>3.3999999999978199</v>
      </c>
      <c r="BA15" s="2"/>
      <c r="BB15" s="2">
        <v>5.5</v>
      </c>
      <c r="BC15" s="2"/>
      <c r="BD15" s="2"/>
      <c r="BE15" s="2">
        <v>3.5999999999985399</v>
      </c>
      <c r="BF15" s="2">
        <v>2.7000000000007298</v>
      </c>
      <c r="BG15" s="2">
        <v>21</v>
      </c>
      <c r="BH15" s="2"/>
      <c r="BI15" s="2">
        <v>0.100000000000023</v>
      </c>
      <c r="BJ15" s="2">
        <v>0.100000000000023</v>
      </c>
      <c r="BK15" s="2">
        <v>12</v>
      </c>
      <c r="BL15" s="2">
        <v>6</v>
      </c>
      <c r="BM15" s="2">
        <v>2.2999999999992702</v>
      </c>
      <c r="BN15" s="2">
        <v>0.100000000000023</v>
      </c>
      <c r="BO15" s="2"/>
      <c r="BP15" s="2">
        <v>6.6999999999970896</v>
      </c>
      <c r="BQ15" s="2"/>
      <c r="BR15" s="2">
        <v>10.6999999999971</v>
      </c>
      <c r="BS15" s="2">
        <v>6</v>
      </c>
      <c r="BT15" s="2">
        <v>11</v>
      </c>
      <c r="BU15" s="2">
        <v>0.200000000000045</v>
      </c>
      <c r="BV15" s="2"/>
      <c r="BW15" s="2">
        <v>0.7</v>
      </c>
      <c r="BX15" s="2">
        <v>16.3</v>
      </c>
      <c r="BY15" s="2"/>
      <c r="BZ15" s="2"/>
      <c r="CA15" s="2"/>
      <c r="CB15" s="2">
        <v>11.2</v>
      </c>
      <c r="CC15" s="2"/>
      <c r="CD15" s="2">
        <v>1.4</v>
      </c>
      <c r="CE15" s="2"/>
      <c r="CF15" s="2"/>
      <c r="CG15" s="2">
        <v>0.2</v>
      </c>
      <c r="CH15" s="2">
        <v>6.7</v>
      </c>
      <c r="CI15" s="2">
        <v>5</v>
      </c>
      <c r="CJ15" s="2">
        <v>2</v>
      </c>
      <c r="CK15" s="2">
        <v>0.6</v>
      </c>
      <c r="CL15" s="2"/>
      <c r="CM15" s="2"/>
      <c r="CN15" s="2">
        <v>17</v>
      </c>
      <c r="CO15" s="2">
        <v>1.5</v>
      </c>
      <c r="CP15" s="2"/>
      <c r="CQ15" s="2">
        <v>6.8</v>
      </c>
      <c r="CR15" s="2">
        <v>2.8</v>
      </c>
      <c r="CS15" s="2">
        <v>0.8</v>
      </c>
      <c r="CT15" s="2"/>
      <c r="CU15" s="2"/>
      <c r="CV15" s="2">
        <v>1.4</v>
      </c>
      <c r="CW15" s="2">
        <v>0.1</v>
      </c>
      <c r="CX15" s="2">
        <v>0.1</v>
      </c>
      <c r="CY15" s="2">
        <v>10.9</v>
      </c>
      <c r="CZ15" s="2"/>
      <c r="DB15">
        <v>1960</v>
      </c>
      <c r="DC15">
        <v>24.099999999976699</v>
      </c>
      <c r="DE15" s="28">
        <v>1924</v>
      </c>
      <c r="DF15" s="27">
        <v>41080</v>
      </c>
      <c r="DG15">
        <v>91</v>
      </c>
      <c r="DH15">
        <v>14</v>
      </c>
    </row>
    <row r="16" spans="1:112">
      <c r="A16" s="1">
        <v>40923</v>
      </c>
      <c r="B16" s="2"/>
      <c r="C16" s="2">
        <v>5.0999999999999996</v>
      </c>
      <c r="D16" s="2">
        <v>0.7</v>
      </c>
      <c r="E16" s="2"/>
      <c r="F16" s="2"/>
      <c r="G16" s="2">
        <v>9.1999999999999993</v>
      </c>
      <c r="H16" s="2"/>
      <c r="I16" s="2">
        <v>1.3</v>
      </c>
      <c r="J16" s="2">
        <v>14.9</v>
      </c>
      <c r="K16" s="2">
        <v>23.9</v>
      </c>
      <c r="L16" s="2"/>
      <c r="M16" s="2"/>
      <c r="N16" s="2">
        <v>2.2999999999999998</v>
      </c>
      <c r="O16" s="2"/>
      <c r="P16" s="2">
        <v>0.5</v>
      </c>
      <c r="Q16" s="2">
        <v>1.3</v>
      </c>
      <c r="R16" s="2"/>
      <c r="S16" s="2">
        <v>9.6</v>
      </c>
      <c r="T16" s="2">
        <v>1.5</v>
      </c>
      <c r="U16" s="2">
        <v>0.4</v>
      </c>
      <c r="V16" s="2">
        <v>7.7</v>
      </c>
      <c r="W16" s="2">
        <v>1.1000000000000001</v>
      </c>
      <c r="X16" s="2">
        <v>0.6</v>
      </c>
      <c r="Y16" s="2"/>
      <c r="Z16" s="2">
        <v>3</v>
      </c>
      <c r="AA16" s="2">
        <v>0.89999999999963598</v>
      </c>
      <c r="AB16" s="2">
        <v>11.299999999988399</v>
      </c>
      <c r="AC16" s="2">
        <v>0.79999999999927196</v>
      </c>
      <c r="AD16" s="2"/>
      <c r="AE16" s="2"/>
      <c r="AF16" s="2">
        <v>0.39999999999963598</v>
      </c>
      <c r="AG16" s="2"/>
      <c r="AH16" s="2">
        <v>0.5</v>
      </c>
      <c r="AI16" s="2">
        <v>0</v>
      </c>
      <c r="AJ16" s="2">
        <v>2.5</v>
      </c>
      <c r="AK16" s="2">
        <v>15</v>
      </c>
      <c r="AL16" s="2"/>
      <c r="AM16" s="2"/>
      <c r="AN16" s="2">
        <v>1.5</v>
      </c>
      <c r="AO16" s="2">
        <v>0</v>
      </c>
      <c r="AP16" s="2">
        <v>8.3999999999941792</v>
      </c>
      <c r="AQ16" s="2">
        <v>15.5</v>
      </c>
      <c r="AR16" s="2">
        <v>1.1999999999989099</v>
      </c>
      <c r="AS16" s="2"/>
      <c r="AT16" s="2">
        <v>18.199999999982499</v>
      </c>
      <c r="AU16" s="2"/>
      <c r="AV16" s="2">
        <v>6.1999999999970896</v>
      </c>
      <c r="AW16" s="2">
        <v>4.5</v>
      </c>
      <c r="AX16" s="2"/>
      <c r="AY16" s="2"/>
      <c r="AZ16" s="2">
        <v>0.19999999999981799</v>
      </c>
      <c r="BA16" s="2">
        <v>1.39999999999964</v>
      </c>
      <c r="BB16" s="2">
        <v>7.7</v>
      </c>
      <c r="BC16" s="2">
        <v>1</v>
      </c>
      <c r="BD16" s="2"/>
      <c r="BE16" s="2"/>
      <c r="BF16" s="2">
        <v>0</v>
      </c>
      <c r="BG16" s="2">
        <v>25</v>
      </c>
      <c r="BH16" s="2">
        <v>5.5</v>
      </c>
      <c r="BI16" s="2">
        <v>1</v>
      </c>
      <c r="BJ16" s="2">
        <v>0.100000000000023</v>
      </c>
      <c r="BK16" s="2">
        <v>0.400000000000091</v>
      </c>
      <c r="BL16" s="2">
        <v>0.30000000000018201</v>
      </c>
      <c r="BM16" s="2">
        <v>2</v>
      </c>
      <c r="BN16" s="2">
        <v>0.80000000000018201</v>
      </c>
      <c r="BO16" s="2">
        <v>9.6999999999970896</v>
      </c>
      <c r="BP16" s="2">
        <v>0.100000000000023</v>
      </c>
      <c r="BQ16" s="2">
        <v>0.200000000000045</v>
      </c>
      <c r="BR16" s="2">
        <v>0.89999999999963598</v>
      </c>
      <c r="BS16" s="2">
        <v>0</v>
      </c>
      <c r="BT16" s="2">
        <v>7.4000000000014596</v>
      </c>
      <c r="BU16" s="2">
        <v>0</v>
      </c>
      <c r="BV16" s="2">
        <v>25.099999999998801</v>
      </c>
      <c r="BW16" s="2"/>
      <c r="BX16" s="2">
        <v>1.5</v>
      </c>
      <c r="BY16" s="2">
        <v>4.5999999999999996</v>
      </c>
      <c r="BZ16" s="2"/>
      <c r="CA16" s="2">
        <v>3.3</v>
      </c>
      <c r="CB16" s="2"/>
      <c r="CC16" s="2"/>
      <c r="CD16" s="2">
        <v>12.1</v>
      </c>
      <c r="CE16" s="2"/>
      <c r="CF16" s="2"/>
      <c r="CG16" s="2">
        <v>0.3</v>
      </c>
      <c r="CH16" s="2">
        <v>16.5</v>
      </c>
      <c r="CI16" s="2">
        <v>10.199999999999999</v>
      </c>
      <c r="CJ16" s="2">
        <v>3.5</v>
      </c>
      <c r="CK16" s="2"/>
      <c r="CL16" s="2">
        <v>8.8000000000000007</v>
      </c>
      <c r="CM16" s="2"/>
      <c r="CN16" s="2">
        <v>10</v>
      </c>
      <c r="CO16" s="2">
        <v>2.7</v>
      </c>
      <c r="CP16" s="2"/>
      <c r="CQ16" s="2">
        <v>9.1999999999999993</v>
      </c>
      <c r="CR16" s="2">
        <v>18.5</v>
      </c>
      <c r="CS16" s="2">
        <v>0.1</v>
      </c>
      <c r="CT16" s="2"/>
      <c r="CU16" s="2">
        <v>6.4</v>
      </c>
      <c r="CV16" s="2"/>
      <c r="CW16" s="2">
        <v>0.4</v>
      </c>
      <c r="CX16" s="2"/>
      <c r="CY16" s="2">
        <v>0.2</v>
      </c>
      <c r="CZ16" s="2"/>
      <c r="DB16">
        <v>1983</v>
      </c>
      <c r="DC16">
        <v>25.099999999998801</v>
      </c>
      <c r="DE16" s="28">
        <v>1925</v>
      </c>
      <c r="DF16" s="27">
        <v>41247</v>
      </c>
      <c r="DG16">
        <v>46</v>
      </c>
      <c r="DH16">
        <v>15</v>
      </c>
    </row>
    <row r="17" spans="1:112">
      <c r="A17" s="1">
        <v>40924</v>
      </c>
      <c r="B17" s="2"/>
      <c r="C17" s="2"/>
      <c r="D17" s="2"/>
      <c r="E17" s="2">
        <v>9.9</v>
      </c>
      <c r="F17" s="2"/>
      <c r="G17" s="2">
        <v>1.5</v>
      </c>
      <c r="H17" s="2"/>
      <c r="I17" s="2"/>
      <c r="J17" s="2">
        <v>7.4</v>
      </c>
      <c r="K17" s="2"/>
      <c r="L17" s="2"/>
      <c r="M17" s="2">
        <v>11.9</v>
      </c>
      <c r="N17" s="2">
        <v>1.9</v>
      </c>
      <c r="O17" s="2"/>
      <c r="P17" s="2"/>
      <c r="Q17" s="2">
        <v>7.8</v>
      </c>
      <c r="R17" s="2"/>
      <c r="S17" s="2"/>
      <c r="T17" s="2">
        <v>32.700000000000003</v>
      </c>
      <c r="U17" s="2">
        <v>2.1</v>
      </c>
      <c r="V17" s="2">
        <v>2.2000000000000002</v>
      </c>
      <c r="W17" s="2">
        <v>0</v>
      </c>
      <c r="X17" s="2"/>
      <c r="Y17" s="2"/>
      <c r="Z17" s="2">
        <v>14.899999999994201</v>
      </c>
      <c r="AA17" s="2">
        <v>0.29999999999972699</v>
      </c>
      <c r="AB17" s="2">
        <v>3.5</v>
      </c>
      <c r="AC17" s="2">
        <v>1.79999999999927</v>
      </c>
      <c r="AD17" s="2">
        <v>0</v>
      </c>
      <c r="AE17" s="2">
        <v>9</v>
      </c>
      <c r="AF17" s="2"/>
      <c r="AG17" s="2"/>
      <c r="AH17" s="2">
        <v>11</v>
      </c>
      <c r="AI17" s="2">
        <v>22.8</v>
      </c>
      <c r="AJ17" s="2"/>
      <c r="AK17" s="2">
        <v>9.5</v>
      </c>
      <c r="AL17" s="2">
        <v>0.39999999999963598</v>
      </c>
      <c r="AM17" s="2"/>
      <c r="AN17" s="2">
        <v>1.39999999999964</v>
      </c>
      <c r="AO17" s="2"/>
      <c r="AP17" s="2">
        <v>7.0999999999985501</v>
      </c>
      <c r="AQ17" s="2"/>
      <c r="AR17" s="2">
        <v>3</v>
      </c>
      <c r="AS17" s="2">
        <v>0.89999999999963598</v>
      </c>
      <c r="AT17" s="2"/>
      <c r="AU17" s="2"/>
      <c r="AV17" s="2">
        <v>0.19999999999981799</v>
      </c>
      <c r="AW17" s="2">
        <v>1.3</v>
      </c>
      <c r="AX17" s="2">
        <v>7.5</v>
      </c>
      <c r="AY17" s="2">
        <v>13.599999999991301</v>
      </c>
      <c r="AZ17" s="2">
        <v>6.79999999999563</v>
      </c>
      <c r="BA17" s="2">
        <v>5.5999999999985501</v>
      </c>
      <c r="BB17" s="2">
        <v>10.3</v>
      </c>
      <c r="BC17" s="2">
        <v>12</v>
      </c>
      <c r="BD17" s="2"/>
      <c r="BE17" s="2">
        <v>1.79999999999927</v>
      </c>
      <c r="BF17" s="2">
        <v>15</v>
      </c>
      <c r="BG17" s="2"/>
      <c r="BH17" s="2">
        <v>0.200000000000045</v>
      </c>
      <c r="BI17" s="2"/>
      <c r="BJ17" s="2">
        <v>0.100000000000023</v>
      </c>
      <c r="BK17" s="2">
        <v>9.8999999999941792</v>
      </c>
      <c r="BL17" s="2">
        <v>1.5</v>
      </c>
      <c r="BM17" s="2">
        <v>3.5</v>
      </c>
      <c r="BN17" s="2"/>
      <c r="BO17" s="2">
        <v>12.5</v>
      </c>
      <c r="BP17" s="2">
        <v>0.400000000000091</v>
      </c>
      <c r="BQ17" s="2">
        <v>0.100000000000023</v>
      </c>
      <c r="BR17" s="2">
        <v>4.1999999999970896</v>
      </c>
      <c r="BS17" s="2">
        <v>9</v>
      </c>
      <c r="BT17" s="2">
        <v>2.9000000000014601</v>
      </c>
      <c r="BU17" s="2">
        <v>0</v>
      </c>
      <c r="BV17" s="2">
        <v>6.5999999999989996</v>
      </c>
      <c r="BW17" s="2">
        <v>22.4</v>
      </c>
      <c r="BX17" s="2"/>
      <c r="BY17" s="2">
        <v>7</v>
      </c>
      <c r="BZ17" s="2"/>
      <c r="CA17" s="2">
        <v>1.6</v>
      </c>
      <c r="CB17" s="2"/>
      <c r="CC17" s="2"/>
      <c r="CD17" s="2">
        <v>1.6</v>
      </c>
      <c r="CE17" s="2">
        <v>0.8</v>
      </c>
      <c r="CF17" s="2"/>
      <c r="CG17" s="2"/>
      <c r="CH17" s="2">
        <v>3</v>
      </c>
      <c r="CI17" s="2">
        <v>31.4</v>
      </c>
      <c r="CJ17" s="2"/>
      <c r="CK17" s="2"/>
      <c r="CL17" s="2"/>
      <c r="CM17" s="2">
        <v>10</v>
      </c>
      <c r="CN17" s="2">
        <v>4</v>
      </c>
      <c r="CO17" s="2"/>
      <c r="CP17" s="2"/>
      <c r="CQ17" s="2">
        <v>1</v>
      </c>
      <c r="CR17" s="2">
        <v>28.4</v>
      </c>
      <c r="CS17" s="2"/>
      <c r="CT17" s="2"/>
      <c r="CU17" s="2"/>
      <c r="CV17" s="2">
        <v>7.8</v>
      </c>
      <c r="CW17" s="2">
        <v>2.6</v>
      </c>
      <c r="CX17" s="2">
        <v>7.6</v>
      </c>
      <c r="CY17" s="2">
        <v>9.5</v>
      </c>
      <c r="CZ17" s="2">
        <v>4.7</v>
      </c>
      <c r="DB17">
        <v>1929</v>
      </c>
      <c r="DC17">
        <v>32.700000000000003</v>
      </c>
      <c r="DE17" s="28">
        <v>1926</v>
      </c>
      <c r="DF17" s="27">
        <v>40918</v>
      </c>
      <c r="DG17">
        <v>42</v>
      </c>
      <c r="DH17">
        <v>16</v>
      </c>
    </row>
    <row r="18" spans="1:112">
      <c r="A18" s="1">
        <v>40925</v>
      </c>
      <c r="B18" s="2"/>
      <c r="C18" s="2"/>
      <c r="D18" s="2">
        <v>4.5999999999999996</v>
      </c>
      <c r="E18" s="2">
        <v>2.7</v>
      </c>
      <c r="F18" s="2"/>
      <c r="G18" s="2"/>
      <c r="H18" s="2"/>
      <c r="I18" s="2"/>
      <c r="J18" s="2"/>
      <c r="K18" s="2"/>
      <c r="L18" s="2"/>
      <c r="M18" s="2">
        <v>38.6</v>
      </c>
      <c r="N18" s="2">
        <v>16.5</v>
      </c>
      <c r="O18" s="2"/>
      <c r="P18" s="2">
        <v>0.2</v>
      </c>
      <c r="Q18" s="2">
        <v>24.9</v>
      </c>
      <c r="R18" s="2">
        <v>1.7</v>
      </c>
      <c r="S18" s="2"/>
      <c r="T18" s="2">
        <v>7.6</v>
      </c>
      <c r="U18" s="2">
        <v>2.1</v>
      </c>
      <c r="V18" s="2"/>
      <c r="W18" s="2">
        <v>0.4</v>
      </c>
      <c r="X18" s="2"/>
      <c r="Y18" s="2">
        <v>12</v>
      </c>
      <c r="Z18" s="2">
        <v>0.79999999999927196</v>
      </c>
      <c r="AA18" s="2"/>
      <c r="AB18" s="2">
        <v>1.39999999999964</v>
      </c>
      <c r="AC18" s="2">
        <v>1.79999999999927</v>
      </c>
      <c r="AD18" s="2"/>
      <c r="AE18" s="2">
        <v>0.19999999999981799</v>
      </c>
      <c r="AF18" s="2">
        <v>6.3999999999941801</v>
      </c>
      <c r="AG18" s="2">
        <v>0.19999999999981799</v>
      </c>
      <c r="AH18" s="2">
        <v>2.5</v>
      </c>
      <c r="AI18" s="2">
        <v>1.7</v>
      </c>
      <c r="AJ18" s="2">
        <v>4.0999999999985501</v>
      </c>
      <c r="AK18" s="2">
        <v>4.5</v>
      </c>
      <c r="AL18" s="2">
        <v>1</v>
      </c>
      <c r="AM18" s="2"/>
      <c r="AN18" s="2"/>
      <c r="AO18" s="2">
        <v>0.79999999999927196</v>
      </c>
      <c r="AP18" s="2">
        <v>7.29999999999563</v>
      </c>
      <c r="AQ18" s="2">
        <v>1.5999999999985499</v>
      </c>
      <c r="AR18" s="2">
        <v>0.89999999999963598</v>
      </c>
      <c r="AS18" s="2">
        <v>9.0999999999912706</v>
      </c>
      <c r="AT18" s="2"/>
      <c r="AU18" s="2"/>
      <c r="AV18" s="2">
        <v>0.29999999999972699</v>
      </c>
      <c r="AW18" s="2"/>
      <c r="AX18" s="2">
        <v>14</v>
      </c>
      <c r="AY18" s="2">
        <v>0.29999999999972699</v>
      </c>
      <c r="AZ18" s="2">
        <v>7.5</v>
      </c>
      <c r="BA18" s="2">
        <v>0</v>
      </c>
      <c r="BB18" s="2"/>
      <c r="BC18" s="2">
        <v>1</v>
      </c>
      <c r="BD18" s="2"/>
      <c r="BE18" s="2">
        <v>2.0999999999985399</v>
      </c>
      <c r="BF18" s="2">
        <v>16</v>
      </c>
      <c r="BG18" s="2"/>
      <c r="BH18" s="2"/>
      <c r="BI18" s="2">
        <v>6.3000000000029104</v>
      </c>
      <c r="BJ18" s="2">
        <v>0.100000000000023</v>
      </c>
      <c r="BK18" s="2">
        <v>0.5</v>
      </c>
      <c r="BL18" s="2">
        <v>2.2000000000007298</v>
      </c>
      <c r="BM18" s="2"/>
      <c r="BN18" s="2">
        <v>0.200000000000045</v>
      </c>
      <c r="BO18" s="2">
        <v>1</v>
      </c>
      <c r="BP18" s="2">
        <v>10</v>
      </c>
      <c r="BQ18" s="2"/>
      <c r="BR18" s="2"/>
      <c r="BS18" s="2">
        <v>7.6999999999970896</v>
      </c>
      <c r="BT18" s="2">
        <v>0.60000000000036402</v>
      </c>
      <c r="BU18" s="2"/>
      <c r="BV18" s="2">
        <v>0.70000000000004603</v>
      </c>
      <c r="BW18" s="2"/>
      <c r="BX18" s="2">
        <v>8.1999999999999993</v>
      </c>
      <c r="BY18" s="2">
        <v>15.8</v>
      </c>
      <c r="BZ18" s="2">
        <v>0.1</v>
      </c>
      <c r="CA18" s="2"/>
      <c r="CB18" s="2"/>
      <c r="CC18" s="2"/>
      <c r="CD18" s="2">
        <v>3.6</v>
      </c>
      <c r="CE18" s="2"/>
      <c r="CF18" s="2"/>
      <c r="CG18" s="2">
        <v>0.2</v>
      </c>
      <c r="CH18" s="2">
        <v>8.6</v>
      </c>
      <c r="CI18" s="2">
        <v>1</v>
      </c>
      <c r="CJ18" s="2"/>
      <c r="CK18" s="2"/>
      <c r="CL18" s="2"/>
      <c r="CM18" s="2">
        <v>3</v>
      </c>
      <c r="CN18" s="2"/>
      <c r="CO18" s="2"/>
      <c r="CP18" s="2"/>
      <c r="CQ18" s="2"/>
      <c r="CR18" s="2">
        <v>16.100000000000001</v>
      </c>
      <c r="CS18" s="2"/>
      <c r="CT18" s="2"/>
      <c r="CU18" s="2"/>
      <c r="CV18" s="2">
        <v>0.5</v>
      </c>
      <c r="CW18" s="2">
        <v>2.6</v>
      </c>
      <c r="CX18" s="2">
        <v>1.1000000000000001</v>
      </c>
      <c r="CY18" s="2">
        <v>0.1</v>
      </c>
      <c r="CZ18" s="2">
        <v>4.0999999999999996</v>
      </c>
      <c r="DB18">
        <v>1922</v>
      </c>
      <c r="DC18">
        <v>38.6</v>
      </c>
      <c r="DE18" s="28">
        <v>1927</v>
      </c>
      <c r="DF18" s="27">
        <v>41209</v>
      </c>
      <c r="DG18">
        <v>104.9</v>
      </c>
      <c r="DH18">
        <v>17</v>
      </c>
    </row>
    <row r="19" spans="1:112">
      <c r="A19" s="1">
        <v>40926</v>
      </c>
      <c r="B19" s="2"/>
      <c r="C19" s="2">
        <v>5</v>
      </c>
      <c r="D19" s="2"/>
      <c r="E19" s="2">
        <v>4.0999999999999996</v>
      </c>
      <c r="F19" s="2"/>
      <c r="G19" s="2">
        <v>0.7</v>
      </c>
      <c r="H19" s="2">
        <v>3.7</v>
      </c>
      <c r="I19" s="2"/>
      <c r="J19" s="2"/>
      <c r="K19" s="2"/>
      <c r="L19" s="2"/>
      <c r="M19" s="2">
        <v>2</v>
      </c>
      <c r="N19" s="2">
        <v>25.5</v>
      </c>
      <c r="O19" s="2"/>
      <c r="P19" s="2"/>
      <c r="Q19" s="2">
        <v>0</v>
      </c>
      <c r="R19" s="2">
        <v>0.4</v>
      </c>
      <c r="S19" s="2"/>
      <c r="T19" s="2"/>
      <c r="U19" s="2">
        <v>2.5</v>
      </c>
      <c r="V19" s="2">
        <v>13.2</v>
      </c>
      <c r="W19" s="2">
        <v>0</v>
      </c>
      <c r="X19" s="2">
        <v>1.2</v>
      </c>
      <c r="Y19" s="2">
        <v>0.5</v>
      </c>
      <c r="Z19" s="2"/>
      <c r="AA19" s="2"/>
      <c r="AB19" s="2"/>
      <c r="AC19" s="2">
        <v>4.3999999999941801</v>
      </c>
      <c r="AD19" s="2"/>
      <c r="AE19" s="2"/>
      <c r="AF19" s="2">
        <v>2.5</v>
      </c>
      <c r="AG19" s="2">
        <v>0.69999999999981799</v>
      </c>
      <c r="AH19" s="2">
        <v>0.69999999999981799</v>
      </c>
      <c r="AI19" s="2">
        <v>5</v>
      </c>
      <c r="AJ19" s="2">
        <v>20.199999999982499</v>
      </c>
      <c r="AK19" s="2"/>
      <c r="AL19" s="2">
        <v>4.3999999999941801</v>
      </c>
      <c r="AM19" s="2"/>
      <c r="AN19" s="2">
        <v>9.9999999999908995E-2</v>
      </c>
      <c r="AO19" s="2">
        <v>2</v>
      </c>
      <c r="AP19" s="2">
        <v>0.19999999999981799</v>
      </c>
      <c r="AQ19" s="2">
        <v>5.1999999999970896</v>
      </c>
      <c r="AR19" s="2">
        <v>4.6999999999970896</v>
      </c>
      <c r="AS19" s="2">
        <v>22.199999999982499</v>
      </c>
      <c r="AT19" s="2"/>
      <c r="AU19" s="2"/>
      <c r="AV19" s="2">
        <v>0.29999999999972699</v>
      </c>
      <c r="AW19" s="2">
        <v>9.9999999999908995E-2</v>
      </c>
      <c r="AX19" s="2">
        <v>2.2999999999992702</v>
      </c>
      <c r="AY19" s="2">
        <v>8.5</v>
      </c>
      <c r="AZ19" s="2">
        <v>8</v>
      </c>
      <c r="BA19" s="2"/>
      <c r="BB19" s="2">
        <v>7.2</v>
      </c>
      <c r="BC19" s="2">
        <v>2</v>
      </c>
      <c r="BD19" s="2"/>
      <c r="BE19" s="2">
        <v>9.5</v>
      </c>
      <c r="BF19" s="2">
        <v>5</v>
      </c>
      <c r="BG19" s="2">
        <v>0.200000000000045</v>
      </c>
      <c r="BH19" s="2">
        <v>1.5</v>
      </c>
      <c r="BI19" s="2">
        <v>18.5</v>
      </c>
      <c r="BJ19" s="2">
        <v>4.5</v>
      </c>
      <c r="BK19" s="2"/>
      <c r="BL19" s="2">
        <v>0.30000000000018201</v>
      </c>
      <c r="BM19" s="2">
        <v>13.6999999999971</v>
      </c>
      <c r="BN19" s="2">
        <v>0.200000000000045</v>
      </c>
      <c r="BO19" s="2">
        <v>4.6999999999970896</v>
      </c>
      <c r="BP19" s="2">
        <v>1</v>
      </c>
      <c r="BQ19" s="2">
        <v>0</v>
      </c>
      <c r="BR19" s="2">
        <v>8.5</v>
      </c>
      <c r="BS19" s="2">
        <v>0.100000000000023</v>
      </c>
      <c r="BT19" s="2">
        <v>0.200000000000045</v>
      </c>
      <c r="BU19" s="2"/>
      <c r="BV19" s="2">
        <v>0.100000000000023</v>
      </c>
      <c r="BW19" s="2"/>
      <c r="BX19" s="2">
        <v>0.7</v>
      </c>
      <c r="BY19" s="2">
        <v>6</v>
      </c>
      <c r="BZ19" s="2">
        <v>0</v>
      </c>
      <c r="CA19" s="2"/>
      <c r="CB19" s="2"/>
      <c r="CC19" s="2"/>
      <c r="CD19" s="2">
        <v>4</v>
      </c>
      <c r="CE19" s="2"/>
      <c r="CF19" s="2"/>
      <c r="CG19" s="2">
        <v>0.3</v>
      </c>
      <c r="CH19" s="2">
        <v>0.2</v>
      </c>
      <c r="CI19" s="2"/>
      <c r="CJ19" s="2"/>
      <c r="CK19" s="2"/>
      <c r="CL19" s="2">
        <v>13</v>
      </c>
      <c r="CM19" s="2">
        <v>5.5</v>
      </c>
      <c r="CN19" s="2">
        <v>1.5</v>
      </c>
      <c r="CO19" s="2"/>
      <c r="CP19" s="2"/>
      <c r="CQ19" s="2"/>
      <c r="CR19" s="2">
        <v>1.8</v>
      </c>
      <c r="CS19" s="2">
        <v>6.1</v>
      </c>
      <c r="CT19" s="2"/>
      <c r="CU19" s="2"/>
      <c r="CV19" s="2"/>
      <c r="CW19" s="2">
        <v>13.3</v>
      </c>
      <c r="CX19" s="2"/>
      <c r="CY19" s="2">
        <v>0.7</v>
      </c>
      <c r="CZ19" s="2">
        <v>3</v>
      </c>
      <c r="DB19">
        <v>1923</v>
      </c>
      <c r="DC19">
        <v>25.5</v>
      </c>
      <c r="DE19" s="28">
        <v>1928</v>
      </c>
      <c r="DF19" s="27">
        <v>41245</v>
      </c>
      <c r="DG19">
        <v>37.1</v>
      </c>
      <c r="DH19">
        <v>18</v>
      </c>
    </row>
    <row r="20" spans="1:112">
      <c r="A20" s="1">
        <v>40927</v>
      </c>
      <c r="B20" s="2"/>
      <c r="C20" s="2">
        <v>2</v>
      </c>
      <c r="D20" s="2">
        <v>17.3</v>
      </c>
      <c r="E20" s="2">
        <v>5.6</v>
      </c>
      <c r="F20" s="2"/>
      <c r="G20" s="2"/>
      <c r="H20" s="2"/>
      <c r="I20" s="2"/>
      <c r="J20" s="2"/>
      <c r="K20" s="2"/>
      <c r="L20" s="2">
        <v>0.4</v>
      </c>
      <c r="M20" s="2">
        <v>4.3</v>
      </c>
      <c r="N20" s="2">
        <v>0.4</v>
      </c>
      <c r="O20" s="2"/>
      <c r="P20" s="2">
        <v>0.3</v>
      </c>
      <c r="Q20" s="2">
        <v>16.5</v>
      </c>
      <c r="R20" s="2"/>
      <c r="S20" s="2">
        <v>0.4</v>
      </c>
      <c r="T20" s="2"/>
      <c r="U20" s="2">
        <v>2.8</v>
      </c>
      <c r="V20" s="2">
        <v>0.3</v>
      </c>
      <c r="W20" s="2"/>
      <c r="X20" s="2">
        <v>0.3</v>
      </c>
      <c r="Y20" s="2"/>
      <c r="Z20" s="2"/>
      <c r="AA20" s="2">
        <v>8.0999999999912706</v>
      </c>
      <c r="AB20" s="2">
        <v>0.19999999999981799</v>
      </c>
      <c r="AC20" s="2"/>
      <c r="AD20" s="2">
        <v>0</v>
      </c>
      <c r="AE20" s="2">
        <v>12.099999999991301</v>
      </c>
      <c r="AF20" s="2">
        <v>0.89999999999963598</v>
      </c>
      <c r="AG20" s="2">
        <v>1</v>
      </c>
      <c r="AH20" s="2">
        <v>0</v>
      </c>
      <c r="AI20" s="2"/>
      <c r="AJ20" s="2"/>
      <c r="AK20" s="2"/>
      <c r="AL20" s="2">
        <v>3.5</v>
      </c>
      <c r="AM20" s="2">
        <v>18.5</v>
      </c>
      <c r="AN20" s="2">
        <v>0.5</v>
      </c>
      <c r="AO20" s="2"/>
      <c r="AP20" s="2">
        <v>33</v>
      </c>
      <c r="AQ20" s="2"/>
      <c r="AR20" s="2">
        <v>3</v>
      </c>
      <c r="AS20" s="2"/>
      <c r="AT20" s="2">
        <v>23.299999999988401</v>
      </c>
      <c r="AU20" s="2">
        <v>1.5</v>
      </c>
      <c r="AV20" s="2">
        <v>4.6999999999970896</v>
      </c>
      <c r="AW20" s="2">
        <v>1.89999999999964</v>
      </c>
      <c r="AX20" s="2">
        <v>1.5</v>
      </c>
      <c r="AY20" s="2">
        <v>8.6999999999970896</v>
      </c>
      <c r="AZ20" s="2">
        <v>14</v>
      </c>
      <c r="BA20" s="2">
        <v>0</v>
      </c>
      <c r="BB20" s="2">
        <v>18.799999999988401</v>
      </c>
      <c r="BC20" s="2"/>
      <c r="BD20" s="2">
        <v>0.60000000000036402</v>
      </c>
      <c r="BE20" s="2">
        <v>0.80000000000018201</v>
      </c>
      <c r="BF20" s="2">
        <v>0</v>
      </c>
      <c r="BG20" s="2"/>
      <c r="BH20" s="2">
        <v>12.6999999999971</v>
      </c>
      <c r="BI20" s="2">
        <v>4.6999999999970896</v>
      </c>
      <c r="BJ20" s="2">
        <v>0.200000000000045</v>
      </c>
      <c r="BK20" s="2"/>
      <c r="BL20" s="2">
        <v>2.7000000000007298</v>
      </c>
      <c r="BM20" s="2">
        <v>24.399999999994201</v>
      </c>
      <c r="BN20" s="2">
        <v>0</v>
      </c>
      <c r="BO20" s="2">
        <v>0.200000000000045</v>
      </c>
      <c r="BP20" s="2">
        <v>7.8000000000029104</v>
      </c>
      <c r="BQ20" s="2">
        <v>1</v>
      </c>
      <c r="BR20" s="2">
        <v>4.8000000000029104</v>
      </c>
      <c r="BS20" s="2"/>
      <c r="BT20" s="2">
        <v>4.5</v>
      </c>
      <c r="BU20" s="2"/>
      <c r="BV20" s="2">
        <v>5.699999999998</v>
      </c>
      <c r="BW20" s="2">
        <v>1.5</v>
      </c>
      <c r="BX20" s="2">
        <v>12.7</v>
      </c>
      <c r="BY20" s="2">
        <v>0.2</v>
      </c>
      <c r="BZ20" s="2">
        <v>4</v>
      </c>
      <c r="CA20" s="2"/>
      <c r="CB20" s="2"/>
      <c r="CC20" s="2">
        <v>16</v>
      </c>
      <c r="CD20" s="2">
        <v>1.5</v>
      </c>
      <c r="CE20" s="2"/>
      <c r="CF20" s="2"/>
      <c r="CG20" s="2">
        <v>4.5</v>
      </c>
      <c r="CH20" s="2"/>
      <c r="CI20" s="2"/>
      <c r="CJ20" s="2"/>
      <c r="CK20" s="2"/>
      <c r="CL20" s="2">
        <v>3.5</v>
      </c>
      <c r="CM20" s="2">
        <v>0.7</v>
      </c>
      <c r="CN20" s="2">
        <v>0.5</v>
      </c>
      <c r="CO20" s="2">
        <v>2.4</v>
      </c>
      <c r="CP20" s="2">
        <v>0.3</v>
      </c>
      <c r="CQ20" s="2"/>
      <c r="CR20" s="2"/>
      <c r="CS20" s="2">
        <v>21.8</v>
      </c>
      <c r="CT20" s="2">
        <v>6.5</v>
      </c>
      <c r="CU20" s="2"/>
      <c r="CV20" s="2">
        <v>0.2</v>
      </c>
      <c r="CW20" s="2">
        <v>14.5</v>
      </c>
      <c r="CX20" s="2"/>
      <c r="CY20" s="2"/>
      <c r="CZ20" s="2">
        <v>2.2000000000000002</v>
      </c>
      <c r="DB20">
        <v>1951</v>
      </c>
      <c r="DC20">
        <v>33</v>
      </c>
      <c r="DE20" s="28">
        <v>1929</v>
      </c>
      <c r="DF20" s="27">
        <v>41238</v>
      </c>
      <c r="DG20">
        <v>58.2</v>
      </c>
      <c r="DH20">
        <v>19</v>
      </c>
    </row>
    <row r="21" spans="1:112">
      <c r="A21" s="1">
        <v>40928</v>
      </c>
      <c r="B21" s="2"/>
      <c r="C21" s="2"/>
      <c r="D21" s="2"/>
      <c r="E21" s="2">
        <v>5.6</v>
      </c>
      <c r="F21" s="2"/>
      <c r="G21" s="2"/>
      <c r="H21" s="2">
        <v>9.8000000000000007</v>
      </c>
      <c r="I21" s="2"/>
      <c r="J21" s="2">
        <v>2.2999999999999998</v>
      </c>
      <c r="K21" s="2"/>
      <c r="L21" s="2">
        <v>0.3</v>
      </c>
      <c r="M21" s="2">
        <v>2.9</v>
      </c>
      <c r="N21" s="2">
        <v>1.4</v>
      </c>
      <c r="O21" s="2"/>
      <c r="P21" s="2">
        <v>3.3</v>
      </c>
      <c r="Q21" s="2"/>
      <c r="R21" s="2"/>
      <c r="S21" s="2">
        <v>0.7</v>
      </c>
      <c r="T21" s="2">
        <v>3</v>
      </c>
      <c r="U21" s="2">
        <v>7.2</v>
      </c>
      <c r="V21" s="2"/>
      <c r="W21" s="2">
        <v>1</v>
      </c>
      <c r="X21" s="2">
        <v>3.9</v>
      </c>
      <c r="Y21" s="2"/>
      <c r="Z21" s="2"/>
      <c r="AA21" s="2"/>
      <c r="AB21" s="2">
        <v>10.099999999991301</v>
      </c>
      <c r="AC21" s="2"/>
      <c r="AD21" s="2"/>
      <c r="AE21" s="2"/>
      <c r="AF21" s="2"/>
      <c r="AG21" s="2">
        <v>6.3999999999941801</v>
      </c>
      <c r="AH21" s="2">
        <v>0</v>
      </c>
      <c r="AI21" s="2">
        <v>10.299999999988399</v>
      </c>
      <c r="AJ21" s="2">
        <v>5</v>
      </c>
      <c r="AK21" s="2"/>
      <c r="AL21" s="2">
        <v>0.79999999999927196</v>
      </c>
      <c r="AM21" s="2"/>
      <c r="AN21" s="2"/>
      <c r="AO21" s="2">
        <v>15.1999999999971</v>
      </c>
      <c r="AP21" s="2">
        <v>18.099999999976699</v>
      </c>
      <c r="AQ21" s="2">
        <v>7.3999999999941801</v>
      </c>
      <c r="AR21" s="2">
        <v>11</v>
      </c>
      <c r="AS21" s="2">
        <v>3.1</v>
      </c>
      <c r="AT21" s="2">
        <v>12.399999999994201</v>
      </c>
      <c r="AU21" s="2">
        <v>12.799999999988399</v>
      </c>
      <c r="AV21" s="2">
        <v>4.5</v>
      </c>
      <c r="AW21" s="2"/>
      <c r="AX21" s="2"/>
      <c r="AY21" s="2"/>
      <c r="AZ21" s="2">
        <v>0</v>
      </c>
      <c r="BA21" s="2"/>
      <c r="BB21" s="2">
        <v>19.599999999976699</v>
      </c>
      <c r="BC21" s="2">
        <v>10</v>
      </c>
      <c r="BD21" s="2">
        <v>0.80000000000018201</v>
      </c>
      <c r="BE21" s="2">
        <v>14.6999999999971</v>
      </c>
      <c r="BF21" s="2"/>
      <c r="BG21" s="2">
        <v>0.100000000000023</v>
      </c>
      <c r="BH21" s="2">
        <v>0</v>
      </c>
      <c r="BI21" s="2">
        <v>20.5</v>
      </c>
      <c r="BJ21" s="2">
        <v>0.100000000000023</v>
      </c>
      <c r="BK21" s="2"/>
      <c r="BL21" s="2">
        <v>1.5</v>
      </c>
      <c r="BM21" s="2">
        <v>2.5</v>
      </c>
      <c r="BN21" s="2">
        <v>0.5</v>
      </c>
      <c r="BO21" s="2"/>
      <c r="BP21" s="2">
        <v>0.30000000000018201</v>
      </c>
      <c r="BQ21" s="2">
        <v>1.60000000000036</v>
      </c>
      <c r="BR21" s="2">
        <v>1.5</v>
      </c>
      <c r="BS21" s="2">
        <v>0.100000000000023</v>
      </c>
      <c r="BT21" s="2">
        <v>0.89999999999963598</v>
      </c>
      <c r="BU21" s="2">
        <v>0</v>
      </c>
      <c r="BV21" s="2">
        <v>32.3999999999944</v>
      </c>
      <c r="BW21" s="2">
        <v>9.1</v>
      </c>
      <c r="BX21" s="2">
        <v>4</v>
      </c>
      <c r="BY21" s="2"/>
      <c r="BZ21" s="2">
        <v>5.7</v>
      </c>
      <c r="CA21" s="2"/>
      <c r="CB21" s="2">
        <v>0.4</v>
      </c>
      <c r="CC21" s="2">
        <v>3.8</v>
      </c>
      <c r="CD21" s="2">
        <v>0.3</v>
      </c>
      <c r="CE21" s="2"/>
      <c r="CF21" s="2"/>
      <c r="CG21" s="2">
        <v>0.8</v>
      </c>
      <c r="CH21" s="2">
        <v>0.8</v>
      </c>
      <c r="CI21" s="2">
        <v>0.4</v>
      </c>
      <c r="CJ21" s="2"/>
      <c r="CK21" s="2">
        <v>0</v>
      </c>
      <c r="CL21" s="2">
        <v>4</v>
      </c>
      <c r="CM21" s="2">
        <v>0.7</v>
      </c>
      <c r="CN21" s="2">
        <v>1.5</v>
      </c>
      <c r="CO21" s="2">
        <v>0.4</v>
      </c>
      <c r="CP21" s="2">
        <v>2.9</v>
      </c>
      <c r="CQ21" s="2">
        <v>1.2</v>
      </c>
      <c r="CR21" s="2">
        <v>0.1</v>
      </c>
      <c r="CS21" s="2">
        <v>2.9</v>
      </c>
      <c r="CT21" s="2">
        <v>0.1</v>
      </c>
      <c r="CU21" s="2"/>
      <c r="CV21" s="2"/>
      <c r="CW21" s="2">
        <v>0.1</v>
      </c>
      <c r="CX21" s="2"/>
      <c r="CY21" s="2">
        <v>2</v>
      </c>
      <c r="CZ21" s="2"/>
      <c r="DB21">
        <v>1983</v>
      </c>
      <c r="DC21">
        <v>32.3999999999944</v>
      </c>
      <c r="DE21" s="28">
        <v>1930</v>
      </c>
      <c r="DF21" s="27">
        <v>41189</v>
      </c>
      <c r="DG21">
        <v>71</v>
      </c>
      <c r="DH21">
        <v>20</v>
      </c>
    </row>
    <row r="22" spans="1:112">
      <c r="A22" s="1">
        <v>40929</v>
      </c>
      <c r="B22" s="2"/>
      <c r="C22" s="2"/>
      <c r="D22" s="2">
        <v>8.6</v>
      </c>
      <c r="E22" s="2">
        <v>2.2999999999999998</v>
      </c>
      <c r="F22" s="2"/>
      <c r="G22" s="2"/>
      <c r="H22" s="2">
        <v>6.3</v>
      </c>
      <c r="I22" s="2"/>
      <c r="J22" s="2">
        <v>0.8</v>
      </c>
      <c r="K22" s="2">
        <v>0.4</v>
      </c>
      <c r="L22" s="2"/>
      <c r="M22" s="2">
        <v>1.3</v>
      </c>
      <c r="N22" s="2"/>
      <c r="O22" s="2"/>
      <c r="P22" s="2"/>
      <c r="Q22" s="2">
        <v>10.8</v>
      </c>
      <c r="R22" s="2"/>
      <c r="S22" s="2">
        <v>1.5</v>
      </c>
      <c r="T22" s="2"/>
      <c r="U22" s="2">
        <v>8.8000000000000007</v>
      </c>
      <c r="V22" s="2"/>
      <c r="W22" s="2">
        <v>4.7</v>
      </c>
      <c r="X22" s="2">
        <v>6.5</v>
      </c>
      <c r="Y22" s="2">
        <v>3.6999999999970901</v>
      </c>
      <c r="Z22" s="2"/>
      <c r="AA22" s="2"/>
      <c r="AB22" s="2">
        <v>0.79999999999927196</v>
      </c>
      <c r="AC22" s="2"/>
      <c r="AD22" s="2"/>
      <c r="AE22" s="2">
        <v>0.79999999999927196</v>
      </c>
      <c r="AF22" s="2"/>
      <c r="AG22" s="2">
        <v>0.5</v>
      </c>
      <c r="AH22" s="2"/>
      <c r="AI22" s="2">
        <v>0.19999999999981799</v>
      </c>
      <c r="AJ22" s="2">
        <v>7.6999999999970896</v>
      </c>
      <c r="AK22" s="2">
        <v>7.7</v>
      </c>
      <c r="AL22" s="2">
        <v>1.6</v>
      </c>
      <c r="AM22" s="2"/>
      <c r="AN22" s="2"/>
      <c r="AO22" s="2">
        <v>0.79999999999927196</v>
      </c>
      <c r="AP22" s="2">
        <v>6.0999999999985501</v>
      </c>
      <c r="AQ22" s="2">
        <v>1.0999999999985499</v>
      </c>
      <c r="AR22" s="2">
        <v>42.5</v>
      </c>
      <c r="AS22" s="2">
        <v>5.3999999999941801</v>
      </c>
      <c r="AT22" s="2">
        <v>7.5</v>
      </c>
      <c r="AU22" s="2">
        <v>1.89999999999964</v>
      </c>
      <c r="AV22" s="2"/>
      <c r="AW22" s="2"/>
      <c r="AX22" s="2"/>
      <c r="AY22" s="2"/>
      <c r="AZ22" s="2">
        <v>7.3</v>
      </c>
      <c r="BA22" s="2"/>
      <c r="BB22" s="2">
        <v>13.5</v>
      </c>
      <c r="BC22" s="2"/>
      <c r="BD22" s="2">
        <v>0.30000000000018201</v>
      </c>
      <c r="BE22" s="2">
        <v>32.299999999988401</v>
      </c>
      <c r="BF22" s="2"/>
      <c r="BG22" s="2"/>
      <c r="BH22" s="2">
        <v>12</v>
      </c>
      <c r="BI22" s="2">
        <v>6.4000000000014596</v>
      </c>
      <c r="BJ22" s="2">
        <v>0</v>
      </c>
      <c r="BK22" s="2">
        <v>3.5</v>
      </c>
      <c r="BL22" s="2">
        <v>0.100000000000023</v>
      </c>
      <c r="BM22" s="2">
        <v>0.30000000000018201</v>
      </c>
      <c r="BN22" s="2">
        <v>5.1999999999970896</v>
      </c>
      <c r="BO22" s="2"/>
      <c r="BP22" s="2">
        <v>1</v>
      </c>
      <c r="BQ22" s="2">
        <v>2</v>
      </c>
      <c r="BR22" s="2">
        <v>0.5</v>
      </c>
      <c r="BS22" s="2">
        <v>2.0999999999985399</v>
      </c>
      <c r="BT22" s="2">
        <v>8.3999999999941792</v>
      </c>
      <c r="BU22" s="2">
        <v>2.4000000000014601</v>
      </c>
      <c r="BV22" s="2">
        <v>28.099999999999</v>
      </c>
      <c r="BW22" s="2"/>
      <c r="BX22" s="2">
        <v>0.3</v>
      </c>
      <c r="BY22" s="2"/>
      <c r="BZ22" s="2">
        <v>4</v>
      </c>
      <c r="CA22" s="2"/>
      <c r="CB22" s="2"/>
      <c r="CC22" s="2">
        <v>1.4</v>
      </c>
      <c r="CD22" s="2">
        <v>0.3</v>
      </c>
      <c r="CE22" s="2">
        <v>1.8</v>
      </c>
      <c r="CF22" s="2"/>
      <c r="CG22" s="2">
        <v>7</v>
      </c>
      <c r="CH22" s="2">
        <v>0.5</v>
      </c>
      <c r="CI22" s="2"/>
      <c r="CJ22" s="2">
        <v>2</v>
      </c>
      <c r="CK22" s="2">
        <v>4.2</v>
      </c>
      <c r="CL22" s="2"/>
      <c r="CM22" s="2">
        <v>0.9</v>
      </c>
      <c r="CN22" s="2">
        <v>0.5</v>
      </c>
      <c r="CO22" s="2"/>
      <c r="CP22" s="2">
        <v>0.2</v>
      </c>
      <c r="CQ22" s="2">
        <v>50.5</v>
      </c>
      <c r="CR22" s="2">
        <v>9.4</v>
      </c>
      <c r="CS22" s="2"/>
      <c r="CT22" s="2"/>
      <c r="CU22" s="2"/>
      <c r="CV22" s="2"/>
      <c r="CW22" s="2"/>
      <c r="CX22" s="2">
        <v>0.1</v>
      </c>
      <c r="CY22" s="2">
        <v>5.0999999999999996</v>
      </c>
      <c r="CZ22" s="2">
        <v>1.6</v>
      </c>
      <c r="DB22">
        <v>2004</v>
      </c>
      <c r="DC22">
        <v>50.5</v>
      </c>
      <c r="DE22" s="28">
        <v>1931</v>
      </c>
      <c r="DF22" s="27">
        <v>41243</v>
      </c>
      <c r="DG22">
        <v>54.5</v>
      </c>
      <c r="DH22">
        <v>21</v>
      </c>
    </row>
    <row r="23" spans="1:112">
      <c r="A23" s="1">
        <v>40930</v>
      </c>
      <c r="B23" s="2"/>
      <c r="C23" s="2"/>
      <c r="D23" s="2">
        <v>39.5</v>
      </c>
      <c r="E23" s="2">
        <v>0.7</v>
      </c>
      <c r="F23" s="2">
        <v>3.3</v>
      </c>
      <c r="G23" s="2">
        <v>7.5</v>
      </c>
      <c r="H23" s="2">
        <v>1.8</v>
      </c>
      <c r="I23" s="2"/>
      <c r="J23" s="2">
        <v>0.9</v>
      </c>
      <c r="K23" s="2">
        <v>3.5</v>
      </c>
      <c r="L23" s="2"/>
      <c r="M23" s="2">
        <v>10</v>
      </c>
      <c r="N23" s="2"/>
      <c r="O23" s="2">
        <v>15.3</v>
      </c>
      <c r="P23" s="2"/>
      <c r="Q23" s="2"/>
      <c r="R23" s="2">
        <v>9</v>
      </c>
      <c r="S23" s="2"/>
      <c r="T23" s="2"/>
      <c r="U23" s="2">
        <v>0.8</v>
      </c>
      <c r="V23" s="2">
        <v>2.2000000000000002</v>
      </c>
      <c r="W23" s="2">
        <v>2.1</v>
      </c>
      <c r="X23" s="2">
        <v>13.5</v>
      </c>
      <c r="Y23" s="2">
        <v>2.5</v>
      </c>
      <c r="Z23" s="2">
        <v>8</v>
      </c>
      <c r="AA23" s="2"/>
      <c r="AB23" s="2">
        <v>0</v>
      </c>
      <c r="AC23" s="2"/>
      <c r="AD23" s="2">
        <v>0</v>
      </c>
      <c r="AE23" s="2">
        <v>4</v>
      </c>
      <c r="AF23" s="2"/>
      <c r="AG23" s="2">
        <v>0</v>
      </c>
      <c r="AH23" s="2"/>
      <c r="AI23" s="2"/>
      <c r="AJ23" s="2">
        <v>10.5</v>
      </c>
      <c r="AK23" s="2">
        <v>0.59999999999945397</v>
      </c>
      <c r="AL23" s="2">
        <v>1</v>
      </c>
      <c r="AM23" s="2">
        <v>13.6</v>
      </c>
      <c r="AN23" s="2">
        <v>0.19999999999981799</v>
      </c>
      <c r="AO23" s="2">
        <v>0</v>
      </c>
      <c r="AP23" s="2">
        <v>6.0999999999985501</v>
      </c>
      <c r="AQ23" s="2"/>
      <c r="AR23" s="2">
        <v>1.5</v>
      </c>
      <c r="AS23" s="2">
        <v>0.89999999999963598</v>
      </c>
      <c r="AT23" s="2">
        <v>4.5</v>
      </c>
      <c r="AU23" s="2">
        <v>0.79999999999927196</v>
      </c>
      <c r="AV23" s="2"/>
      <c r="AW23" s="2">
        <v>0.29999999999972699</v>
      </c>
      <c r="AX23" s="2"/>
      <c r="AY23" s="2">
        <v>5</v>
      </c>
      <c r="AZ23" s="2">
        <v>0.39999999999963598</v>
      </c>
      <c r="BA23" s="2"/>
      <c r="BB23" s="2"/>
      <c r="BC23" s="2"/>
      <c r="BD23" s="2">
        <v>1.5</v>
      </c>
      <c r="BE23" s="2">
        <v>11.5</v>
      </c>
      <c r="BF23" s="2"/>
      <c r="BG23" s="2"/>
      <c r="BH23" s="2">
        <v>27.299999999988401</v>
      </c>
      <c r="BI23" s="2">
        <v>5.4000000000014596</v>
      </c>
      <c r="BJ23" s="2"/>
      <c r="BK23" s="2">
        <v>0.100000000000023</v>
      </c>
      <c r="BL23" s="2">
        <v>0.200000000000045</v>
      </c>
      <c r="BM23" s="2">
        <v>0.200000000000045</v>
      </c>
      <c r="BN23" s="2">
        <v>2.2999999999992702</v>
      </c>
      <c r="BO23" s="2">
        <v>1.20000000000073</v>
      </c>
      <c r="BP23" s="2">
        <v>2.5</v>
      </c>
      <c r="BQ23" s="2">
        <v>4.5999999999985501</v>
      </c>
      <c r="BR23" s="2">
        <v>0.400000000000091</v>
      </c>
      <c r="BS23" s="2">
        <v>0.60000000000036402</v>
      </c>
      <c r="BT23" s="2">
        <v>0.80000000000018201</v>
      </c>
      <c r="BU23" s="2">
        <v>0</v>
      </c>
      <c r="BV23" s="2"/>
      <c r="BW23" s="2"/>
      <c r="BX23" s="2"/>
      <c r="BY23" s="2"/>
      <c r="BZ23" s="2">
        <v>0.6</v>
      </c>
      <c r="CA23" s="2"/>
      <c r="CB23" s="2"/>
      <c r="CC23" s="2">
        <v>3.1</v>
      </c>
      <c r="CD23" s="2">
        <v>0.2</v>
      </c>
      <c r="CE23" s="2"/>
      <c r="CF23" s="2"/>
      <c r="CG23" s="2"/>
      <c r="CH23" s="2"/>
      <c r="CI23" s="2">
        <v>6.6</v>
      </c>
      <c r="CJ23" s="2"/>
      <c r="CK23" s="2">
        <v>8.3000000000000007</v>
      </c>
      <c r="CL23" s="2"/>
      <c r="CM23" s="2"/>
      <c r="CN23" s="2"/>
      <c r="CO23" s="2"/>
      <c r="CP23" s="2"/>
      <c r="CQ23" s="2">
        <v>40.1</v>
      </c>
      <c r="CR23" s="2">
        <v>1.2</v>
      </c>
      <c r="CS23" s="2">
        <v>5.3</v>
      </c>
      <c r="CT23" s="2"/>
      <c r="CU23" s="2"/>
      <c r="CV23" s="2"/>
      <c r="CW23" s="2">
        <v>48.5</v>
      </c>
      <c r="CX23" s="2">
        <v>1.3</v>
      </c>
      <c r="CY23" s="2"/>
      <c r="CZ23" s="2">
        <v>3</v>
      </c>
      <c r="DB23">
        <v>2010</v>
      </c>
      <c r="DC23">
        <v>48.5</v>
      </c>
      <c r="DE23" s="28">
        <v>1932</v>
      </c>
      <c r="DF23" s="27">
        <v>41070</v>
      </c>
      <c r="DG23">
        <v>49</v>
      </c>
      <c r="DH23">
        <v>22</v>
      </c>
    </row>
    <row r="24" spans="1:112">
      <c r="A24" s="1">
        <v>40931</v>
      </c>
      <c r="B24" s="2"/>
      <c r="C24" s="2"/>
      <c r="D24" s="2">
        <v>22.5</v>
      </c>
      <c r="E24" s="2">
        <v>1.1000000000000001</v>
      </c>
      <c r="F24" s="2">
        <v>4.5</v>
      </c>
      <c r="G24" s="2">
        <v>1.2</v>
      </c>
      <c r="H24" s="2">
        <v>2.9</v>
      </c>
      <c r="I24" s="2"/>
      <c r="J24" s="2">
        <v>0.1</v>
      </c>
      <c r="K24" s="2">
        <v>12.4</v>
      </c>
      <c r="L24" s="2"/>
      <c r="M24" s="2">
        <v>15.6</v>
      </c>
      <c r="N24" s="2"/>
      <c r="O24" s="2">
        <v>3</v>
      </c>
      <c r="P24" s="2">
        <v>0.3</v>
      </c>
      <c r="Q24" s="2">
        <v>6.6</v>
      </c>
      <c r="R24" s="2">
        <v>4.5</v>
      </c>
      <c r="S24" s="2">
        <v>1.2</v>
      </c>
      <c r="T24" s="2"/>
      <c r="U24" s="2"/>
      <c r="V24" s="2"/>
      <c r="W24" s="2">
        <v>4.4000000000000004</v>
      </c>
      <c r="X24" s="2">
        <v>12</v>
      </c>
      <c r="Y24" s="2"/>
      <c r="Z24" s="2">
        <v>0.29999999999972699</v>
      </c>
      <c r="AA24" s="2">
        <v>10.899999999994201</v>
      </c>
      <c r="AB24" s="2">
        <v>0</v>
      </c>
      <c r="AC24" s="2">
        <v>5.1999999999970896</v>
      </c>
      <c r="AD24" s="2">
        <v>0.69999999999981799</v>
      </c>
      <c r="AE24" s="2"/>
      <c r="AF24" s="2">
        <v>0.39999999999963598</v>
      </c>
      <c r="AG24" s="2">
        <v>24</v>
      </c>
      <c r="AH24" s="2"/>
      <c r="AI24" s="2"/>
      <c r="AJ24" s="2">
        <v>0.59999999999945397</v>
      </c>
      <c r="AK24" s="2"/>
      <c r="AL24" s="2"/>
      <c r="AM24" s="2">
        <v>1.5999999999985499</v>
      </c>
      <c r="AN24" s="2">
        <v>0.39999999999963598</v>
      </c>
      <c r="AO24" s="2">
        <v>26</v>
      </c>
      <c r="AP24" s="2">
        <v>2.0999999999985399</v>
      </c>
      <c r="AQ24" s="2">
        <v>2.1</v>
      </c>
      <c r="AR24" s="2"/>
      <c r="AS24" s="2">
        <v>5</v>
      </c>
      <c r="AT24" s="2">
        <v>5.1999999999970896</v>
      </c>
      <c r="AU24" s="2">
        <v>0.19999999999981799</v>
      </c>
      <c r="AV24" s="2"/>
      <c r="AW24" s="2">
        <v>10</v>
      </c>
      <c r="AX24" s="2"/>
      <c r="AY24" s="2"/>
      <c r="AZ24" s="2"/>
      <c r="BA24" s="2"/>
      <c r="BB24" s="2">
        <v>19.899999999994201</v>
      </c>
      <c r="BC24" s="2">
        <v>0.80000000000018201</v>
      </c>
      <c r="BD24" s="2"/>
      <c r="BE24" s="2">
        <v>5.0999999999985501</v>
      </c>
      <c r="BF24" s="2"/>
      <c r="BG24" s="2">
        <v>1.70000000000073</v>
      </c>
      <c r="BH24" s="2">
        <v>0</v>
      </c>
      <c r="BI24" s="2">
        <v>0.200000000000045</v>
      </c>
      <c r="BJ24" s="2"/>
      <c r="BK24" s="2">
        <v>0.100000000000023</v>
      </c>
      <c r="BL24" s="2">
        <v>0.5</v>
      </c>
      <c r="BM24" s="2">
        <v>0</v>
      </c>
      <c r="BN24" s="2">
        <v>0.100000000000023</v>
      </c>
      <c r="BO24" s="2"/>
      <c r="BP24" s="2">
        <v>0.5</v>
      </c>
      <c r="BQ24" s="2">
        <v>0.80000000000018201</v>
      </c>
      <c r="BR24" s="2"/>
      <c r="BS24" s="2"/>
      <c r="BT24" s="2">
        <v>9.6999999999970896</v>
      </c>
      <c r="BU24" s="2"/>
      <c r="BV24" s="2">
        <v>0.89999999999963598</v>
      </c>
      <c r="BW24" s="2"/>
      <c r="BX24" s="2"/>
      <c r="BY24" s="2">
        <v>0.2</v>
      </c>
      <c r="BZ24" s="2">
        <v>0.3</v>
      </c>
      <c r="CA24" s="2">
        <v>2.4</v>
      </c>
      <c r="CB24" s="2"/>
      <c r="CC24" s="2"/>
      <c r="CD24" s="2">
        <v>3.9</v>
      </c>
      <c r="CE24" s="2"/>
      <c r="CF24" s="2"/>
      <c r="CG24" s="2"/>
      <c r="CH24" s="2"/>
      <c r="CI24" s="2">
        <v>1.5</v>
      </c>
      <c r="CJ24" s="2"/>
      <c r="CK24" s="2">
        <v>3.7</v>
      </c>
      <c r="CL24" s="2">
        <v>0.5</v>
      </c>
      <c r="CM24" s="2"/>
      <c r="CN24" s="2"/>
      <c r="CO24" s="2"/>
      <c r="CP24" s="2">
        <v>5.7</v>
      </c>
      <c r="CQ24" s="2">
        <v>5.8</v>
      </c>
      <c r="CR24" s="2">
        <v>1.1000000000000001</v>
      </c>
      <c r="CS24" s="2">
        <v>1.4</v>
      </c>
      <c r="CT24" s="2"/>
      <c r="CU24" s="2">
        <v>8.4</v>
      </c>
      <c r="CV24" s="2">
        <v>3.5</v>
      </c>
      <c r="CW24" s="2">
        <v>7.6</v>
      </c>
      <c r="CX24" s="2">
        <v>12.2</v>
      </c>
      <c r="CY24" s="2"/>
      <c r="CZ24" s="2">
        <v>0.3</v>
      </c>
      <c r="DB24">
        <v>1950</v>
      </c>
      <c r="DC24">
        <v>26</v>
      </c>
      <c r="DE24" s="28">
        <v>1933</v>
      </c>
      <c r="DF24" s="27">
        <v>41257</v>
      </c>
      <c r="DG24">
        <v>48</v>
      </c>
      <c r="DH24">
        <v>23</v>
      </c>
    </row>
    <row r="25" spans="1:112">
      <c r="A25" s="1">
        <v>40932</v>
      </c>
      <c r="B25" s="2"/>
      <c r="C25" s="2"/>
      <c r="D25" s="2">
        <v>2.2999999999999998</v>
      </c>
      <c r="E25" s="2">
        <v>0.6</v>
      </c>
      <c r="F25" s="2"/>
      <c r="G25" s="2">
        <v>0.5</v>
      </c>
      <c r="H25" s="2"/>
      <c r="I25" s="2"/>
      <c r="J25" s="2">
        <v>0.7</v>
      </c>
      <c r="K25" s="2">
        <v>2.6</v>
      </c>
      <c r="L25" s="2"/>
      <c r="M25" s="2">
        <v>2.5</v>
      </c>
      <c r="N25" s="2"/>
      <c r="O25" s="2"/>
      <c r="P25" s="2"/>
      <c r="Q25" s="2">
        <v>1.5</v>
      </c>
      <c r="R25" s="2">
        <v>2.2000000000000002</v>
      </c>
      <c r="S25" s="2">
        <v>0.2</v>
      </c>
      <c r="T25" s="2"/>
      <c r="U25" s="2">
        <v>0.3</v>
      </c>
      <c r="V25" s="2"/>
      <c r="W25" s="2">
        <v>3.6</v>
      </c>
      <c r="X25" s="2">
        <v>4</v>
      </c>
      <c r="Y25" s="2">
        <v>3.5</v>
      </c>
      <c r="Z25" s="2"/>
      <c r="AA25" s="2"/>
      <c r="AB25" s="2">
        <v>0</v>
      </c>
      <c r="AC25" s="2">
        <v>0.5</v>
      </c>
      <c r="AD25" s="2">
        <v>0</v>
      </c>
      <c r="AE25" s="2"/>
      <c r="AF25" s="2">
        <v>1.39999999999964</v>
      </c>
      <c r="AG25" s="2">
        <v>0</v>
      </c>
      <c r="AH25" s="2"/>
      <c r="AI25" s="2"/>
      <c r="AJ25" s="2">
        <v>0.19999999999981799</v>
      </c>
      <c r="AK25" s="2"/>
      <c r="AL25" s="2"/>
      <c r="AM25" s="2"/>
      <c r="AN25" s="2">
        <v>0.19999999999981799</v>
      </c>
      <c r="AO25" s="2">
        <v>2</v>
      </c>
      <c r="AP25" s="2"/>
      <c r="AQ25" s="2"/>
      <c r="AR25" s="2"/>
      <c r="AS25" s="2">
        <v>5.6</v>
      </c>
      <c r="AT25" s="2">
        <v>0.5</v>
      </c>
      <c r="AU25" s="2"/>
      <c r="AV25" s="2">
        <v>0.19999999999981799</v>
      </c>
      <c r="AW25" s="2">
        <v>6.6999999999970896</v>
      </c>
      <c r="AX25" s="2"/>
      <c r="AY25" s="2"/>
      <c r="AZ25" s="2">
        <v>1.5</v>
      </c>
      <c r="BA25" s="2"/>
      <c r="BB25" s="2">
        <v>1</v>
      </c>
      <c r="BC25" s="2">
        <v>0.80000000000018201</v>
      </c>
      <c r="BD25" s="2">
        <v>3</v>
      </c>
      <c r="BE25" s="2">
        <v>1.20000000000073</v>
      </c>
      <c r="BF25" s="2">
        <v>2.0999999999985399</v>
      </c>
      <c r="BG25" s="2"/>
      <c r="BH25" s="2"/>
      <c r="BI25" s="2">
        <v>3.0999999999985399</v>
      </c>
      <c r="BJ25" s="2">
        <v>0</v>
      </c>
      <c r="BK25" s="2">
        <v>1.60000000000036</v>
      </c>
      <c r="BL25" s="2">
        <v>0.100000000000023</v>
      </c>
      <c r="BM25" s="2"/>
      <c r="BN25" s="2"/>
      <c r="BO25" s="2"/>
      <c r="BP25" s="2">
        <v>2</v>
      </c>
      <c r="BQ25" s="2">
        <v>0.60000000000036402</v>
      </c>
      <c r="BR25" s="2"/>
      <c r="BS25" s="2">
        <v>0.100000000000023</v>
      </c>
      <c r="BT25" s="2">
        <v>8.1999999999970896</v>
      </c>
      <c r="BU25" s="2">
        <v>0.89999999999963598</v>
      </c>
      <c r="BV25" s="2">
        <v>0.200000000000045</v>
      </c>
      <c r="BW25" s="2">
        <v>0.4</v>
      </c>
      <c r="BX25" s="2"/>
      <c r="BY25" s="2">
        <v>0.4</v>
      </c>
      <c r="BZ25" s="2">
        <v>6</v>
      </c>
      <c r="CA25" s="2">
        <v>2</v>
      </c>
      <c r="CB25" s="2"/>
      <c r="CC25" s="2"/>
      <c r="CD25" s="2">
        <v>1.5</v>
      </c>
      <c r="CE25" s="2">
        <v>1.7</v>
      </c>
      <c r="CF25" s="2"/>
      <c r="CG25" s="2"/>
      <c r="CH25" s="2">
        <v>5.7</v>
      </c>
      <c r="CI25" s="2"/>
      <c r="CJ25" s="2"/>
      <c r="CK25" s="2">
        <v>0</v>
      </c>
      <c r="CL25" s="2"/>
      <c r="CM25" s="2">
        <v>30.2</v>
      </c>
      <c r="CN25" s="2"/>
      <c r="CO25" s="2"/>
      <c r="CP25" s="2">
        <v>0.3</v>
      </c>
      <c r="CQ25" s="2"/>
      <c r="CR25" s="2"/>
      <c r="CS25" s="2">
        <v>3.2</v>
      </c>
      <c r="CT25" s="2"/>
      <c r="CU25" s="2">
        <v>0.8</v>
      </c>
      <c r="CV25" s="2">
        <v>0.1</v>
      </c>
      <c r="CW25" s="2">
        <v>1</v>
      </c>
      <c r="CX25" s="2">
        <v>9.8000000000000007</v>
      </c>
      <c r="CY25" s="2">
        <v>2.6</v>
      </c>
      <c r="CZ25" s="2">
        <v>6.2</v>
      </c>
      <c r="DB25">
        <v>2000</v>
      </c>
      <c r="DC25">
        <v>30.2</v>
      </c>
      <c r="DE25" s="28">
        <v>1934</v>
      </c>
      <c r="DF25" s="27">
        <v>40939</v>
      </c>
      <c r="DG25">
        <v>66</v>
      </c>
      <c r="DH25">
        <v>24</v>
      </c>
    </row>
    <row r="26" spans="1:112">
      <c r="A26" s="1">
        <v>40933</v>
      </c>
      <c r="B26" s="2"/>
      <c r="C26" s="2">
        <v>1</v>
      </c>
      <c r="D26" s="2"/>
      <c r="E26" s="2"/>
      <c r="F26" s="2"/>
      <c r="G26" s="2">
        <v>1.2</v>
      </c>
      <c r="H26" s="2">
        <v>13.2</v>
      </c>
      <c r="I26" s="2">
        <v>4.4000000000000004</v>
      </c>
      <c r="J26" s="2">
        <v>0.9</v>
      </c>
      <c r="K26" s="2"/>
      <c r="L26" s="2">
        <v>3.5</v>
      </c>
      <c r="M26" s="2">
        <v>8.3000000000000007</v>
      </c>
      <c r="N26" s="2"/>
      <c r="O26" s="2"/>
      <c r="P26" s="2"/>
      <c r="Q26" s="2"/>
      <c r="R26" s="2">
        <v>0.7</v>
      </c>
      <c r="S26" s="2"/>
      <c r="T26" s="2"/>
      <c r="U26" s="2"/>
      <c r="V26" s="2">
        <v>0</v>
      </c>
      <c r="W26" s="2">
        <v>13.6</v>
      </c>
      <c r="X26" s="2">
        <v>5.8</v>
      </c>
      <c r="Y26" s="2"/>
      <c r="Z26" s="2">
        <v>0.19999999999981799</v>
      </c>
      <c r="AA26" s="2"/>
      <c r="AB26" s="2">
        <v>25.5</v>
      </c>
      <c r="AC26" s="2">
        <v>2.6999999999970901</v>
      </c>
      <c r="AD26" s="2">
        <v>1</v>
      </c>
      <c r="AE26" s="2">
        <v>2.1999999999970901</v>
      </c>
      <c r="AF26" s="2">
        <v>0.1</v>
      </c>
      <c r="AG26" s="2">
        <v>0.59999999999945397</v>
      </c>
      <c r="AH26" s="2">
        <v>3.3999999999978199</v>
      </c>
      <c r="AI26" s="2"/>
      <c r="AJ26" s="2">
        <v>26</v>
      </c>
      <c r="AK26" s="2">
        <v>1.4</v>
      </c>
      <c r="AL26" s="2">
        <v>8.6999999999999993</v>
      </c>
      <c r="AM26" s="2"/>
      <c r="AN26" s="2">
        <v>0</v>
      </c>
      <c r="AO26" s="2">
        <v>3.4</v>
      </c>
      <c r="AP26" s="2"/>
      <c r="AQ26" s="2">
        <v>2.0999999999985399</v>
      </c>
      <c r="AR26" s="2"/>
      <c r="AS26" s="2">
        <v>2.2000000000000002</v>
      </c>
      <c r="AT26" s="2"/>
      <c r="AU26" s="2">
        <v>22</v>
      </c>
      <c r="AV26" s="2">
        <v>2.5999999999985399</v>
      </c>
      <c r="AW26" s="2">
        <v>14.5</v>
      </c>
      <c r="AX26" s="2">
        <v>30</v>
      </c>
      <c r="AY26" s="2"/>
      <c r="AZ26" s="2">
        <v>5</v>
      </c>
      <c r="BA26" s="2"/>
      <c r="BB26" s="2">
        <v>1</v>
      </c>
      <c r="BC26" s="2"/>
      <c r="BD26" s="2">
        <v>17.799999999988401</v>
      </c>
      <c r="BE26" s="2">
        <v>4.8</v>
      </c>
      <c r="BF26" s="2"/>
      <c r="BG26" s="2">
        <v>8</v>
      </c>
      <c r="BH26" s="2">
        <v>3.4000000000014601</v>
      </c>
      <c r="BI26" s="2">
        <v>0.400000000000091</v>
      </c>
      <c r="BJ26" s="2"/>
      <c r="BK26" s="2">
        <v>1.29999999999927</v>
      </c>
      <c r="BL26" s="2">
        <v>1.79999999999927</v>
      </c>
      <c r="BM26" s="2">
        <v>5</v>
      </c>
      <c r="BN26" s="2"/>
      <c r="BO26" s="2">
        <v>0.100000000000023</v>
      </c>
      <c r="BP26" s="2">
        <v>0.30000000000018201</v>
      </c>
      <c r="BQ26" s="2">
        <v>2.7999999999992702</v>
      </c>
      <c r="BR26" s="2">
        <v>0.100000000000023</v>
      </c>
      <c r="BS26" s="2">
        <v>11.100000000005799</v>
      </c>
      <c r="BT26" s="2">
        <v>0.200000000000045</v>
      </c>
      <c r="BU26" s="2">
        <v>8.3999999999941792</v>
      </c>
      <c r="BV26" s="2">
        <v>0</v>
      </c>
      <c r="BW26" s="2">
        <v>3.6</v>
      </c>
      <c r="BX26" s="2">
        <v>10</v>
      </c>
      <c r="BY26" s="2">
        <v>37.6</v>
      </c>
      <c r="BZ26" s="2">
        <v>0.1</v>
      </c>
      <c r="CA26" s="2"/>
      <c r="CB26" s="2"/>
      <c r="CC26" s="2"/>
      <c r="CD26" s="2">
        <v>0.2</v>
      </c>
      <c r="CE26" s="2">
        <v>3.1</v>
      </c>
      <c r="CF26" s="2"/>
      <c r="CG26" s="2"/>
      <c r="CH26" s="2"/>
      <c r="CI26" s="2"/>
      <c r="CJ26" s="2"/>
      <c r="CK26" s="2">
        <v>4</v>
      </c>
      <c r="CL26" s="2"/>
      <c r="CM26" s="2">
        <v>5.4</v>
      </c>
      <c r="CN26" s="2"/>
      <c r="CO26" s="2">
        <v>0.8</v>
      </c>
      <c r="CP26" s="2">
        <v>0.5</v>
      </c>
      <c r="CQ26" s="2">
        <v>2.5</v>
      </c>
      <c r="CR26" s="2">
        <v>1.7</v>
      </c>
      <c r="CS26" s="2">
        <v>18.600000000000001</v>
      </c>
      <c r="CT26" s="2"/>
      <c r="CU26" s="2"/>
      <c r="CV26" s="2">
        <v>9.4</v>
      </c>
      <c r="CW26" s="2">
        <v>4.5</v>
      </c>
      <c r="CX26" s="2">
        <v>11.1</v>
      </c>
      <c r="CY26" s="2">
        <v>7.7</v>
      </c>
      <c r="CZ26" s="2">
        <v>2.7</v>
      </c>
      <c r="DB26">
        <v>1986</v>
      </c>
      <c r="DC26">
        <v>37.6</v>
      </c>
      <c r="DE26" s="28">
        <v>1935</v>
      </c>
      <c r="DF26" s="27">
        <v>40949</v>
      </c>
      <c r="DG26">
        <v>45.599999999976703</v>
      </c>
      <c r="DH26">
        <v>25</v>
      </c>
    </row>
    <row r="27" spans="1:112">
      <c r="A27" s="1">
        <v>40934</v>
      </c>
      <c r="B27" s="2"/>
      <c r="C27" s="2"/>
      <c r="D27" s="2"/>
      <c r="E27" s="2"/>
      <c r="F27" s="2">
        <v>0.5</v>
      </c>
      <c r="G27" s="2">
        <v>0.7</v>
      </c>
      <c r="H27" s="2">
        <v>19.899999999999999</v>
      </c>
      <c r="I27" s="2">
        <v>10.7</v>
      </c>
      <c r="J27" s="2">
        <v>0.7</v>
      </c>
      <c r="K27" s="2"/>
      <c r="L27" s="2"/>
      <c r="M27" s="2">
        <v>0.1</v>
      </c>
      <c r="N27" s="2"/>
      <c r="O27" s="2"/>
      <c r="P27" s="2"/>
      <c r="Q27" s="2"/>
      <c r="R27" s="2">
        <v>0.3</v>
      </c>
      <c r="S27" s="2">
        <v>0.7</v>
      </c>
      <c r="T27" s="2"/>
      <c r="U27" s="2">
        <v>3.6</v>
      </c>
      <c r="V27" s="2">
        <v>39.1</v>
      </c>
      <c r="W27" s="2">
        <v>0.2</v>
      </c>
      <c r="X27" s="2">
        <v>1.6</v>
      </c>
      <c r="Y27" s="2"/>
      <c r="Z27" s="2">
        <v>0.5</v>
      </c>
      <c r="AA27" s="2"/>
      <c r="AB27" s="2"/>
      <c r="AC27" s="2">
        <v>0.5</v>
      </c>
      <c r="AD27" s="2">
        <v>0.39999999999963598</v>
      </c>
      <c r="AE27" s="2">
        <v>1.89999999999964</v>
      </c>
      <c r="AF27" s="2">
        <v>3.8</v>
      </c>
      <c r="AG27" s="2">
        <v>1.1999999999989099</v>
      </c>
      <c r="AH27" s="2">
        <v>9.6999999999999993</v>
      </c>
      <c r="AI27" s="2">
        <v>2.2999999999992702</v>
      </c>
      <c r="AJ27" s="2">
        <v>1.5999999999985499</v>
      </c>
      <c r="AK27" s="2">
        <v>0</v>
      </c>
      <c r="AL27" s="2">
        <v>10.1</v>
      </c>
      <c r="AM27" s="2"/>
      <c r="AN27" s="2">
        <v>4</v>
      </c>
      <c r="AO27" s="2">
        <v>1.5</v>
      </c>
      <c r="AP27" s="2">
        <v>5.5</v>
      </c>
      <c r="AQ27" s="2">
        <v>3.6999999999970901</v>
      </c>
      <c r="AR27" s="2">
        <v>33.599999999976703</v>
      </c>
      <c r="AS27" s="2">
        <v>15.2</v>
      </c>
      <c r="AT27" s="2"/>
      <c r="AU27" s="2"/>
      <c r="AV27" s="2"/>
      <c r="AW27" s="2">
        <v>7</v>
      </c>
      <c r="AX27" s="2">
        <v>20</v>
      </c>
      <c r="AY27" s="2"/>
      <c r="AZ27" s="2">
        <v>4.6999999999970896</v>
      </c>
      <c r="BA27" s="2"/>
      <c r="BB27" s="2">
        <v>0</v>
      </c>
      <c r="BC27" s="2"/>
      <c r="BD27" s="2">
        <v>2.5</v>
      </c>
      <c r="BE27" s="2"/>
      <c r="BF27" s="2">
        <v>7.1999999999970896</v>
      </c>
      <c r="BG27" s="2">
        <v>19.299999999988401</v>
      </c>
      <c r="BH27" s="2">
        <v>2</v>
      </c>
      <c r="BI27" s="2">
        <v>0.200000000000045</v>
      </c>
      <c r="BJ27" s="2"/>
      <c r="BK27" s="2">
        <v>1.39999999999964</v>
      </c>
      <c r="BL27" s="2">
        <v>9.3000000000029104</v>
      </c>
      <c r="BM27" s="2"/>
      <c r="BN27" s="2">
        <v>0.30000000000018201</v>
      </c>
      <c r="BO27" s="2"/>
      <c r="BP27" s="2">
        <v>0.200000000000045</v>
      </c>
      <c r="BQ27" s="2">
        <v>9.8000000000029104</v>
      </c>
      <c r="BR27" s="2">
        <v>2</v>
      </c>
      <c r="BS27" s="2">
        <v>9.5</v>
      </c>
      <c r="BT27" s="2">
        <v>7</v>
      </c>
      <c r="BU27" s="2">
        <v>1.39999999999964</v>
      </c>
      <c r="BV27" s="2"/>
      <c r="BW27" s="2">
        <v>1.9</v>
      </c>
      <c r="BX27" s="2">
        <v>0.2</v>
      </c>
      <c r="BY27" s="2">
        <v>11.5</v>
      </c>
      <c r="BZ27" s="2"/>
      <c r="CA27" s="2">
        <v>1.9</v>
      </c>
      <c r="CB27" s="2"/>
      <c r="CC27" s="2"/>
      <c r="CD27" s="2"/>
      <c r="CE27" s="2">
        <v>1</v>
      </c>
      <c r="CF27" s="2">
        <v>15.4</v>
      </c>
      <c r="CG27" s="2"/>
      <c r="CH27" s="2">
        <v>7.2</v>
      </c>
      <c r="CI27" s="2"/>
      <c r="CJ27" s="2">
        <v>0</v>
      </c>
      <c r="CK27" s="2">
        <v>7.8</v>
      </c>
      <c r="CL27" s="2"/>
      <c r="CM27" s="2">
        <v>0.2</v>
      </c>
      <c r="CN27" s="2"/>
      <c r="CO27" s="2"/>
      <c r="CP27" s="2">
        <v>0.5</v>
      </c>
      <c r="CQ27" s="2">
        <v>4</v>
      </c>
      <c r="CR27" s="2">
        <v>7.3</v>
      </c>
      <c r="CS27" s="2">
        <v>2.7</v>
      </c>
      <c r="CT27" s="2"/>
      <c r="CU27" s="2"/>
      <c r="CV27" s="2">
        <v>1.2</v>
      </c>
      <c r="CW27" s="2">
        <v>0.1</v>
      </c>
      <c r="CX27" s="2">
        <v>2.2999999999999998</v>
      </c>
      <c r="CY27" s="2">
        <v>5.5</v>
      </c>
      <c r="CZ27" s="2">
        <v>7.2</v>
      </c>
      <c r="DB27">
        <v>1931</v>
      </c>
      <c r="DC27">
        <v>39.1</v>
      </c>
      <c r="DE27" s="28">
        <v>1936</v>
      </c>
      <c r="DF27" s="27">
        <v>40947</v>
      </c>
      <c r="DG27">
        <v>57.5</v>
      </c>
      <c r="DH27">
        <v>26</v>
      </c>
    </row>
    <row r="28" spans="1:112">
      <c r="A28" s="1">
        <v>40935</v>
      </c>
      <c r="B28" s="2"/>
      <c r="C28" s="2"/>
      <c r="D28" s="2">
        <v>7.4</v>
      </c>
      <c r="E28" s="2"/>
      <c r="F28" s="2">
        <v>0.8</v>
      </c>
      <c r="G28" s="2"/>
      <c r="H28" s="2">
        <v>0.7</v>
      </c>
      <c r="I28" s="2"/>
      <c r="J28" s="2"/>
      <c r="K28" s="2"/>
      <c r="L28" s="2">
        <v>1.4</v>
      </c>
      <c r="M28" s="2"/>
      <c r="N28" s="2"/>
      <c r="O28" s="2">
        <v>4.4000000000000004</v>
      </c>
      <c r="P28" s="2"/>
      <c r="Q28" s="2"/>
      <c r="R28" s="2">
        <v>0.1</v>
      </c>
      <c r="S28" s="2"/>
      <c r="T28" s="2">
        <v>0.4</v>
      </c>
      <c r="U28" s="2">
        <v>0.4</v>
      </c>
      <c r="V28" s="2">
        <v>9.5</v>
      </c>
      <c r="W28" s="2">
        <v>2.2000000000000002</v>
      </c>
      <c r="X28" s="2"/>
      <c r="Y28" s="2"/>
      <c r="Z28" s="2">
        <v>6.0999999999985501</v>
      </c>
      <c r="AA28" s="2"/>
      <c r="AB28" s="2">
        <v>1.5999999999985499</v>
      </c>
      <c r="AC28" s="2"/>
      <c r="AD28" s="2">
        <v>0</v>
      </c>
      <c r="AE28" s="2">
        <v>17.299999999988401</v>
      </c>
      <c r="AF28" s="2">
        <v>11.2</v>
      </c>
      <c r="AG28" s="2">
        <v>5.5</v>
      </c>
      <c r="AH28" s="2">
        <v>26.2</v>
      </c>
      <c r="AI28" s="2">
        <v>1.1999999999989099</v>
      </c>
      <c r="AJ28" s="2"/>
      <c r="AK28" s="2"/>
      <c r="AL28" s="2">
        <v>7</v>
      </c>
      <c r="AM28" s="2"/>
      <c r="AN28" s="2">
        <v>1.29999999999927</v>
      </c>
      <c r="AO28" s="2"/>
      <c r="AP28" s="2">
        <v>12.5</v>
      </c>
      <c r="AQ28" s="2"/>
      <c r="AR28" s="2">
        <v>4.3999999999941801</v>
      </c>
      <c r="AS28" s="2">
        <v>3</v>
      </c>
      <c r="AT28" s="2"/>
      <c r="AU28" s="2"/>
      <c r="AV28" s="2"/>
      <c r="AW28" s="2">
        <v>37.699999999953398</v>
      </c>
      <c r="AX28" s="2">
        <v>7.6999999999970896</v>
      </c>
      <c r="AY28" s="2"/>
      <c r="AZ28" s="2">
        <v>13.5</v>
      </c>
      <c r="BA28" s="2"/>
      <c r="BB28" s="2">
        <v>12</v>
      </c>
      <c r="BC28" s="2">
        <v>0</v>
      </c>
      <c r="BD28" s="2">
        <v>0.5</v>
      </c>
      <c r="BE28" s="2">
        <v>5.1999999999970896</v>
      </c>
      <c r="BF28" s="2">
        <v>0.89999999999963598</v>
      </c>
      <c r="BG28" s="2">
        <v>17.700000000011599</v>
      </c>
      <c r="BH28" s="2">
        <v>24</v>
      </c>
      <c r="BI28" s="2">
        <v>0.100000000000023</v>
      </c>
      <c r="BJ28" s="2"/>
      <c r="BK28" s="2">
        <v>0.100000000000023</v>
      </c>
      <c r="BL28" s="2">
        <v>0.89999999999963598</v>
      </c>
      <c r="BM28" s="2">
        <v>0.100000000000023</v>
      </c>
      <c r="BN28" s="2">
        <v>0.400000000000091</v>
      </c>
      <c r="BO28" s="2"/>
      <c r="BP28" s="2">
        <v>2.7000000000007298</v>
      </c>
      <c r="BQ28" s="2">
        <v>5.3000000000029104</v>
      </c>
      <c r="BR28" s="2">
        <v>0.200000000000045</v>
      </c>
      <c r="BS28" s="2">
        <v>40</v>
      </c>
      <c r="BT28" s="2">
        <v>19.600000000005799</v>
      </c>
      <c r="BU28" s="2">
        <v>0.200000000000045</v>
      </c>
      <c r="BV28" s="2"/>
      <c r="BW28" s="2">
        <v>4.2</v>
      </c>
      <c r="BX28" s="2"/>
      <c r="BY28" s="2">
        <v>2.6</v>
      </c>
      <c r="BZ28" s="2">
        <v>0.8</v>
      </c>
      <c r="CA28" s="2"/>
      <c r="CB28" s="2"/>
      <c r="CC28" s="2">
        <v>0.8</v>
      </c>
      <c r="CD28" s="2"/>
      <c r="CE28" s="2"/>
      <c r="CF28" s="2"/>
      <c r="CG28" s="2">
        <v>6.6</v>
      </c>
      <c r="CH28" s="2">
        <v>7.6</v>
      </c>
      <c r="CI28" s="2">
        <v>0.1</v>
      </c>
      <c r="CJ28" s="2"/>
      <c r="CK28" s="2">
        <v>9.6999999999999993</v>
      </c>
      <c r="CL28" s="2"/>
      <c r="CM28" s="2"/>
      <c r="CN28" s="2"/>
      <c r="CO28" s="2"/>
      <c r="CP28" s="2">
        <v>2.8</v>
      </c>
      <c r="CQ28" s="2">
        <v>1.9</v>
      </c>
      <c r="CR28" s="2">
        <v>20.6</v>
      </c>
      <c r="CS28" s="2">
        <v>1.3</v>
      </c>
      <c r="CT28" s="2">
        <v>13.3</v>
      </c>
      <c r="CU28" s="2">
        <v>5.7</v>
      </c>
      <c r="CV28" s="2"/>
      <c r="CW28" s="2">
        <v>9.3000000000000007</v>
      </c>
      <c r="CX28" s="2"/>
      <c r="CY28" s="2">
        <v>3.5</v>
      </c>
      <c r="CZ28" s="2">
        <v>7.2</v>
      </c>
      <c r="DB28">
        <v>1980</v>
      </c>
      <c r="DC28">
        <v>40</v>
      </c>
      <c r="DE28" s="28">
        <v>1937</v>
      </c>
      <c r="DF28" s="27">
        <v>41197</v>
      </c>
      <c r="DG28">
        <v>53</v>
      </c>
      <c r="DH28">
        <v>27</v>
      </c>
    </row>
    <row r="29" spans="1:112">
      <c r="A29" s="1">
        <v>40936</v>
      </c>
      <c r="B29" s="2"/>
      <c r="C29" s="2">
        <v>7</v>
      </c>
      <c r="D29" s="2"/>
      <c r="E29" s="2"/>
      <c r="F29" s="2">
        <v>0.1</v>
      </c>
      <c r="G29" s="2"/>
      <c r="H29" s="2"/>
      <c r="I29" s="2"/>
      <c r="J29" s="2"/>
      <c r="K29" s="2"/>
      <c r="L29" s="2">
        <v>8.6999999999999993</v>
      </c>
      <c r="M29" s="2">
        <v>1</v>
      </c>
      <c r="N29" s="2">
        <v>3.8</v>
      </c>
      <c r="O29" s="2">
        <v>1.2</v>
      </c>
      <c r="P29" s="2"/>
      <c r="Q29" s="2"/>
      <c r="R29" s="2">
        <v>0.5</v>
      </c>
      <c r="S29" s="2">
        <v>1.2</v>
      </c>
      <c r="T29" s="2"/>
      <c r="U29" s="2"/>
      <c r="V29" s="2">
        <v>4.8</v>
      </c>
      <c r="W29" s="2">
        <v>11.8</v>
      </c>
      <c r="X29" s="2"/>
      <c r="Y29" s="2"/>
      <c r="Z29" s="2">
        <v>5.5999999999985501</v>
      </c>
      <c r="AA29" s="2">
        <v>0.89999999999963598</v>
      </c>
      <c r="AB29" s="2"/>
      <c r="AC29" s="2"/>
      <c r="AD29" s="2">
        <v>2.5</v>
      </c>
      <c r="AE29" s="2">
        <v>0.29999999999972699</v>
      </c>
      <c r="AF29" s="2">
        <v>2.1</v>
      </c>
      <c r="AG29" s="2">
        <v>5</v>
      </c>
      <c r="AH29" s="2"/>
      <c r="AI29" s="2"/>
      <c r="AJ29" s="2"/>
      <c r="AK29" s="2"/>
      <c r="AL29" s="2">
        <v>0.1</v>
      </c>
      <c r="AM29" s="2"/>
      <c r="AN29" s="2">
        <v>0.5</v>
      </c>
      <c r="AO29" s="2">
        <v>0.5</v>
      </c>
      <c r="AP29" s="2">
        <v>0.29999999999972699</v>
      </c>
      <c r="AQ29" s="2">
        <v>4.2999999999956398</v>
      </c>
      <c r="AR29" s="2"/>
      <c r="AS29" s="2">
        <v>0.19999999999981799</v>
      </c>
      <c r="AT29" s="2"/>
      <c r="AU29" s="2">
        <v>3.6</v>
      </c>
      <c r="AV29" s="2"/>
      <c r="AW29" s="2">
        <v>19</v>
      </c>
      <c r="AX29" s="2">
        <v>4.79999999999563</v>
      </c>
      <c r="AY29" s="2"/>
      <c r="AZ29" s="2"/>
      <c r="BA29" s="2">
        <v>0.79999999999927196</v>
      </c>
      <c r="BB29" s="2">
        <v>0.59999999999945397</v>
      </c>
      <c r="BC29" s="2">
        <v>0.5</v>
      </c>
      <c r="BD29" s="2">
        <v>0.30000000000018201</v>
      </c>
      <c r="BE29" s="2">
        <v>17.200000000011599</v>
      </c>
      <c r="BF29" s="2">
        <v>8.6999999999970896</v>
      </c>
      <c r="BG29" s="2">
        <v>0</v>
      </c>
      <c r="BH29" s="2">
        <v>10.399999999994201</v>
      </c>
      <c r="BI29" s="2">
        <v>14.100000000005799</v>
      </c>
      <c r="BJ29" s="2">
        <v>17.299999999988401</v>
      </c>
      <c r="BK29" s="2"/>
      <c r="BL29" s="2">
        <v>1.70000000000073</v>
      </c>
      <c r="BM29" s="2">
        <v>0.100000000000023</v>
      </c>
      <c r="BN29" s="2">
        <v>0.60000000000036402</v>
      </c>
      <c r="BO29" s="2">
        <v>1.39999999999964</v>
      </c>
      <c r="BP29" s="2">
        <v>5.8000000000029104</v>
      </c>
      <c r="BQ29" s="2">
        <v>6.3000000000029104</v>
      </c>
      <c r="BR29" s="2"/>
      <c r="BS29" s="2">
        <v>16</v>
      </c>
      <c r="BT29" s="2">
        <v>14.5</v>
      </c>
      <c r="BU29" s="2">
        <v>1.70000000000073</v>
      </c>
      <c r="BV29" s="2"/>
      <c r="BW29" s="2">
        <v>0.1</v>
      </c>
      <c r="BX29" s="2">
        <v>10.7</v>
      </c>
      <c r="BY29" s="2"/>
      <c r="BZ29" s="2">
        <v>2.1</v>
      </c>
      <c r="CA29" s="2"/>
      <c r="CB29" s="2">
        <v>0.5</v>
      </c>
      <c r="CC29" s="2"/>
      <c r="CD29" s="2">
        <v>1</v>
      </c>
      <c r="CE29" s="2">
        <v>2.1</v>
      </c>
      <c r="CF29" s="2"/>
      <c r="CG29" s="2">
        <v>0.7</v>
      </c>
      <c r="CH29" s="2"/>
      <c r="CI29" s="2">
        <v>2.2999999999999998</v>
      </c>
      <c r="CJ29" s="2"/>
      <c r="CK29" s="2">
        <v>3.4</v>
      </c>
      <c r="CL29" s="2">
        <v>8.5</v>
      </c>
      <c r="CM29" s="2"/>
      <c r="CN29" s="2">
        <v>1.5</v>
      </c>
      <c r="CO29" s="2"/>
      <c r="CP29" s="2">
        <v>0.3</v>
      </c>
      <c r="CQ29" s="2">
        <v>2.2999999999999998</v>
      </c>
      <c r="CR29" s="2">
        <v>19.8</v>
      </c>
      <c r="CS29" s="2"/>
      <c r="CT29" s="2">
        <v>0.5</v>
      </c>
      <c r="CU29" s="2">
        <v>7</v>
      </c>
      <c r="CV29" s="2">
        <v>0.3</v>
      </c>
      <c r="CW29" s="2">
        <v>5.6</v>
      </c>
      <c r="CX29" s="2">
        <v>0.3</v>
      </c>
      <c r="CY29" s="2">
        <v>0.9</v>
      </c>
      <c r="CZ29" s="2">
        <v>1.5</v>
      </c>
      <c r="DB29">
        <v>2005</v>
      </c>
      <c r="DC29">
        <v>19.8</v>
      </c>
      <c r="DE29" s="28">
        <v>1938</v>
      </c>
      <c r="DF29" s="27">
        <v>41167</v>
      </c>
      <c r="DG29">
        <v>79.899999999906896</v>
      </c>
      <c r="DH29">
        <v>28</v>
      </c>
    </row>
    <row r="30" spans="1:112">
      <c r="A30" s="1">
        <v>40937</v>
      </c>
      <c r="B30" s="2"/>
      <c r="C30" s="2">
        <v>3.4</v>
      </c>
      <c r="D30" s="2"/>
      <c r="E30" s="2"/>
      <c r="F30" s="2"/>
      <c r="G30" s="2"/>
      <c r="H30" s="2">
        <v>2.8</v>
      </c>
      <c r="I30" s="2"/>
      <c r="J30" s="2">
        <v>2.2000000000000002</v>
      </c>
      <c r="K30" s="2">
        <v>2.4</v>
      </c>
      <c r="L30" s="2">
        <v>1.7</v>
      </c>
      <c r="M30" s="2">
        <v>1</v>
      </c>
      <c r="N30" s="2"/>
      <c r="O30" s="2"/>
      <c r="P30" s="2"/>
      <c r="Q30" s="2"/>
      <c r="R30" s="2">
        <v>0.4</v>
      </c>
      <c r="S30" s="2"/>
      <c r="T30" s="2">
        <v>2.7</v>
      </c>
      <c r="U30" s="2"/>
      <c r="V30" s="2"/>
      <c r="W30" s="2"/>
      <c r="X30" s="2"/>
      <c r="Y30" s="2">
        <v>2.7999999999992702</v>
      </c>
      <c r="Z30" s="2">
        <v>8.5</v>
      </c>
      <c r="AA30" s="2">
        <v>8.8999999999941792</v>
      </c>
      <c r="AB30" s="2">
        <v>5.6999999999970896</v>
      </c>
      <c r="AC30" s="2"/>
      <c r="AD30" s="2"/>
      <c r="AE30" s="2">
        <v>0</v>
      </c>
      <c r="AF30" s="2">
        <v>0</v>
      </c>
      <c r="AG30" s="2">
        <v>2</v>
      </c>
      <c r="AH30" s="2">
        <v>2</v>
      </c>
      <c r="AI30" s="2">
        <v>3</v>
      </c>
      <c r="AJ30" s="2">
        <v>42.5</v>
      </c>
      <c r="AK30" s="2">
        <v>3.3</v>
      </c>
      <c r="AL30" s="2"/>
      <c r="AM30" s="2"/>
      <c r="AN30" s="2">
        <v>0.5</v>
      </c>
      <c r="AO30" s="2">
        <v>0</v>
      </c>
      <c r="AP30" s="2">
        <v>2.0999999999985399</v>
      </c>
      <c r="AQ30" s="2">
        <v>2.7999999999992702</v>
      </c>
      <c r="AR30" s="2"/>
      <c r="AS30" s="2">
        <v>3.2999999999992702</v>
      </c>
      <c r="AT30" s="2"/>
      <c r="AU30" s="2">
        <v>5</v>
      </c>
      <c r="AV30" s="2">
        <v>2.0999999999985399</v>
      </c>
      <c r="AW30" s="2"/>
      <c r="AX30" s="2">
        <v>3.6999999999970901</v>
      </c>
      <c r="AY30" s="2"/>
      <c r="AZ30" s="2"/>
      <c r="BA30" s="2">
        <v>16.699999999982499</v>
      </c>
      <c r="BB30" s="2">
        <v>5</v>
      </c>
      <c r="BC30" s="2">
        <v>4.5</v>
      </c>
      <c r="BD30" s="2"/>
      <c r="BE30" s="2">
        <v>20.399999999994201</v>
      </c>
      <c r="BF30" s="2">
        <v>0.69999999999981799</v>
      </c>
      <c r="BG30" s="2">
        <v>7.3000000000029104</v>
      </c>
      <c r="BH30" s="2"/>
      <c r="BI30" s="2">
        <v>12.8000000000029</v>
      </c>
      <c r="BJ30" s="2">
        <v>0.100000000000023</v>
      </c>
      <c r="BK30" s="2"/>
      <c r="BL30" s="2">
        <v>1.5</v>
      </c>
      <c r="BM30" s="2">
        <v>0.30000000000018201</v>
      </c>
      <c r="BN30" s="2">
        <v>3</v>
      </c>
      <c r="BO30" s="2">
        <v>11</v>
      </c>
      <c r="BP30" s="2"/>
      <c r="BQ30" s="2"/>
      <c r="BR30" s="2"/>
      <c r="BS30" s="2">
        <v>0.200000000000045</v>
      </c>
      <c r="BT30" s="2">
        <v>3.5</v>
      </c>
      <c r="BU30" s="2">
        <v>14.100000000005799</v>
      </c>
      <c r="BV30" s="2">
        <v>0.100000000000023</v>
      </c>
      <c r="BW30" s="2">
        <v>0</v>
      </c>
      <c r="BX30" s="2">
        <v>17.5</v>
      </c>
      <c r="BY30" s="2">
        <v>7</v>
      </c>
      <c r="BZ30" s="2">
        <v>11.1</v>
      </c>
      <c r="CA30" s="2"/>
      <c r="CB30" s="2">
        <v>2.5</v>
      </c>
      <c r="CC30" s="2"/>
      <c r="CD30" s="2">
        <v>4.7</v>
      </c>
      <c r="CE30" s="2">
        <v>0.2</v>
      </c>
      <c r="CF30" s="2">
        <v>4.5999999999999996</v>
      </c>
      <c r="CG30" s="2">
        <v>36</v>
      </c>
      <c r="CH30" s="2">
        <v>0.3</v>
      </c>
      <c r="CI30" s="2"/>
      <c r="CJ30" s="2"/>
      <c r="CK30" s="2">
        <v>0.1</v>
      </c>
      <c r="CL30" s="2">
        <v>6.5</v>
      </c>
      <c r="CM30" s="2"/>
      <c r="CN30" s="2">
        <v>0.1</v>
      </c>
      <c r="CO30" s="2"/>
      <c r="CP30" s="2">
        <v>12.7</v>
      </c>
      <c r="CQ30" s="2">
        <v>15</v>
      </c>
      <c r="CR30" s="2">
        <v>34.1</v>
      </c>
      <c r="CS30" s="2">
        <v>0.1</v>
      </c>
      <c r="CT30" s="2">
        <v>0.8</v>
      </c>
      <c r="CU30" s="2">
        <v>1.8</v>
      </c>
      <c r="CV30" s="2">
        <v>7.1</v>
      </c>
      <c r="CW30" s="2">
        <v>19.7</v>
      </c>
      <c r="CX30" s="2">
        <v>8.1999999999999993</v>
      </c>
      <c r="CY30" s="2">
        <v>1</v>
      </c>
      <c r="CZ30" s="2">
        <v>0.2</v>
      </c>
      <c r="DB30">
        <v>1945</v>
      </c>
      <c r="DC30">
        <v>42.5</v>
      </c>
      <c r="DE30" s="28">
        <v>1939</v>
      </c>
      <c r="DF30" s="27">
        <v>41270</v>
      </c>
      <c r="DG30">
        <v>56.5</v>
      </c>
      <c r="DH30">
        <v>29</v>
      </c>
    </row>
    <row r="31" spans="1:112">
      <c r="A31" s="1">
        <v>40938</v>
      </c>
      <c r="B31" s="2"/>
      <c r="C31" s="2">
        <v>8.1</v>
      </c>
      <c r="D31" s="2">
        <v>0.9</v>
      </c>
      <c r="E31" s="2">
        <v>1.2</v>
      </c>
      <c r="F31" s="2">
        <v>11.3</v>
      </c>
      <c r="G31" s="2">
        <v>0.7</v>
      </c>
      <c r="H31" s="2">
        <v>6.4</v>
      </c>
      <c r="I31" s="2"/>
      <c r="J31" s="2">
        <v>0.9</v>
      </c>
      <c r="K31" s="2">
        <v>0.2</v>
      </c>
      <c r="L31" s="2"/>
      <c r="M31" s="2">
        <v>2.2000000000000002</v>
      </c>
      <c r="N31" s="2">
        <v>0.7</v>
      </c>
      <c r="O31" s="2"/>
      <c r="P31" s="2"/>
      <c r="Q31" s="2"/>
      <c r="R31" s="2"/>
      <c r="S31" s="2">
        <v>1.8</v>
      </c>
      <c r="T31" s="2">
        <v>6.3</v>
      </c>
      <c r="U31" s="2"/>
      <c r="V31" s="2"/>
      <c r="W31" s="2"/>
      <c r="X31" s="2">
        <v>1</v>
      </c>
      <c r="Y31" s="2">
        <v>5.8999999999941801</v>
      </c>
      <c r="Z31" s="2">
        <v>10.599999999991301</v>
      </c>
      <c r="AA31" s="2"/>
      <c r="AB31" s="2">
        <v>7.6999999999970896</v>
      </c>
      <c r="AC31" s="2"/>
      <c r="AD31" s="2"/>
      <c r="AE31" s="2">
        <v>1</v>
      </c>
      <c r="AF31" s="2"/>
      <c r="AG31" s="2">
        <v>1</v>
      </c>
      <c r="AH31" s="2"/>
      <c r="AI31" s="2">
        <v>0.39999999999963598</v>
      </c>
      <c r="AJ31" s="2">
        <v>22</v>
      </c>
      <c r="AK31" s="2"/>
      <c r="AL31" s="2">
        <v>0</v>
      </c>
      <c r="AM31" s="2">
        <v>0.39999999999963598</v>
      </c>
      <c r="AN31" s="2">
        <v>9.9999999999908995E-2</v>
      </c>
      <c r="AO31" s="2">
        <v>19.5</v>
      </c>
      <c r="AP31" s="2"/>
      <c r="AQ31" s="2">
        <v>0.69999999999981799</v>
      </c>
      <c r="AR31" s="2"/>
      <c r="AS31" s="2">
        <v>4.0999999999985501</v>
      </c>
      <c r="AT31" s="2"/>
      <c r="AU31" s="2">
        <v>2</v>
      </c>
      <c r="AV31" s="2">
        <v>2.6999999999970901</v>
      </c>
      <c r="AW31" s="2">
        <v>6.29999999999563</v>
      </c>
      <c r="AX31" s="2">
        <v>1.0999999999985499</v>
      </c>
      <c r="AY31" s="2"/>
      <c r="AZ31" s="2"/>
      <c r="BA31" s="2">
        <v>17.899999999994201</v>
      </c>
      <c r="BB31" s="2">
        <v>1.29999999999927</v>
      </c>
      <c r="BC31" s="2">
        <v>2.5</v>
      </c>
      <c r="BD31" s="2"/>
      <c r="BE31" s="2">
        <v>1.89999999999964</v>
      </c>
      <c r="BF31" s="2">
        <v>1.29999999999927</v>
      </c>
      <c r="BG31" s="2">
        <v>0.200000000000045</v>
      </c>
      <c r="BH31" s="2">
        <v>10.1999999999971</v>
      </c>
      <c r="BI31" s="2">
        <v>0.200000000000045</v>
      </c>
      <c r="BJ31" s="2"/>
      <c r="BK31" s="2"/>
      <c r="BL31" s="2">
        <v>5.3000000000029104</v>
      </c>
      <c r="BM31" s="2">
        <v>1.39999999999964</v>
      </c>
      <c r="BN31" s="2">
        <v>8.8000000000029104</v>
      </c>
      <c r="BO31" s="2">
        <v>0.80000000000018201</v>
      </c>
      <c r="BP31" s="2"/>
      <c r="BQ31" s="2">
        <v>14</v>
      </c>
      <c r="BR31" s="2">
        <v>11</v>
      </c>
      <c r="BS31" s="2"/>
      <c r="BT31" s="2">
        <v>0.30000000000018201</v>
      </c>
      <c r="BU31" s="2">
        <v>9.3999999999941792</v>
      </c>
      <c r="BV31" s="2">
        <v>0.70000000000038698</v>
      </c>
      <c r="BW31" s="2">
        <v>0.5</v>
      </c>
      <c r="BX31" s="2">
        <v>9.1</v>
      </c>
      <c r="BY31" s="2">
        <v>0.8</v>
      </c>
      <c r="BZ31" s="2">
        <v>33.5</v>
      </c>
      <c r="CA31" s="2">
        <v>0.3</v>
      </c>
      <c r="CB31" s="2">
        <v>0.8</v>
      </c>
      <c r="CC31" s="2"/>
      <c r="CD31" s="2">
        <v>4.4000000000000004</v>
      </c>
      <c r="CE31" s="2">
        <v>1</v>
      </c>
      <c r="CF31" s="2">
        <v>3.8</v>
      </c>
      <c r="CG31" s="2">
        <v>4.3</v>
      </c>
      <c r="CH31" s="2"/>
      <c r="CI31" s="2">
        <v>4.5</v>
      </c>
      <c r="CJ31" s="2"/>
      <c r="CK31" s="2">
        <v>0</v>
      </c>
      <c r="CL31" s="2">
        <v>9.4</v>
      </c>
      <c r="CM31" s="2">
        <v>1</v>
      </c>
      <c r="CN31" s="2"/>
      <c r="CO31" s="2"/>
      <c r="CP31" s="2">
        <v>5.2</v>
      </c>
      <c r="CQ31" s="2">
        <v>4.3</v>
      </c>
      <c r="CR31" s="2"/>
      <c r="CS31" s="2"/>
      <c r="CT31" s="2">
        <v>0.3</v>
      </c>
      <c r="CU31" s="2">
        <v>0.8</v>
      </c>
      <c r="CV31" s="2">
        <v>3.3</v>
      </c>
      <c r="CW31" s="2">
        <v>0.5</v>
      </c>
      <c r="CX31" s="2">
        <v>0.1</v>
      </c>
      <c r="CY31" s="2">
        <v>5.8</v>
      </c>
      <c r="CZ31" s="2"/>
      <c r="DB31">
        <v>1987</v>
      </c>
      <c r="DC31">
        <v>33.5</v>
      </c>
      <c r="DE31" s="28">
        <v>1940</v>
      </c>
      <c r="DF31" s="27">
        <v>41255</v>
      </c>
      <c r="DG31">
        <v>44.299999999988401</v>
      </c>
      <c r="DH31">
        <v>30</v>
      </c>
    </row>
    <row r="32" spans="1:112">
      <c r="A32" s="1">
        <v>40939</v>
      </c>
      <c r="B32" s="2"/>
      <c r="C32" s="2"/>
      <c r="D32" s="2">
        <v>0.5</v>
      </c>
      <c r="E32" s="2">
        <v>2.2999999999999998</v>
      </c>
      <c r="F32" s="2">
        <v>15.7</v>
      </c>
      <c r="G32" s="2"/>
      <c r="H32" s="2">
        <v>0.4</v>
      </c>
      <c r="I32" s="2"/>
      <c r="J32" s="2">
        <v>0.6</v>
      </c>
      <c r="K32" s="2"/>
      <c r="L32" s="2">
        <v>1.2</v>
      </c>
      <c r="M32" s="2"/>
      <c r="N32" s="2">
        <v>2.9</v>
      </c>
      <c r="O32" s="2">
        <v>6.8</v>
      </c>
      <c r="P32" s="2">
        <v>2.7</v>
      </c>
      <c r="Q32" s="2"/>
      <c r="R32" s="2"/>
      <c r="S32" s="2">
        <v>0.3</v>
      </c>
      <c r="T32" s="2">
        <v>3</v>
      </c>
      <c r="U32" s="2">
        <v>1.3</v>
      </c>
      <c r="V32" s="2">
        <v>2.7</v>
      </c>
      <c r="W32" s="2"/>
      <c r="X32" s="2">
        <v>0.6</v>
      </c>
      <c r="Y32" s="2">
        <v>66</v>
      </c>
      <c r="Z32" s="2">
        <v>0.69999999999981799</v>
      </c>
      <c r="AA32" s="2"/>
      <c r="AB32" s="2">
        <v>0.39999999999963598</v>
      </c>
      <c r="AC32" s="2">
        <v>8.1999999999970896</v>
      </c>
      <c r="AD32" s="2">
        <v>15.299999999988399</v>
      </c>
      <c r="AE32" s="2">
        <v>0.19999999999981799</v>
      </c>
      <c r="AF32" s="2">
        <v>0.79999999999927196</v>
      </c>
      <c r="AG32" s="2">
        <v>14.5</v>
      </c>
      <c r="AH32" s="2"/>
      <c r="AI32" s="2">
        <v>0.29999999999972699</v>
      </c>
      <c r="AJ32" s="2">
        <v>7.5</v>
      </c>
      <c r="AK32" s="2">
        <v>3.3999999999978199</v>
      </c>
      <c r="AL32" s="2">
        <v>1.9</v>
      </c>
      <c r="AM32" s="2"/>
      <c r="AN32" s="2"/>
      <c r="AO32" s="2">
        <v>2</v>
      </c>
      <c r="AP32" s="2">
        <v>3.0999999999985399</v>
      </c>
      <c r="AQ32" s="2">
        <v>2</v>
      </c>
      <c r="AR32" s="2"/>
      <c r="AS32" s="2">
        <v>3.6999999999970901</v>
      </c>
      <c r="AT32" s="2"/>
      <c r="AU32" s="2">
        <v>2.7</v>
      </c>
      <c r="AV32" s="2">
        <v>3.5</v>
      </c>
      <c r="AW32" s="2"/>
      <c r="AX32" s="2">
        <v>1.79999999999927</v>
      </c>
      <c r="AY32" s="2"/>
      <c r="AZ32" s="2"/>
      <c r="BA32" s="2">
        <v>6.29999999999563</v>
      </c>
      <c r="BB32" s="2">
        <v>2.1999999999970901</v>
      </c>
      <c r="BC32" s="2">
        <v>20.399999999994201</v>
      </c>
      <c r="BD32" s="2"/>
      <c r="BE32" s="2"/>
      <c r="BF32" s="2">
        <v>0</v>
      </c>
      <c r="BG32" s="2"/>
      <c r="BH32" s="2">
        <v>0.100000000000023</v>
      </c>
      <c r="BI32" s="2">
        <v>6.6999999999970896</v>
      </c>
      <c r="BJ32" s="2"/>
      <c r="BK32" s="2"/>
      <c r="BL32" s="2">
        <v>0.100000000000023</v>
      </c>
      <c r="BM32" s="2">
        <v>0.100000000000023</v>
      </c>
      <c r="BN32" s="2">
        <v>15</v>
      </c>
      <c r="BO32" s="2"/>
      <c r="BP32" s="2"/>
      <c r="BQ32" s="2">
        <v>0.200000000000045</v>
      </c>
      <c r="BR32" s="2">
        <v>6.5</v>
      </c>
      <c r="BS32" s="2"/>
      <c r="BT32" s="2"/>
      <c r="BU32" s="2">
        <v>0.89999999999963598</v>
      </c>
      <c r="BV32" s="2">
        <v>20.199999999998099</v>
      </c>
      <c r="BW32" s="2"/>
      <c r="BX32" s="2">
        <v>0.2</v>
      </c>
      <c r="BY32" s="2"/>
      <c r="BZ32" s="2">
        <v>0.8</v>
      </c>
      <c r="CA32" s="2">
        <v>5.2</v>
      </c>
      <c r="CB32" s="2">
        <v>1</v>
      </c>
      <c r="CC32" s="2">
        <v>0.2</v>
      </c>
      <c r="CD32" s="2">
        <v>4.5</v>
      </c>
      <c r="CE32" s="2">
        <v>4.8</v>
      </c>
      <c r="CF32" s="2">
        <v>0.2</v>
      </c>
      <c r="CG32" s="2"/>
      <c r="CH32" s="2"/>
      <c r="CI32" s="2">
        <v>1.7</v>
      </c>
      <c r="CJ32" s="2"/>
      <c r="CK32" s="2"/>
      <c r="CL32" s="2">
        <v>2.2999999999999998</v>
      </c>
      <c r="CM32" s="2">
        <v>0.5</v>
      </c>
      <c r="CN32" s="2">
        <v>13</v>
      </c>
      <c r="CO32" s="2"/>
      <c r="CP32" s="2">
        <v>8.1999999999999993</v>
      </c>
      <c r="CQ32" s="2"/>
      <c r="CR32" s="2"/>
      <c r="CS32" s="2"/>
      <c r="CT32" s="2">
        <v>0.5</v>
      </c>
      <c r="CU32" s="2"/>
      <c r="CV32" s="2">
        <v>1.3</v>
      </c>
      <c r="CW32" s="2">
        <v>5.3</v>
      </c>
      <c r="CX32" s="2">
        <v>0.1</v>
      </c>
      <c r="CY32" s="2">
        <v>4.3</v>
      </c>
      <c r="CZ32" s="2">
        <v>11.2</v>
      </c>
      <c r="DB32">
        <v>1934</v>
      </c>
      <c r="DC32">
        <v>66</v>
      </c>
      <c r="DE32" s="28">
        <v>1941</v>
      </c>
      <c r="DF32" s="27">
        <v>41195</v>
      </c>
      <c r="DG32">
        <v>53.599999999976703</v>
      </c>
      <c r="DH32">
        <v>31</v>
      </c>
    </row>
    <row r="33" spans="1:112">
      <c r="A33" s="1">
        <v>40940</v>
      </c>
      <c r="B33" s="2"/>
      <c r="C33" s="2">
        <v>6</v>
      </c>
      <c r="D33" s="2"/>
      <c r="E33" s="2"/>
      <c r="F33" s="2">
        <v>3.3</v>
      </c>
      <c r="G33" s="2">
        <v>0.1</v>
      </c>
      <c r="H33" s="2">
        <v>2.8</v>
      </c>
      <c r="I33" s="2">
        <v>3.4</v>
      </c>
      <c r="J33" s="2">
        <v>3.2</v>
      </c>
      <c r="K33" s="2"/>
      <c r="L33" s="2"/>
      <c r="M33" s="2">
        <v>10.7</v>
      </c>
      <c r="N33" s="2"/>
      <c r="O33" s="2">
        <v>2</v>
      </c>
      <c r="P33" s="2"/>
      <c r="Q33" s="2">
        <v>14.5</v>
      </c>
      <c r="R33" s="2">
        <v>2.5</v>
      </c>
      <c r="S33" s="2">
        <v>7.5</v>
      </c>
      <c r="T33" s="2">
        <v>0</v>
      </c>
      <c r="U33" s="2">
        <v>0.2</v>
      </c>
      <c r="V33" s="2">
        <v>0.3</v>
      </c>
      <c r="W33" s="2"/>
      <c r="X33" s="2">
        <v>1</v>
      </c>
      <c r="Y33" s="2">
        <v>2.0999999999985399</v>
      </c>
      <c r="Z33" s="2"/>
      <c r="AA33" s="2"/>
      <c r="AB33" s="2">
        <v>1.5999999999985499</v>
      </c>
      <c r="AC33" s="2">
        <v>6.29999999999563</v>
      </c>
      <c r="AD33" s="2">
        <v>24</v>
      </c>
      <c r="AE33" s="2">
        <v>7</v>
      </c>
      <c r="AF33" s="2"/>
      <c r="AG33" s="2"/>
      <c r="AH33" s="2"/>
      <c r="AI33" s="2"/>
      <c r="AJ33" s="2"/>
      <c r="AK33" s="2">
        <v>20.399999999994201</v>
      </c>
      <c r="AL33" s="2">
        <v>0.19999999999981799</v>
      </c>
      <c r="AM33" s="2"/>
      <c r="AN33" s="2"/>
      <c r="AO33" s="2"/>
      <c r="AP33" s="2">
        <v>6.1999999999970896</v>
      </c>
      <c r="AQ33" s="2">
        <v>14.299999999988399</v>
      </c>
      <c r="AR33" s="2">
        <v>0.19999999999981799</v>
      </c>
      <c r="AS33" s="2">
        <v>1.6999999999989099</v>
      </c>
      <c r="AT33" s="2"/>
      <c r="AU33" s="2">
        <v>35.5</v>
      </c>
      <c r="AV33" s="2">
        <v>2.5999999999985399</v>
      </c>
      <c r="AW33" s="2"/>
      <c r="AX33" s="2"/>
      <c r="AY33" s="2">
        <v>1</v>
      </c>
      <c r="AZ33" s="2"/>
      <c r="BA33" s="2">
        <v>1.39999999999964</v>
      </c>
      <c r="BB33" s="2">
        <v>0.89999999999963598</v>
      </c>
      <c r="BC33" s="2">
        <v>10.6999999999971</v>
      </c>
      <c r="BD33" s="2">
        <v>0.69999999999981799</v>
      </c>
      <c r="BE33" s="2"/>
      <c r="BF33" s="2"/>
      <c r="BG33" s="2"/>
      <c r="BH33" s="2"/>
      <c r="BI33" s="2">
        <v>8</v>
      </c>
      <c r="BJ33" s="2">
        <v>0.200000000000045</v>
      </c>
      <c r="BK33" s="2">
        <v>2.2999999999992702</v>
      </c>
      <c r="BL33" s="2"/>
      <c r="BM33" s="2">
        <v>0.200000000000045</v>
      </c>
      <c r="BN33" s="2">
        <v>7.5</v>
      </c>
      <c r="BO33" s="2">
        <v>0.400000000000091</v>
      </c>
      <c r="BP33" s="2"/>
      <c r="BQ33" s="2">
        <v>1</v>
      </c>
      <c r="BR33" s="2">
        <v>0.100000000000023</v>
      </c>
      <c r="BS33" s="2"/>
      <c r="BT33" s="2">
        <v>0.80000000000018201</v>
      </c>
      <c r="BU33" s="2">
        <v>8.8000000000029104</v>
      </c>
      <c r="BV33" s="2">
        <v>3.3</v>
      </c>
      <c r="BW33" s="2"/>
      <c r="BX33" s="2">
        <v>0.3</v>
      </c>
      <c r="BY33" s="2"/>
      <c r="BZ33" s="2">
        <v>3.1</v>
      </c>
      <c r="CA33" s="2">
        <v>14</v>
      </c>
      <c r="CB33" s="2"/>
      <c r="CC33" s="2"/>
      <c r="CD33" s="2">
        <v>6.5</v>
      </c>
      <c r="CE33" s="2">
        <v>15.7</v>
      </c>
      <c r="CF33" s="2">
        <v>1.2</v>
      </c>
      <c r="CG33" s="2">
        <v>0.9</v>
      </c>
      <c r="CH33" s="2">
        <v>9.5</v>
      </c>
      <c r="CI33" s="2">
        <v>2.4</v>
      </c>
      <c r="CJ33" s="2">
        <v>0.6</v>
      </c>
      <c r="CK33" s="2">
        <v>8</v>
      </c>
      <c r="CL33" s="2">
        <v>19</v>
      </c>
      <c r="CM33" s="2"/>
      <c r="CN33" s="2">
        <v>17.5</v>
      </c>
      <c r="CO33" s="2"/>
      <c r="CP33" s="2">
        <v>10.5</v>
      </c>
      <c r="CQ33" s="2"/>
      <c r="CR33" s="2">
        <v>2.7</v>
      </c>
      <c r="CS33" s="2"/>
      <c r="CT33" s="2"/>
      <c r="CU33" s="2"/>
      <c r="CV33" s="2"/>
      <c r="CW33" s="2">
        <v>6.7</v>
      </c>
      <c r="CX33" s="2"/>
      <c r="CY33" s="2">
        <v>2.2999999999999998</v>
      </c>
      <c r="CZ33" s="2"/>
      <c r="DB33">
        <v>1956</v>
      </c>
      <c r="DC33">
        <v>35.5</v>
      </c>
      <c r="DE33" s="28">
        <v>1942</v>
      </c>
      <c r="DF33" s="27">
        <v>41185</v>
      </c>
      <c r="DG33">
        <v>131.29999999981399</v>
      </c>
      <c r="DH33">
        <v>32</v>
      </c>
    </row>
    <row r="34" spans="1:112">
      <c r="A34" s="1">
        <v>40941</v>
      </c>
      <c r="B34" s="2"/>
      <c r="C34" s="2"/>
      <c r="D34" s="2"/>
      <c r="E34" s="2"/>
      <c r="F34" s="2">
        <v>18.600000000000001</v>
      </c>
      <c r="G34" s="2"/>
      <c r="H34" s="2">
        <v>9.3000000000000007</v>
      </c>
      <c r="I34" s="2">
        <v>1.2</v>
      </c>
      <c r="J34" s="2">
        <v>6.5</v>
      </c>
      <c r="K34" s="2">
        <v>5.5</v>
      </c>
      <c r="L34" s="2"/>
      <c r="M34" s="2">
        <v>7.4</v>
      </c>
      <c r="N34" s="2">
        <v>1.4</v>
      </c>
      <c r="O34" s="2">
        <v>2.4</v>
      </c>
      <c r="P34" s="2">
        <v>6</v>
      </c>
      <c r="Q34" s="2"/>
      <c r="R34" s="2">
        <v>4.3</v>
      </c>
      <c r="S34" s="2">
        <v>12.2</v>
      </c>
      <c r="T34" s="2">
        <v>0</v>
      </c>
      <c r="U34" s="2">
        <v>1</v>
      </c>
      <c r="V34" s="2">
        <v>2.7</v>
      </c>
      <c r="W34" s="2"/>
      <c r="X34" s="2"/>
      <c r="Y34" s="2">
        <v>1</v>
      </c>
      <c r="Z34" s="2"/>
      <c r="AA34" s="2"/>
      <c r="AB34" s="2"/>
      <c r="AC34" s="2">
        <v>0</v>
      </c>
      <c r="AD34" s="2">
        <v>0</v>
      </c>
      <c r="AE34" s="2"/>
      <c r="AF34" s="2">
        <v>7.29999999999563</v>
      </c>
      <c r="AG34" s="2">
        <v>3.3999999999978199</v>
      </c>
      <c r="AH34" s="2"/>
      <c r="AI34" s="2"/>
      <c r="AJ34" s="2">
        <v>0.19999999999981799</v>
      </c>
      <c r="AK34" s="2">
        <v>2.2999999999992702</v>
      </c>
      <c r="AL34" s="2"/>
      <c r="AM34" s="2">
        <v>1</v>
      </c>
      <c r="AN34" s="2">
        <v>17</v>
      </c>
      <c r="AO34" s="2">
        <v>2.7</v>
      </c>
      <c r="AP34" s="2">
        <v>2.7999999999992702</v>
      </c>
      <c r="AQ34" s="2"/>
      <c r="AR34" s="2">
        <v>24</v>
      </c>
      <c r="AS34" s="2">
        <v>6</v>
      </c>
      <c r="AT34" s="2">
        <v>0.79999999999927196</v>
      </c>
      <c r="AU34" s="2">
        <v>8.1999999999970896</v>
      </c>
      <c r="AV34" s="2">
        <v>2.2999999999992702</v>
      </c>
      <c r="AW34" s="2"/>
      <c r="AX34" s="2">
        <v>1.29999999999927</v>
      </c>
      <c r="AY34" s="2">
        <v>5.8</v>
      </c>
      <c r="AZ34" s="2">
        <v>4</v>
      </c>
      <c r="BA34" s="2">
        <v>3.5</v>
      </c>
      <c r="BB34" s="2">
        <v>9.9999999999908995E-2</v>
      </c>
      <c r="BC34" s="2">
        <v>1.60000000000036</v>
      </c>
      <c r="BD34" s="2">
        <v>32.400000000023297</v>
      </c>
      <c r="BE34" s="2"/>
      <c r="BF34" s="2"/>
      <c r="BG34" s="2"/>
      <c r="BH34" s="2"/>
      <c r="BI34" s="2">
        <v>4.6999999999970896</v>
      </c>
      <c r="BJ34" s="2">
        <v>13.600000000005799</v>
      </c>
      <c r="BK34" s="2">
        <v>13.6999999999971</v>
      </c>
      <c r="BL34" s="2">
        <v>0.100000000000023</v>
      </c>
      <c r="BM34" s="2"/>
      <c r="BN34" s="2">
        <v>4.0999999999985501</v>
      </c>
      <c r="BO34" s="2"/>
      <c r="BP34" s="2"/>
      <c r="BQ34" s="2">
        <v>1.5</v>
      </c>
      <c r="BR34" s="2"/>
      <c r="BS34" s="2">
        <v>8</v>
      </c>
      <c r="BT34" s="2"/>
      <c r="BU34" s="2">
        <v>14.8000000000029</v>
      </c>
      <c r="BV34" s="2">
        <v>3.1</v>
      </c>
      <c r="BW34" s="2"/>
      <c r="BX34" s="2">
        <v>5.6</v>
      </c>
      <c r="BY34" s="2">
        <v>21.2</v>
      </c>
      <c r="BZ34" s="2">
        <v>2.6</v>
      </c>
      <c r="CA34" s="2">
        <v>0</v>
      </c>
      <c r="CB34" s="2"/>
      <c r="CC34" s="2"/>
      <c r="CD34" s="2">
        <v>1.6</v>
      </c>
      <c r="CE34" s="2">
        <v>0.5</v>
      </c>
      <c r="CF34" s="2">
        <v>0.4</v>
      </c>
      <c r="CG34" s="2"/>
      <c r="CH34" s="2"/>
      <c r="CI34" s="2"/>
      <c r="CJ34" s="2">
        <v>2.6</v>
      </c>
      <c r="CK34" s="2">
        <v>12.5</v>
      </c>
      <c r="CL34" s="2">
        <v>1</v>
      </c>
      <c r="CM34" s="2">
        <v>9</v>
      </c>
      <c r="CN34" s="2">
        <v>23.5</v>
      </c>
      <c r="CO34" s="2"/>
      <c r="CP34" s="2">
        <v>18.7</v>
      </c>
      <c r="CQ34" s="2"/>
      <c r="CR34" s="2">
        <v>3.1</v>
      </c>
      <c r="CS34" s="2"/>
      <c r="CT34" s="2">
        <v>0.3</v>
      </c>
      <c r="CU34" s="2"/>
      <c r="CV34" s="2">
        <v>0.1</v>
      </c>
      <c r="CW34" s="2">
        <v>39.299999999999997</v>
      </c>
      <c r="CX34" s="2"/>
      <c r="CY34" s="2">
        <v>0.1</v>
      </c>
      <c r="CZ34" s="2"/>
      <c r="DB34">
        <v>2010</v>
      </c>
      <c r="DC34">
        <v>39.299999999999997</v>
      </c>
      <c r="DE34" s="28">
        <v>1943</v>
      </c>
      <c r="DF34" s="27">
        <v>41160</v>
      </c>
      <c r="DG34">
        <v>76.399999999906896</v>
      </c>
      <c r="DH34">
        <v>33</v>
      </c>
    </row>
    <row r="35" spans="1:112">
      <c r="A35" s="1">
        <v>40942</v>
      </c>
      <c r="B35" s="2"/>
      <c r="C35" s="2"/>
      <c r="D35" s="2">
        <v>14.7</v>
      </c>
      <c r="E35" s="2"/>
      <c r="F35" s="2">
        <v>12.7</v>
      </c>
      <c r="G35" s="2"/>
      <c r="H35" s="2">
        <v>1.8</v>
      </c>
      <c r="I35" s="2">
        <v>2.4</v>
      </c>
      <c r="J35" s="2"/>
      <c r="K35" s="2"/>
      <c r="L35" s="2"/>
      <c r="M35" s="2">
        <v>4.5</v>
      </c>
      <c r="N35" s="2"/>
      <c r="O35" s="2">
        <v>1.2</v>
      </c>
      <c r="P35" s="2">
        <v>2.9</v>
      </c>
      <c r="Q35" s="2"/>
      <c r="R35" s="2">
        <v>1</v>
      </c>
      <c r="S35" s="2"/>
      <c r="T35" s="2">
        <v>0</v>
      </c>
      <c r="U35" s="2">
        <v>2.2999999999999998</v>
      </c>
      <c r="V35" s="2">
        <v>10.4</v>
      </c>
      <c r="W35" s="2"/>
      <c r="X35" s="2">
        <v>2.5</v>
      </c>
      <c r="Y35" s="2"/>
      <c r="Z35" s="2">
        <v>0.39999999999963598</v>
      </c>
      <c r="AA35" s="2"/>
      <c r="AB35" s="2">
        <v>0</v>
      </c>
      <c r="AC35" s="2"/>
      <c r="AD35" s="2">
        <v>0.39999999999963598</v>
      </c>
      <c r="AE35" s="2"/>
      <c r="AF35" s="2">
        <v>20.5</v>
      </c>
      <c r="AG35" s="2">
        <v>7.5</v>
      </c>
      <c r="AH35" s="2">
        <v>5.0999999999985501</v>
      </c>
      <c r="AI35" s="2"/>
      <c r="AJ35" s="2"/>
      <c r="AK35" s="2"/>
      <c r="AL35" s="2"/>
      <c r="AM35" s="2"/>
      <c r="AN35" s="2">
        <v>6</v>
      </c>
      <c r="AO35" s="2">
        <v>0</v>
      </c>
      <c r="AP35" s="2">
        <v>2.3999999999978199</v>
      </c>
      <c r="AQ35" s="2">
        <v>12</v>
      </c>
      <c r="AR35" s="2">
        <v>7.29999999999563</v>
      </c>
      <c r="AS35" s="2">
        <v>1</v>
      </c>
      <c r="AT35" s="2">
        <v>1.79999999999927</v>
      </c>
      <c r="AU35" s="2">
        <v>12.4</v>
      </c>
      <c r="AV35" s="2"/>
      <c r="AW35" s="2"/>
      <c r="AX35" s="2">
        <v>5.6999999999970896</v>
      </c>
      <c r="AY35" s="2"/>
      <c r="AZ35" s="2">
        <v>4</v>
      </c>
      <c r="BA35" s="2">
        <v>2.6999999999970901</v>
      </c>
      <c r="BB35" s="2">
        <v>1.5</v>
      </c>
      <c r="BC35" s="2">
        <v>3.7999999999992702</v>
      </c>
      <c r="BD35" s="2">
        <v>15.3000000000029</v>
      </c>
      <c r="BE35" s="2"/>
      <c r="BF35" s="2">
        <v>0.30000000000018201</v>
      </c>
      <c r="BG35" s="2"/>
      <c r="BH35" s="2"/>
      <c r="BI35" s="2">
        <v>5.6999999999970896</v>
      </c>
      <c r="BJ35" s="2">
        <v>7.5999999999985501</v>
      </c>
      <c r="BK35" s="2">
        <v>5.0999999999985501</v>
      </c>
      <c r="BL35" s="2">
        <v>0.100000000000023</v>
      </c>
      <c r="BM35" s="2"/>
      <c r="BN35" s="2">
        <v>0.200000000000045</v>
      </c>
      <c r="BO35" s="2">
        <v>3</v>
      </c>
      <c r="BP35" s="2">
        <v>6</v>
      </c>
      <c r="BQ35" s="2">
        <v>6.5</v>
      </c>
      <c r="BR35" s="2">
        <v>0.100000000000023</v>
      </c>
      <c r="BS35" s="2">
        <v>8.3999999999941792</v>
      </c>
      <c r="BT35" s="2"/>
      <c r="BU35" s="2">
        <v>28.899999999994201</v>
      </c>
      <c r="BV35" s="2">
        <v>23.9</v>
      </c>
      <c r="BW35" s="2"/>
      <c r="BX35" s="2">
        <v>1</v>
      </c>
      <c r="BY35" s="2">
        <v>14</v>
      </c>
      <c r="BZ35" s="2">
        <v>0.2</v>
      </c>
      <c r="CA35" s="2">
        <v>0.1</v>
      </c>
      <c r="CB35" s="2"/>
      <c r="CC35" s="2">
        <v>0.1</v>
      </c>
      <c r="CD35" s="2">
        <v>1.6</v>
      </c>
      <c r="CE35" s="2"/>
      <c r="CF35" s="2">
        <v>0.3</v>
      </c>
      <c r="CG35" s="2"/>
      <c r="CH35" s="2">
        <v>0</v>
      </c>
      <c r="CI35" s="2"/>
      <c r="CJ35" s="2">
        <v>2.7</v>
      </c>
      <c r="CK35" s="2">
        <v>1</v>
      </c>
      <c r="CL35" s="2"/>
      <c r="CM35" s="2">
        <v>5</v>
      </c>
      <c r="CN35" s="2">
        <v>2</v>
      </c>
      <c r="CO35" s="2"/>
      <c r="CP35" s="2">
        <v>4.2</v>
      </c>
      <c r="CQ35" s="2">
        <v>4.4000000000000004</v>
      </c>
      <c r="CR35" s="2">
        <v>12.9</v>
      </c>
      <c r="CS35" s="2"/>
      <c r="CT35" s="2">
        <v>0.6</v>
      </c>
      <c r="CU35" s="2">
        <v>0.6</v>
      </c>
      <c r="CV35" s="2">
        <v>1</v>
      </c>
      <c r="CW35" s="2">
        <v>0.1</v>
      </c>
      <c r="CX35" s="2"/>
      <c r="CY35" s="2">
        <v>0.1</v>
      </c>
      <c r="CZ35" s="2"/>
      <c r="DB35">
        <v>1982</v>
      </c>
      <c r="DC35">
        <v>28.899999999994201</v>
      </c>
      <c r="DE35" s="28">
        <v>1944</v>
      </c>
      <c r="DF35" s="27">
        <v>41146</v>
      </c>
      <c r="DG35">
        <v>60.799999999988401</v>
      </c>
      <c r="DH35">
        <v>34</v>
      </c>
    </row>
    <row r="36" spans="1:112">
      <c r="A36" s="1">
        <v>40943</v>
      </c>
      <c r="B36" s="2"/>
      <c r="C36" s="2">
        <v>1.8</v>
      </c>
      <c r="D36" s="2"/>
      <c r="E36" s="2"/>
      <c r="F36" s="2"/>
      <c r="G36" s="2"/>
      <c r="H36" s="2">
        <v>0.4</v>
      </c>
      <c r="I36" s="2">
        <v>6.3</v>
      </c>
      <c r="J36" s="2"/>
      <c r="K36" s="2">
        <v>2.6</v>
      </c>
      <c r="L36" s="2"/>
      <c r="M36" s="2">
        <v>1.4</v>
      </c>
      <c r="N36" s="2"/>
      <c r="O36" s="2"/>
      <c r="P36" s="2"/>
      <c r="Q36" s="2"/>
      <c r="R36" s="2"/>
      <c r="S36" s="2"/>
      <c r="T36" s="2">
        <v>0</v>
      </c>
      <c r="U36" s="2">
        <v>11.8</v>
      </c>
      <c r="V36" s="2">
        <v>3.9</v>
      </c>
      <c r="W36" s="2">
        <v>0.1</v>
      </c>
      <c r="X36" s="2"/>
      <c r="Y36" s="2"/>
      <c r="Z36" s="2">
        <v>3.2</v>
      </c>
      <c r="AA36" s="2">
        <v>7.3999999999941801</v>
      </c>
      <c r="AB36" s="2"/>
      <c r="AC36" s="2">
        <v>0.59999999999945397</v>
      </c>
      <c r="AD36" s="2"/>
      <c r="AE36" s="2">
        <v>1.29999999999927</v>
      </c>
      <c r="AF36" s="2"/>
      <c r="AG36" s="2">
        <v>7.79999999999563</v>
      </c>
      <c r="AH36" s="2"/>
      <c r="AI36" s="2"/>
      <c r="AJ36" s="2"/>
      <c r="AK36" s="2"/>
      <c r="AL36" s="2"/>
      <c r="AM36" s="2"/>
      <c r="AN36" s="2">
        <v>0</v>
      </c>
      <c r="AO36" s="2">
        <v>15</v>
      </c>
      <c r="AP36" s="2">
        <v>0</v>
      </c>
      <c r="AQ36" s="2"/>
      <c r="AR36" s="2">
        <v>5.0999999999985501</v>
      </c>
      <c r="AS36" s="2">
        <v>4</v>
      </c>
      <c r="AT36" s="2">
        <v>0.39999999999963598</v>
      </c>
      <c r="AU36" s="2">
        <v>0</v>
      </c>
      <c r="AV36" s="2"/>
      <c r="AW36" s="2"/>
      <c r="AX36" s="2">
        <v>1.79999999999927</v>
      </c>
      <c r="AY36" s="2">
        <v>6.5</v>
      </c>
      <c r="AZ36" s="2">
        <v>17.399999999994201</v>
      </c>
      <c r="BA36" s="2">
        <v>2.0999999999985399</v>
      </c>
      <c r="BB36" s="2"/>
      <c r="BC36" s="2">
        <v>2.9000000000014601</v>
      </c>
      <c r="BD36" s="2">
        <v>14.600000000005799</v>
      </c>
      <c r="BE36" s="2">
        <v>1.39999999999964</v>
      </c>
      <c r="BF36" s="2"/>
      <c r="BG36" s="2"/>
      <c r="BH36" s="2"/>
      <c r="BI36" s="2">
        <v>0.80000000000018201</v>
      </c>
      <c r="BJ36" s="2">
        <v>3.2999999999992702</v>
      </c>
      <c r="BK36" s="2">
        <v>0.60000000000036402</v>
      </c>
      <c r="BL36" s="2">
        <v>0.200000000000045</v>
      </c>
      <c r="BM36" s="2">
        <v>1.60000000000036</v>
      </c>
      <c r="BN36" s="2">
        <v>1.20000000000073</v>
      </c>
      <c r="BO36" s="2">
        <v>0.200000000000045</v>
      </c>
      <c r="BP36" s="2">
        <v>0.80000000000018201</v>
      </c>
      <c r="BQ36" s="2">
        <v>9</v>
      </c>
      <c r="BR36" s="2">
        <v>1.29999999999927</v>
      </c>
      <c r="BS36" s="2">
        <v>2.2000000000007298</v>
      </c>
      <c r="BT36" s="2"/>
      <c r="BU36" s="2">
        <v>28.399999999994201</v>
      </c>
      <c r="BV36" s="2">
        <v>2</v>
      </c>
      <c r="BW36" s="2"/>
      <c r="BX36" s="2">
        <v>0.7</v>
      </c>
      <c r="BY36" s="2">
        <v>1</v>
      </c>
      <c r="BZ36" s="2"/>
      <c r="CA36" s="2"/>
      <c r="CB36" s="2"/>
      <c r="CC36" s="2">
        <v>0.2</v>
      </c>
      <c r="CD36" s="2"/>
      <c r="CE36" s="2">
        <v>1</v>
      </c>
      <c r="CF36" s="2"/>
      <c r="CG36" s="2"/>
      <c r="CH36" s="2"/>
      <c r="CI36" s="2"/>
      <c r="CJ36" s="2"/>
      <c r="CK36" s="2">
        <v>18.5</v>
      </c>
      <c r="CL36" s="2">
        <v>0.7</v>
      </c>
      <c r="CM36" s="2">
        <v>0.2</v>
      </c>
      <c r="CN36" s="2"/>
      <c r="CO36" s="2"/>
      <c r="CP36" s="2">
        <v>0.5</v>
      </c>
      <c r="CQ36" s="2">
        <v>0.1</v>
      </c>
      <c r="CR36" s="2">
        <v>30</v>
      </c>
      <c r="CS36" s="2"/>
      <c r="CT36" s="2">
        <v>2.2999999999999998</v>
      </c>
      <c r="CU36" s="2"/>
      <c r="CV36" s="2"/>
      <c r="CW36" s="2"/>
      <c r="CX36" s="2"/>
      <c r="CY36" s="2"/>
      <c r="CZ36" s="2">
        <v>4.9000000000000004</v>
      </c>
      <c r="DB36">
        <v>2005</v>
      </c>
      <c r="DC36">
        <v>30</v>
      </c>
      <c r="DE36" s="28">
        <v>1945</v>
      </c>
      <c r="DF36" s="27">
        <v>40937</v>
      </c>
      <c r="DG36">
        <v>42.5</v>
      </c>
      <c r="DH36">
        <v>35</v>
      </c>
    </row>
    <row r="37" spans="1:112">
      <c r="A37" s="1">
        <v>40944</v>
      </c>
      <c r="B37" s="2"/>
      <c r="C37" s="2"/>
      <c r="D37" s="2"/>
      <c r="E37" s="2"/>
      <c r="F37" s="2"/>
      <c r="G37" s="2">
        <v>5.3</v>
      </c>
      <c r="H37" s="2">
        <v>5.4</v>
      </c>
      <c r="I37" s="2">
        <v>5.3</v>
      </c>
      <c r="J37" s="2">
        <v>8.5</v>
      </c>
      <c r="K37" s="2"/>
      <c r="L37" s="2">
        <v>11</v>
      </c>
      <c r="M37" s="2"/>
      <c r="N37" s="2">
        <v>1.8</v>
      </c>
      <c r="O37" s="2"/>
      <c r="P37" s="2"/>
      <c r="Q37" s="2"/>
      <c r="R37" s="2"/>
      <c r="S37" s="2">
        <v>0.3</v>
      </c>
      <c r="T37" s="2">
        <v>0</v>
      </c>
      <c r="U37" s="2"/>
      <c r="V37" s="2">
        <v>2.9</v>
      </c>
      <c r="W37" s="2">
        <v>0</v>
      </c>
      <c r="X37" s="2"/>
      <c r="Y37" s="2"/>
      <c r="Z37" s="2">
        <v>0</v>
      </c>
      <c r="AA37" s="2">
        <v>1.29999999999927</v>
      </c>
      <c r="AB37" s="2"/>
      <c r="AC37" s="2"/>
      <c r="AD37" s="2">
        <v>7.3999999999941801</v>
      </c>
      <c r="AE37" s="2"/>
      <c r="AF37" s="2"/>
      <c r="AG37" s="2">
        <v>1.39999999999964</v>
      </c>
      <c r="AH37" s="2"/>
      <c r="AI37" s="2"/>
      <c r="AJ37" s="2"/>
      <c r="AK37" s="2"/>
      <c r="AL37" s="2">
        <v>51</v>
      </c>
      <c r="AM37" s="2">
        <v>31</v>
      </c>
      <c r="AN37" s="2">
        <v>2.9</v>
      </c>
      <c r="AO37" s="2">
        <v>5</v>
      </c>
      <c r="AP37" s="2">
        <v>1.5999999999985499</v>
      </c>
      <c r="AQ37" s="2"/>
      <c r="AR37" s="2">
        <v>4.5</v>
      </c>
      <c r="AS37" s="2">
        <v>0</v>
      </c>
      <c r="AT37" s="2"/>
      <c r="AU37" s="2">
        <v>10</v>
      </c>
      <c r="AV37" s="2"/>
      <c r="AW37" s="2"/>
      <c r="AX37" s="2">
        <v>0.89999999999963598</v>
      </c>
      <c r="AY37" s="2">
        <v>0.39999999999963598</v>
      </c>
      <c r="AZ37" s="2">
        <v>19.199999999982499</v>
      </c>
      <c r="BA37" s="2">
        <v>2.5999999999985399</v>
      </c>
      <c r="BB37" s="2"/>
      <c r="BC37" s="2">
        <v>0.69999999999981799</v>
      </c>
      <c r="BD37" s="2">
        <v>0</v>
      </c>
      <c r="BE37" s="2"/>
      <c r="BF37" s="2">
        <v>4.3000000000029104</v>
      </c>
      <c r="BG37" s="2"/>
      <c r="BH37" s="2"/>
      <c r="BI37" s="2"/>
      <c r="BJ37" s="2">
        <v>3.7999999999992702</v>
      </c>
      <c r="BK37" s="2"/>
      <c r="BL37" s="2">
        <v>0.200000000000045</v>
      </c>
      <c r="BM37" s="2">
        <v>0.30000000000018201</v>
      </c>
      <c r="BN37" s="2">
        <v>0.200000000000045</v>
      </c>
      <c r="BO37" s="2">
        <v>0.30000000000018201</v>
      </c>
      <c r="BP37" s="2">
        <v>1.39999999999964</v>
      </c>
      <c r="BQ37" s="2">
        <v>0.69999999999981799</v>
      </c>
      <c r="BR37" s="2">
        <v>0.400000000000091</v>
      </c>
      <c r="BS37" s="2">
        <v>0.200000000000045</v>
      </c>
      <c r="BT37" s="2">
        <v>0</v>
      </c>
      <c r="BU37" s="2"/>
      <c r="BV37" s="2">
        <v>5.6</v>
      </c>
      <c r="BW37" s="2">
        <v>9.9999999999908995E-2</v>
      </c>
      <c r="BX37" s="2">
        <v>0.8</v>
      </c>
      <c r="BY37" s="2">
        <v>1.5</v>
      </c>
      <c r="BZ37" s="2">
        <v>0.1</v>
      </c>
      <c r="CA37" s="2">
        <v>0.7</v>
      </c>
      <c r="CB37" s="2"/>
      <c r="CC37" s="2">
        <v>1.5</v>
      </c>
      <c r="CD37" s="2"/>
      <c r="CE37" s="2"/>
      <c r="CF37" s="2"/>
      <c r="CG37" s="2"/>
      <c r="CH37" s="2"/>
      <c r="CI37" s="2">
        <v>36.299999999999997</v>
      </c>
      <c r="CJ37" s="2"/>
      <c r="CK37" s="2">
        <v>9</v>
      </c>
      <c r="CL37" s="2"/>
      <c r="CM37" s="2"/>
      <c r="CN37" s="2"/>
      <c r="CO37" s="2"/>
      <c r="CP37" s="2">
        <v>6.6</v>
      </c>
      <c r="CQ37" s="2"/>
      <c r="CR37" s="2">
        <v>6</v>
      </c>
      <c r="CS37" s="2">
        <v>18.399999999999999</v>
      </c>
      <c r="CT37" s="2">
        <v>6.4</v>
      </c>
      <c r="CU37" s="2"/>
      <c r="CV37" s="2"/>
      <c r="CW37" s="2"/>
      <c r="CX37" s="2"/>
      <c r="CY37" s="2"/>
      <c r="CZ37" s="2"/>
      <c r="DB37">
        <v>1947</v>
      </c>
      <c r="DC37">
        <v>51</v>
      </c>
      <c r="DE37" s="28">
        <v>1946</v>
      </c>
      <c r="DF37" s="27">
        <v>41148</v>
      </c>
      <c r="DG37">
        <v>44.199999999953398</v>
      </c>
      <c r="DH37">
        <v>36</v>
      </c>
    </row>
    <row r="38" spans="1:112">
      <c r="A38" s="1">
        <v>40945</v>
      </c>
      <c r="B38" s="2"/>
      <c r="C38" s="2"/>
      <c r="D38" s="2"/>
      <c r="E38" s="2"/>
      <c r="F38" s="2"/>
      <c r="G38" s="2">
        <v>0.2</v>
      </c>
      <c r="H38" s="2">
        <v>0.5</v>
      </c>
      <c r="I38" s="2">
        <v>6.1</v>
      </c>
      <c r="J38" s="2">
        <v>18.3</v>
      </c>
      <c r="K38" s="2">
        <v>2.8</v>
      </c>
      <c r="L38" s="2">
        <v>5.6</v>
      </c>
      <c r="M38" s="2"/>
      <c r="N38" s="2">
        <v>7.6</v>
      </c>
      <c r="O38" s="2">
        <v>1.1000000000000001</v>
      </c>
      <c r="P38" s="2"/>
      <c r="Q38" s="2">
        <v>0.3</v>
      </c>
      <c r="R38" s="2">
        <v>13.5</v>
      </c>
      <c r="S38" s="2"/>
      <c r="T38" s="2">
        <v>0</v>
      </c>
      <c r="U38" s="2"/>
      <c r="V38" s="2">
        <v>0.4</v>
      </c>
      <c r="W38" s="2">
        <v>0.6</v>
      </c>
      <c r="X38" s="2">
        <v>2</v>
      </c>
      <c r="Y38" s="2"/>
      <c r="Z38" s="2">
        <v>1.29999999999927</v>
      </c>
      <c r="AA38" s="2">
        <v>11.899999999994201</v>
      </c>
      <c r="AB38" s="2">
        <v>7.29999999999563</v>
      </c>
      <c r="AC38" s="2">
        <v>2.0999999999985399</v>
      </c>
      <c r="AD38" s="2"/>
      <c r="AE38" s="2">
        <v>0.19999999999981799</v>
      </c>
      <c r="AF38" s="2">
        <v>4.2999999999956398</v>
      </c>
      <c r="AG38" s="2">
        <v>0</v>
      </c>
      <c r="AH38" s="2"/>
      <c r="AI38" s="2">
        <v>4.3999999999941801</v>
      </c>
      <c r="AJ38" s="2">
        <v>0.69999999999981799</v>
      </c>
      <c r="AK38" s="2">
        <v>13.3</v>
      </c>
      <c r="AL38" s="2">
        <v>7.0999999999985501</v>
      </c>
      <c r="AM38" s="2">
        <v>4</v>
      </c>
      <c r="AN38" s="2">
        <v>6</v>
      </c>
      <c r="AO38" s="2"/>
      <c r="AP38" s="2"/>
      <c r="AQ38" s="2">
        <v>0.39999999999963598</v>
      </c>
      <c r="AR38" s="2">
        <v>7.5999999999985501</v>
      </c>
      <c r="AS38" s="2">
        <v>6.6</v>
      </c>
      <c r="AT38" s="2"/>
      <c r="AU38" s="2">
        <v>15.2</v>
      </c>
      <c r="AV38" s="2">
        <v>9.9999999999908995E-2</v>
      </c>
      <c r="AW38" s="2"/>
      <c r="AX38" s="2"/>
      <c r="AY38" s="2">
        <v>0.29999999999972699</v>
      </c>
      <c r="AZ38" s="2">
        <v>3</v>
      </c>
      <c r="BA38" s="2">
        <v>0.19999999999981799</v>
      </c>
      <c r="BB38" s="2"/>
      <c r="BC38" s="2">
        <v>5.5999999999985501</v>
      </c>
      <c r="BD38" s="2">
        <v>4.5999999999985501</v>
      </c>
      <c r="BE38" s="2"/>
      <c r="BF38" s="2">
        <v>17.899999999994201</v>
      </c>
      <c r="BG38" s="2">
        <v>0.30000000000018201</v>
      </c>
      <c r="BH38" s="2">
        <v>8</v>
      </c>
      <c r="BI38" s="2"/>
      <c r="BJ38" s="2">
        <v>0.200000000000045</v>
      </c>
      <c r="BK38" s="2">
        <v>0.80000000000018201</v>
      </c>
      <c r="BL38" s="2">
        <v>0.100000000000023</v>
      </c>
      <c r="BM38" s="2">
        <v>0.200000000000045</v>
      </c>
      <c r="BN38" s="2">
        <v>0.30000000000018201</v>
      </c>
      <c r="BO38" s="2">
        <v>0.5</v>
      </c>
      <c r="BP38" s="2"/>
      <c r="BQ38" s="2">
        <v>8.1999999999970896</v>
      </c>
      <c r="BR38" s="2">
        <v>0.200000000000045</v>
      </c>
      <c r="BS38" s="2">
        <v>6.8000000000029104</v>
      </c>
      <c r="BT38" s="2">
        <v>0.69999999999981799</v>
      </c>
      <c r="BU38" s="2"/>
      <c r="BV38" s="2"/>
      <c r="BW38" s="2">
        <v>1.0999999999985499</v>
      </c>
      <c r="BX38" s="2">
        <v>0</v>
      </c>
      <c r="BY38" s="2">
        <v>1.6</v>
      </c>
      <c r="BZ38" s="2">
        <v>1.1000000000000001</v>
      </c>
      <c r="CA38" s="2"/>
      <c r="CB38" s="2"/>
      <c r="CC38" s="2">
        <v>6.2</v>
      </c>
      <c r="CD38" s="2"/>
      <c r="CE38" s="2">
        <v>0.8</v>
      </c>
      <c r="CF38" s="2"/>
      <c r="CG38" s="2"/>
      <c r="CH38" s="2">
        <v>6.5</v>
      </c>
      <c r="CI38" s="2">
        <v>9.3000000000000007</v>
      </c>
      <c r="CJ38" s="2">
        <v>2.1</v>
      </c>
      <c r="CK38" s="2">
        <v>1</v>
      </c>
      <c r="CL38" s="2">
        <v>29</v>
      </c>
      <c r="CM38" s="2"/>
      <c r="CN38" s="2"/>
      <c r="CO38" s="2"/>
      <c r="CP38" s="2">
        <v>9.5</v>
      </c>
      <c r="CQ38" s="2"/>
      <c r="CR38" s="2">
        <v>20.9</v>
      </c>
      <c r="CS38" s="2">
        <v>21.7</v>
      </c>
      <c r="CT38" s="2"/>
      <c r="CU38" s="2"/>
      <c r="CV38" s="2"/>
      <c r="CW38" s="2"/>
      <c r="CX38" s="2"/>
      <c r="CY38" s="2">
        <v>9</v>
      </c>
      <c r="CZ38" s="2"/>
      <c r="DB38">
        <v>1999</v>
      </c>
      <c r="DC38">
        <v>29</v>
      </c>
      <c r="DE38" s="28">
        <v>1947</v>
      </c>
      <c r="DF38" s="27">
        <v>40944</v>
      </c>
      <c r="DG38">
        <v>51</v>
      </c>
      <c r="DH38">
        <v>37</v>
      </c>
    </row>
    <row r="39" spans="1:112">
      <c r="A39" s="1">
        <v>40946</v>
      </c>
      <c r="B39" s="2"/>
      <c r="C39" s="2"/>
      <c r="D39" s="2"/>
      <c r="E39" s="2"/>
      <c r="F39" s="2"/>
      <c r="G39" s="2"/>
      <c r="H39" s="2">
        <v>28.2</v>
      </c>
      <c r="I39" s="2">
        <v>1.8</v>
      </c>
      <c r="J39" s="2">
        <v>0.6</v>
      </c>
      <c r="K39" s="2">
        <v>0.2</v>
      </c>
      <c r="L39" s="2">
        <v>0.5</v>
      </c>
      <c r="M39" s="2"/>
      <c r="N39" s="2">
        <v>20.2</v>
      </c>
      <c r="O39" s="2">
        <v>23.3</v>
      </c>
      <c r="P39" s="2"/>
      <c r="Q39" s="2"/>
      <c r="R39" s="2">
        <v>2</v>
      </c>
      <c r="S39" s="2">
        <v>3.5</v>
      </c>
      <c r="T39" s="2">
        <v>0</v>
      </c>
      <c r="U39" s="2">
        <v>2.2999999999999998</v>
      </c>
      <c r="V39" s="2"/>
      <c r="W39" s="2">
        <v>0</v>
      </c>
      <c r="X39" s="2">
        <v>0.3</v>
      </c>
      <c r="Y39" s="2"/>
      <c r="Z39" s="2">
        <v>7.79999999999563</v>
      </c>
      <c r="AA39" s="2">
        <v>29.399999999994201</v>
      </c>
      <c r="AB39" s="2">
        <v>10.1999999999971</v>
      </c>
      <c r="AC39" s="2">
        <v>3.7999999999992702</v>
      </c>
      <c r="AD39" s="2"/>
      <c r="AE39" s="2">
        <v>0.59999999999945397</v>
      </c>
      <c r="AF39" s="2">
        <v>11.1999999999971</v>
      </c>
      <c r="AG39" s="2"/>
      <c r="AH39" s="2">
        <v>3</v>
      </c>
      <c r="AI39" s="2">
        <v>0.5</v>
      </c>
      <c r="AJ39" s="2">
        <v>0.89999999999963598</v>
      </c>
      <c r="AK39" s="2">
        <v>9.9999999999908995E-2</v>
      </c>
      <c r="AL39" s="2">
        <v>6.1999999999970896</v>
      </c>
      <c r="AM39" s="2"/>
      <c r="AN39" s="2">
        <v>4.2</v>
      </c>
      <c r="AO39" s="2"/>
      <c r="AP39" s="2"/>
      <c r="AQ39" s="2">
        <v>1.0999999999985499</v>
      </c>
      <c r="AR39" s="2"/>
      <c r="AS39" s="2">
        <v>3</v>
      </c>
      <c r="AT39" s="2"/>
      <c r="AU39" s="2">
        <v>2</v>
      </c>
      <c r="AV39" s="2">
        <v>0.29999999999972699</v>
      </c>
      <c r="AW39" s="2"/>
      <c r="AX39" s="2">
        <v>1.1999999999989099</v>
      </c>
      <c r="AY39" s="2">
        <v>1.0999999999985499</v>
      </c>
      <c r="AZ39" s="2">
        <v>0.19999999999981799</v>
      </c>
      <c r="BA39" s="2">
        <v>2.1999999999970901</v>
      </c>
      <c r="BB39" s="2">
        <v>0.29999999999972699</v>
      </c>
      <c r="BC39" s="2">
        <v>0</v>
      </c>
      <c r="BD39" s="2">
        <v>14</v>
      </c>
      <c r="BE39" s="2"/>
      <c r="BF39" s="2"/>
      <c r="BG39" s="2">
        <v>0.30000000000018201</v>
      </c>
      <c r="BH39" s="2">
        <v>8</v>
      </c>
      <c r="BI39" s="2">
        <v>2</v>
      </c>
      <c r="BJ39" s="2">
        <v>1.10000000000036</v>
      </c>
      <c r="BK39" s="2">
        <v>0.100000000000023</v>
      </c>
      <c r="BL39" s="2"/>
      <c r="BM39" s="2">
        <v>0</v>
      </c>
      <c r="BN39" s="2">
        <v>0.100000000000023</v>
      </c>
      <c r="BO39" s="2">
        <v>3</v>
      </c>
      <c r="BP39" s="2">
        <v>3.4000000000014601</v>
      </c>
      <c r="BQ39" s="2">
        <v>2.2999999999992702</v>
      </c>
      <c r="BR39" s="2">
        <v>5.5999999999985501</v>
      </c>
      <c r="BS39" s="2"/>
      <c r="BT39" s="2">
        <v>2.5999999999985399</v>
      </c>
      <c r="BU39" s="2"/>
      <c r="BV39" s="2"/>
      <c r="BW39" s="2"/>
      <c r="BX39" s="2">
        <v>7.1</v>
      </c>
      <c r="BY39" s="2">
        <v>0</v>
      </c>
      <c r="BZ39" s="2">
        <v>0.1</v>
      </c>
      <c r="CA39" s="2"/>
      <c r="CB39" s="2"/>
      <c r="CC39" s="2">
        <v>0.5</v>
      </c>
      <c r="CD39" s="2">
        <v>0.1</v>
      </c>
      <c r="CE39" s="2">
        <v>1</v>
      </c>
      <c r="CF39" s="2">
        <v>2.2999999999999998</v>
      </c>
      <c r="CG39" s="2">
        <v>2.1</v>
      </c>
      <c r="CH39" s="2"/>
      <c r="CI39" s="2">
        <v>6</v>
      </c>
      <c r="CJ39" s="2">
        <v>5</v>
      </c>
      <c r="CK39" s="2"/>
      <c r="CL39" s="2">
        <v>10</v>
      </c>
      <c r="CM39" s="2"/>
      <c r="CN39" s="2"/>
      <c r="CO39" s="2"/>
      <c r="CP39" s="2">
        <v>33.700000000000003</v>
      </c>
      <c r="CQ39" s="2"/>
      <c r="CR39" s="2">
        <v>13.5</v>
      </c>
      <c r="CS39" s="2">
        <v>10</v>
      </c>
      <c r="CT39" s="2"/>
      <c r="CU39" s="2"/>
      <c r="CV39" s="2">
        <v>1</v>
      </c>
      <c r="CW39" s="2">
        <v>14.5</v>
      </c>
      <c r="CX39" s="2"/>
      <c r="CY39" s="2">
        <v>23.3</v>
      </c>
      <c r="CZ39" s="2">
        <v>2.9</v>
      </c>
      <c r="DB39">
        <v>2003</v>
      </c>
      <c r="DC39">
        <v>33.700000000000003</v>
      </c>
      <c r="DE39" s="28">
        <v>1948</v>
      </c>
      <c r="DF39" s="27">
        <v>40963</v>
      </c>
      <c r="DG39">
        <v>49.2</v>
      </c>
      <c r="DH39">
        <v>38</v>
      </c>
    </row>
    <row r="40" spans="1:112">
      <c r="A40" s="1">
        <v>40947</v>
      </c>
      <c r="B40" s="2"/>
      <c r="C40" s="2"/>
      <c r="D40" s="2"/>
      <c r="E40" s="2">
        <v>2.4</v>
      </c>
      <c r="F40" s="2">
        <v>0.2</v>
      </c>
      <c r="G40" s="2"/>
      <c r="H40" s="2">
        <v>3.5</v>
      </c>
      <c r="I40" s="2"/>
      <c r="J40" s="2">
        <v>12.1</v>
      </c>
      <c r="K40" s="2">
        <v>0</v>
      </c>
      <c r="L40" s="2"/>
      <c r="M40" s="2">
        <v>0.8</v>
      </c>
      <c r="N40" s="2">
        <v>5.0999999999999996</v>
      </c>
      <c r="O40" s="2"/>
      <c r="P40" s="2"/>
      <c r="Q40" s="2"/>
      <c r="R40" s="2">
        <v>1.8</v>
      </c>
      <c r="S40" s="2"/>
      <c r="T40" s="2">
        <v>0.24</v>
      </c>
      <c r="U40" s="2">
        <v>2</v>
      </c>
      <c r="V40" s="2">
        <v>9</v>
      </c>
      <c r="W40" s="2"/>
      <c r="X40" s="2"/>
      <c r="Y40" s="2"/>
      <c r="Z40" s="2">
        <v>3</v>
      </c>
      <c r="AA40" s="2">
        <v>57.5</v>
      </c>
      <c r="AB40" s="2"/>
      <c r="AC40" s="2">
        <v>0.79999999999927196</v>
      </c>
      <c r="AD40" s="2">
        <v>0</v>
      </c>
      <c r="AE40" s="2">
        <v>2.0999999999985399</v>
      </c>
      <c r="AF40" s="2"/>
      <c r="AG40" s="2"/>
      <c r="AH40" s="2"/>
      <c r="AI40" s="2">
        <v>1</v>
      </c>
      <c r="AJ40" s="2"/>
      <c r="AK40" s="2"/>
      <c r="AL40" s="2"/>
      <c r="AM40" s="2"/>
      <c r="AN40" s="2">
        <v>9.9999999999908995E-2</v>
      </c>
      <c r="AO40" s="2"/>
      <c r="AP40" s="2"/>
      <c r="AQ40" s="2">
        <v>25.799999999988401</v>
      </c>
      <c r="AR40" s="2">
        <v>26.5</v>
      </c>
      <c r="AS40" s="2"/>
      <c r="AT40" s="2">
        <v>7.1999999999970896</v>
      </c>
      <c r="AU40" s="2">
        <v>30</v>
      </c>
      <c r="AV40" s="2">
        <v>0.29999999999972699</v>
      </c>
      <c r="AW40" s="2"/>
      <c r="AX40" s="2">
        <v>0.19999999999981799</v>
      </c>
      <c r="AY40" s="2"/>
      <c r="AZ40" s="2">
        <v>0.79999999999927196</v>
      </c>
      <c r="BA40" s="2">
        <v>0.5</v>
      </c>
      <c r="BB40" s="2">
        <v>18.699999999982499</v>
      </c>
      <c r="BC40" s="2">
        <v>0.400000000000091</v>
      </c>
      <c r="BD40" s="2">
        <v>2</v>
      </c>
      <c r="BE40" s="2">
        <v>3.2999999999992702</v>
      </c>
      <c r="BF40" s="2">
        <v>0.5</v>
      </c>
      <c r="BG40" s="2">
        <v>0.200000000000045</v>
      </c>
      <c r="BH40" s="2">
        <v>0.400000000000091</v>
      </c>
      <c r="BI40" s="2">
        <v>6.8000000000029104</v>
      </c>
      <c r="BJ40" s="2">
        <v>0.30000000000018201</v>
      </c>
      <c r="BK40" s="2"/>
      <c r="BL40" s="2">
        <v>0.100000000000023</v>
      </c>
      <c r="BM40" s="2">
        <v>14</v>
      </c>
      <c r="BN40" s="2">
        <v>14</v>
      </c>
      <c r="BO40" s="2">
        <v>4.5</v>
      </c>
      <c r="BP40" s="2"/>
      <c r="BQ40" s="2">
        <v>7.8000000000029104</v>
      </c>
      <c r="BR40" s="2">
        <v>0.200000000000045</v>
      </c>
      <c r="BS40" s="2"/>
      <c r="BT40" s="2"/>
      <c r="BU40" s="2"/>
      <c r="BV40" s="2"/>
      <c r="BW40" s="2"/>
      <c r="BX40" s="2"/>
      <c r="BY40" s="2">
        <v>14.3</v>
      </c>
      <c r="BZ40" s="2">
        <v>2.6</v>
      </c>
      <c r="CA40" s="2"/>
      <c r="CB40" s="2"/>
      <c r="CC40" s="2"/>
      <c r="CD40" s="2"/>
      <c r="CE40" s="2">
        <v>8.5</v>
      </c>
      <c r="CF40" s="2"/>
      <c r="CG40" s="2">
        <v>0.3</v>
      </c>
      <c r="CH40" s="2"/>
      <c r="CI40" s="2">
        <v>9.5</v>
      </c>
      <c r="CJ40" s="2"/>
      <c r="CK40" s="2"/>
      <c r="CL40" s="2">
        <v>15.5</v>
      </c>
      <c r="CM40" s="2"/>
      <c r="CN40" s="2"/>
      <c r="CO40" s="2"/>
      <c r="CP40" s="2">
        <v>4.3</v>
      </c>
      <c r="CQ40" s="2"/>
      <c r="CR40" s="2">
        <v>2.8</v>
      </c>
      <c r="CS40" s="2">
        <v>2.2999999999999998</v>
      </c>
      <c r="CT40" s="2"/>
      <c r="CU40" s="2">
        <v>0.5</v>
      </c>
      <c r="CV40" s="2">
        <v>25.3</v>
      </c>
      <c r="CW40" s="2">
        <v>4.0999999999999996</v>
      </c>
      <c r="CX40" s="2"/>
      <c r="CY40" s="2">
        <v>6.2</v>
      </c>
      <c r="CZ40" s="2">
        <v>7.1</v>
      </c>
      <c r="DB40">
        <v>1936</v>
      </c>
      <c r="DC40">
        <v>57.5</v>
      </c>
      <c r="DE40" s="28">
        <v>1949</v>
      </c>
      <c r="DF40" s="27">
        <v>41159</v>
      </c>
      <c r="DG40">
        <v>80.099999999976703</v>
      </c>
      <c r="DH40">
        <v>39</v>
      </c>
    </row>
    <row r="41" spans="1:112">
      <c r="A41" s="1">
        <v>40948</v>
      </c>
      <c r="B41" s="2"/>
      <c r="C41" s="2">
        <v>0.2</v>
      </c>
      <c r="D41" s="2"/>
      <c r="E41" s="2">
        <v>0.5</v>
      </c>
      <c r="F41" s="2">
        <v>3.7</v>
      </c>
      <c r="G41" s="2"/>
      <c r="H41" s="2"/>
      <c r="I41" s="2">
        <v>1.2</v>
      </c>
      <c r="J41" s="2">
        <v>4</v>
      </c>
      <c r="K41" s="2">
        <v>42.2</v>
      </c>
      <c r="L41" s="2">
        <v>1.5</v>
      </c>
      <c r="M41" s="2">
        <v>6.6</v>
      </c>
      <c r="N41" s="2">
        <v>16</v>
      </c>
      <c r="O41" s="2"/>
      <c r="P41" s="2"/>
      <c r="Q41" s="2"/>
      <c r="R41" s="2">
        <v>3</v>
      </c>
      <c r="S41" s="2"/>
      <c r="T41" s="2">
        <v>0</v>
      </c>
      <c r="U41" s="2">
        <v>6.4</v>
      </c>
      <c r="V41" s="2">
        <v>5.2</v>
      </c>
      <c r="W41" s="2">
        <v>4.0999999999999996</v>
      </c>
      <c r="X41" s="2"/>
      <c r="Y41" s="2"/>
      <c r="Z41" s="2">
        <v>0.79999999999927196</v>
      </c>
      <c r="AA41" s="2">
        <v>3.8999999999978199</v>
      </c>
      <c r="AB41" s="2"/>
      <c r="AC41" s="2">
        <v>4.3</v>
      </c>
      <c r="AD41" s="2">
        <v>0.1</v>
      </c>
      <c r="AE41" s="2"/>
      <c r="AF41" s="2">
        <v>0.29999999999972699</v>
      </c>
      <c r="AG41" s="2"/>
      <c r="AH41" s="2">
        <v>7</v>
      </c>
      <c r="AI41" s="2">
        <v>1.1999999999989099</v>
      </c>
      <c r="AJ41" s="2"/>
      <c r="AK41" s="2"/>
      <c r="AL41" s="2"/>
      <c r="AM41" s="2">
        <v>3.5999999999985399</v>
      </c>
      <c r="AN41" s="2"/>
      <c r="AO41" s="2"/>
      <c r="AP41" s="2">
        <v>2.6999999999970901</v>
      </c>
      <c r="AQ41" s="2">
        <v>5.29999999999563</v>
      </c>
      <c r="AR41" s="2"/>
      <c r="AS41" s="2">
        <v>4</v>
      </c>
      <c r="AT41" s="2">
        <v>33.5</v>
      </c>
      <c r="AU41" s="2">
        <v>19</v>
      </c>
      <c r="AV41" s="2"/>
      <c r="AW41" s="2"/>
      <c r="AX41" s="2"/>
      <c r="AY41" s="2"/>
      <c r="AZ41" s="2">
        <v>3.5999999999985399</v>
      </c>
      <c r="BA41" s="2"/>
      <c r="BB41" s="2">
        <v>9.2999999999883602</v>
      </c>
      <c r="BC41" s="2">
        <v>0</v>
      </c>
      <c r="BD41" s="2"/>
      <c r="BE41" s="2"/>
      <c r="BF41" s="2">
        <v>0.89999999999963598</v>
      </c>
      <c r="BG41" s="2"/>
      <c r="BH41" s="2">
        <v>1</v>
      </c>
      <c r="BI41" s="2">
        <v>0.200000000000045</v>
      </c>
      <c r="BJ41" s="2">
        <v>4.8000000000029104</v>
      </c>
      <c r="BK41" s="2"/>
      <c r="BL41" s="2"/>
      <c r="BM41" s="2">
        <v>0.200000000000045</v>
      </c>
      <c r="BN41" s="2">
        <v>6.5</v>
      </c>
      <c r="BO41" s="2">
        <v>4.1999999999970896</v>
      </c>
      <c r="BP41" s="2"/>
      <c r="BQ41" s="2">
        <v>3.7000000000007298</v>
      </c>
      <c r="BR41" s="2"/>
      <c r="BS41" s="2"/>
      <c r="BT41" s="2"/>
      <c r="BU41" s="2">
        <v>0.200000000000045</v>
      </c>
      <c r="BV41" s="2"/>
      <c r="BW41" s="2">
        <v>4.5</v>
      </c>
      <c r="BX41" s="2">
        <v>1.6</v>
      </c>
      <c r="BY41" s="2">
        <v>5.0999999999999996</v>
      </c>
      <c r="BZ41" s="2"/>
      <c r="CA41" s="2">
        <v>0.8</v>
      </c>
      <c r="CB41" s="2">
        <v>0.5</v>
      </c>
      <c r="CC41" s="2"/>
      <c r="CD41" s="2">
        <v>1</v>
      </c>
      <c r="CE41" s="2"/>
      <c r="CF41" s="2"/>
      <c r="CG41" s="2"/>
      <c r="CH41" s="2">
        <v>1.3</v>
      </c>
      <c r="CI41" s="2">
        <v>12.5</v>
      </c>
      <c r="CJ41" s="2"/>
      <c r="CK41" s="2"/>
      <c r="CL41" s="2">
        <v>4</v>
      </c>
      <c r="CM41" s="2"/>
      <c r="CN41" s="2"/>
      <c r="CO41" s="2"/>
      <c r="CP41" s="2">
        <v>0.5</v>
      </c>
      <c r="CQ41" s="2">
        <v>1.1000000000000001</v>
      </c>
      <c r="CR41" s="2">
        <v>13.3</v>
      </c>
      <c r="CS41" s="2">
        <v>7</v>
      </c>
      <c r="CT41" s="2"/>
      <c r="CU41" s="2">
        <v>7.8</v>
      </c>
      <c r="CV41" s="2">
        <v>30.3</v>
      </c>
      <c r="CW41" s="2">
        <v>0.1</v>
      </c>
      <c r="CX41" s="2"/>
      <c r="CY41" s="2">
        <v>0.5</v>
      </c>
      <c r="CZ41" s="2">
        <v>6.6</v>
      </c>
      <c r="DB41">
        <v>1920</v>
      </c>
      <c r="DC41">
        <v>42.2</v>
      </c>
      <c r="DE41" s="28">
        <v>1950</v>
      </c>
      <c r="DF41" s="27">
        <v>40973</v>
      </c>
      <c r="DG41">
        <v>43.599999999976703</v>
      </c>
      <c r="DH41">
        <v>40</v>
      </c>
    </row>
    <row r="42" spans="1:112">
      <c r="A42" s="1">
        <v>40949</v>
      </c>
      <c r="B42" s="2"/>
      <c r="C42" s="2">
        <v>4.5</v>
      </c>
      <c r="D42" s="2"/>
      <c r="E42" s="2"/>
      <c r="F42" s="2">
        <v>0.5</v>
      </c>
      <c r="G42" s="2"/>
      <c r="H42" s="2"/>
      <c r="I42" s="2"/>
      <c r="J42" s="2">
        <v>3.8</v>
      </c>
      <c r="K42" s="2">
        <v>9.1</v>
      </c>
      <c r="L42" s="2"/>
      <c r="M42" s="2"/>
      <c r="N42" s="2">
        <v>4</v>
      </c>
      <c r="O42" s="2"/>
      <c r="P42" s="2">
        <v>0.2</v>
      </c>
      <c r="Q42" s="2"/>
      <c r="R42" s="2"/>
      <c r="S42" s="2"/>
      <c r="T42" s="2">
        <v>0</v>
      </c>
      <c r="U42" s="2">
        <v>0</v>
      </c>
      <c r="V42" s="2">
        <v>0</v>
      </c>
      <c r="W42" s="2">
        <v>16.5</v>
      </c>
      <c r="X42" s="2"/>
      <c r="Y42" s="2"/>
      <c r="Z42" s="2">
        <v>45.599999999976703</v>
      </c>
      <c r="AA42" s="2">
        <v>1.1999999999989099</v>
      </c>
      <c r="AB42" s="2">
        <v>20.599999999976699</v>
      </c>
      <c r="AC42" s="2"/>
      <c r="AD42" s="2">
        <v>0</v>
      </c>
      <c r="AE42" s="2">
        <v>2.7999999999992702</v>
      </c>
      <c r="AF42" s="2"/>
      <c r="AG42" s="2">
        <v>0.69999999999981799</v>
      </c>
      <c r="AH42" s="2">
        <v>0.69999999999981799</v>
      </c>
      <c r="AI42" s="2">
        <v>20</v>
      </c>
      <c r="AJ42" s="2">
        <v>0</v>
      </c>
      <c r="AK42" s="2">
        <v>9.5999999999912706</v>
      </c>
      <c r="AL42" s="2"/>
      <c r="AM42" s="2">
        <v>3.0999999999985399</v>
      </c>
      <c r="AN42" s="2"/>
      <c r="AO42" s="2">
        <v>9.5</v>
      </c>
      <c r="AP42" s="2">
        <v>5.6999999999970896</v>
      </c>
      <c r="AQ42" s="2">
        <v>8.6999999999999993</v>
      </c>
      <c r="AR42" s="2"/>
      <c r="AS42" s="2">
        <v>1.6999999999989099</v>
      </c>
      <c r="AT42" s="2">
        <v>2.3999999999978199</v>
      </c>
      <c r="AU42" s="2"/>
      <c r="AV42" s="2">
        <v>3.2999999999992702</v>
      </c>
      <c r="AW42" s="2"/>
      <c r="AX42" s="2">
        <v>0.39999999999963598</v>
      </c>
      <c r="AY42" s="2"/>
      <c r="AZ42" s="2"/>
      <c r="BA42" s="2"/>
      <c r="BB42" s="2">
        <v>0.89999999999963598</v>
      </c>
      <c r="BC42" s="2">
        <v>4.5</v>
      </c>
      <c r="BD42" s="2">
        <v>25.200000000011599</v>
      </c>
      <c r="BE42" s="2">
        <v>9.3999999999941792</v>
      </c>
      <c r="BF42" s="2">
        <v>10.3000000000029</v>
      </c>
      <c r="BG42" s="2"/>
      <c r="BH42" s="2">
        <v>5.5999999999985501</v>
      </c>
      <c r="BI42" s="2"/>
      <c r="BJ42" s="2">
        <v>0.200000000000045</v>
      </c>
      <c r="BK42" s="2"/>
      <c r="BL42" s="2"/>
      <c r="BM42" s="2">
        <v>0.100000000000023</v>
      </c>
      <c r="BN42" s="2">
        <v>0</v>
      </c>
      <c r="BO42" s="2"/>
      <c r="BP42" s="2"/>
      <c r="BQ42" s="2"/>
      <c r="BR42" s="2">
        <v>1.20000000000073</v>
      </c>
      <c r="BS42" s="2">
        <v>0.100000000000023</v>
      </c>
      <c r="BT42" s="2"/>
      <c r="BU42" s="2">
        <v>1.10000000000036</v>
      </c>
      <c r="BV42" s="2"/>
      <c r="BW42" s="2">
        <v>5.79999999999563</v>
      </c>
      <c r="BX42" s="2"/>
      <c r="BY42" s="2">
        <v>2.5</v>
      </c>
      <c r="BZ42" s="2"/>
      <c r="CA42" s="2"/>
      <c r="CB42" s="2">
        <v>2</v>
      </c>
      <c r="CC42" s="2"/>
      <c r="CD42" s="2"/>
      <c r="CE42" s="2"/>
      <c r="CF42" s="2"/>
      <c r="CG42" s="2"/>
      <c r="CH42" s="2">
        <v>17.5</v>
      </c>
      <c r="CI42" s="2">
        <v>4.3</v>
      </c>
      <c r="CJ42" s="2"/>
      <c r="CK42" s="2"/>
      <c r="CL42" s="2"/>
      <c r="CM42" s="2">
        <v>0.1</v>
      </c>
      <c r="CN42" s="2"/>
      <c r="CO42" s="2"/>
      <c r="CP42" s="2">
        <v>3</v>
      </c>
      <c r="CQ42" s="2"/>
      <c r="CR42" s="2">
        <v>9.6</v>
      </c>
      <c r="CS42" s="2">
        <v>31.6</v>
      </c>
      <c r="CT42" s="2"/>
      <c r="CU42" s="2">
        <v>7.8</v>
      </c>
      <c r="CV42" s="2">
        <v>5.8</v>
      </c>
      <c r="CW42" s="2">
        <v>3.1</v>
      </c>
      <c r="CX42" s="2"/>
      <c r="CY42" s="2">
        <v>0.6</v>
      </c>
      <c r="CZ42" s="2">
        <v>3.4</v>
      </c>
      <c r="DB42">
        <v>1935</v>
      </c>
      <c r="DC42">
        <v>45.599999999976703</v>
      </c>
      <c r="DE42" s="28">
        <v>1951</v>
      </c>
      <c r="DF42" s="27">
        <v>41110</v>
      </c>
      <c r="DG42">
        <v>165.79999999981399</v>
      </c>
      <c r="DH42">
        <v>41</v>
      </c>
    </row>
    <row r="43" spans="1:112">
      <c r="A43" s="1">
        <v>40950</v>
      </c>
      <c r="B43" s="2"/>
      <c r="C43" s="2"/>
      <c r="D43" s="2"/>
      <c r="E43" s="2"/>
      <c r="F43" s="2"/>
      <c r="G43" s="2"/>
      <c r="H43" s="2"/>
      <c r="I43" s="2"/>
      <c r="J43" s="2">
        <v>3.6</v>
      </c>
      <c r="K43" s="2">
        <v>1.8</v>
      </c>
      <c r="L43" s="2"/>
      <c r="M43" s="2">
        <v>0.3</v>
      </c>
      <c r="N43" s="2">
        <v>0.9</v>
      </c>
      <c r="O43" s="2">
        <v>1.7</v>
      </c>
      <c r="P43" s="2"/>
      <c r="Q43" s="2"/>
      <c r="R43" s="2">
        <v>0.7</v>
      </c>
      <c r="S43" s="2"/>
      <c r="T43" s="2">
        <v>0</v>
      </c>
      <c r="U43" s="2">
        <v>0.2</v>
      </c>
      <c r="V43" s="2">
        <v>20.8</v>
      </c>
      <c r="W43" s="2">
        <v>26.1</v>
      </c>
      <c r="X43" s="2"/>
      <c r="Y43" s="2"/>
      <c r="Z43" s="2">
        <v>8</v>
      </c>
      <c r="AA43" s="2">
        <v>20</v>
      </c>
      <c r="AB43" s="2">
        <v>3.5</v>
      </c>
      <c r="AC43" s="2"/>
      <c r="AD43" s="2"/>
      <c r="AE43" s="2">
        <v>17</v>
      </c>
      <c r="AF43" s="2"/>
      <c r="AG43" s="2">
        <v>0.29999999999972699</v>
      </c>
      <c r="AH43" s="2"/>
      <c r="AI43" s="2"/>
      <c r="AJ43" s="2">
        <v>0.44</v>
      </c>
      <c r="AK43" s="2">
        <v>5.5999999999985501</v>
      </c>
      <c r="AL43" s="2"/>
      <c r="AM43" s="2">
        <v>28</v>
      </c>
      <c r="AN43" s="2">
        <v>8.2999999999883602</v>
      </c>
      <c r="AO43" s="2"/>
      <c r="AP43" s="2">
        <v>0.59999999999945397</v>
      </c>
      <c r="AQ43" s="2"/>
      <c r="AR43" s="2"/>
      <c r="AS43" s="2">
        <v>1</v>
      </c>
      <c r="AT43" s="2">
        <v>4.3999999999941801</v>
      </c>
      <c r="AU43" s="2"/>
      <c r="AV43" s="2">
        <v>2</v>
      </c>
      <c r="AW43" s="2"/>
      <c r="AX43" s="2">
        <v>3.1999999999970901</v>
      </c>
      <c r="AY43" s="2">
        <v>3.3999999999978199</v>
      </c>
      <c r="AZ43" s="2"/>
      <c r="BA43" s="2">
        <v>2</v>
      </c>
      <c r="BB43" s="2">
        <v>1.29999999999927</v>
      </c>
      <c r="BC43" s="2">
        <v>0.69999999999981799</v>
      </c>
      <c r="BD43" s="2">
        <v>14.3000000000029</v>
      </c>
      <c r="BE43" s="2"/>
      <c r="BF43" s="2">
        <v>2</v>
      </c>
      <c r="BG43" s="2">
        <v>23</v>
      </c>
      <c r="BH43" s="2">
        <v>31</v>
      </c>
      <c r="BI43" s="2">
        <v>7</v>
      </c>
      <c r="BJ43" s="2">
        <v>0.80000000000018201</v>
      </c>
      <c r="BK43" s="2"/>
      <c r="BL43" s="2">
        <v>8.5</v>
      </c>
      <c r="BM43" s="2">
        <v>0</v>
      </c>
      <c r="BN43" s="2"/>
      <c r="BO43" s="2">
        <v>0.30000000000018201</v>
      </c>
      <c r="BP43" s="2">
        <v>0</v>
      </c>
      <c r="BQ43" s="2"/>
      <c r="BR43" s="2">
        <v>2.7000000000007298</v>
      </c>
      <c r="BS43" s="2">
        <v>0.100000000000023</v>
      </c>
      <c r="BT43" s="2"/>
      <c r="BU43" s="2">
        <v>2.4000000000014601</v>
      </c>
      <c r="BV43" s="2"/>
      <c r="BW43" s="2">
        <v>8.7999999999883602</v>
      </c>
      <c r="BX43" s="2">
        <v>0.1</v>
      </c>
      <c r="BY43" s="2"/>
      <c r="BZ43" s="2"/>
      <c r="CA43" s="2"/>
      <c r="CB43" s="2">
        <v>1</v>
      </c>
      <c r="CC43" s="2">
        <v>2.4</v>
      </c>
      <c r="CD43" s="2"/>
      <c r="CE43" s="2"/>
      <c r="CF43" s="2"/>
      <c r="CG43" s="2">
        <v>3.7</v>
      </c>
      <c r="CH43" s="2"/>
      <c r="CI43" s="2">
        <v>2.2999999999999998</v>
      </c>
      <c r="CJ43" s="2"/>
      <c r="CK43" s="2"/>
      <c r="CL43" s="2"/>
      <c r="CM43" s="2"/>
      <c r="CN43" s="2"/>
      <c r="CO43" s="2"/>
      <c r="CP43" s="2">
        <v>0</v>
      </c>
      <c r="CQ43" s="2"/>
      <c r="CR43" s="2"/>
      <c r="CS43" s="2">
        <v>0.3</v>
      </c>
      <c r="CT43" s="2"/>
      <c r="CU43" s="2">
        <v>2.1</v>
      </c>
      <c r="CV43" s="2">
        <v>16.2</v>
      </c>
      <c r="CW43" s="2">
        <v>2.4</v>
      </c>
      <c r="CX43" s="2"/>
      <c r="CY43" s="2"/>
      <c r="CZ43" s="2">
        <v>1.3</v>
      </c>
      <c r="DB43">
        <v>1969</v>
      </c>
      <c r="DC43">
        <v>31</v>
      </c>
      <c r="DE43" s="28">
        <v>1952</v>
      </c>
      <c r="DF43" s="27">
        <v>40913</v>
      </c>
      <c r="DG43">
        <v>39.399999999965097</v>
      </c>
      <c r="DH43">
        <v>42</v>
      </c>
    </row>
    <row r="44" spans="1:112">
      <c r="A44" s="1">
        <v>40951</v>
      </c>
      <c r="B44" s="2"/>
      <c r="C44" s="2"/>
      <c r="D44" s="2">
        <v>0.6</v>
      </c>
      <c r="E44" s="2"/>
      <c r="F44" s="2"/>
      <c r="G44" s="2"/>
      <c r="H44" s="2"/>
      <c r="I44" s="2"/>
      <c r="J44" s="2"/>
      <c r="K44" s="2">
        <v>6.6</v>
      </c>
      <c r="L44" s="2"/>
      <c r="M44" s="2"/>
      <c r="N44" s="2"/>
      <c r="O44" s="2"/>
      <c r="P44" s="2"/>
      <c r="Q44" s="2"/>
      <c r="R44" s="2">
        <v>30.3</v>
      </c>
      <c r="S44" s="2"/>
      <c r="T44" s="2">
        <v>2.8</v>
      </c>
      <c r="U44" s="2">
        <v>2.8</v>
      </c>
      <c r="V44" s="2">
        <v>19.899999999999999</v>
      </c>
      <c r="W44" s="2">
        <v>15</v>
      </c>
      <c r="X44" s="2">
        <v>12.6</v>
      </c>
      <c r="Y44" s="2"/>
      <c r="Z44" s="2">
        <v>9.2999999999883602</v>
      </c>
      <c r="AA44" s="2">
        <v>6.7</v>
      </c>
      <c r="AB44" s="2"/>
      <c r="AC44" s="2"/>
      <c r="AD44" s="2">
        <v>13.599999999991301</v>
      </c>
      <c r="AE44" s="2"/>
      <c r="AF44" s="2"/>
      <c r="AG44" s="2">
        <v>2.1999999999970901</v>
      </c>
      <c r="AH44" s="2">
        <v>1.29999999999927</v>
      </c>
      <c r="AI44" s="2"/>
      <c r="AJ44" s="2">
        <v>1.4</v>
      </c>
      <c r="AK44" s="2"/>
      <c r="AL44" s="2"/>
      <c r="AM44" s="2">
        <v>13</v>
      </c>
      <c r="AN44" s="2"/>
      <c r="AO44" s="2">
        <v>0.39999999999963598</v>
      </c>
      <c r="AP44" s="2">
        <v>9.9999999999908995E-2</v>
      </c>
      <c r="AQ44" s="2">
        <v>0.19999999999981799</v>
      </c>
      <c r="AR44" s="2">
        <v>3.6999999999970901</v>
      </c>
      <c r="AS44" s="2"/>
      <c r="AT44" s="2"/>
      <c r="AU44" s="2"/>
      <c r="AV44" s="2">
        <v>2.0999999999985399</v>
      </c>
      <c r="AW44" s="2">
        <v>0</v>
      </c>
      <c r="AX44" s="2">
        <v>5.5</v>
      </c>
      <c r="AY44" s="2"/>
      <c r="AZ44" s="2">
        <v>2</v>
      </c>
      <c r="BA44" s="2">
        <v>0.19999999999981799</v>
      </c>
      <c r="BB44" s="2">
        <v>5.5</v>
      </c>
      <c r="BC44" s="2"/>
      <c r="BD44" s="2">
        <v>0</v>
      </c>
      <c r="BE44" s="2"/>
      <c r="BF44" s="2">
        <v>0</v>
      </c>
      <c r="BG44" s="2">
        <v>0.69999999999981799</v>
      </c>
      <c r="BH44" s="2">
        <v>1</v>
      </c>
      <c r="BI44" s="2">
        <v>6.5999999999985501</v>
      </c>
      <c r="BJ44" s="2">
        <v>0.200000000000045</v>
      </c>
      <c r="BK44" s="2"/>
      <c r="BL44" s="2">
        <v>12.399999999994201</v>
      </c>
      <c r="BM44" s="2">
        <v>0.200000000000045</v>
      </c>
      <c r="BN44" s="2">
        <v>0</v>
      </c>
      <c r="BO44" s="2">
        <v>2.2000000000007298</v>
      </c>
      <c r="BP44" s="2"/>
      <c r="BQ44" s="2"/>
      <c r="BR44" s="2"/>
      <c r="BS44" s="2">
        <v>1.20000000000073</v>
      </c>
      <c r="BT44" s="2">
        <v>0.69999999999981799</v>
      </c>
      <c r="BU44" s="2">
        <v>0.400000000000091</v>
      </c>
      <c r="BV44" s="2"/>
      <c r="BW44" s="2"/>
      <c r="BX44" s="2">
        <v>4.9000000000000004</v>
      </c>
      <c r="BY44" s="2">
        <v>1.1000000000000001</v>
      </c>
      <c r="BZ44" s="2"/>
      <c r="CA44" s="2"/>
      <c r="CB44" s="2">
        <v>0.1</v>
      </c>
      <c r="CC44" s="2">
        <v>2.4</v>
      </c>
      <c r="CD44" s="2"/>
      <c r="CE44" s="2"/>
      <c r="CF44" s="2"/>
      <c r="CG44" s="2">
        <v>4.0999999999999996</v>
      </c>
      <c r="CH44" s="2">
        <v>1.6</v>
      </c>
      <c r="CI44" s="2"/>
      <c r="CJ44" s="2"/>
      <c r="CK44" s="2"/>
      <c r="CL44" s="2">
        <v>2.5</v>
      </c>
      <c r="CM44" s="2">
        <v>0.1</v>
      </c>
      <c r="CN44" s="2">
        <v>3.2</v>
      </c>
      <c r="CO44" s="2"/>
      <c r="CP44" s="2">
        <v>10.5</v>
      </c>
      <c r="CQ44" s="2">
        <v>15.3</v>
      </c>
      <c r="CR44" s="2"/>
      <c r="CS44" s="2">
        <v>13.3</v>
      </c>
      <c r="CT44" s="2">
        <v>2.2999999999999998</v>
      </c>
      <c r="CU44" s="2"/>
      <c r="CV44" s="2">
        <v>18.8</v>
      </c>
      <c r="CW44" s="2">
        <v>6.5</v>
      </c>
      <c r="CX44" s="2"/>
      <c r="CY44" s="2"/>
      <c r="CZ44" s="2">
        <v>0.2</v>
      </c>
      <c r="DB44">
        <v>1927</v>
      </c>
      <c r="DC44">
        <v>30.3</v>
      </c>
      <c r="DE44" s="28">
        <v>1953</v>
      </c>
      <c r="DF44" s="27">
        <v>41189</v>
      </c>
      <c r="DG44">
        <v>70.299999999930193</v>
      </c>
      <c r="DH44">
        <v>43</v>
      </c>
    </row>
    <row r="45" spans="1:112">
      <c r="A45" s="1">
        <v>40952</v>
      </c>
      <c r="B45" s="2"/>
      <c r="C45" s="2"/>
      <c r="D45" s="2">
        <v>5.8</v>
      </c>
      <c r="E45" s="2"/>
      <c r="F45" s="2"/>
      <c r="G45" s="2">
        <v>5.2</v>
      </c>
      <c r="H45" s="2">
        <v>5.8</v>
      </c>
      <c r="I45" s="2"/>
      <c r="J45" s="2"/>
      <c r="K45" s="2">
        <v>4.7</v>
      </c>
      <c r="L45" s="2"/>
      <c r="M45" s="2"/>
      <c r="N45" s="2">
        <v>0.3</v>
      </c>
      <c r="O45" s="2"/>
      <c r="P45" s="2"/>
      <c r="Q45" s="2"/>
      <c r="R45" s="2"/>
      <c r="S45" s="2">
        <v>2.5</v>
      </c>
      <c r="T45" s="2">
        <v>0.3</v>
      </c>
      <c r="U45" s="2">
        <v>0</v>
      </c>
      <c r="V45" s="2">
        <v>0.6</v>
      </c>
      <c r="W45" s="2">
        <v>1.7</v>
      </c>
      <c r="X45" s="2">
        <v>5.7</v>
      </c>
      <c r="Y45" s="2"/>
      <c r="Z45" s="2">
        <v>2.3999999999978199</v>
      </c>
      <c r="AA45" s="2"/>
      <c r="AB45" s="2">
        <v>14.7</v>
      </c>
      <c r="AC45" s="2">
        <v>5.79999999999563</v>
      </c>
      <c r="AD45" s="2">
        <v>0</v>
      </c>
      <c r="AE45" s="2"/>
      <c r="AF45" s="2"/>
      <c r="AG45" s="2">
        <v>7.5</v>
      </c>
      <c r="AH45" s="2"/>
      <c r="AI45" s="2">
        <v>4.6999999999970896</v>
      </c>
      <c r="AJ45" s="2">
        <v>0.4</v>
      </c>
      <c r="AK45" s="2">
        <v>3.6999999999970901</v>
      </c>
      <c r="AL45" s="2"/>
      <c r="AM45" s="2">
        <v>4.79999999999563</v>
      </c>
      <c r="AN45" s="2">
        <v>0</v>
      </c>
      <c r="AO45" s="2"/>
      <c r="AP45" s="2"/>
      <c r="AQ45" s="2"/>
      <c r="AR45" s="2">
        <v>6.8999999999941801</v>
      </c>
      <c r="AS45" s="2"/>
      <c r="AT45" s="2">
        <v>0.39999999999963598</v>
      </c>
      <c r="AU45" s="2"/>
      <c r="AV45" s="2"/>
      <c r="AW45" s="2">
        <v>0.29999999999972699</v>
      </c>
      <c r="AX45" s="2">
        <v>5.3</v>
      </c>
      <c r="AY45" s="2"/>
      <c r="AZ45" s="2">
        <v>0.79999999999927196</v>
      </c>
      <c r="BA45" s="2">
        <v>2.1999999999970901</v>
      </c>
      <c r="BB45" s="2">
        <v>17.199999999982499</v>
      </c>
      <c r="BC45" s="2">
        <v>7.0999999999985501</v>
      </c>
      <c r="BD45" s="2">
        <v>1.20000000000073</v>
      </c>
      <c r="BE45" s="2"/>
      <c r="BF45" s="2">
        <v>2.9</v>
      </c>
      <c r="BG45" s="2"/>
      <c r="BH45" s="2">
        <v>0.200000000000045</v>
      </c>
      <c r="BI45" s="2"/>
      <c r="BJ45" s="2">
        <v>0.100000000000023</v>
      </c>
      <c r="BK45" s="2">
        <v>5.3000000000029104</v>
      </c>
      <c r="BL45" s="2">
        <v>0.5</v>
      </c>
      <c r="BM45" s="2">
        <v>0.100000000000023</v>
      </c>
      <c r="BN45" s="2">
        <v>1</v>
      </c>
      <c r="BO45" s="2">
        <v>3.2000000000007298</v>
      </c>
      <c r="BP45" s="2"/>
      <c r="BQ45" s="2"/>
      <c r="BR45" s="2">
        <v>0.100000000000023</v>
      </c>
      <c r="BS45" s="2">
        <v>5.1999999999970896</v>
      </c>
      <c r="BT45" s="2">
        <v>0</v>
      </c>
      <c r="BU45" s="2">
        <v>0.400000000000091</v>
      </c>
      <c r="BV45" s="2"/>
      <c r="BW45" s="2">
        <v>0</v>
      </c>
      <c r="BX45" s="2">
        <v>15.1</v>
      </c>
      <c r="BY45" s="2">
        <v>1.8</v>
      </c>
      <c r="BZ45" s="2"/>
      <c r="CA45" s="2">
        <v>0.1</v>
      </c>
      <c r="CB45" s="2"/>
      <c r="CC45" s="2">
        <v>9.3000000000000007</v>
      </c>
      <c r="CD45" s="2">
        <v>4.2</v>
      </c>
      <c r="CE45" s="2"/>
      <c r="CF45" s="2"/>
      <c r="CG45" s="2">
        <v>7.6</v>
      </c>
      <c r="CH45" s="2"/>
      <c r="CI45" s="2"/>
      <c r="CJ45" s="2"/>
      <c r="CK45" s="2">
        <v>1</v>
      </c>
      <c r="CL45" s="2">
        <v>4.4000000000000004</v>
      </c>
      <c r="CM45" s="2"/>
      <c r="CN45" s="2">
        <v>2</v>
      </c>
      <c r="CO45" s="2"/>
      <c r="CP45" s="2">
        <v>13.3</v>
      </c>
      <c r="CQ45" s="2">
        <v>19.100000000000001</v>
      </c>
      <c r="CR45" s="2">
        <v>0.7</v>
      </c>
      <c r="CS45" s="2">
        <v>3.2</v>
      </c>
      <c r="CT45" s="2">
        <v>0.9</v>
      </c>
      <c r="CU45" s="2">
        <v>8.1</v>
      </c>
      <c r="CV45" s="2">
        <v>17.399999999999999</v>
      </c>
      <c r="CW45" s="2">
        <v>16.8</v>
      </c>
      <c r="CX45" s="2"/>
      <c r="CY45" s="2">
        <v>6.6</v>
      </c>
      <c r="CZ45" s="2"/>
      <c r="DB45">
        <v>2004</v>
      </c>
      <c r="DC45">
        <v>19.100000000000001</v>
      </c>
      <c r="DE45" s="28">
        <v>1954</v>
      </c>
      <c r="DF45" s="27">
        <v>41177</v>
      </c>
      <c r="DG45">
        <v>39</v>
      </c>
      <c r="DH45">
        <v>44</v>
      </c>
    </row>
    <row r="46" spans="1:112">
      <c r="A46" s="1">
        <v>40953</v>
      </c>
      <c r="B46" s="2"/>
      <c r="C46" s="2">
        <v>3</v>
      </c>
      <c r="D46" s="2">
        <v>13.5</v>
      </c>
      <c r="E46" s="2">
        <v>0.4</v>
      </c>
      <c r="F46" s="2"/>
      <c r="G46" s="2"/>
      <c r="H46" s="2">
        <v>1.9</v>
      </c>
      <c r="I46" s="2"/>
      <c r="J46" s="2"/>
      <c r="K46" s="2">
        <v>1.3</v>
      </c>
      <c r="L46" s="2">
        <v>0.5</v>
      </c>
      <c r="M46" s="2"/>
      <c r="N46" s="2">
        <v>14.4</v>
      </c>
      <c r="O46" s="2">
        <v>16.600000000000001</v>
      </c>
      <c r="P46" s="2"/>
      <c r="Q46" s="2"/>
      <c r="R46" s="2">
        <v>51.1</v>
      </c>
      <c r="S46" s="2">
        <v>1</v>
      </c>
      <c r="T46" s="2"/>
      <c r="U46" s="2"/>
      <c r="V46" s="2">
        <v>1</v>
      </c>
      <c r="W46" s="2">
        <v>0</v>
      </c>
      <c r="X46" s="2"/>
      <c r="Y46" s="2">
        <v>0</v>
      </c>
      <c r="Z46" s="2"/>
      <c r="AA46" s="2"/>
      <c r="AB46" s="2"/>
      <c r="AC46" s="2">
        <v>1</v>
      </c>
      <c r="AD46" s="2">
        <v>2.7999999999992702</v>
      </c>
      <c r="AE46" s="2"/>
      <c r="AF46" s="2"/>
      <c r="AG46" s="2">
        <v>0.39999999999963598</v>
      </c>
      <c r="AH46" s="2">
        <v>1.79999999999927</v>
      </c>
      <c r="AI46" s="2">
        <v>0.5</v>
      </c>
      <c r="AJ46" s="2"/>
      <c r="AK46" s="2">
        <v>9.3000000000000007</v>
      </c>
      <c r="AL46" s="2">
        <v>4.0999999999985501</v>
      </c>
      <c r="AM46" s="2">
        <v>5.8999999999941801</v>
      </c>
      <c r="AN46" s="2">
        <v>8.1999999999999993</v>
      </c>
      <c r="AO46" s="2"/>
      <c r="AP46" s="2">
        <v>5.79999999999563</v>
      </c>
      <c r="AQ46" s="2"/>
      <c r="AR46" s="2">
        <v>0.19999999999981799</v>
      </c>
      <c r="AS46" s="2"/>
      <c r="AT46" s="2">
        <v>15.5</v>
      </c>
      <c r="AU46" s="2">
        <v>25.699999999982499</v>
      </c>
      <c r="AV46" s="2">
        <v>3.6999999999970901</v>
      </c>
      <c r="AW46" s="2"/>
      <c r="AX46" s="2">
        <v>0</v>
      </c>
      <c r="AY46" s="2"/>
      <c r="AZ46" s="2">
        <v>8.8999999999941792</v>
      </c>
      <c r="BA46" s="2">
        <v>18.299999999988401</v>
      </c>
      <c r="BB46" s="2">
        <v>20.199999999982499</v>
      </c>
      <c r="BC46" s="2">
        <v>3.2999999999992702</v>
      </c>
      <c r="BD46" s="2"/>
      <c r="BE46" s="2">
        <v>0.400000000000091</v>
      </c>
      <c r="BF46" s="2">
        <v>6.4</v>
      </c>
      <c r="BG46" s="2"/>
      <c r="BH46" s="2">
        <v>0.5</v>
      </c>
      <c r="BI46" s="2"/>
      <c r="BJ46" s="2"/>
      <c r="BK46" s="2">
        <v>10.5</v>
      </c>
      <c r="BL46" s="2">
        <v>0.100000000000023</v>
      </c>
      <c r="BM46" s="2"/>
      <c r="BN46" s="2">
        <v>0.100000000000023</v>
      </c>
      <c r="BO46" s="2">
        <v>5.1999999999970896</v>
      </c>
      <c r="BP46" s="2"/>
      <c r="BQ46" s="2">
        <v>1.70000000000073</v>
      </c>
      <c r="BR46" s="2">
        <v>8.1000000000058208</v>
      </c>
      <c r="BS46" s="2">
        <v>38.5</v>
      </c>
      <c r="BT46" s="2">
        <v>8.3000000000029104</v>
      </c>
      <c r="BU46" s="2">
        <v>0</v>
      </c>
      <c r="BV46" s="2">
        <v>2.1</v>
      </c>
      <c r="BW46" s="2">
        <v>9.9999999999908995E-2</v>
      </c>
      <c r="BX46" s="2">
        <v>0</v>
      </c>
      <c r="BY46" s="2">
        <v>5.7</v>
      </c>
      <c r="BZ46" s="2"/>
      <c r="CA46" s="2">
        <v>3.7</v>
      </c>
      <c r="CB46" s="2"/>
      <c r="CC46" s="2"/>
      <c r="CD46" s="2">
        <v>0</v>
      </c>
      <c r="CE46" s="2"/>
      <c r="CF46" s="2"/>
      <c r="CG46" s="2">
        <v>1.7</v>
      </c>
      <c r="CH46" s="2"/>
      <c r="CI46" s="2"/>
      <c r="CJ46" s="2">
        <v>2.5</v>
      </c>
      <c r="CK46" s="2">
        <v>0.1</v>
      </c>
      <c r="CL46" s="2">
        <v>5.5</v>
      </c>
      <c r="CM46" s="2"/>
      <c r="CN46" s="2">
        <v>5.5</v>
      </c>
      <c r="CO46" s="2"/>
      <c r="CP46" s="2">
        <v>4.7</v>
      </c>
      <c r="CQ46" s="2">
        <v>0.1</v>
      </c>
      <c r="CR46" s="2"/>
      <c r="CS46" s="2">
        <v>0.4</v>
      </c>
      <c r="CT46" s="2">
        <v>0.9</v>
      </c>
      <c r="CU46" s="2"/>
      <c r="CV46" s="2">
        <v>15.5</v>
      </c>
      <c r="CW46" s="2">
        <v>1.8</v>
      </c>
      <c r="CX46" s="2"/>
      <c r="CY46" s="2">
        <v>13.7</v>
      </c>
      <c r="CZ46" s="2">
        <v>5.8</v>
      </c>
      <c r="DB46">
        <v>1927</v>
      </c>
      <c r="DC46">
        <v>51.1</v>
      </c>
      <c r="DE46" s="28">
        <v>1955</v>
      </c>
      <c r="DF46" s="27">
        <v>41229</v>
      </c>
      <c r="DG46">
        <v>94.2</v>
      </c>
      <c r="DH46">
        <v>45</v>
      </c>
    </row>
    <row r="47" spans="1:112">
      <c r="A47" s="1">
        <v>40954</v>
      </c>
      <c r="B47" s="2"/>
      <c r="C47" s="2">
        <v>9.6</v>
      </c>
      <c r="D47" s="2">
        <v>0.9</v>
      </c>
      <c r="E47" s="2">
        <v>0.4</v>
      </c>
      <c r="F47" s="2"/>
      <c r="G47" s="2"/>
      <c r="H47" s="2">
        <v>0.6</v>
      </c>
      <c r="I47" s="2">
        <v>7.3</v>
      </c>
      <c r="J47" s="2"/>
      <c r="K47" s="2">
        <v>0.8</v>
      </c>
      <c r="L47" s="2">
        <v>1.9</v>
      </c>
      <c r="M47" s="2"/>
      <c r="N47" s="2">
        <v>0.4</v>
      </c>
      <c r="O47" s="2"/>
      <c r="P47" s="2"/>
      <c r="Q47" s="2"/>
      <c r="R47" s="2">
        <v>55.1</v>
      </c>
      <c r="S47" s="2">
        <v>4.5</v>
      </c>
      <c r="T47" s="2"/>
      <c r="U47" s="2"/>
      <c r="V47" s="2"/>
      <c r="W47" s="2"/>
      <c r="X47" s="2">
        <v>18.5</v>
      </c>
      <c r="Y47" s="2">
        <v>0</v>
      </c>
      <c r="Z47" s="2">
        <v>0.39999999999963598</v>
      </c>
      <c r="AA47" s="2"/>
      <c r="AB47" s="2">
        <v>0</v>
      </c>
      <c r="AC47" s="2"/>
      <c r="AD47" s="2">
        <v>8.0999999999912706</v>
      </c>
      <c r="AE47" s="2">
        <v>17.599999999976699</v>
      </c>
      <c r="AF47" s="2">
        <v>2</v>
      </c>
      <c r="AG47" s="2"/>
      <c r="AH47" s="2"/>
      <c r="AI47" s="2">
        <v>10.899999999994201</v>
      </c>
      <c r="AJ47" s="2"/>
      <c r="AK47" s="2">
        <v>2</v>
      </c>
      <c r="AL47" s="2">
        <v>1</v>
      </c>
      <c r="AM47" s="2">
        <v>8.1999999999970896</v>
      </c>
      <c r="AN47" s="2">
        <v>2.4</v>
      </c>
      <c r="AO47" s="2">
        <v>0.5</v>
      </c>
      <c r="AP47" s="2"/>
      <c r="AQ47" s="2"/>
      <c r="AR47" s="2">
        <v>5.79999999999563</v>
      </c>
      <c r="AS47" s="2"/>
      <c r="AT47" s="2">
        <v>10.399999999994201</v>
      </c>
      <c r="AU47" s="2">
        <v>9.2999999999883602</v>
      </c>
      <c r="AV47" s="2">
        <v>0.29999999999972699</v>
      </c>
      <c r="AW47" s="2"/>
      <c r="AX47" s="2">
        <v>3</v>
      </c>
      <c r="AY47" s="2">
        <v>0.79999999999927196</v>
      </c>
      <c r="AZ47" s="2">
        <v>3.6999999999970901</v>
      </c>
      <c r="BA47" s="2">
        <v>1.0999999999985499</v>
      </c>
      <c r="BB47" s="2">
        <v>10.6999999999971</v>
      </c>
      <c r="BC47" s="2"/>
      <c r="BD47" s="2"/>
      <c r="BE47" s="2"/>
      <c r="BF47" s="2">
        <v>11</v>
      </c>
      <c r="BG47" s="2"/>
      <c r="BH47" s="2"/>
      <c r="BI47" s="2"/>
      <c r="BJ47" s="2">
        <v>0.89999999999963598</v>
      </c>
      <c r="BK47" s="2">
        <v>0.200000000000045</v>
      </c>
      <c r="BL47" s="2"/>
      <c r="BM47" s="2">
        <v>0</v>
      </c>
      <c r="BN47" s="2">
        <v>0.100000000000023</v>
      </c>
      <c r="BO47" s="2">
        <v>0.100000000000023</v>
      </c>
      <c r="BP47" s="2"/>
      <c r="BQ47" s="2">
        <v>3.2000000000007298</v>
      </c>
      <c r="BR47" s="2">
        <v>0.100000000000023</v>
      </c>
      <c r="BS47" s="2">
        <v>8.6000000000058208</v>
      </c>
      <c r="BT47" s="2">
        <v>2.4000000000014601</v>
      </c>
      <c r="BU47" s="2">
        <v>0</v>
      </c>
      <c r="BV47" s="2">
        <v>0.2</v>
      </c>
      <c r="BW47" s="2">
        <v>1.5999999999985499</v>
      </c>
      <c r="BX47" s="2">
        <v>0.4</v>
      </c>
      <c r="BY47" s="2"/>
      <c r="BZ47" s="2">
        <v>0.3</v>
      </c>
      <c r="CA47" s="2">
        <v>2.2999999999999998</v>
      </c>
      <c r="CB47" s="2"/>
      <c r="CC47" s="2">
        <v>0.2</v>
      </c>
      <c r="CD47" s="2">
        <v>10.199999999999999</v>
      </c>
      <c r="CE47" s="2"/>
      <c r="CF47" s="2"/>
      <c r="CG47" s="2">
        <v>19</v>
      </c>
      <c r="CH47" s="2">
        <v>0.6</v>
      </c>
      <c r="CI47" s="2"/>
      <c r="CJ47" s="2"/>
      <c r="CK47" s="2">
        <v>2</v>
      </c>
      <c r="CL47" s="2"/>
      <c r="CM47" s="2">
        <v>9.5</v>
      </c>
      <c r="CN47" s="2">
        <v>6.6</v>
      </c>
      <c r="CO47" s="2"/>
      <c r="CP47" s="2">
        <v>0.3</v>
      </c>
      <c r="CQ47" s="2">
        <v>4.0999999999999996</v>
      </c>
      <c r="CR47" s="2">
        <v>0</v>
      </c>
      <c r="CS47" s="2">
        <v>2.2999999999999998</v>
      </c>
      <c r="CT47" s="2">
        <v>1.6</v>
      </c>
      <c r="CU47" s="2">
        <v>1.8</v>
      </c>
      <c r="CV47" s="2">
        <v>4.5</v>
      </c>
      <c r="CW47" s="2">
        <v>1.1000000000000001</v>
      </c>
      <c r="CX47" s="2">
        <v>0.2</v>
      </c>
      <c r="CY47" s="2">
        <v>4.5</v>
      </c>
      <c r="CZ47" s="2">
        <v>11</v>
      </c>
      <c r="DB47">
        <v>1927</v>
      </c>
      <c r="DC47">
        <v>55.1</v>
      </c>
      <c r="DE47" s="28">
        <v>1956</v>
      </c>
      <c r="DF47" s="27">
        <v>40940</v>
      </c>
      <c r="DG47">
        <v>35.5</v>
      </c>
      <c r="DH47">
        <v>46</v>
      </c>
    </row>
    <row r="48" spans="1:112">
      <c r="A48" s="1">
        <v>40955</v>
      </c>
      <c r="B48" s="2"/>
      <c r="C48" s="2">
        <v>5.4</v>
      </c>
      <c r="D48" s="2">
        <v>0.4</v>
      </c>
      <c r="E48" s="2">
        <v>0.3</v>
      </c>
      <c r="F48" s="2"/>
      <c r="G48" s="2">
        <v>3.1</v>
      </c>
      <c r="H48" s="2"/>
      <c r="I48" s="2">
        <v>7.7</v>
      </c>
      <c r="J48" s="2">
        <v>1.4</v>
      </c>
      <c r="K48" s="2">
        <v>6.4</v>
      </c>
      <c r="L48" s="2">
        <v>0.2</v>
      </c>
      <c r="M48" s="2">
        <v>18.5</v>
      </c>
      <c r="N48" s="2">
        <v>3.5</v>
      </c>
      <c r="O48" s="2">
        <v>5.4</v>
      </c>
      <c r="P48" s="2"/>
      <c r="Q48" s="2">
        <v>0.3</v>
      </c>
      <c r="R48" s="2">
        <v>0.3</v>
      </c>
      <c r="S48" s="2">
        <v>0.3</v>
      </c>
      <c r="T48" s="2">
        <v>1</v>
      </c>
      <c r="U48" s="2"/>
      <c r="V48" s="2">
        <v>3.5</v>
      </c>
      <c r="W48" s="2"/>
      <c r="X48" s="2">
        <v>12</v>
      </c>
      <c r="Y48" s="2">
        <v>11.7</v>
      </c>
      <c r="Z48" s="2"/>
      <c r="AA48" s="2">
        <v>2.5999999999985399</v>
      </c>
      <c r="AB48" s="2"/>
      <c r="AC48" s="2"/>
      <c r="AD48" s="2">
        <v>0</v>
      </c>
      <c r="AE48" s="2"/>
      <c r="AF48" s="2"/>
      <c r="AG48" s="2"/>
      <c r="AH48" s="2"/>
      <c r="AI48" s="2">
        <v>3</v>
      </c>
      <c r="AJ48" s="2">
        <v>0.19999999999981799</v>
      </c>
      <c r="AK48" s="2">
        <v>1.8</v>
      </c>
      <c r="AL48" s="2">
        <v>6</v>
      </c>
      <c r="AM48" s="2">
        <v>3.6999999999970901</v>
      </c>
      <c r="AN48" s="2"/>
      <c r="AO48" s="2">
        <v>1.79999999999927</v>
      </c>
      <c r="AP48" s="2"/>
      <c r="AQ48" s="2">
        <v>15.1999999999971</v>
      </c>
      <c r="AR48" s="2">
        <v>5.6999999999970896</v>
      </c>
      <c r="AS48" s="2"/>
      <c r="AT48" s="2"/>
      <c r="AU48" s="2">
        <v>4.3999999999941801</v>
      </c>
      <c r="AV48" s="2"/>
      <c r="AW48" s="2"/>
      <c r="AX48" s="2">
        <v>1.5</v>
      </c>
      <c r="AY48" s="2">
        <v>5.29999999999563</v>
      </c>
      <c r="AZ48" s="2"/>
      <c r="BA48" s="2">
        <v>5.3999999999941801</v>
      </c>
      <c r="BB48" s="2">
        <v>2.6999999999970901</v>
      </c>
      <c r="BC48" s="2">
        <v>0.9</v>
      </c>
      <c r="BD48" s="2">
        <v>5.0999999999985501</v>
      </c>
      <c r="BE48" s="2">
        <v>0.30000000000018201</v>
      </c>
      <c r="BF48" s="2">
        <v>0</v>
      </c>
      <c r="BG48" s="2">
        <v>8.3000000000029104</v>
      </c>
      <c r="BH48" s="2"/>
      <c r="BI48" s="2">
        <v>6</v>
      </c>
      <c r="BJ48" s="2">
        <v>5.0999999999985501</v>
      </c>
      <c r="BK48" s="2">
        <v>4.9000000000014596</v>
      </c>
      <c r="BL48" s="2"/>
      <c r="BM48" s="2">
        <v>0</v>
      </c>
      <c r="BN48" s="2">
        <v>7.0999999999985501</v>
      </c>
      <c r="BO48" s="2"/>
      <c r="BP48" s="2">
        <v>0.60000000000036402</v>
      </c>
      <c r="BQ48" s="2"/>
      <c r="BR48" s="2">
        <v>0.100000000000023</v>
      </c>
      <c r="BS48" s="2">
        <v>22</v>
      </c>
      <c r="BT48" s="2">
        <v>86.900000000023297</v>
      </c>
      <c r="BU48" s="2">
        <v>0</v>
      </c>
      <c r="BV48" s="2">
        <v>2.7</v>
      </c>
      <c r="BW48" s="2">
        <v>3</v>
      </c>
      <c r="BX48" s="2">
        <v>8.3000000000000007</v>
      </c>
      <c r="BY48" s="2">
        <v>0.6</v>
      </c>
      <c r="BZ48" s="2"/>
      <c r="CA48" s="2">
        <v>0.4</v>
      </c>
      <c r="CB48" s="2"/>
      <c r="CC48" s="2">
        <v>11.5</v>
      </c>
      <c r="CD48" s="2">
        <v>0.1</v>
      </c>
      <c r="CE48" s="2"/>
      <c r="CF48" s="2"/>
      <c r="CG48" s="2">
        <v>0.2</v>
      </c>
      <c r="CH48" s="2"/>
      <c r="CI48" s="2"/>
      <c r="CJ48" s="2">
        <v>18.5</v>
      </c>
      <c r="CK48" s="2">
        <v>0.5</v>
      </c>
      <c r="CL48" s="2"/>
      <c r="CM48" s="2"/>
      <c r="CN48" s="2"/>
      <c r="CO48" s="2"/>
      <c r="CP48" s="2"/>
      <c r="CQ48" s="2"/>
      <c r="CR48" s="2">
        <v>9.4</v>
      </c>
      <c r="CS48" s="2"/>
      <c r="CT48" s="2">
        <v>0.2</v>
      </c>
      <c r="CU48" s="2">
        <v>18.100000000000001</v>
      </c>
      <c r="CV48" s="2">
        <v>3.5</v>
      </c>
      <c r="CW48" s="2"/>
      <c r="CX48" s="2"/>
      <c r="CY48" s="2">
        <v>8</v>
      </c>
      <c r="CZ48" s="2">
        <v>0.2</v>
      </c>
      <c r="DB48">
        <v>1981</v>
      </c>
      <c r="DC48">
        <v>86.900000000023297</v>
      </c>
      <c r="DE48" s="28">
        <v>1957</v>
      </c>
      <c r="DF48" s="27">
        <v>41244</v>
      </c>
      <c r="DG48">
        <v>51.8</v>
      </c>
      <c r="DH48">
        <v>47</v>
      </c>
    </row>
    <row r="49" spans="1:112">
      <c r="A49" s="1">
        <v>40956</v>
      </c>
      <c r="B49" s="2"/>
      <c r="C49" s="2">
        <v>0</v>
      </c>
      <c r="D49" s="2">
        <v>20.3</v>
      </c>
      <c r="E49" s="2"/>
      <c r="F49" s="2"/>
      <c r="G49" s="2"/>
      <c r="H49" s="2"/>
      <c r="I49" s="2">
        <v>4.9000000000000004</v>
      </c>
      <c r="J49" s="2"/>
      <c r="K49" s="2">
        <v>7.4</v>
      </c>
      <c r="L49" s="2"/>
      <c r="M49" s="2">
        <v>8.1</v>
      </c>
      <c r="N49" s="2">
        <v>0.7</v>
      </c>
      <c r="O49" s="2"/>
      <c r="P49" s="2"/>
      <c r="Q49" s="2">
        <v>2</v>
      </c>
      <c r="R49" s="2"/>
      <c r="S49" s="2"/>
      <c r="T49" s="2">
        <v>0</v>
      </c>
      <c r="U49" s="2"/>
      <c r="V49" s="2">
        <v>1.7</v>
      </c>
      <c r="W49" s="2">
        <v>16.7</v>
      </c>
      <c r="X49" s="2">
        <v>24.5</v>
      </c>
      <c r="Y49" s="2">
        <v>0</v>
      </c>
      <c r="Z49" s="2"/>
      <c r="AA49" s="2">
        <v>2.7999999999992702</v>
      </c>
      <c r="AB49" s="2"/>
      <c r="AC49" s="2"/>
      <c r="AD49" s="2">
        <v>0</v>
      </c>
      <c r="AE49" s="2">
        <v>15</v>
      </c>
      <c r="AF49" s="2">
        <v>2</v>
      </c>
      <c r="AG49" s="2">
        <v>2.5</v>
      </c>
      <c r="AH49" s="2"/>
      <c r="AI49" s="2">
        <v>5</v>
      </c>
      <c r="AJ49" s="2">
        <v>0</v>
      </c>
      <c r="AK49" s="2"/>
      <c r="AL49" s="2">
        <v>11.1999999999971</v>
      </c>
      <c r="AM49" s="2">
        <v>3.7999999999992702</v>
      </c>
      <c r="AN49" s="2">
        <v>0.19999999999981799</v>
      </c>
      <c r="AO49" s="2">
        <v>0.19999999999981799</v>
      </c>
      <c r="AP49" s="2"/>
      <c r="AQ49" s="2">
        <v>24.799999999988401</v>
      </c>
      <c r="AR49" s="2">
        <v>8.5999999999912706</v>
      </c>
      <c r="AS49" s="2">
        <v>13</v>
      </c>
      <c r="AT49" s="2"/>
      <c r="AU49" s="2">
        <v>21</v>
      </c>
      <c r="AV49" s="2"/>
      <c r="AW49" s="2"/>
      <c r="AX49" s="2">
        <v>3.7999999999992702</v>
      </c>
      <c r="AY49" s="2"/>
      <c r="AZ49" s="2">
        <v>1.79999999999927</v>
      </c>
      <c r="BA49" s="2">
        <v>2.5</v>
      </c>
      <c r="BB49" s="2">
        <v>0.39999999999963598</v>
      </c>
      <c r="BC49" s="2"/>
      <c r="BD49" s="2">
        <v>7.4000000000014596</v>
      </c>
      <c r="BE49" s="2"/>
      <c r="BF49" s="2">
        <v>0</v>
      </c>
      <c r="BG49" s="2">
        <v>0.100000000000023</v>
      </c>
      <c r="BH49" s="2">
        <v>10.600000000005799</v>
      </c>
      <c r="BI49" s="2">
        <v>13.3000000000029</v>
      </c>
      <c r="BJ49" s="2">
        <v>5</v>
      </c>
      <c r="BK49" s="2">
        <v>0.100000000000023</v>
      </c>
      <c r="BL49" s="2">
        <v>12.600000000005799</v>
      </c>
      <c r="BM49" s="2"/>
      <c r="BN49" s="2">
        <v>16</v>
      </c>
      <c r="BO49" s="2"/>
      <c r="BP49" s="2">
        <v>3.0999999999985399</v>
      </c>
      <c r="BQ49" s="2"/>
      <c r="BR49" s="2"/>
      <c r="BS49" s="2">
        <v>1</v>
      </c>
      <c r="BT49" s="2">
        <v>2.2999999999992702</v>
      </c>
      <c r="BU49" s="2">
        <v>0</v>
      </c>
      <c r="BV49" s="2">
        <v>4.4000000000000004</v>
      </c>
      <c r="BW49" s="2">
        <v>0.29999999999972699</v>
      </c>
      <c r="BX49" s="2">
        <v>0.9</v>
      </c>
      <c r="BY49" s="2">
        <v>0</v>
      </c>
      <c r="BZ49" s="2">
        <v>2.5</v>
      </c>
      <c r="CA49" s="2"/>
      <c r="CB49" s="2"/>
      <c r="CC49" s="2"/>
      <c r="CD49" s="2">
        <v>19.5</v>
      </c>
      <c r="CE49" s="2">
        <v>12.5</v>
      </c>
      <c r="CF49" s="2"/>
      <c r="CG49" s="2"/>
      <c r="CH49" s="2"/>
      <c r="CI49" s="2"/>
      <c r="CJ49" s="2">
        <v>4.5</v>
      </c>
      <c r="CK49" s="2">
        <v>12</v>
      </c>
      <c r="CL49" s="2"/>
      <c r="CM49" s="2"/>
      <c r="CN49" s="2"/>
      <c r="CO49" s="2"/>
      <c r="CP49" s="2">
        <v>2.6</v>
      </c>
      <c r="CQ49" s="2"/>
      <c r="CR49" s="2">
        <v>2.2999999999999998</v>
      </c>
      <c r="CS49" s="2"/>
      <c r="CT49" s="2">
        <v>5.5</v>
      </c>
      <c r="CU49" s="2">
        <v>29.6</v>
      </c>
      <c r="CV49" s="2"/>
      <c r="CW49" s="2">
        <v>1.3</v>
      </c>
      <c r="CX49" s="2">
        <v>2</v>
      </c>
      <c r="CY49" s="2">
        <v>1</v>
      </c>
      <c r="CZ49" s="2"/>
      <c r="DB49">
        <v>2008</v>
      </c>
      <c r="DC49">
        <v>29.6</v>
      </c>
      <c r="DE49" s="28">
        <v>1958</v>
      </c>
      <c r="DF49" s="27">
        <v>40986</v>
      </c>
      <c r="DG49">
        <v>53</v>
      </c>
      <c r="DH49">
        <v>48</v>
      </c>
    </row>
    <row r="50" spans="1:112">
      <c r="A50" s="1">
        <v>40957</v>
      </c>
      <c r="B50" s="2"/>
      <c r="C50" s="2"/>
      <c r="D50" s="2">
        <v>7.8</v>
      </c>
      <c r="E50" s="2"/>
      <c r="F50" s="2"/>
      <c r="G50" s="2">
        <v>15.3</v>
      </c>
      <c r="H50" s="2"/>
      <c r="I50" s="2">
        <v>2.4</v>
      </c>
      <c r="J50" s="2">
        <v>0.6</v>
      </c>
      <c r="K50" s="2"/>
      <c r="L50" s="2"/>
      <c r="M50" s="2">
        <v>0.7</v>
      </c>
      <c r="N50" s="2">
        <v>2</v>
      </c>
      <c r="O50" s="2"/>
      <c r="P50" s="2"/>
      <c r="Q50" s="2"/>
      <c r="R50" s="2">
        <v>2</v>
      </c>
      <c r="S50" s="2">
        <v>3.1</v>
      </c>
      <c r="T50" s="2">
        <v>4</v>
      </c>
      <c r="U50" s="2"/>
      <c r="V50" s="2"/>
      <c r="W50" s="2">
        <v>1.4</v>
      </c>
      <c r="X50" s="2">
        <v>13.5</v>
      </c>
      <c r="Y50" s="2">
        <v>0</v>
      </c>
      <c r="Z50" s="2"/>
      <c r="AA50" s="2">
        <v>20</v>
      </c>
      <c r="AB50" s="2"/>
      <c r="AC50" s="2"/>
      <c r="AD50" s="2"/>
      <c r="AE50" s="2">
        <v>9</v>
      </c>
      <c r="AF50" s="2">
        <v>0.29999999999972699</v>
      </c>
      <c r="AG50" s="2">
        <v>8.3999999999941792</v>
      </c>
      <c r="AH50" s="2"/>
      <c r="AI50" s="2"/>
      <c r="AJ50" s="2">
        <v>0</v>
      </c>
      <c r="AK50" s="2"/>
      <c r="AL50" s="2">
        <v>9.9999999999908995E-2</v>
      </c>
      <c r="AM50" s="2">
        <v>19.2</v>
      </c>
      <c r="AN50" s="2"/>
      <c r="AO50" s="2"/>
      <c r="AP50" s="2"/>
      <c r="AQ50" s="2">
        <v>2.8999999999978199</v>
      </c>
      <c r="AR50" s="2">
        <v>0</v>
      </c>
      <c r="AS50" s="2">
        <v>26.399999999994201</v>
      </c>
      <c r="AT50" s="2"/>
      <c r="AU50" s="2">
        <v>1.39999999999964</v>
      </c>
      <c r="AV50" s="2"/>
      <c r="AW50" s="2"/>
      <c r="AX50" s="2">
        <v>1.79999999999927</v>
      </c>
      <c r="AY50" s="2"/>
      <c r="AZ50" s="2">
        <v>1.1999999999989099</v>
      </c>
      <c r="BA50" s="2"/>
      <c r="BB50" s="2">
        <v>1.39999999999964</v>
      </c>
      <c r="BC50" s="2">
        <v>2</v>
      </c>
      <c r="BD50" s="2"/>
      <c r="BE50" s="2"/>
      <c r="BF50" s="2"/>
      <c r="BG50" s="2">
        <v>2</v>
      </c>
      <c r="BH50" s="2">
        <v>4</v>
      </c>
      <c r="BI50" s="2"/>
      <c r="BJ50" s="2">
        <v>5.1999999999970896</v>
      </c>
      <c r="BK50" s="2">
        <v>0.100000000000023</v>
      </c>
      <c r="BL50" s="2">
        <v>3.5999999999985399</v>
      </c>
      <c r="BM50" s="2">
        <v>0.100000000000023</v>
      </c>
      <c r="BN50" s="2">
        <v>0.100000000000023</v>
      </c>
      <c r="BO50" s="2"/>
      <c r="BP50" s="2"/>
      <c r="BQ50" s="2">
        <v>2.4000000000014601</v>
      </c>
      <c r="BR50" s="2">
        <v>1.5</v>
      </c>
      <c r="BS50" s="2">
        <v>0.30000000000018201</v>
      </c>
      <c r="BT50" s="2"/>
      <c r="BU50" s="2">
        <v>0.100000000000023</v>
      </c>
      <c r="BV50" s="2">
        <v>13.5</v>
      </c>
      <c r="BW50" s="2">
        <v>0.39999999999963598</v>
      </c>
      <c r="BX50" s="2">
        <v>19.5</v>
      </c>
      <c r="BY50" s="2"/>
      <c r="BZ50" s="2">
        <v>0.2</v>
      </c>
      <c r="CA50" s="2"/>
      <c r="CB50" s="2">
        <v>0.2</v>
      </c>
      <c r="CC50" s="2"/>
      <c r="CD50" s="2">
        <v>0.6</v>
      </c>
      <c r="CE50" s="2">
        <v>10.4</v>
      </c>
      <c r="CF50" s="2"/>
      <c r="CG50" s="2"/>
      <c r="CH50" s="2"/>
      <c r="CI50" s="2"/>
      <c r="CJ50" s="2"/>
      <c r="CK50" s="2"/>
      <c r="CL50" s="2">
        <v>24.7</v>
      </c>
      <c r="CM50" s="2">
        <v>13</v>
      </c>
      <c r="CN50" s="2">
        <v>2.5</v>
      </c>
      <c r="CO50" s="2"/>
      <c r="CP50" s="2">
        <v>2.2000000000000002</v>
      </c>
      <c r="CQ50" s="2"/>
      <c r="CR50" s="2">
        <v>1.8</v>
      </c>
      <c r="CS50" s="2">
        <v>1.7</v>
      </c>
      <c r="CT50" s="2">
        <v>0.3</v>
      </c>
      <c r="CU50" s="2">
        <v>3.8</v>
      </c>
      <c r="CV50" s="2"/>
      <c r="CW50" s="2"/>
      <c r="CX50" s="2">
        <v>1.7</v>
      </c>
      <c r="CY50" s="2"/>
      <c r="CZ50" s="2">
        <v>0.2</v>
      </c>
      <c r="DB50">
        <v>1954</v>
      </c>
      <c r="DC50">
        <v>26.399999999994201</v>
      </c>
      <c r="DE50" s="28">
        <v>1959</v>
      </c>
      <c r="DF50" s="27">
        <v>40921</v>
      </c>
      <c r="DG50">
        <v>31.299999999988401</v>
      </c>
      <c r="DH50">
        <v>49</v>
      </c>
    </row>
    <row r="51" spans="1:112">
      <c r="A51" s="1">
        <v>40958</v>
      </c>
      <c r="B51" s="2"/>
      <c r="C51" s="2"/>
      <c r="D51" s="2">
        <v>4.0999999999999996</v>
      </c>
      <c r="E51" s="2"/>
      <c r="F51" s="2"/>
      <c r="G51" s="2">
        <v>1.2</v>
      </c>
      <c r="H51" s="2"/>
      <c r="I51" s="2">
        <v>2</v>
      </c>
      <c r="J51" s="2">
        <v>19</v>
      </c>
      <c r="K51" s="2">
        <v>0.2</v>
      </c>
      <c r="L51" s="2">
        <v>1.7</v>
      </c>
      <c r="M51" s="2"/>
      <c r="N51" s="2">
        <v>1</v>
      </c>
      <c r="O51" s="2">
        <v>0.7</v>
      </c>
      <c r="P51" s="2"/>
      <c r="Q51" s="2">
        <v>1.5</v>
      </c>
      <c r="R51" s="2">
        <v>1.6</v>
      </c>
      <c r="S51" s="2"/>
      <c r="T51" s="2">
        <v>0</v>
      </c>
      <c r="U51" s="2">
        <v>0</v>
      </c>
      <c r="V51" s="2"/>
      <c r="W51" s="2">
        <v>4.3</v>
      </c>
      <c r="X51" s="2">
        <v>1</v>
      </c>
      <c r="Y51" s="2"/>
      <c r="Z51" s="2"/>
      <c r="AA51" s="2">
        <v>0.79999999999927196</v>
      </c>
      <c r="AB51" s="2"/>
      <c r="AC51" s="2">
        <v>9.9999999999908995E-2</v>
      </c>
      <c r="AD51" s="2"/>
      <c r="AE51" s="2">
        <v>6.6999999999970896</v>
      </c>
      <c r="AF51" s="2">
        <v>7.5999999999985501</v>
      </c>
      <c r="AG51" s="2">
        <v>12.799999999988399</v>
      </c>
      <c r="AH51" s="2"/>
      <c r="AI51" s="2"/>
      <c r="AJ51" s="2">
        <v>19.099999999976699</v>
      </c>
      <c r="AK51" s="2">
        <v>0</v>
      </c>
      <c r="AL51" s="2">
        <v>5.5999999999985501</v>
      </c>
      <c r="AM51" s="2">
        <v>4.79999999999563</v>
      </c>
      <c r="AN51" s="2"/>
      <c r="AO51" s="2"/>
      <c r="AP51" s="2"/>
      <c r="AQ51" s="2"/>
      <c r="AR51" s="2">
        <v>0.29999999999972699</v>
      </c>
      <c r="AS51" s="2">
        <v>0.39999999999963598</v>
      </c>
      <c r="AT51" s="2"/>
      <c r="AU51" s="2"/>
      <c r="AV51" s="2"/>
      <c r="AW51" s="2"/>
      <c r="AX51" s="2">
        <v>1.5999999999985499</v>
      </c>
      <c r="AY51" s="2"/>
      <c r="AZ51" s="2"/>
      <c r="BA51" s="2">
        <v>1.1999999999989099</v>
      </c>
      <c r="BB51" s="2"/>
      <c r="BC51" s="2">
        <v>3.7000000000007298</v>
      </c>
      <c r="BD51" s="2">
        <v>11.600000000005799</v>
      </c>
      <c r="BE51" s="2"/>
      <c r="BF51" s="2"/>
      <c r="BG51" s="2">
        <v>1</v>
      </c>
      <c r="BH51" s="2">
        <v>0.100000000000023</v>
      </c>
      <c r="BI51" s="2"/>
      <c r="BJ51" s="2"/>
      <c r="BK51" s="2"/>
      <c r="BL51" s="2"/>
      <c r="BM51" s="2">
        <v>0</v>
      </c>
      <c r="BN51" s="2"/>
      <c r="BO51" s="2"/>
      <c r="BP51" s="2"/>
      <c r="BQ51" s="2">
        <v>0.100000000000023</v>
      </c>
      <c r="BR51" s="2">
        <v>13.6999999999971</v>
      </c>
      <c r="BS51" s="2"/>
      <c r="BT51" s="2">
        <v>1.10000000000036</v>
      </c>
      <c r="BU51" s="2"/>
      <c r="BV51" s="2">
        <v>4.2</v>
      </c>
      <c r="BW51" s="2">
        <v>3.6999999999970901</v>
      </c>
      <c r="BX51" s="2">
        <v>0.3</v>
      </c>
      <c r="BY51" s="2"/>
      <c r="BZ51" s="2">
        <v>0.1</v>
      </c>
      <c r="CA51" s="2">
        <v>1.1000000000000001</v>
      </c>
      <c r="CB51" s="2"/>
      <c r="CC51" s="2"/>
      <c r="CD51" s="2"/>
      <c r="CE51" s="2">
        <v>0</v>
      </c>
      <c r="CF51" s="2"/>
      <c r="CG51" s="2"/>
      <c r="CH51" s="2">
        <v>2.2000000000000002</v>
      </c>
      <c r="CI51" s="2"/>
      <c r="CJ51" s="2">
        <v>1.5</v>
      </c>
      <c r="CK51" s="2"/>
      <c r="CL51" s="2">
        <v>4.4000000000000004</v>
      </c>
      <c r="CM51" s="2">
        <v>0.3</v>
      </c>
      <c r="CN51" s="2">
        <v>2</v>
      </c>
      <c r="CO51" s="2">
        <v>1.6</v>
      </c>
      <c r="CP51" s="2">
        <v>16</v>
      </c>
      <c r="CQ51" s="2"/>
      <c r="CR51" s="2"/>
      <c r="CS51" s="2">
        <v>0.4</v>
      </c>
      <c r="CT51" s="2"/>
      <c r="CU51" s="2">
        <v>0.2</v>
      </c>
      <c r="CV51" s="2">
        <v>5.8</v>
      </c>
      <c r="CW51" s="2"/>
      <c r="CX51" s="2">
        <v>3</v>
      </c>
      <c r="CY51" s="2"/>
      <c r="CZ51" s="2">
        <v>3.5</v>
      </c>
      <c r="DB51">
        <v>1945</v>
      </c>
      <c r="DC51">
        <v>19.099999999976699</v>
      </c>
      <c r="DE51" s="28">
        <v>1960</v>
      </c>
      <c r="DF51" s="27">
        <v>41200</v>
      </c>
      <c r="DG51">
        <v>36.799999999988401</v>
      </c>
      <c r="DH51">
        <v>50</v>
      </c>
    </row>
    <row r="52" spans="1:112">
      <c r="A52" s="1">
        <v>40959</v>
      </c>
      <c r="B52" s="2"/>
      <c r="C52" s="2"/>
      <c r="D52" s="2">
        <v>2</v>
      </c>
      <c r="E52" s="2"/>
      <c r="F52" s="2"/>
      <c r="G52" s="2"/>
      <c r="H52" s="2"/>
      <c r="I52" s="2">
        <v>6.6</v>
      </c>
      <c r="J52" s="2"/>
      <c r="K52" s="2"/>
      <c r="L52" s="2">
        <v>1.4</v>
      </c>
      <c r="M52" s="2"/>
      <c r="N52" s="2">
        <v>0.8</v>
      </c>
      <c r="O52" s="2">
        <v>0.7</v>
      </c>
      <c r="P52" s="2"/>
      <c r="Q52" s="2"/>
      <c r="R52" s="2">
        <v>12.5</v>
      </c>
      <c r="S52" s="2"/>
      <c r="T52" s="2">
        <v>0</v>
      </c>
      <c r="U52" s="2">
        <v>1</v>
      </c>
      <c r="V52" s="2"/>
      <c r="W52" s="2"/>
      <c r="X52" s="2"/>
      <c r="Y52" s="2"/>
      <c r="Z52" s="2"/>
      <c r="AA52" s="2">
        <v>10.799999999988399</v>
      </c>
      <c r="AB52" s="2"/>
      <c r="AC52" s="2">
        <v>0.5</v>
      </c>
      <c r="AD52" s="2"/>
      <c r="AE52" s="2">
        <v>0.19999999999981799</v>
      </c>
      <c r="AF52" s="2"/>
      <c r="AG52" s="2">
        <v>17.2</v>
      </c>
      <c r="AH52" s="2"/>
      <c r="AI52" s="2">
        <v>11</v>
      </c>
      <c r="AJ52" s="2">
        <v>13</v>
      </c>
      <c r="AK52" s="2"/>
      <c r="AL52" s="2">
        <v>10</v>
      </c>
      <c r="AM52" s="2">
        <v>18.899999999999999</v>
      </c>
      <c r="AN52" s="2"/>
      <c r="AO52" s="2"/>
      <c r="AP52" s="2">
        <v>20</v>
      </c>
      <c r="AQ52" s="2">
        <v>9.9999999999908995E-2</v>
      </c>
      <c r="AR52" s="2">
        <v>0.19999999999981799</v>
      </c>
      <c r="AS52" s="2">
        <v>2.7999999999992702</v>
      </c>
      <c r="AT52" s="2"/>
      <c r="AU52" s="2">
        <v>2.5</v>
      </c>
      <c r="AV52" s="2"/>
      <c r="AW52" s="2">
        <v>52.5</v>
      </c>
      <c r="AX52" s="2"/>
      <c r="AY52" s="2">
        <v>8.0999999999912706</v>
      </c>
      <c r="AZ52" s="2"/>
      <c r="BA52" s="2">
        <v>0</v>
      </c>
      <c r="BB52" s="2">
        <v>15.6999999999971</v>
      </c>
      <c r="BC52" s="2">
        <v>13.8000000000029</v>
      </c>
      <c r="BD52" s="2">
        <v>9.3000000000029104</v>
      </c>
      <c r="BE52" s="2"/>
      <c r="BF52" s="2"/>
      <c r="BG52" s="2">
        <v>1.60000000000036</v>
      </c>
      <c r="BH52" s="2"/>
      <c r="BI52" s="2">
        <v>11.6999999999971</v>
      </c>
      <c r="BJ52" s="2">
        <v>1</v>
      </c>
      <c r="BK52" s="2"/>
      <c r="BL52" s="2">
        <v>0.100000000000023</v>
      </c>
      <c r="BM52" s="2">
        <v>0.5</v>
      </c>
      <c r="BN52" s="2">
        <v>1.5</v>
      </c>
      <c r="BO52" s="2"/>
      <c r="BP52" s="2"/>
      <c r="BQ52" s="2">
        <v>28.600000000005799</v>
      </c>
      <c r="BR52" s="2">
        <v>10</v>
      </c>
      <c r="BS52" s="2">
        <v>0.30000000000018201</v>
      </c>
      <c r="BT52" s="2"/>
      <c r="BU52" s="2">
        <v>0.80000000000018201</v>
      </c>
      <c r="BV52" s="2"/>
      <c r="BW52" s="2">
        <v>9.9999999999908995E-2</v>
      </c>
      <c r="BX52" s="2">
        <v>2.4</v>
      </c>
      <c r="BY52" s="2">
        <v>6.4</v>
      </c>
      <c r="BZ52" s="2"/>
      <c r="CA52" s="2">
        <v>0.1</v>
      </c>
      <c r="CB52" s="2"/>
      <c r="CC52" s="2">
        <v>0.2</v>
      </c>
      <c r="CD52" s="2"/>
      <c r="CE52" s="2">
        <v>0</v>
      </c>
      <c r="CF52" s="2"/>
      <c r="CG52" s="2">
        <v>0.5</v>
      </c>
      <c r="CH52" s="2">
        <v>2.5</v>
      </c>
      <c r="CI52" s="2"/>
      <c r="CJ52" s="2">
        <v>7.5</v>
      </c>
      <c r="CK52" s="2"/>
      <c r="CL52" s="2">
        <v>0.3</v>
      </c>
      <c r="CM52" s="2">
        <v>40.5</v>
      </c>
      <c r="CN52" s="2">
        <v>0.1</v>
      </c>
      <c r="CO52" s="2">
        <v>13.4</v>
      </c>
      <c r="CP52" s="2">
        <v>2</v>
      </c>
      <c r="CQ52" s="2">
        <v>5.8</v>
      </c>
      <c r="CR52" s="2">
        <v>0.8</v>
      </c>
      <c r="CS52" s="2"/>
      <c r="CT52" s="2"/>
      <c r="CU52" s="2"/>
      <c r="CV52" s="2">
        <v>1.5</v>
      </c>
      <c r="CW52" s="2"/>
      <c r="CX52" s="2">
        <v>2</v>
      </c>
      <c r="CY52" s="2"/>
      <c r="CZ52" s="2">
        <v>0.7</v>
      </c>
      <c r="DB52">
        <v>1958</v>
      </c>
      <c r="DC52">
        <v>52.5</v>
      </c>
      <c r="DE52" s="28">
        <v>1961</v>
      </c>
      <c r="DF52" s="27">
        <v>41162</v>
      </c>
      <c r="DG52">
        <v>123</v>
      </c>
      <c r="DH52">
        <v>51</v>
      </c>
    </row>
    <row r="53" spans="1:112">
      <c r="A53" s="1">
        <v>40960</v>
      </c>
      <c r="B53" s="2"/>
      <c r="C53" s="2">
        <v>1.5</v>
      </c>
      <c r="D53" s="2"/>
      <c r="E53" s="2"/>
      <c r="F53" s="2"/>
      <c r="G53" s="2">
        <v>7.4</v>
      </c>
      <c r="H53" s="2">
        <v>3.9</v>
      </c>
      <c r="I53" s="2"/>
      <c r="J53" s="2"/>
      <c r="K53" s="2"/>
      <c r="L53" s="2">
        <v>0.6</v>
      </c>
      <c r="M53" s="2"/>
      <c r="N53" s="2"/>
      <c r="O53" s="2"/>
      <c r="P53" s="2"/>
      <c r="Q53" s="2"/>
      <c r="R53" s="2">
        <v>13.4</v>
      </c>
      <c r="S53" s="2">
        <v>2.6</v>
      </c>
      <c r="T53" s="2">
        <v>0.7</v>
      </c>
      <c r="U53" s="2"/>
      <c r="V53" s="2"/>
      <c r="W53" s="2">
        <v>2.4</v>
      </c>
      <c r="X53" s="2">
        <v>0.5</v>
      </c>
      <c r="Y53" s="2">
        <v>0</v>
      </c>
      <c r="Z53" s="2"/>
      <c r="AA53" s="2">
        <v>2.2999999999992702</v>
      </c>
      <c r="AB53" s="2"/>
      <c r="AC53" s="2"/>
      <c r="AD53" s="2"/>
      <c r="AE53" s="2">
        <v>10.299999999988399</v>
      </c>
      <c r="AF53" s="2">
        <v>4</v>
      </c>
      <c r="AG53" s="2">
        <v>1</v>
      </c>
      <c r="AH53" s="2">
        <v>2</v>
      </c>
      <c r="AI53" s="2">
        <v>11.2</v>
      </c>
      <c r="AJ53" s="2">
        <v>3.8999999999978199</v>
      </c>
      <c r="AK53" s="2">
        <v>1.5999999999985499</v>
      </c>
      <c r="AL53" s="2">
        <v>0.19999999999981799</v>
      </c>
      <c r="AM53" s="2"/>
      <c r="AN53" s="2">
        <v>9.9999999999908995E-2</v>
      </c>
      <c r="AO53" s="2"/>
      <c r="AP53" s="2"/>
      <c r="AQ53" s="2">
        <v>5.5</v>
      </c>
      <c r="AR53" s="2"/>
      <c r="AS53" s="2">
        <v>1.39999999999964</v>
      </c>
      <c r="AT53" s="2">
        <v>7.4</v>
      </c>
      <c r="AU53" s="2">
        <v>8</v>
      </c>
      <c r="AV53" s="2">
        <v>0.59999999999945397</v>
      </c>
      <c r="AW53" s="2">
        <v>0.39999999999963598</v>
      </c>
      <c r="AX53" s="2"/>
      <c r="AY53" s="2">
        <v>1.5999999999985499</v>
      </c>
      <c r="AZ53" s="2"/>
      <c r="BA53" s="2">
        <v>1.5999999999985499</v>
      </c>
      <c r="BB53" s="2"/>
      <c r="BC53" s="2">
        <v>4.8000000000029104</v>
      </c>
      <c r="BD53" s="2">
        <v>0.200000000000045</v>
      </c>
      <c r="BE53" s="2"/>
      <c r="BF53" s="2">
        <v>3.0999999999985399</v>
      </c>
      <c r="BG53" s="2"/>
      <c r="BH53" s="2">
        <v>7.4000000000014596</v>
      </c>
      <c r="BI53" s="2">
        <v>6.5</v>
      </c>
      <c r="BJ53" s="2">
        <v>0.69999999999981799</v>
      </c>
      <c r="BK53" s="2">
        <v>0.100000000000023</v>
      </c>
      <c r="BL53" s="2">
        <v>0.60000000000036402</v>
      </c>
      <c r="BM53" s="2">
        <v>0.200000000000045</v>
      </c>
      <c r="BN53" s="2">
        <v>0.30000000000018201</v>
      </c>
      <c r="BO53" s="2">
        <v>0.200000000000045</v>
      </c>
      <c r="BP53" s="2"/>
      <c r="BQ53" s="2">
        <v>0.200000000000045</v>
      </c>
      <c r="BR53" s="2">
        <v>5.5</v>
      </c>
      <c r="BS53" s="2">
        <v>0</v>
      </c>
      <c r="BT53" s="2"/>
      <c r="BU53" s="2">
        <v>0.100000000000023</v>
      </c>
      <c r="BV53" s="2"/>
      <c r="BW53" s="2">
        <v>0</v>
      </c>
      <c r="BX53" s="2">
        <v>5.2</v>
      </c>
      <c r="BY53" s="2">
        <v>0</v>
      </c>
      <c r="BZ53" s="2"/>
      <c r="CA53" s="2">
        <v>6.5</v>
      </c>
      <c r="CB53" s="2"/>
      <c r="CC53" s="2"/>
      <c r="CD53" s="2"/>
      <c r="CE53" s="2">
        <v>11.7</v>
      </c>
      <c r="CF53" s="2">
        <v>2.2999999999999998</v>
      </c>
      <c r="CG53" s="2">
        <v>1.9</v>
      </c>
      <c r="CH53" s="2"/>
      <c r="CI53" s="2"/>
      <c r="CJ53" s="2"/>
      <c r="CK53" s="2">
        <v>0</v>
      </c>
      <c r="CL53" s="2">
        <v>4.5</v>
      </c>
      <c r="CM53" s="2">
        <v>8.5</v>
      </c>
      <c r="CN53" s="2">
        <v>4.5</v>
      </c>
      <c r="CO53" s="2"/>
      <c r="CP53" s="2">
        <v>4.5</v>
      </c>
      <c r="CQ53" s="2">
        <v>4.5</v>
      </c>
      <c r="CR53" s="2">
        <v>0.9</v>
      </c>
      <c r="CS53" s="2"/>
      <c r="CT53" s="2"/>
      <c r="CU53" s="2">
        <v>0.2</v>
      </c>
      <c r="CV53" s="2">
        <v>11.3</v>
      </c>
      <c r="CW53" s="2">
        <v>2.2000000000000002</v>
      </c>
      <c r="CX53" s="2"/>
      <c r="CY53" s="2"/>
      <c r="CZ53" s="2">
        <v>1.8</v>
      </c>
      <c r="DB53">
        <v>1927</v>
      </c>
      <c r="DC53">
        <v>13.4</v>
      </c>
      <c r="DE53" s="28">
        <v>1962</v>
      </c>
      <c r="DF53" s="27">
        <v>41180</v>
      </c>
      <c r="DG53">
        <v>45.799999999988401</v>
      </c>
      <c r="DH53">
        <v>52</v>
      </c>
    </row>
    <row r="54" spans="1:112">
      <c r="A54" s="1">
        <v>40961</v>
      </c>
      <c r="B54" s="2"/>
      <c r="C54" s="2">
        <v>0.8</v>
      </c>
      <c r="D54" s="2">
        <v>14.6</v>
      </c>
      <c r="E54" s="2"/>
      <c r="F54" s="2">
        <v>3.3</v>
      </c>
      <c r="G54" s="2"/>
      <c r="H54" s="2">
        <v>4.2</v>
      </c>
      <c r="I54" s="2"/>
      <c r="J54" s="2"/>
      <c r="K54" s="2"/>
      <c r="L54" s="2">
        <v>2.5</v>
      </c>
      <c r="M54" s="2"/>
      <c r="N54" s="2">
        <v>1</v>
      </c>
      <c r="O54" s="2"/>
      <c r="P54" s="2"/>
      <c r="Q54" s="2">
        <v>0.2</v>
      </c>
      <c r="R54" s="2">
        <v>1.8</v>
      </c>
      <c r="S54" s="2"/>
      <c r="T54" s="2">
        <v>0</v>
      </c>
      <c r="U54" s="2">
        <v>22.8</v>
      </c>
      <c r="V54" s="2">
        <v>0.7</v>
      </c>
      <c r="W54" s="2">
        <v>0</v>
      </c>
      <c r="X54" s="2">
        <v>1.9</v>
      </c>
      <c r="Y54" s="2">
        <v>8.6999999999999993</v>
      </c>
      <c r="Z54" s="2"/>
      <c r="AA54" s="2">
        <v>0.5</v>
      </c>
      <c r="AB54" s="2">
        <v>3.3999999999978199</v>
      </c>
      <c r="AC54" s="2">
        <v>2.5</v>
      </c>
      <c r="AD54" s="2"/>
      <c r="AE54" s="2">
        <v>11.6999999999971</v>
      </c>
      <c r="AF54" s="2"/>
      <c r="AG54" s="2"/>
      <c r="AH54" s="2">
        <v>0.69999999999981799</v>
      </c>
      <c r="AI54" s="2">
        <v>3.7</v>
      </c>
      <c r="AJ54" s="2">
        <v>7.8999999999941801</v>
      </c>
      <c r="AK54" s="2">
        <v>5.1999999999970896</v>
      </c>
      <c r="AL54" s="2"/>
      <c r="AM54" s="2"/>
      <c r="AN54" s="2">
        <v>5.6999999999970896</v>
      </c>
      <c r="AO54" s="2">
        <v>10</v>
      </c>
      <c r="AP54" s="2">
        <v>13.899999999994201</v>
      </c>
      <c r="AQ54" s="2"/>
      <c r="AR54" s="2"/>
      <c r="AS54" s="2"/>
      <c r="AT54" s="2"/>
      <c r="AU54" s="2">
        <v>0.5</v>
      </c>
      <c r="AV54" s="2">
        <v>11.1999999999971</v>
      </c>
      <c r="AW54" s="2">
        <v>1.5</v>
      </c>
      <c r="AX54" s="2">
        <v>1.2</v>
      </c>
      <c r="AY54" s="2">
        <v>5.3999999999941801</v>
      </c>
      <c r="AZ54" s="2">
        <v>1.1999999999989099</v>
      </c>
      <c r="BA54" s="2">
        <v>1.39999999999964</v>
      </c>
      <c r="BB54" s="2">
        <v>1.0999999999985499</v>
      </c>
      <c r="BC54" s="2">
        <v>3.5</v>
      </c>
      <c r="BD54" s="2">
        <v>1.29999999999927</v>
      </c>
      <c r="BE54" s="2"/>
      <c r="BF54" s="2">
        <v>1.89999999999964</v>
      </c>
      <c r="BG54" s="2"/>
      <c r="BH54" s="2">
        <v>2.2000000000007298</v>
      </c>
      <c r="BI54" s="2">
        <v>2.7000000000007298</v>
      </c>
      <c r="BJ54" s="2">
        <v>0.89999999999963598</v>
      </c>
      <c r="BK54" s="2">
        <v>0.100000000000023</v>
      </c>
      <c r="BL54" s="2"/>
      <c r="BM54" s="2"/>
      <c r="BN54" s="2">
        <v>0.200000000000045</v>
      </c>
      <c r="BO54" s="2">
        <v>0.400000000000091</v>
      </c>
      <c r="BP54" s="2"/>
      <c r="BQ54" s="2"/>
      <c r="BR54" s="2">
        <v>9</v>
      </c>
      <c r="BS54" s="2">
        <v>0.100000000000023</v>
      </c>
      <c r="BT54" s="2"/>
      <c r="BU54" s="2"/>
      <c r="BV54" s="2">
        <v>20.7</v>
      </c>
      <c r="BW54" s="2"/>
      <c r="BX54" s="2">
        <v>0.5</v>
      </c>
      <c r="BY54" s="2">
        <v>0.5</v>
      </c>
      <c r="BZ54" s="2"/>
      <c r="CA54" s="2">
        <v>0.5</v>
      </c>
      <c r="CB54" s="2">
        <v>0.8</v>
      </c>
      <c r="CC54" s="2"/>
      <c r="CD54" s="2"/>
      <c r="CE54" s="2">
        <v>3</v>
      </c>
      <c r="CF54" s="2">
        <v>1.6</v>
      </c>
      <c r="CG54" s="2">
        <v>0.2</v>
      </c>
      <c r="CH54" s="2"/>
      <c r="CI54" s="2"/>
      <c r="CJ54" s="2">
        <v>3.3</v>
      </c>
      <c r="CK54" s="2"/>
      <c r="CL54" s="2">
        <v>0.5</v>
      </c>
      <c r="CM54" s="2">
        <v>0.5</v>
      </c>
      <c r="CN54" s="2">
        <v>2.5</v>
      </c>
      <c r="CO54" s="2"/>
      <c r="CP54" s="2">
        <v>13.6</v>
      </c>
      <c r="CQ54" s="2">
        <v>0.1</v>
      </c>
      <c r="CR54" s="2"/>
      <c r="CS54" s="2"/>
      <c r="CT54" s="2"/>
      <c r="CU54" s="2"/>
      <c r="CV54" s="2">
        <v>6.3</v>
      </c>
      <c r="CW54" s="2"/>
      <c r="CX54" s="2">
        <v>5.7</v>
      </c>
      <c r="CY54" s="2"/>
      <c r="CZ54" s="2">
        <v>1.5</v>
      </c>
      <c r="DB54">
        <v>1930</v>
      </c>
      <c r="DC54">
        <v>22.8</v>
      </c>
      <c r="DE54" s="28">
        <v>1963</v>
      </c>
      <c r="DF54" s="27">
        <v>41249</v>
      </c>
      <c r="DG54">
        <v>59.299999999988401</v>
      </c>
      <c r="DH54">
        <v>53</v>
      </c>
    </row>
    <row r="55" spans="1:112">
      <c r="A55" s="1">
        <v>40962</v>
      </c>
      <c r="B55" s="2"/>
      <c r="C55" s="2">
        <v>0.2</v>
      </c>
      <c r="D55" s="2">
        <v>19.100000000000001</v>
      </c>
      <c r="E55" s="2"/>
      <c r="F55" s="2">
        <v>18.2</v>
      </c>
      <c r="G55" s="2">
        <v>0.3</v>
      </c>
      <c r="H55" s="2"/>
      <c r="I55" s="2">
        <v>1.3</v>
      </c>
      <c r="J55" s="2">
        <v>0.4</v>
      </c>
      <c r="K55" s="2"/>
      <c r="L55" s="2">
        <v>2</v>
      </c>
      <c r="M55" s="2"/>
      <c r="N55" s="2">
        <v>2.7</v>
      </c>
      <c r="O55" s="2">
        <v>14.3</v>
      </c>
      <c r="P55" s="2"/>
      <c r="Q55" s="2"/>
      <c r="R55" s="2"/>
      <c r="S55" s="2">
        <v>15.05</v>
      </c>
      <c r="T55" s="2">
        <v>0</v>
      </c>
      <c r="U55" s="2"/>
      <c r="V55" s="2">
        <v>4.9000000000000004</v>
      </c>
      <c r="W55" s="2"/>
      <c r="X55" s="2"/>
      <c r="Y55" s="2"/>
      <c r="Z55" s="2"/>
      <c r="AA55" s="2"/>
      <c r="AB55" s="2"/>
      <c r="AC55" s="2">
        <v>0</v>
      </c>
      <c r="AD55" s="2">
        <v>0.69999999999981799</v>
      </c>
      <c r="AE55" s="2">
        <v>4.5999999999985501</v>
      </c>
      <c r="AF55" s="2"/>
      <c r="AG55" s="2"/>
      <c r="AH55" s="2"/>
      <c r="AI55" s="2">
        <v>0.4</v>
      </c>
      <c r="AJ55" s="2">
        <v>1</v>
      </c>
      <c r="AK55" s="2">
        <v>22.8</v>
      </c>
      <c r="AL55" s="2"/>
      <c r="AM55" s="2"/>
      <c r="AN55" s="2">
        <v>4.8999999999941801</v>
      </c>
      <c r="AO55" s="2">
        <v>8.0999999999912706</v>
      </c>
      <c r="AP55" s="2">
        <v>0.69999999999981799</v>
      </c>
      <c r="AQ55" s="2"/>
      <c r="AR55" s="2">
        <v>1.89999999999964</v>
      </c>
      <c r="AS55" s="2">
        <v>10</v>
      </c>
      <c r="AT55" s="2"/>
      <c r="AU55" s="2"/>
      <c r="AV55" s="2">
        <v>1.1999999999989099</v>
      </c>
      <c r="AW55" s="2">
        <v>12.299999999988399</v>
      </c>
      <c r="AX55" s="2">
        <v>12</v>
      </c>
      <c r="AY55" s="2">
        <v>0</v>
      </c>
      <c r="AZ55" s="2">
        <v>2.2999999999992702</v>
      </c>
      <c r="BA55" s="2">
        <v>3.6999999999970901</v>
      </c>
      <c r="BB55" s="2">
        <v>13.399999999994201</v>
      </c>
      <c r="BC55" s="2">
        <v>3.2999999999992702</v>
      </c>
      <c r="BD55" s="2"/>
      <c r="BE55" s="2"/>
      <c r="BF55" s="2"/>
      <c r="BG55" s="2"/>
      <c r="BH55" s="2">
        <v>0.100000000000023</v>
      </c>
      <c r="BI55" s="2"/>
      <c r="BJ55" s="2">
        <v>1.5</v>
      </c>
      <c r="BK55" s="2">
        <v>4.8000000000029104</v>
      </c>
      <c r="BL55" s="2">
        <v>8.5</v>
      </c>
      <c r="BM55" s="2"/>
      <c r="BN55" s="2">
        <v>0.5</v>
      </c>
      <c r="BO55" s="2">
        <v>2.2999999999992702</v>
      </c>
      <c r="BP55" s="2"/>
      <c r="BQ55" s="2">
        <v>1</v>
      </c>
      <c r="BR55" s="2">
        <v>2</v>
      </c>
      <c r="BS55" s="2">
        <v>1.79999999999927</v>
      </c>
      <c r="BT55" s="2">
        <v>0</v>
      </c>
      <c r="BU55" s="2">
        <v>0</v>
      </c>
      <c r="BV55" s="2">
        <v>5.3</v>
      </c>
      <c r="BW55" s="2">
        <v>1.6999999999989099</v>
      </c>
      <c r="BX55" s="2">
        <v>3.3</v>
      </c>
      <c r="BY55" s="2">
        <v>5.5</v>
      </c>
      <c r="BZ55" s="2"/>
      <c r="CA55" s="2">
        <v>0.1</v>
      </c>
      <c r="CB55" s="2"/>
      <c r="CC55" s="2"/>
      <c r="CD55" s="2">
        <v>0.3</v>
      </c>
      <c r="CE55" s="2">
        <v>4.9000000000000004</v>
      </c>
      <c r="CF55" s="2">
        <v>8.5</v>
      </c>
      <c r="CG55" s="2"/>
      <c r="CH55" s="2"/>
      <c r="CI55" s="2">
        <v>3.9</v>
      </c>
      <c r="CJ55" s="2">
        <v>2.7</v>
      </c>
      <c r="CK55" s="2"/>
      <c r="CL55" s="2">
        <v>10.5</v>
      </c>
      <c r="CM55" s="2">
        <v>0.2</v>
      </c>
      <c r="CN55" s="2">
        <v>5.5</v>
      </c>
      <c r="CO55" s="2"/>
      <c r="CP55" s="2">
        <v>14.1</v>
      </c>
      <c r="CQ55" s="2">
        <v>0.1</v>
      </c>
      <c r="CR55" s="2">
        <v>3.5</v>
      </c>
      <c r="CS55" s="2"/>
      <c r="CT55" s="2">
        <v>1.6</v>
      </c>
      <c r="CU55" s="2"/>
      <c r="CV55" s="2">
        <v>9.3000000000000007</v>
      </c>
      <c r="CW55" s="2">
        <v>5.2</v>
      </c>
      <c r="CX55" s="2">
        <v>5.6</v>
      </c>
      <c r="CY55" s="2"/>
      <c r="CZ55" s="2">
        <v>0.2</v>
      </c>
      <c r="DB55">
        <v>1946</v>
      </c>
      <c r="DC55">
        <v>22.8</v>
      </c>
      <c r="DE55" s="28">
        <v>1964</v>
      </c>
      <c r="DF55" s="27">
        <v>41174</v>
      </c>
      <c r="DG55">
        <v>50.799999999988401</v>
      </c>
      <c r="DH55">
        <v>54</v>
      </c>
    </row>
    <row r="56" spans="1:112">
      <c r="A56" s="1">
        <v>40963</v>
      </c>
      <c r="B56" s="2"/>
      <c r="C56" s="2"/>
      <c r="D56" s="2">
        <v>11.5</v>
      </c>
      <c r="E56" s="2"/>
      <c r="F56" s="2">
        <v>1.1000000000000001</v>
      </c>
      <c r="G56" s="2">
        <v>1.3</v>
      </c>
      <c r="H56" s="2">
        <v>1.3</v>
      </c>
      <c r="I56" s="2">
        <v>2.2999999999999998</v>
      </c>
      <c r="J56" s="2"/>
      <c r="K56" s="2">
        <v>0.6</v>
      </c>
      <c r="L56" s="2">
        <v>1.6</v>
      </c>
      <c r="M56" s="2"/>
      <c r="N56" s="2">
        <v>8.6</v>
      </c>
      <c r="O56" s="2">
        <v>3.3</v>
      </c>
      <c r="P56" s="2">
        <v>2</v>
      </c>
      <c r="Q56" s="2"/>
      <c r="R56" s="2"/>
      <c r="S56" s="2">
        <v>12</v>
      </c>
      <c r="T56" s="2"/>
      <c r="U56" s="2">
        <v>2.2999999999999998</v>
      </c>
      <c r="V56" s="2">
        <v>15.5</v>
      </c>
      <c r="W56" s="2"/>
      <c r="X56" s="2">
        <v>1.8</v>
      </c>
      <c r="Y56" s="2"/>
      <c r="Z56" s="2">
        <v>2.6999999999970901</v>
      </c>
      <c r="AA56" s="2">
        <v>1</v>
      </c>
      <c r="AB56" s="2">
        <v>18.599999999976699</v>
      </c>
      <c r="AC56" s="2">
        <v>5.1999999999970896</v>
      </c>
      <c r="AD56" s="2">
        <v>2.7999999999992702</v>
      </c>
      <c r="AE56" s="2"/>
      <c r="AF56" s="2">
        <v>1.0999999999985499</v>
      </c>
      <c r="AG56" s="2">
        <v>0</v>
      </c>
      <c r="AH56" s="2">
        <v>0.59999999999945397</v>
      </c>
      <c r="AI56" s="2"/>
      <c r="AJ56" s="2"/>
      <c r="AK56" s="2">
        <v>3.3999999999978199</v>
      </c>
      <c r="AL56" s="2"/>
      <c r="AM56" s="2">
        <v>49.2</v>
      </c>
      <c r="AN56" s="2"/>
      <c r="AO56" s="2"/>
      <c r="AP56" s="2"/>
      <c r="AQ56" s="2"/>
      <c r="AR56" s="2"/>
      <c r="AS56" s="2">
        <v>0</v>
      </c>
      <c r="AT56" s="2"/>
      <c r="AU56" s="2"/>
      <c r="AV56" s="2">
        <v>0.39999999999963598</v>
      </c>
      <c r="AW56" s="2"/>
      <c r="AX56" s="2"/>
      <c r="AY56" s="2">
        <v>3.6999999999970901</v>
      </c>
      <c r="AZ56" s="2">
        <v>7.1999999999970896</v>
      </c>
      <c r="BA56" s="2">
        <v>42.599999999976703</v>
      </c>
      <c r="BB56" s="2">
        <v>15</v>
      </c>
      <c r="BC56" s="2">
        <v>0.30000000000018201</v>
      </c>
      <c r="BD56" s="2">
        <v>0.5</v>
      </c>
      <c r="BE56" s="2">
        <v>0.5</v>
      </c>
      <c r="BF56" s="2">
        <v>2.4000000000014601</v>
      </c>
      <c r="BG56" s="2"/>
      <c r="BH56" s="2"/>
      <c r="BI56" s="2">
        <v>14</v>
      </c>
      <c r="BJ56" s="2">
        <v>0.200000000000045</v>
      </c>
      <c r="BK56" s="2"/>
      <c r="BL56" s="2">
        <v>16.799999999988401</v>
      </c>
      <c r="BM56" s="2">
        <v>29.5</v>
      </c>
      <c r="BN56" s="2">
        <v>0.200000000000045</v>
      </c>
      <c r="BO56" s="2">
        <v>9</v>
      </c>
      <c r="BP56" s="2"/>
      <c r="BQ56" s="2"/>
      <c r="BR56" s="2"/>
      <c r="BS56" s="2">
        <v>0.80000000000018201</v>
      </c>
      <c r="BT56" s="2">
        <v>1.79999999999927</v>
      </c>
      <c r="BU56" s="2">
        <v>0.400000000000091</v>
      </c>
      <c r="BV56" s="2">
        <v>1.1000000000000001</v>
      </c>
      <c r="BW56" s="2"/>
      <c r="BX56" s="2">
        <v>2</v>
      </c>
      <c r="BY56" s="2">
        <v>0.5</v>
      </c>
      <c r="BZ56" s="2">
        <v>19.3</v>
      </c>
      <c r="CA56" s="2"/>
      <c r="CB56" s="2"/>
      <c r="CC56" s="2"/>
      <c r="CD56" s="2">
        <v>1.1000000000000001</v>
      </c>
      <c r="CE56" s="2">
        <v>2.5</v>
      </c>
      <c r="CF56" s="2">
        <v>17</v>
      </c>
      <c r="CG56" s="2"/>
      <c r="CH56" s="2"/>
      <c r="CI56" s="2"/>
      <c r="CJ56" s="2"/>
      <c r="CK56" s="2"/>
      <c r="CL56" s="2"/>
      <c r="CM56" s="2">
        <v>0.1</v>
      </c>
      <c r="CN56" s="2">
        <v>2.2000000000000002</v>
      </c>
      <c r="CO56" s="2">
        <v>16.600000000000001</v>
      </c>
      <c r="CP56" s="2">
        <v>8.3000000000000007</v>
      </c>
      <c r="CQ56" s="2">
        <v>2.6</v>
      </c>
      <c r="CR56" s="2"/>
      <c r="CS56" s="2">
        <v>11.9</v>
      </c>
      <c r="CT56" s="2">
        <v>0.1</v>
      </c>
      <c r="CU56" s="2"/>
      <c r="CV56" s="2">
        <v>1.5</v>
      </c>
      <c r="CW56" s="2">
        <v>1.3</v>
      </c>
      <c r="CX56" s="2">
        <v>6.5</v>
      </c>
      <c r="CY56" s="2"/>
      <c r="CZ56" s="2"/>
      <c r="DB56">
        <v>1948</v>
      </c>
      <c r="DC56">
        <v>49.2</v>
      </c>
      <c r="DE56" s="28">
        <v>1965</v>
      </c>
      <c r="DF56" s="27">
        <v>41232</v>
      </c>
      <c r="DG56">
        <v>61</v>
      </c>
      <c r="DH56">
        <v>55</v>
      </c>
    </row>
    <row r="57" spans="1:112">
      <c r="A57" s="1">
        <v>40964</v>
      </c>
      <c r="B57" s="2"/>
      <c r="C57" s="2"/>
      <c r="D57" s="2"/>
      <c r="E57" s="2"/>
      <c r="F57" s="2">
        <v>12.7</v>
      </c>
      <c r="G57" s="2">
        <v>8.6999999999999993</v>
      </c>
      <c r="H57" s="2"/>
      <c r="I57" s="2"/>
      <c r="J57" s="2">
        <v>0.8</v>
      </c>
      <c r="K57" s="2">
        <v>0.3</v>
      </c>
      <c r="L57" s="2">
        <v>1.7</v>
      </c>
      <c r="M57" s="2">
        <v>3</v>
      </c>
      <c r="N57" s="2"/>
      <c r="O57" s="2">
        <v>0.7</v>
      </c>
      <c r="P57" s="2"/>
      <c r="Q57" s="2"/>
      <c r="R57" s="2"/>
      <c r="S57" s="2"/>
      <c r="T57" s="2"/>
      <c r="U57" s="2">
        <v>0.8</v>
      </c>
      <c r="V57" s="2">
        <v>21.6</v>
      </c>
      <c r="W57" s="2">
        <v>7.5</v>
      </c>
      <c r="X57" s="2">
        <v>1</v>
      </c>
      <c r="Y57" s="2">
        <v>0.29999999999972699</v>
      </c>
      <c r="Z57" s="2">
        <v>0.19999999999981799</v>
      </c>
      <c r="AA57" s="2">
        <v>4.5</v>
      </c>
      <c r="AB57" s="2"/>
      <c r="AC57" s="2">
        <v>0</v>
      </c>
      <c r="AD57" s="2">
        <v>0.39999999999963598</v>
      </c>
      <c r="AE57" s="2"/>
      <c r="AF57" s="2">
        <v>4.2999999999956398</v>
      </c>
      <c r="AG57" s="2"/>
      <c r="AH57" s="2">
        <v>9.9999999999908995E-2</v>
      </c>
      <c r="AI57" s="2"/>
      <c r="AJ57" s="2">
        <v>14.6999999999971</v>
      </c>
      <c r="AK57" s="2"/>
      <c r="AL57" s="2"/>
      <c r="AM57" s="2">
        <v>7.6999999999970896</v>
      </c>
      <c r="AN57" s="2"/>
      <c r="AO57" s="2"/>
      <c r="AP57" s="2"/>
      <c r="AQ57" s="2">
        <v>1.6999999999989099</v>
      </c>
      <c r="AR57" s="2">
        <v>0.59999999999945397</v>
      </c>
      <c r="AS57" s="2">
        <v>1</v>
      </c>
      <c r="AT57" s="2"/>
      <c r="AU57" s="2"/>
      <c r="AV57" s="2">
        <v>1.6999999999989099</v>
      </c>
      <c r="AW57" s="2"/>
      <c r="AX57" s="2">
        <v>4.8999999999941801</v>
      </c>
      <c r="AY57" s="2"/>
      <c r="AZ57" s="2">
        <v>0</v>
      </c>
      <c r="BA57" s="2">
        <v>1.39999999999964</v>
      </c>
      <c r="BB57" s="2">
        <v>1.5999999999985499</v>
      </c>
      <c r="BC57" s="2"/>
      <c r="BD57" s="2">
        <v>20.100000000005799</v>
      </c>
      <c r="BE57" s="2"/>
      <c r="BF57" s="2"/>
      <c r="BG57" s="2"/>
      <c r="BH57" s="2">
        <v>5</v>
      </c>
      <c r="BI57" s="2">
        <v>4.1999999999970896</v>
      </c>
      <c r="BJ57" s="2">
        <v>13.6999999999971</v>
      </c>
      <c r="BK57" s="2">
        <v>0.400000000000091</v>
      </c>
      <c r="BL57" s="2">
        <v>7.5999999999985501</v>
      </c>
      <c r="BM57" s="2">
        <v>2.7999999999992702</v>
      </c>
      <c r="BN57" s="2">
        <v>5.6999999999970896</v>
      </c>
      <c r="BO57" s="2">
        <v>12.399999999994201</v>
      </c>
      <c r="BP57" s="2"/>
      <c r="BQ57" s="2"/>
      <c r="BR57" s="2"/>
      <c r="BS57" s="2">
        <v>0.89999999999963598</v>
      </c>
      <c r="BT57" s="2">
        <v>9.6999999999970896</v>
      </c>
      <c r="BU57" s="2">
        <v>1.5</v>
      </c>
      <c r="BV57" s="2">
        <v>0.8</v>
      </c>
      <c r="BW57" s="2"/>
      <c r="BX57" s="2">
        <v>1.9</v>
      </c>
      <c r="BY57" s="2">
        <v>20.100000000000001</v>
      </c>
      <c r="BZ57" s="2">
        <v>0.1</v>
      </c>
      <c r="CA57" s="2">
        <v>0.8</v>
      </c>
      <c r="CB57" s="2"/>
      <c r="CC57" s="2"/>
      <c r="CD57" s="2">
        <v>1.9</v>
      </c>
      <c r="CE57" s="2">
        <v>4.8</v>
      </c>
      <c r="CF57" s="2">
        <v>24</v>
      </c>
      <c r="CG57" s="2">
        <v>10.1</v>
      </c>
      <c r="CH57" s="2"/>
      <c r="CI57" s="2">
        <v>26.3</v>
      </c>
      <c r="CJ57" s="2"/>
      <c r="CK57" s="2"/>
      <c r="CL57" s="2"/>
      <c r="CM57" s="2"/>
      <c r="CN57" s="2">
        <v>0</v>
      </c>
      <c r="CO57" s="2">
        <v>13.2</v>
      </c>
      <c r="CP57" s="2">
        <v>4.0999999999999996</v>
      </c>
      <c r="CQ57" s="2">
        <v>1</v>
      </c>
      <c r="CR57" s="2">
        <v>0.3</v>
      </c>
      <c r="CS57" s="2">
        <v>8</v>
      </c>
      <c r="CT57" s="2"/>
      <c r="CU57" s="2"/>
      <c r="CV57" s="2">
        <v>6.8</v>
      </c>
      <c r="CW57" s="2">
        <v>3</v>
      </c>
      <c r="CX57" s="2">
        <v>9</v>
      </c>
      <c r="CY57" s="2">
        <v>0.1</v>
      </c>
      <c r="CZ57" s="2"/>
      <c r="DB57">
        <v>1996</v>
      </c>
      <c r="DC57">
        <v>26.3</v>
      </c>
      <c r="DE57" s="28">
        <v>1966</v>
      </c>
      <c r="DF57" s="27">
        <v>41160</v>
      </c>
      <c r="DG57">
        <v>76.399999999906896</v>
      </c>
      <c r="DH57">
        <v>56</v>
      </c>
    </row>
    <row r="58" spans="1:112">
      <c r="A58" s="1">
        <v>40965</v>
      </c>
      <c r="B58" s="2"/>
      <c r="C58" s="2">
        <v>1.5</v>
      </c>
      <c r="D58" s="2"/>
      <c r="E58" s="2"/>
      <c r="F58" s="2">
        <v>0.1</v>
      </c>
      <c r="G58" s="2"/>
      <c r="H58" s="2"/>
      <c r="I58" s="2">
        <v>3.9</v>
      </c>
      <c r="J58" s="2">
        <v>3.4</v>
      </c>
      <c r="K58" s="2"/>
      <c r="L58" s="2">
        <v>3.4</v>
      </c>
      <c r="M58" s="2">
        <v>2.7</v>
      </c>
      <c r="N58" s="2"/>
      <c r="O58" s="2"/>
      <c r="P58" s="2"/>
      <c r="Q58" s="2">
        <v>0.3</v>
      </c>
      <c r="R58" s="2">
        <v>0.2</v>
      </c>
      <c r="S58" s="2"/>
      <c r="T58" s="2"/>
      <c r="U58" s="2">
        <v>0.3</v>
      </c>
      <c r="V58" s="2"/>
      <c r="W58" s="2">
        <v>0</v>
      </c>
      <c r="X58" s="2">
        <v>6.4</v>
      </c>
      <c r="Y58" s="2"/>
      <c r="Z58" s="2"/>
      <c r="AA58" s="2">
        <v>1.1999999999989099</v>
      </c>
      <c r="AB58" s="2">
        <v>0</v>
      </c>
      <c r="AC58" s="2">
        <v>10.799999999988399</v>
      </c>
      <c r="AD58" s="2">
        <v>0</v>
      </c>
      <c r="AE58" s="2"/>
      <c r="AF58" s="2"/>
      <c r="AG58" s="2">
        <v>1.6999999999989099</v>
      </c>
      <c r="AH58" s="2"/>
      <c r="AI58" s="2">
        <v>1.29999999999927</v>
      </c>
      <c r="AJ58" s="2"/>
      <c r="AK58" s="2">
        <v>0.19999999999981799</v>
      </c>
      <c r="AL58" s="2">
        <v>3.5</v>
      </c>
      <c r="AM58" s="2">
        <v>9.8999999999941792</v>
      </c>
      <c r="AN58" s="2">
        <v>2</v>
      </c>
      <c r="AO58" s="2"/>
      <c r="AP58" s="2"/>
      <c r="AQ58" s="2">
        <v>0.5</v>
      </c>
      <c r="AR58" s="2">
        <v>0</v>
      </c>
      <c r="AS58" s="2"/>
      <c r="AT58" s="2"/>
      <c r="AU58" s="2">
        <v>19</v>
      </c>
      <c r="AV58" s="2">
        <v>4.6999999999970896</v>
      </c>
      <c r="AW58" s="2"/>
      <c r="AX58" s="2">
        <v>1.1999999999989099</v>
      </c>
      <c r="AY58" s="2">
        <v>3.2999999999992702</v>
      </c>
      <c r="AZ58" s="2">
        <v>0</v>
      </c>
      <c r="BA58" s="2"/>
      <c r="BB58" s="2"/>
      <c r="BC58" s="2">
        <v>17.600000000005799</v>
      </c>
      <c r="BD58" s="2">
        <v>1.39999999999964</v>
      </c>
      <c r="BE58" s="2"/>
      <c r="BF58" s="2"/>
      <c r="BG58" s="2">
        <v>3.5</v>
      </c>
      <c r="BH58" s="2">
        <v>0.100000000000023</v>
      </c>
      <c r="BI58" s="2">
        <v>7.3000000000029104</v>
      </c>
      <c r="BJ58" s="2">
        <v>14.3000000000029</v>
      </c>
      <c r="BK58" s="2">
        <v>6.5</v>
      </c>
      <c r="BL58" s="2">
        <v>2.0999999999985399</v>
      </c>
      <c r="BM58" s="2">
        <v>3.4000000000014601</v>
      </c>
      <c r="BN58" s="2">
        <v>10</v>
      </c>
      <c r="BO58" s="2">
        <v>1</v>
      </c>
      <c r="BP58" s="2"/>
      <c r="BQ58" s="2">
        <v>0.200000000000045</v>
      </c>
      <c r="BR58" s="2"/>
      <c r="BS58" s="2">
        <v>0.30000000000018201</v>
      </c>
      <c r="BT58" s="2">
        <v>1.79999999999927</v>
      </c>
      <c r="BU58" s="2">
        <v>0.200000000000045</v>
      </c>
      <c r="BV58" s="2"/>
      <c r="BW58" s="2"/>
      <c r="BX58" s="2">
        <v>1.7</v>
      </c>
      <c r="BY58" s="2">
        <v>10.4</v>
      </c>
      <c r="BZ58" s="2">
        <v>0.2</v>
      </c>
      <c r="CA58" s="2">
        <v>5.2</v>
      </c>
      <c r="CB58" s="2">
        <v>0.4</v>
      </c>
      <c r="CC58" s="2"/>
      <c r="CD58" s="2">
        <v>0</v>
      </c>
      <c r="CE58" s="2"/>
      <c r="CF58" s="2">
        <v>0.7</v>
      </c>
      <c r="CG58" s="2"/>
      <c r="CH58" s="2"/>
      <c r="CI58" s="2">
        <v>9.1</v>
      </c>
      <c r="CJ58" s="2"/>
      <c r="CK58" s="2"/>
      <c r="CL58" s="2"/>
      <c r="CM58" s="2">
        <v>0.3</v>
      </c>
      <c r="CN58" s="2"/>
      <c r="CO58" s="2"/>
      <c r="CP58" s="2">
        <v>2.1</v>
      </c>
      <c r="CQ58" s="2"/>
      <c r="CR58" s="2">
        <v>3.7</v>
      </c>
      <c r="CS58" s="2">
        <v>13.2</v>
      </c>
      <c r="CT58" s="2"/>
      <c r="CU58" s="2"/>
      <c r="CV58" s="2">
        <v>10.9</v>
      </c>
      <c r="CW58" s="2">
        <v>1.3</v>
      </c>
      <c r="CX58" s="2">
        <v>6.5</v>
      </c>
      <c r="CY58" s="2">
        <v>5.4</v>
      </c>
      <c r="CZ58" s="2">
        <v>3.9</v>
      </c>
      <c r="DB58">
        <v>1956</v>
      </c>
      <c r="DC58">
        <v>19</v>
      </c>
      <c r="DE58" s="28">
        <v>1967</v>
      </c>
      <c r="DF58" s="27">
        <v>40921</v>
      </c>
      <c r="DG58">
        <v>27.200000000011599</v>
      </c>
      <c r="DH58">
        <v>57</v>
      </c>
    </row>
    <row r="59" spans="1:112">
      <c r="A59" s="1">
        <v>40966</v>
      </c>
      <c r="B59" s="2"/>
      <c r="C59" s="2">
        <v>0.5</v>
      </c>
      <c r="D59" s="2"/>
      <c r="E59" s="2"/>
      <c r="F59" s="2">
        <v>9</v>
      </c>
      <c r="G59" s="2">
        <v>6.9</v>
      </c>
      <c r="H59" s="2"/>
      <c r="I59" s="2"/>
      <c r="J59" s="2"/>
      <c r="K59" s="2"/>
      <c r="L59" s="2">
        <v>3.5</v>
      </c>
      <c r="M59" s="2"/>
      <c r="N59" s="2"/>
      <c r="O59" s="2"/>
      <c r="P59" s="2"/>
      <c r="Q59" s="2"/>
      <c r="R59" s="2"/>
      <c r="S59" s="2"/>
      <c r="T59" s="2"/>
      <c r="U59" s="2">
        <v>0.3</v>
      </c>
      <c r="V59" s="2"/>
      <c r="W59" s="2">
        <v>1.6</v>
      </c>
      <c r="X59" s="2">
        <v>1.3</v>
      </c>
      <c r="Y59" s="2"/>
      <c r="Z59" s="2">
        <v>5.29999999999563</v>
      </c>
      <c r="AA59" s="2"/>
      <c r="AB59" s="2"/>
      <c r="AC59" s="2">
        <v>3.1999999999970901</v>
      </c>
      <c r="AD59" s="2">
        <v>0</v>
      </c>
      <c r="AE59" s="2"/>
      <c r="AF59" s="2">
        <v>13.099999999991301</v>
      </c>
      <c r="AG59" s="2">
        <v>1.79999999999927</v>
      </c>
      <c r="AH59" s="2">
        <v>0.19999999999981799</v>
      </c>
      <c r="AI59" s="2"/>
      <c r="AJ59" s="2">
        <v>3.6999999999970901</v>
      </c>
      <c r="AK59" s="2"/>
      <c r="AL59" s="2">
        <v>4.3999999999941801</v>
      </c>
      <c r="AM59" s="2">
        <v>7.5</v>
      </c>
      <c r="AN59" s="2"/>
      <c r="AO59" s="2"/>
      <c r="AP59" s="2">
        <v>2.5</v>
      </c>
      <c r="AQ59" s="2"/>
      <c r="AR59" s="2">
        <v>23.8</v>
      </c>
      <c r="AS59" s="2"/>
      <c r="AT59" s="2"/>
      <c r="AU59" s="2">
        <v>1</v>
      </c>
      <c r="AV59" s="2"/>
      <c r="AW59" s="2"/>
      <c r="AX59" s="2"/>
      <c r="AY59" s="2">
        <v>0.59999999999945397</v>
      </c>
      <c r="AZ59" s="2">
        <v>5</v>
      </c>
      <c r="BA59" s="2">
        <v>0.29999999999972699</v>
      </c>
      <c r="BB59" s="2"/>
      <c r="BC59" s="2">
        <v>1.70000000000073</v>
      </c>
      <c r="BD59" s="2">
        <v>12.6999999999971</v>
      </c>
      <c r="BE59" s="2"/>
      <c r="BF59" s="2"/>
      <c r="BG59" s="2">
        <v>17</v>
      </c>
      <c r="BH59" s="2">
        <v>3.7999999999992702</v>
      </c>
      <c r="BI59" s="2">
        <v>31</v>
      </c>
      <c r="BJ59" s="2">
        <v>4.5999999999985501</v>
      </c>
      <c r="BK59" s="2"/>
      <c r="BL59" s="2">
        <v>5</v>
      </c>
      <c r="BM59" s="2">
        <v>2.5999999999985399</v>
      </c>
      <c r="BN59" s="2">
        <v>3.4000000000014601</v>
      </c>
      <c r="BO59" s="2">
        <v>0</v>
      </c>
      <c r="BP59" s="2">
        <v>1.70000000000073</v>
      </c>
      <c r="BQ59" s="2">
        <v>1.89999999999964</v>
      </c>
      <c r="BR59" s="2"/>
      <c r="BS59" s="2">
        <v>0.60000000000036402</v>
      </c>
      <c r="BT59" s="2">
        <v>19.799999999988401</v>
      </c>
      <c r="BU59" s="2">
        <v>0.80000000000018201</v>
      </c>
      <c r="BV59" s="2"/>
      <c r="BW59" s="2"/>
      <c r="BX59" s="2">
        <v>0.3</v>
      </c>
      <c r="BY59" s="2">
        <v>6</v>
      </c>
      <c r="BZ59" s="2">
        <v>0.1</v>
      </c>
      <c r="CA59" s="2">
        <v>11.3</v>
      </c>
      <c r="CB59" s="2">
        <v>12.8</v>
      </c>
      <c r="CC59" s="2">
        <v>0.1</v>
      </c>
      <c r="CD59" s="2"/>
      <c r="CE59" s="2"/>
      <c r="CF59" s="2"/>
      <c r="CG59" s="2"/>
      <c r="CH59" s="2"/>
      <c r="CI59" s="2">
        <v>0.5</v>
      </c>
      <c r="CJ59" s="2">
        <v>2.5</v>
      </c>
      <c r="CK59" s="2"/>
      <c r="CL59" s="2"/>
      <c r="CM59" s="2">
        <v>5.0999999999999996</v>
      </c>
      <c r="CN59" s="2">
        <v>0.1</v>
      </c>
      <c r="CO59" s="2"/>
      <c r="CP59" s="2"/>
      <c r="CQ59" s="2">
        <v>15</v>
      </c>
      <c r="CR59" s="2">
        <v>7.3</v>
      </c>
      <c r="CS59" s="2">
        <v>0.4</v>
      </c>
      <c r="CT59" s="2">
        <v>0.9</v>
      </c>
      <c r="CU59" s="2"/>
      <c r="CV59" s="2">
        <v>1.2</v>
      </c>
      <c r="CW59" s="2">
        <v>1.3</v>
      </c>
      <c r="CX59" s="2">
        <v>0.2</v>
      </c>
      <c r="CY59" s="2">
        <v>25</v>
      </c>
      <c r="CZ59" s="2">
        <v>2.5</v>
      </c>
      <c r="DB59">
        <v>1970</v>
      </c>
      <c r="DC59">
        <v>31</v>
      </c>
      <c r="DE59" s="28">
        <v>1968</v>
      </c>
      <c r="DF59" s="27">
        <v>41252</v>
      </c>
      <c r="DG59">
        <v>36.799999999988401</v>
      </c>
      <c r="DH59">
        <v>58</v>
      </c>
    </row>
    <row r="60" spans="1:112">
      <c r="A60" s="1">
        <v>40967</v>
      </c>
      <c r="B60" s="2"/>
      <c r="C60" s="2"/>
      <c r="D60" s="2"/>
      <c r="E60" s="2"/>
      <c r="F60" s="2">
        <v>4</v>
      </c>
      <c r="G60" s="2">
        <v>3.7</v>
      </c>
      <c r="H60" s="2"/>
      <c r="I60" s="2"/>
      <c r="J60" s="2">
        <v>3.5</v>
      </c>
      <c r="K60" s="2">
        <v>1.7</v>
      </c>
      <c r="L60" s="2"/>
      <c r="M60" s="2"/>
      <c r="N60" s="2">
        <v>1.4</v>
      </c>
      <c r="O60" s="2">
        <v>6</v>
      </c>
      <c r="P60" s="2"/>
      <c r="Q60" s="2"/>
      <c r="R60" s="2">
        <v>4.8</v>
      </c>
      <c r="S60" s="2">
        <v>7.5</v>
      </c>
      <c r="T60" s="2"/>
      <c r="U60" s="2">
        <v>0.2</v>
      </c>
      <c r="V60" s="2"/>
      <c r="W60" s="2"/>
      <c r="X60" s="2"/>
      <c r="Y60" s="2"/>
      <c r="Z60" s="2">
        <v>2</v>
      </c>
      <c r="AA60" s="2"/>
      <c r="AB60" s="2"/>
      <c r="AC60" s="2"/>
      <c r="AD60" s="2"/>
      <c r="AE60" s="2"/>
      <c r="AF60" s="2">
        <v>6.79999999999563</v>
      </c>
      <c r="AG60" s="2"/>
      <c r="AH60" s="2">
        <v>1.5999999999985499</v>
      </c>
      <c r="AI60" s="2">
        <v>0.1</v>
      </c>
      <c r="AJ60" s="2"/>
      <c r="AK60" s="2">
        <v>0.29999999999972699</v>
      </c>
      <c r="AL60" s="2"/>
      <c r="AM60" s="2">
        <v>2</v>
      </c>
      <c r="AN60" s="2"/>
      <c r="AO60" s="2"/>
      <c r="AP60" s="2"/>
      <c r="AQ60" s="2">
        <v>7.5</v>
      </c>
      <c r="AR60" s="2">
        <v>11.5</v>
      </c>
      <c r="AS60" s="2"/>
      <c r="AT60" s="2"/>
      <c r="AU60" s="2"/>
      <c r="AV60" s="2">
        <v>6.79999999999563</v>
      </c>
      <c r="AW60" s="2"/>
      <c r="AX60" s="2">
        <v>1.79999999999927</v>
      </c>
      <c r="AY60" s="2"/>
      <c r="AZ60" s="2">
        <v>0.59999999999945397</v>
      </c>
      <c r="BA60" s="2"/>
      <c r="BB60" s="2"/>
      <c r="BC60" s="2">
        <v>0.5</v>
      </c>
      <c r="BD60" s="2">
        <v>2.5</v>
      </c>
      <c r="BE60" s="2"/>
      <c r="BF60" s="2"/>
      <c r="BG60" s="2"/>
      <c r="BH60" s="2"/>
      <c r="BI60" s="2">
        <v>8.3999999999941792</v>
      </c>
      <c r="BJ60" s="2">
        <v>4</v>
      </c>
      <c r="BK60" s="2"/>
      <c r="BL60" s="2">
        <v>9</v>
      </c>
      <c r="BM60" s="2">
        <v>3.7999999999992702</v>
      </c>
      <c r="BN60" s="2"/>
      <c r="BO60" s="2">
        <v>0.100000000000023</v>
      </c>
      <c r="BP60" s="2"/>
      <c r="BQ60" s="2">
        <v>0.100000000000023</v>
      </c>
      <c r="BR60" s="2">
        <v>0.100000000000023</v>
      </c>
      <c r="BS60" s="2">
        <v>9.6999999999970896</v>
      </c>
      <c r="BT60" s="2">
        <v>0</v>
      </c>
      <c r="BU60" s="2">
        <v>17.399999999994201</v>
      </c>
      <c r="BV60" s="2">
        <v>0.1</v>
      </c>
      <c r="BW60" s="2">
        <v>5.6999999999970896</v>
      </c>
      <c r="BX60" s="2"/>
      <c r="BY60" s="2">
        <v>0.1</v>
      </c>
      <c r="BZ60" s="2"/>
      <c r="CA60" s="2"/>
      <c r="CB60" s="2"/>
      <c r="CC60" s="2">
        <v>22</v>
      </c>
      <c r="CD60" s="2">
        <v>0.4</v>
      </c>
      <c r="CE60" s="2"/>
      <c r="CF60" s="2"/>
      <c r="CG60" s="2"/>
      <c r="CH60" s="2">
        <v>1.6</v>
      </c>
      <c r="CI60" s="2">
        <v>2.1</v>
      </c>
      <c r="CJ60" s="2">
        <v>2.5</v>
      </c>
      <c r="CK60" s="2"/>
      <c r="CL60" s="2"/>
      <c r="CM60" s="2">
        <v>1.3</v>
      </c>
      <c r="CN60" s="2">
        <v>0.5</v>
      </c>
      <c r="CO60" s="2"/>
      <c r="CP60" s="2"/>
      <c r="CQ60" s="2"/>
      <c r="CR60" s="2">
        <v>0.6</v>
      </c>
      <c r="CS60" s="2">
        <v>1.8</v>
      </c>
      <c r="CT60" s="2">
        <v>0.2</v>
      </c>
      <c r="CU60" s="2"/>
      <c r="CV60" s="2">
        <v>0.5</v>
      </c>
      <c r="CW60" s="2"/>
      <c r="CX60" s="2">
        <v>0.2</v>
      </c>
      <c r="CY60" s="2">
        <v>0.5</v>
      </c>
      <c r="CZ60" s="2">
        <v>1.1000000000000001</v>
      </c>
      <c r="DB60">
        <v>1990</v>
      </c>
      <c r="DC60">
        <v>22</v>
      </c>
      <c r="DE60" s="28">
        <v>1969</v>
      </c>
      <c r="DF60" s="27">
        <v>40950</v>
      </c>
      <c r="DG60">
        <v>31</v>
      </c>
      <c r="DH60">
        <v>59</v>
      </c>
    </row>
    <row r="61" spans="1:112">
      <c r="A61" s="1">
        <v>40968</v>
      </c>
      <c r="B61" s="2"/>
      <c r="C61" s="2">
        <v>2.8</v>
      </c>
      <c r="D61" s="2"/>
      <c r="E61" s="2"/>
      <c r="F61" s="2"/>
      <c r="G61" s="2">
        <v>0.1</v>
      </c>
      <c r="H61" s="2"/>
      <c r="I61" s="2"/>
      <c r="J61" s="2"/>
      <c r="K61" s="2">
        <v>0.4</v>
      </c>
      <c r="L61" s="2"/>
      <c r="M61" s="2"/>
      <c r="N61" s="2"/>
      <c r="O61" s="2">
        <v>7.5</v>
      </c>
      <c r="P61" s="2"/>
      <c r="Q61" s="2"/>
      <c r="R61" s="2"/>
      <c r="S61" s="2">
        <v>6</v>
      </c>
      <c r="T61" s="2"/>
      <c r="U61" s="2"/>
      <c r="V61" s="2"/>
      <c r="W61" s="2">
        <v>0</v>
      </c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>
        <v>0.5</v>
      </c>
      <c r="AN61" s="2"/>
      <c r="AO61" s="2"/>
      <c r="AP61" s="2"/>
      <c r="AQ61" s="2">
        <v>0.69999999999981799</v>
      </c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>
        <v>25.899999999994201</v>
      </c>
      <c r="BH61" s="2"/>
      <c r="BI61" s="2"/>
      <c r="BJ61" s="2"/>
      <c r="BK61" s="2"/>
      <c r="BL61" s="2"/>
      <c r="BM61" s="2"/>
      <c r="BN61" s="2"/>
      <c r="BO61" s="2">
        <v>0.100000000000023</v>
      </c>
      <c r="BP61" s="2"/>
      <c r="BQ61" s="2"/>
      <c r="BR61" s="2"/>
      <c r="BS61" s="2">
        <v>2.7000000000007298</v>
      </c>
      <c r="BT61" s="2"/>
      <c r="BU61" s="2"/>
      <c r="BV61" s="2"/>
      <c r="BW61" s="2">
        <v>0.5</v>
      </c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>
        <v>4.7</v>
      </c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>
        <v>1</v>
      </c>
      <c r="CZ61" s="2"/>
      <c r="DB61">
        <v>1968</v>
      </c>
      <c r="DC61">
        <v>25.899999999994201</v>
      </c>
      <c r="DE61" s="28">
        <v>1970</v>
      </c>
      <c r="DF61" s="27">
        <v>41173</v>
      </c>
      <c r="DG61">
        <v>55</v>
      </c>
      <c r="DH61">
        <v>60</v>
      </c>
    </row>
    <row r="62" spans="1:112">
      <c r="A62" s="1">
        <v>40969</v>
      </c>
      <c r="B62" s="2"/>
      <c r="C62" s="2">
        <v>6.7</v>
      </c>
      <c r="D62" s="2">
        <v>19.7</v>
      </c>
      <c r="E62" s="2">
        <v>1.5</v>
      </c>
      <c r="F62" s="2">
        <v>0.7</v>
      </c>
      <c r="G62" s="2">
        <v>0.2</v>
      </c>
      <c r="H62" s="2">
        <v>2.5</v>
      </c>
      <c r="I62" s="2"/>
      <c r="J62" s="2">
        <v>2.9</v>
      </c>
      <c r="K62" s="2">
        <v>0.4</v>
      </c>
      <c r="L62" s="2">
        <v>0.4</v>
      </c>
      <c r="M62" s="2"/>
      <c r="N62" s="2">
        <v>8.5</v>
      </c>
      <c r="O62" s="2">
        <v>2.2000000000000002</v>
      </c>
      <c r="P62" s="2"/>
      <c r="Q62" s="2">
        <v>18</v>
      </c>
      <c r="R62" s="2"/>
      <c r="S62" s="2"/>
      <c r="T62" s="2">
        <v>0</v>
      </c>
      <c r="U62" s="2">
        <v>0</v>
      </c>
      <c r="V62" s="2">
        <v>0.7</v>
      </c>
      <c r="W62" s="2">
        <v>0</v>
      </c>
      <c r="X62" s="2"/>
      <c r="Y62" s="2"/>
      <c r="Z62" s="2"/>
      <c r="AA62" s="2"/>
      <c r="AB62" s="2"/>
      <c r="AC62" s="2"/>
      <c r="AD62" s="2"/>
      <c r="AE62" s="2">
        <v>0.79999999999927196</v>
      </c>
      <c r="AF62" s="2">
        <v>1.5</v>
      </c>
      <c r="AG62" s="2">
        <v>1.79999999999927</v>
      </c>
      <c r="AH62" s="2"/>
      <c r="AI62" s="2"/>
      <c r="AJ62" s="2"/>
      <c r="AK62" s="2">
        <v>3.1999999999970901</v>
      </c>
      <c r="AL62" s="2">
        <v>0</v>
      </c>
      <c r="AM62" s="2">
        <v>2.3999999999978199</v>
      </c>
      <c r="AN62" s="2">
        <v>11</v>
      </c>
      <c r="AO62" s="2">
        <v>9.9999999999908995E-2</v>
      </c>
      <c r="AP62" s="2">
        <v>2.5999999999985399</v>
      </c>
      <c r="AQ62" s="2"/>
      <c r="AR62" s="2">
        <v>18</v>
      </c>
      <c r="AS62" s="2"/>
      <c r="AT62" s="2">
        <v>2.5999999999985399</v>
      </c>
      <c r="AU62" s="2"/>
      <c r="AV62" s="2">
        <v>19.199999999982499</v>
      </c>
      <c r="AW62" s="2"/>
      <c r="AX62" s="2">
        <v>0.5</v>
      </c>
      <c r="AY62" s="2"/>
      <c r="AZ62" s="2"/>
      <c r="BA62" s="2">
        <v>0.39999999999963598</v>
      </c>
      <c r="BB62" s="2">
        <v>7.5</v>
      </c>
      <c r="BC62" s="2">
        <v>15.399999999994201</v>
      </c>
      <c r="BD62" s="2"/>
      <c r="BE62" s="2"/>
      <c r="BF62" s="2"/>
      <c r="BG62" s="2">
        <v>5.5999999999985501</v>
      </c>
      <c r="BH62" s="2"/>
      <c r="BI62" s="2"/>
      <c r="BJ62" s="2">
        <v>14.5</v>
      </c>
      <c r="BK62" s="2"/>
      <c r="BL62" s="2">
        <v>0.100000000000023</v>
      </c>
      <c r="BM62" s="2">
        <v>4.5</v>
      </c>
      <c r="BN62" s="2"/>
      <c r="BO62" s="2"/>
      <c r="BP62" s="2">
        <v>15.6999999999971</v>
      </c>
      <c r="BQ62" s="2">
        <v>3.1</v>
      </c>
      <c r="BR62" s="2"/>
      <c r="BS62" s="2">
        <v>0.200000000000045</v>
      </c>
      <c r="BT62" s="2">
        <v>8.5</v>
      </c>
      <c r="BU62" s="2"/>
      <c r="BV62" s="2">
        <v>0.1</v>
      </c>
      <c r="BW62" s="2">
        <v>1</v>
      </c>
      <c r="BX62" s="2"/>
      <c r="BY62" s="2"/>
      <c r="BZ62" s="2"/>
      <c r="CA62" s="2">
        <v>2.7</v>
      </c>
      <c r="CB62" s="2"/>
      <c r="CC62" s="2"/>
      <c r="CD62" s="2"/>
      <c r="CE62" s="2"/>
      <c r="CF62" s="2"/>
      <c r="CG62" s="2"/>
      <c r="CH62" s="2"/>
      <c r="CI62" s="2">
        <v>0</v>
      </c>
      <c r="CJ62" s="2"/>
      <c r="CK62" s="2"/>
      <c r="CL62" s="2"/>
      <c r="CM62" s="2"/>
      <c r="CN62" s="2">
        <v>11.5</v>
      </c>
      <c r="CO62" s="2"/>
      <c r="CP62" s="2"/>
      <c r="CQ62" s="2"/>
      <c r="CR62" s="2">
        <v>13.5</v>
      </c>
      <c r="CS62" s="2"/>
      <c r="CT62" s="2">
        <v>0.2</v>
      </c>
      <c r="CU62" s="2">
        <v>6.5</v>
      </c>
      <c r="CV62" s="2">
        <v>0.1</v>
      </c>
      <c r="CW62" s="2"/>
      <c r="CX62" s="2">
        <v>0.1</v>
      </c>
      <c r="CY62" s="2">
        <v>2.7</v>
      </c>
      <c r="CZ62" s="2">
        <v>0.2</v>
      </c>
      <c r="DB62">
        <v>1913</v>
      </c>
      <c r="DC62">
        <v>19.7</v>
      </c>
      <c r="DE62" s="28">
        <v>1971</v>
      </c>
      <c r="DF62" s="27">
        <v>41211</v>
      </c>
      <c r="DG62">
        <v>64</v>
      </c>
      <c r="DH62">
        <v>61</v>
      </c>
    </row>
    <row r="63" spans="1:112">
      <c r="A63" s="1">
        <v>40970</v>
      </c>
      <c r="B63" s="2"/>
      <c r="C63" s="2"/>
      <c r="D63" s="2">
        <v>0</v>
      </c>
      <c r="E63" s="2">
        <v>0.7</v>
      </c>
      <c r="F63" s="2">
        <v>5.8</v>
      </c>
      <c r="G63" s="2">
        <v>17.5</v>
      </c>
      <c r="H63" s="2">
        <v>3.4</v>
      </c>
      <c r="I63" s="2"/>
      <c r="J63" s="2">
        <v>1.1000000000000001</v>
      </c>
      <c r="K63" s="2"/>
      <c r="L63" s="2">
        <v>0.3</v>
      </c>
      <c r="M63" s="2"/>
      <c r="N63" s="2">
        <v>0.1</v>
      </c>
      <c r="O63" s="2"/>
      <c r="P63" s="2"/>
      <c r="Q63" s="2">
        <v>2.5</v>
      </c>
      <c r="R63" s="2"/>
      <c r="S63" s="2"/>
      <c r="T63" s="2">
        <v>30</v>
      </c>
      <c r="U63" s="2"/>
      <c r="V63" s="2">
        <v>2.2999999999999998</v>
      </c>
      <c r="W63" s="2">
        <v>5</v>
      </c>
      <c r="X63" s="2">
        <v>0</v>
      </c>
      <c r="Y63" s="2"/>
      <c r="Z63" s="2">
        <v>9.8999999999941792</v>
      </c>
      <c r="AA63" s="2"/>
      <c r="AB63" s="2">
        <v>4.0999999999985501</v>
      </c>
      <c r="AC63" s="2"/>
      <c r="AD63" s="2"/>
      <c r="AE63" s="2">
        <v>6.5</v>
      </c>
      <c r="AF63" s="2"/>
      <c r="AG63" s="2">
        <v>2.5</v>
      </c>
      <c r="AH63" s="2">
        <v>6.0999999999985501</v>
      </c>
      <c r="AI63" s="2">
        <v>7.6999999999970896</v>
      </c>
      <c r="AJ63" s="2"/>
      <c r="AK63" s="2">
        <v>8.3999999999941792</v>
      </c>
      <c r="AL63" s="2">
        <v>1.39999999999964</v>
      </c>
      <c r="AM63" s="2">
        <v>2.0999999999985399</v>
      </c>
      <c r="AN63" s="2">
        <v>0.29999999999972699</v>
      </c>
      <c r="AO63" s="2">
        <v>10</v>
      </c>
      <c r="AP63" s="2">
        <v>8.5999999999912706</v>
      </c>
      <c r="AQ63" s="2">
        <v>0.7</v>
      </c>
      <c r="AR63" s="2">
        <v>1.0999999999985499</v>
      </c>
      <c r="AS63" s="2"/>
      <c r="AT63" s="2">
        <v>3.3999999999978199</v>
      </c>
      <c r="AU63" s="2">
        <v>0.69999999999981799</v>
      </c>
      <c r="AV63" s="2">
        <v>7.3</v>
      </c>
      <c r="AW63" s="2">
        <v>1.1999999999989099</v>
      </c>
      <c r="AX63" s="2"/>
      <c r="AY63" s="2">
        <v>2.0999999999985399</v>
      </c>
      <c r="AZ63" s="2"/>
      <c r="BA63" s="2">
        <v>28.699999999982499</v>
      </c>
      <c r="BB63" s="2">
        <v>11.1999999999971</v>
      </c>
      <c r="BC63" s="2">
        <v>1.60000000000036</v>
      </c>
      <c r="BD63" s="2"/>
      <c r="BE63" s="2"/>
      <c r="BF63" s="2">
        <v>12.6999999999971</v>
      </c>
      <c r="BG63" s="2">
        <v>0.200000000000045</v>
      </c>
      <c r="BH63" s="2">
        <v>0.3</v>
      </c>
      <c r="BI63" s="2">
        <v>0.100000000000023</v>
      </c>
      <c r="BJ63" s="2">
        <v>2.4000000000014601</v>
      </c>
      <c r="BK63" s="2"/>
      <c r="BL63" s="2"/>
      <c r="BM63" s="2">
        <v>0.30000000000018201</v>
      </c>
      <c r="BN63" s="2"/>
      <c r="BO63" s="2"/>
      <c r="BP63" s="2">
        <v>10.899999999994201</v>
      </c>
      <c r="BQ63" s="2">
        <v>0.1</v>
      </c>
      <c r="BR63" s="2"/>
      <c r="BS63" s="2"/>
      <c r="BT63" s="2">
        <v>0.30000000000018201</v>
      </c>
      <c r="BU63" s="2">
        <v>0.200000000000045</v>
      </c>
      <c r="BV63" s="2">
        <v>0.2</v>
      </c>
      <c r="BW63" s="2"/>
      <c r="BX63" s="2"/>
      <c r="BY63" s="2">
        <v>1.8</v>
      </c>
      <c r="BZ63" s="2"/>
      <c r="CA63" s="2">
        <v>2</v>
      </c>
      <c r="CB63" s="2">
        <v>5.2</v>
      </c>
      <c r="CC63" s="2">
        <v>2.4</v>
      </c>
      <c r="CD63" s="2"/>
      <c r="CE63" s="2"/>
      <c r="CF63" s="2"/>
      <c r="CG63" s="2"/>
      <c r="CH63" s="2"/>
      <c r="CI63" s="2">
        <v>5.5</v>
      </c>
      <c r="CJ63" s="2"/>
      <c r="CK63" s="2">
        <v>1</v>
      </c>
      <c r="CL63" s="2"/>
      <c r="CM63" s="2"/>
      <c r="CN63" s="2">
        <v>4.5</v>
      </c>
      <c r="CO63" s="2"/>
      <c r="CP63" s="2"/>
      <c r="CQ63" s="2"/>
      <c r="CR63" s="2">
        <v>13.5</v>
      </c>
      <c r="CS63" s="2">
        <v>6.7</v>
      </c>
      <c r="CT63" s="2">
        <v>1.2</v>
      </c>
      <c r="CU63" s="2">
        <v>1.9</v>
      </c>
      <c r="CV63" s="2">
        <v>1.9</v>
      </c>
      <c r="CW63" s="2">
        <v>14.2</v>
      </c>
      <c r="CX63" s="2"/>
      <c r="CY63" s="2">
        <v>1.7</v>
      </c>
      <c r="CZ63" s="2"/>
      <c r="DB63">
        <v>1929</v>
      </c>
      <c r="DC63">
        <v>30</v>
      </c>
      <c r="DE63" s="28">
        <v>1972</v>
      </c>
      <c r="DF63" s="27">
        <v>41158</v>
      </c>
      <c r="DG63">
        <v>66.399999999906896</v>
      </c>
      <c r="DH63">
        <v>62</v>
      </c>
    </row>
    <row r="64" spans="1:112">
      <c r="A64" s="1">
        <v>40971</v>
      </c>
      <c r="B64" s="2"/>
      <c r="C64" s="2"/>
      <c r="D64" s="2">
        <v>0</v>
      </c>
      <c r="E64" s="2">
        <v>0.4</v>
      </c>
      <c r="F64" s="2">
        <v>5</v>
      </c>
      <c r="G64" s="2">
        <v>6.6</v>
      </c>
      <c r="H64" s="2">
        <v>1.6</v>
      </c>
      <c r="I64" s="2"/>
      <c r="J64" s="2">
        <v>12.4</v>
      </c>
      <c r="K64" s="2"/>
      <c r="L64" s="2"/>
      <c r="M64" s="2"/>
      <c r="N64" s="2"/>
      <c r="O64" s="2"/>
      <c r="P64" s="2"/>
      <c r="Q64" s="2"/>
      <c r="R64" s="2"/>
      <c r="S64" s="2"/>
      <c r="T64" s="2">
        <v>25</v>
      </c>
      <c r="U64" s="2">
        <v>0</v>
      </c>
      <c r="V64" s="2">
        <v>3.1</v>
      </c>
      <c r="W64" s="2"/>
      <c r="X64" s="2"/>
      <c r="Y64" s="2"/>
      <c r="Z64" s="2">
        <v>4.5</v>
      </c>
      <c r="AA64" s="2"/>
      <c r="AB64" s="2">
        <v>6</v>
      </c>
      <c r="AC64" s="2"/>
      <c r="AD64" s="2">
        <v>0.29999999999972699</v>
      </c>
      <c r="AE64" s="2"/>
      <c r="AF64" s="2"/>
      <c r="AG64" s="2"/>
      <c r="AH64" s="2">
        <v>1.3</v>
      </c>
      <c r="AI64" s="2"/>
      <c r="AJ64" s="2">
        <v>1.5</v>
      </c>
      <c r="AK64" s="2">
        <v>0.19999999999981799</v>
      </c>
      <c r="AL64" s="2">
        <v>0.69999999999981799</v>
      </c>
      <c r="AM64" s="2">
        <v>3.7999999999992702</v>
      </c>
      <c r="AN64" s="2">
        <v>5.5999999999985501</v>
      </c>
      <c r="AO64" s="2">
        <v>13.6999999999971</v>
      </c>
      <c r="AP64" s="2">
        <v>3</v>
      </c>
      <c r="AQ64" s="2"/>
      <c r="AR64" s="2">
        <v>0.19999999999981799</v>
      </c>
      <c r="AS64" s="2"/>
      <c r="AT64" s="2">
        <v>0.19999999999981799</v>
      </c>
      <c r="AU64" s="2">
        <v>7.0999999999985501</v>
      </c>
      <c r="AV64" s="2">
        <v>4.5</v>
      </c>
      <c r="AW64" s="2">
        <v>3.1999999999970901</v>
      </c>
      <c r="AX64" s="2">
        <v>5</v>
      </c>
      <c r="AY64" s="2">
        <v>1.1999999999989099</v>
      </c>
      <c r="AZ64" s="2">
        <v>0.19999999999981799</v>
      </c>
      <c r="BA64" s="2"/>
      <c r="BB64" s="2"/>
      <c r="BC64" s="2">
        <v>0.100000000000023</v>
      </c>
      <c r="BD64" s="2"/>
      <c r="BE64" s="2"/>
      <c r="BF64" s="2">
        <v>0.89999999999963598</v>
      </c>
      <c r="BG64" s="2">
        <v>5.8000000000029104</v>
      </c>
      <c r="BH64" s="2">
        <v>0.1</v>
      </c>
      <c r="BI64" s="2"/>
      <c r="BJ64" s="2">
        <v>8</v>
      </c>
      <c r="BK64" s="2">
        <v>0.1</v>
      </c>
      <c r="BL64" s="2">
        <v>0.100000000000023</v>
      </c>
      <c r="BM64" s="2"/>
      <c r="BN64" s="2"/>
      <c r="BO64" s="2"/>
      <c r="BP64" s="2">
        <v>4</v>
      </c>
      <c r="BQ64" s="2">
        <v>0.1</v>
      </c>
      <c r="BR64" s="2"/>
      <c r="BS64" s="2">
        <v>0</v>
      </c>
      <c r="BT64" s="2"/>
      <c r="BU64" s="2"/>
      <c r="BV64" s="2">
        <v>0.1</v>
      </c>
      <c r="BW64" s="2">
        <v>2.2999999999999998</v>
      </c>
      <c r="BX64" s="2"/>
      <c r="BY64" s="2">
        <v>12.5</v>
      </c>
      <c r="BZ64" s="2">
        <v>20.5</v>
      </c>
      <c r="CA64" s="2">
        <v>0.2</v>
      </c>
      <c r="CB64" s="2">
        <v>0.2</v>
      </c>
      <c r="CC64" s="2">
        <v>3.6</v>
      </c>
      <c r="CD64" s="2">
        <v>5.5</v>
      </c>
      <c r="CE64" s="2"/>
      <c r="CF64" s="2">
        <v>4.5999999999999996</v>
      </c>
      <c r="CG64" s="2">
        <v>0.4</v>
      </c>
      <c r="CH64" s="2"/>
      <c r="CI64" s="2">
        <v>0.2</v>
      </c>
      <c r="CJ64" s="2"/>
      <c r="CK64" s="2"/>
      <c r="CL64" s="2"/>
      <c r="CM64" s="2">
        <v>0.7</v>
      </c>
      <c r="CN64" s="2"/>
      <c r="CO64" s="2"/>
      <c r="CP64" s="2"/>
      <c r="CQ64" s="2">
        <v>12.8</v>
      </c>
      <c r="CR64" s="2">
        <v>3.8</v>
      </c>
      <c r="CS64" s="2">
        <v>0.1</v>
      </c>
      <c r="CT64" s="2">
        <v>2.9</v>
      </c>
      <c r="CU64" s="2"/>
      <c r="CV64" s="2">
        <v>0.8</v>
      </c>
      <c r="CW64" s="2"/>
      <c r="CX64" s="2">
        <v>0.3</v>
      </c>
      <c r="CY64" s="2">
        <v>3.8</v>
      </c>
      <c r="CZ64" s="2"/>
      <c r="DB64">
        <v>1929</v>
      </c>
      <c r="DC64">
        <v>25</v>
      </c>
      <c r="DE64" s="28">
        <v>1973</v>
      </c>
      <c r="DF64" s="27">
        <v>41188</v>
      </c>
      <c r="DG64">
        <v>35.5</v>
      </c>
      <c r="DH64">
        <v>63</v>
      </c>
    </row>
    <row r="65" spans="1:112">
      <c r="A65" s="1">
        <v>40972</v>
      </c>
      <c r="B65" s="2"/>
      <c r="C65" s="2"/>
      <c r="D65" s="2">
        <v>6</v>
      </c>
      <c r="E65" s="2"/>
      <c r="F65" s="2">
        <v>0.6</v>
      </c>
      <c r="G65" s="2">
        <v>0.1</v>
      </c>
      <c r="H65" s="2">
        <v>0.4</v>
      </c>
      <c r="I65" s="2"/>
      <c r="J65" s="2">
        <v>4.2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>
        <v>4.4000000000000004</v>
      </c>
      <c r="X65" s="2"/>
      <c r="Y65" s="2">
        <v>5.29999999999563</v>
      </c>
      <c r="Z65" s="2">
        <v>1.5399999999990499</v>
      </c>
      <c r="AA65" s="2"/>
      <c r="AB65" s="2"/>
      <c r="AC65" s="2"/>
      <c r="AD65" s="2">
        <v>0.69999999999981799</v>
      </c>
      <c r="AE65" s="2"/>
      <c r="AF65" s="2"/>
      <c r="AG65" s="2">
        <v>1</v>
      </c>
      <c r="AH65" s="2">
        <v>2.6</v>
      </c>
      <c r="AI65" s="2">
        <v>9.9999999999908995E-2</v>
      </c>
      <c r="AJ65" s="2">
        <v>28.699999999982499</v>
      </c>
      <c r="AK65" s="2">
        <v>2.3999999999978199</v>
      </c>
      <c r="AL65" s="2">
        <v>11.5</v>
      </c>
      <c r="AM65" s="2">
        <v>1.89999999999964</v>
      </c>
      <c r="AN65" s="2"/>
      <c r="AO65" s="2">
        <v>12</v>
      </c>
      <c r="AP65" s="2"/>
      <c r="AQ65" s="2"/>
      <c r="AR65" s="2"/>
      <c r="AS65" s="2"/>
      <c r="AT65" s="2">
        <v>8.1999999999970896</v>
      </c>
      <c r="AU65" s="2"/>
      <c r="AV65" s="2">
        <v>0.39999999999963598</v>
      </c>
      <c r="AW65" s="2"/>
      <c r="AX65" s="2">
        <v>1.5999999999985499</v>
      </c>
      <c r="AY65" s="2">
        <v>12.5</v>
      </c>
      <c r="AZ65" s="2">
        <v>1.5999999999985499</v>
      </c>
      <c r="BA65" s="2"/>
      <c r="BB65" s="2">
        <v>8.3999999999941792</v>
      </c>
      <c r="BC65" s="2"/>
      <c r="BD65" s="2"/>
      <c r="BE65" s="2">
        <v>0.60000000000036402</v>
      </c>
      <c r="BF65" s="2">
        <v>3.2000000000007298</v>
      </c>
      <c r="BG65" s="2">
        <v>0.30000000000018201</v>
      </c>
      <c r="BH65" s="2"/>
      <c r="BI65" s="2"/>
      <c r="BJ65" s="2">
        <v>0</v>
      </c>
      <c r="BK65" s="2">
        <v>0.3</v>
      </c>
      <c r="BL65" s="2">
        <v>0.4</v>
      </c>
      <c r="BM65" s="2"/>
      <c r="BN65" s="2"/>
      <c r="BO65" s="2">
        <v>0.60000000000036402</v>
      </c>
      <c r="BP65" s="2">
        <v>1.70000000000073</v>
      </c>
      <c r="BQ65" s="2">
        <v>0.6</v>
      </c>
      <c r="BR65" s="2"/>
      <c r="BS65" s="2">
        <v>26.700000000011599</v>
      </c>
      <c r="BT65" s="2">
        <v>0.5</v>
      </c>
      <c r="BU65" s="2"/>
      <c r="BV65" s="2">
        <v>1</v>
      </c>
      <c r="BW65" s="2">
        <v>1.5</v>
      </c>
      <c r="BX65" s="2">
        <v>0</v>
      </c>
      <c r="BY65" s="2">
        <v>1.1000000000000001</v>
      </c>
      <c r="BZ65" s="2">
        <v>20.6</v>
      </c>
      <c r="CA65" s="2"/>
      <c r="CB65" s="2">
        <v>5.2</v>
      </c>
      <c r="CC65" s="2">
        <v>0.6</v>
      </c>
      <c r="CD65" s="2">
        <v>2</v>
      </c>
      <c r="CE65" s="2"/>
      <c r="CF65" s="2"/>
      <c r="CG65" s="2"/>
      <c r="CH65" s="2"/>
      <c r="CI65" s="2"/>
      <c r="CJ65" s="2">
        <v>0</v>
      </c>
      <c r="CK65" s="2"/>
      <c r="CL65" s="2"/>
      <c r="CM65" s="2"/>
      <c r="CN65" s="2"/>
      <c r="CO65" s="2"/>
      <c r="CP65" s="2">
        <v>3.1</v>
      </c>
      <c r="CQ65" s="2">
        <v>19.7</v>
      </c>
      <c r="CR65" s="2"/>
      <c r="CS65" s="2"/>
      <c r="CT65" s="2">
        <v>5.7</v>
      </c>
      <c r="CU65" s="2"/>
      <c r="CV65" s="2"/>
      <c r="CW65" s="2">
        <v>8.3000000000000007</v>
      </c>
      <c r="CX65" s="2"/>
      <c r="CY65" s="2"/>
      <c r="CZ65" s="2"/>
      <c r="DB65">
        <v>1945</v>
      </c>
      <c r="DC65">
        <v>28.699999999982499</v>
      </c>
      <c r="DE65" s="28">
        <v>1974</v>
      </c>
      <c r="DF65" s="27">
        <v>41040</v>
      </c>
      <c r="DG65">
        <v>84</v>
      </c>
      <c r="DH65">
        <v>64</v>
      </c>
    </row>
    <row r="66" spans="1:112">
      <c r="A66" s="1">
        <v>40973</v>
      </c>
      <c r="B66" s="2"/>
      <c r="C66" s="2">
        <v>2.2000000000000002</v>
      </c>
      <c r="D66" s="2"/>
      <c r="E66" s="2">
        <v>0.7</v>
      </c>
      <c r="F66" s="2">
        <v>5.3</v>
      </c>
      <c r="G66" s="2"/>
      <c r="H66" s="2"/>
      <c r="I66" s="2"/>
      <c r="J66" s="2"/>
      <c r="K66" s="2"/>
      <c r="L66" s="2"/>
      <c r="M66" s="2"/>
      <c r="N66" s="2"/>
      <c r="O66" s="2"/>
      <c r="P66" s="2">
        <v>2.8</v>
      </c>
      <c r="Q66" s="2"/>
      <c r="R66" s="2"/>
      <c r="S66" s="2"/>
      <c r="T66" s="2">
        <v>4</v>
      </c>
      <c r="U66" s="2"/>
      <c r="V66" s="2">
        <v>15.5</v>
      </c>
      <c r="W66" s="2">
        <v>1.3</v>
      </c>
      <c r="X66" s="2"/>
      <c r="Y66" s="2">
        <v>7.79999999999563</v>
      </c>
      <c r="Z66" s="2">
        <v>6.1</v>
      </c>
      <c r="AA66" s="2"/>
      <c r="AB66" s="2"/>
      <c r="AC66" s="2"/>
      <c r="AD66" s="2">
        <v>0</v>
      </c>
      <c r="AE66" s="2"/>
      <c r="AF66" s="2"/>
      <c r="AG66" s="2"/>
      <c r="AH66" s="2">
        <v>0.4</v>
      </c>
      <c r="AI66" s="2"/>
      <c r="AJ66" s="2">
        <v>0</v>
      </c>
      <c r="AK66" s="2">
        <v>19.199999999982499</v>
      </c>
      <c r="AL66" s="2"/>
      <c r="AM66" s="2">
        <v>8.0999999999912706</v>
      </c>
      <c r="AN66" s="2">
        <v>3</v>
      </c>
      <c r="AO66" s="2">
        <v>43.599999999976703</v>
      </c>
      <c r="AP66" s="2"/>
      <c r="AQ66" s="2">
        <v>0.6</v>
      </c>
      <c r="AR66" s="2">
        <v>6.79999999999563</v>
      </c>
      <c r="AS66" s="2"/>
      <c r="AT66" s="2">
        <v>11</v>
      </c>
      <c r="AU66" s="2">
        <v>7.5</v>
      </c>
      <c r="AV66" s="2"/>
      <c r="AW66" s="2">
        <v>0.19999999999981799</v>
      </c>
      <c r="AX66" s="2"/>
      <c r="AY66" s="2">
        <v>2.8999999999978199</v>
      </c>
      <c r="AZ66" s="2">
        <v>0.79999999999927196</v>
      </c>
      <c r="BA66" s="2"/>
      <c r="BB66" s="2">
        <v>4.3999999999941801</v>
      </c>
      <c r="BC66" s="2">
        <v>2</v>
      </c>
      <c r="BD66" s="2"/>
      <c r="BE66" s="2"/>
      <c r="BF66" s="2">
        <v>2.9000000000014601</v>
      </c>
      <c r="BG66" s="2"/>
      <c r="BH66" s="2">
        <v>1.3</v>
      </c>
      <c r="BI66" s="2"/>
      <c r="BJ66" s="2">
        <v>0.5</v>
      </c>
      <c r="BK66" s="2">
        <v>0.8</v>
      </c>
      <c r="BL66" s="2"/>
      <c r="BM66" s="2"/>
      <c r="BN66" s="2"/>
      <c r="BO66" s="2">
        <v>4.6999999999970896</v>
      </c>
      <c r="BP66" s="2">
        <v>0.89999999999963598</v>
      </c>
      <c r="BQ66" s="2"/>
      <c r="BR66" s="2">
        <v>0</v>
      </c>
      <c r="BS66" s="2">
        <v>0.30000000000018201</v>
      </c>
      <c r="BT66" s="2">
        <v>24.100000000005799</v>
      </c>
      <c r="BU66" s="2"/>
      <c r="BV66" s="2">
        <v>3.6</v>
      </c>
      <c r="BW66" s="2">
        <v>0.2</v>
      </c>
      <c r="BX66" s="2"/>
      <c r="BY66" s="2">
        <v>2.6</v>
      </c>
      <c r="BZ66" s="2">
        <v>15.3</v>
      </c>
      <c r="CA66" s="2"/>
      <c r="CB66" s="2">
        <v>5.0999999999999996</v>
      </c>
      <c r="CC66" s="2"/>
      <c r="CD66" s="2"/>
      <c r="CE66" s="2"/>
      <c r="CF66" s="2">
        <v>2.9</v>
      </c>
      <c r="CG66" s="2"/>
      <c r="CH66" s="2"/>
      <c r="CI66" s="2">
        <v>0.8</v>
      </c>
      <c r="CJ66" s="2"/>
      <c r="CK66" s="2"/>
      <c r="CL66" s="2"/>
      <c r="CM66" s="2">
        <v>13.5</v>
      </c>
      <c r="CN66" s="2"/>
      <c r="CO66" s="2"/>
      <c r="CP66" s="2">
        <v>13.3</v>
      </c>
      <c r="CQ66" s="2">
        <v>4.8</v>
      </c>
      <c r="CR66" s="2">
        <v>9.8000000000000007</v>
      </c>
      <c r="CS66" s="2"/>
      <c r="CT66" s="2">
        <v>0.4</v>
      </c>
      <c r="CU66" s="2"/>
      <c r="CV66" s="2">
        <v>0.1</v>
      </c>
      <c r="CW66" s="2">
        <v>3.1</v>
      </c>
      <c r="CX66" s="2"/>
      <c r="CY66" s="2"/>
      <c r="CZ66" s="2"/>
      <c r="DB66">
        <v>1950</v>
      </c>
      <c r="DC66">
        <v>43.599999999976703</v>
      </c>
      <c r="DE66" s="28">
        <v>1975</v>
      </c>
      <c r="DF66" s="27">
        <v>40916</v>
      </c>
      <c r="DG66">
        <v>39</v>
      </c>
      <c r="DH66">
        <v>65</v>
      </c>
    </row>
    <row r="67" spans="1:112">
      <c r="A67" s="1">
        <v>40974</v>
      </c>
      <c r="B67" s="2"/>
      <c r="C67" s="2">
        <v>2.2000000000000002</v>
      </c>
      <c r="D67" s="2"/>
      <c r="E67" s="2">
        <v>10.9</v>
      </c>
      <c r="F67" s="2">
        <v>1.5</v>
      </c>
      <c r="G67" s="2"/>
      <c r="H67" s="2"/>
      <c r="I67" s="2"/>
      <c r="J67" s="2"/>
      <c r="K67" s="2"/>
      <c r="L67" s="2"/>
      <c r="M67" s="2"/>
      <c r="N67" s="2">
        <v>1.3</v>
      </c>
      <c r="O67" s="2"/>
      <c r="P67" s="2">
        <v>0.8</v>
      </c>
      <c r="Q67" s="2">
        <v>0.5</v>
      </c>
      <c r="R67" s="2"/>
      <c r="S67" s="2"/>
      <c r="T67" s="2">
        <v>0</v>
      </c>
      <c r="U67" s="2"/>
      <c r="V67" s="2"/>
      <c r="W67" s="2">
        <v>1.3</v>
      </c>
      <c r="X67" s="2"/>
      <c r="Y67" s="2">
        <v>0.19999999999981799</v>
      </c>
      <c r="Z67" s="2">
        <v>0</v>
      </c>
      <c r="AA67" s="2"/>
      <c r="AB67" s="2"/>
      <c r="AC67" s="2"/>
      <c r="AD67" s="2">
        <v>0</v>
      </c>
      <c r="AE67" s="2">
        <v>22.699999999982499</v>
      </c>
      <c r="AF67" s="2">
        <v>4</v>
      </c>
      <c r="AG67" s="2">
        <v>0.39999999999963598</v>
      </c>
      <c r="AH67" s="2"/>
      <c r="AI67" s="2"/>
      <c r="AJ67" s="2">
        <v>0.29999999999972699</v>
      </c>
      <c r="AK67" s="2">
        <v>3.7999999999992702</v>
      </c>
      <c r="AL67" s="2"/>
      <c r="AM67" s="2">
        <v>1</v>
      </c>
      <c r="AN67" s="2"/>
      <c r="AO67" s="2">
        <v>4.1999999999970896</v>
      </c>
      <c r="AP67" s="2"/>
      <c r="AQ67" s="2">
        <v>3.6</v>
      </c>
      <c r="AR67" s="2">
        <v>1</v>
      </c>
      <c r="AS67" s="2"/>
      <c r="AT67" s="2"/>
      <c r="AU67" s="2">
        <v>22.399999999994201</v>
      </c>
      <c r="AV67" s="2"/>
      <c r="AW67" s="2"/>
      <c r="AX67" s="2"/>
      <c r="AY67" s="2">
        <v>6.2</v>
      </c>
      <c r="AZ67" s="2">
        <v>3.5999999999985399</v>
      </c>
      <c r="BA67" s="2"/>
      <c r="BB67" s="2"/>
      <c r="BC67" s="2">
        <v>0</v>
      </c>
      <c r="BD67" s="2"/>
      <c r="BE67" s="2"/>
      <c r="BF67" s="2">
        <v>7.0999999999985501</v>
      </c>
      <c r="BG67" s="2"/>
      <c r="BH67" s="2">
        <v>4.5</v>
      </c>
      <c r="BI67" s="2">
        <v>0</v>
      </c>
      <c r="BJ67" s="2">
        <v>2.2999999999992702</v>
      </c>
      <c r="BK67" s="2">
        <v>0</v>
      </c>
      <c r="BL67" s="2">
        <v>9.4</v>
      </c>
      <c r="BM67" s="2">
        <v>0.100000000000023</v>
      </c>
      <c r="BN67" s="2"/>
      <c r="BO67" s="2">
        <v>6</v>
      </c>
      <c r="BP67" s="2"/>
      <c r="BQ67" s="2"/>
      <c r="BR67" s="2">
        <v>3.5</v>
      </c>
      <c r="BS67" s="2"/>
      <c r="BT67" s="2">
        <v>0.100000000000023</v>
      </c>
      <c r="BU67" s="2">
        <v>0</v>
      </c>
      <c r="BV67" s="2"/>
      <c r="BW67" s="2">
        <v>10.9</v>
      </c>
      <c r="BX67" s="2"/>
      <c r="BY67" s="2"/>
      <c r="BZ67" s="2">
        <v>0.4</v>
      </c>
      <c r="CA67" s="2"/>
      <c r="CB67" s="2">
        <v>2</v>
      </c>
      <c r="CC67" s="2"/>
      <c r="CD67" s="2">
        <v>5.4</v>
      </c>
      <c r="CE67" s="2">
        <v>1.2</v>
      </c>
      <c r="CF67" s="2">
        <v>21.5</v>
      </c>
      <c r="CG67" s="2">
        <v>0.1</v>
      </c>
      <c r="CH67" s="2">
        <v>0.5</v>
      </c>
      <c r="CI67" s="2">
        <v>0.6</v>
      </c>
      <c r="CJ67" s="2"/>
      <c r="CK67" s="2">
        <v>5.5</v>
      </c>
      <c r="CL67" s="2"/>
      <c r="CM67" s="2">
        <v>8.1999999999999993</v>
      </c>
      <c r="CN67" s="2">
        <v>11.4</v>
      </c>
      <c r="CO67" s="2"/>
      <c r="CP67" s="2">
        <v>1.9</v>
      </c>
      <c r="CQ67" s="2">
        <v>0.1</v>
      </c>
      <c r="CR67" s="2">
        <v>2.4</v>
      </c>
      <c r="CS67" s="2">
        <v>1.5</v>
      </c>
      <c r="CT67" s="2"/>
      <c r="CU67" s="2"/>
      <c r="CV67" s="2">
        <v>4.9000000000000004</v>
      </c>
      <c r="CW67" s="2">
        <v>5</v>
      </c>
      <c r="CX67" s="2">
        <v>1.7</v>
      </c>
      <c r="CY67" s="2"/>
      <c r="CZ67" s="2"/>
      <c r="DB67">
        <v>1940</v>
      </c>
      <c r="DC67">
        <v>22.699999999982499</v>
      </c>
      <c r="DE67" s="28">
        <v>1976</v>
      </c>
      <c r="DF67" s="27">
        <v>41254</v>
      </c>
      <c r="DG67">
        <v>39.400000000023297</v>
      </c>
      <c r="DH67">
        <v>66</v>
      </c>
    </row>
    <row r="68" spans="1:112">
      <c r="A68" s="1">
        <v>40975</v>
      </c>
      <c r="B68" s="2"/>
      <c r="C68" s="2"/>
      <c r="D68" s="2"/>
      <c r="E68" s="2">
        <v>0.2</v>
      </c>
      <c r="F68" s="2">
        <v>15.1</v>
      </c>
      <c r="G68" s="2"/>
      <c r="H68" s="2"/>
      <c r="I68" s="2">
        <v>0.7</v>
      </c>
      <c r="J68" s="2"/>
      <c r="K68" s="2"/>
      <c r="L68" s="2"/>
      <c r="M68" s="2"/>
      <c r="N68" s="2">
        <v>7.7</v>
      </c>
      <c r="O68" s="2"/>
      <c r="P68" s="2">
        <v>0.2</v>
      </c>
      <c r="Q68" s="2">
        <v>8.3000000000000007</v>
      </c>
      <c r="R68" s="2"/>
      <c r="S68" s="2"/>
      <c r="T68" s="2">
        <v>43.8</v>
      </c>
      <c r="U68" s="2"/>
      <c r="V68" s="2">
        <v>0</v>
      </c>
      <c r="W68" s="2"/>
      <c r="X68" s="2">
        <v>0</v>
      </c>
      <c r="Y68" s="2"/>
      <c r="Z68" s="2"/>
      <c r="AA68" s="2">
        <v>1.29999999999927</v>
      </c>
      <c r="AB68" s="2"/>
      <c r="AC68" s="2"/>
      <c r="AD68" s="2">
        <v>0</v>
      </c>
      <c r="AE68" s="2">
        <v>39.299999999999997</v>
      </c>
      <c r="AF68" s="2"/>
      <c r="AG68" s="2"/>
      <c r="AH68" s="2"/>
      <c r="AI68" s="2">
        <v>1.5</v>
      </c>
      <c r="AJ68" s="2">
        <v>13.599999999991301</v>
      </c>
      <c r="AK68" s="2"/>
      <c r="AL68" s="2"/>
      <c r="AM68" s="2"/>
      <c r="AN68" s="2">
        <v>3.3999999999978199</v>
      </c>
      <c r="AO68" s="2">
        <v>0.29999999999972699</v>
      </c>
      <c r="AP68" s="2">
        <v>0.59999999999945397</v>
      </c>
      <c r="AQ68" s="2">
        <v>7.1</v>
      </c>
      <c r="AR68" s="2"/>
      <c r="AS68" s="2"/>
      <c r="AT68" s="2"/>
      <c r="AU68" s="2">
        <v>2.1999999999970901</v>
      </c>
      <c r="AV68" s="2">
        <v>0.39999999999963598</v>
      </c>
      <c r="AW68" s="2"/>
      <c r="AX68" s="2"/>
      <c r="AY68" s="2">
        <v>7.3</v>
      </c>
      <c r="AZ68" s="2"/>
      <c r="BA68" s="2">
        <v>30.599999999976699</v>
      </c>
      <c r="BB68" s="2"/>
      <c r="BC68" s="2">
        <v>5.0999999999985501</v>
      </c>
      <c r="BD68" s="2"/>
      <c r="BE68" s="2"/>
      <c r="BF68" s="2">
        <v>1.29999999999927</v>
      </c>
      <c r="BG68" s="2"/>
      <c r="BH68" s="2">
        <v>2.2000000000000002</v>
      </c>
      <c r="BI68" s="2">
        <v>0.200000000000045</v>
      </c>
      <c r="BJ68" s="2"/>
      <c r="BK68" s="2">
        <v>0.1</v>
      </c>
      <c r="BL68" s="2">
        <v>0.8</v>
      </c>
      <c r="BM68" s="2">
        <v>4.6999999999970896</v>
      </c>
      <c r="BN68" s="2"/>
      <c r="BO68" s="2">
        <v>1.10000000000036</v>
      </c>
      <c r="BP68" s="2">
        <v>0</v>
      </c>
      <c r="BQ68" s="2">
        <v>2.2000000000000002</v>
      </c>
      <c r="BR68" s="2">
        <v>0.400000000000091</v>
      </c>
      <c r="BS68" s="2">
        <v>0.30000000000018201</v>
      </c>
      <c r="BT68" s="2"/>
      <c r="BU68" s="2">
        <v>0</v>
      </c>
      <c r="BV68" s="2">
        <v>0.4</v>
      </c>
      <c r="BW68" s="2">
        <v>5.3</v>
      </c>
      <c r="BX68" s="2"/>
      <c r="BY68" s="2">
        <v>0</v>
      </c>
      <c r="BZ68" s="2">
        <v>22.8</v>
      </c>
      <c r="CA68" s="2">
        <v>1.8</v>
      </c>
      <c r="CB68" s="2">
        <v>1.4</v>
      </c>
      <c r="CC68" s="2"/>
      <c r="CD68" s="2">
        <v>1</v>
      </c>
      <c r="CE68" s="2">
        <v>0.5</v>
      </c>
      <c r="CF68" s="2">
        <v>5</v>
      </c>
      <c r="CG68" s="2"/>
      <c r="CH68" s="2">
        <v>6.5</v>
      </c>
      <c r="CI68" s="2">
        <v>0.2</v>
      </c>
      <c r="CJ68" s="2"/>
      <c r="CK68" s="2"/>
      <c r="CL68" s="2"/>
      <c r="CM68" s="2"/>
      <c r="CN68" s="2"/>
      <c r="CO68" s="2"/>
      <c r="CP68" s="2">
        <v>0.5</v>
      </c>
      <c r="CQ68" s="2"/>
      <c r="CR68" s="2">
        <v>3.1</v>
      </c>
      <c r="CS68" s="2">
        <v>29.1</v>
      </c>
      <c r="CT68" s="2"/>
      <c r="CU68" s="2"/>
      <c r="CV68" s="2">
        <v>11.3</v>
      </c>
      <c r="CW68" s="2">
        <v>4.5</v>
      </c>
      <c r="CX68" s="2">
        <v>2</v>
      </c>
      <c r="CY68" s="2"/>
      <c r="CZ68" s="2"/>
      <c r="DB68">
        <v>1929</v>
      </c>
      <c r="DC68">
        <v>43.8</v>
      </c>
      <c r="DE68" s="28">
        <v>1977</v>
      </c>
      <c r="DF68" s="27">
        <v>41093</v>
      </c>
      <c r="DG68">
        <v>71.5</v>
      </c>
      <c r="DH68">
        <v>67</v>
      </c>
    </row>
    <row r="69" spans="1:112">
      <c r="A69" s="1">
        <v>40976</v>
      </c>
      <c r="B69" s="2"/>
      <c r="C69" s="2"/>
      <c r="D69" s="2"/>
      <c r="E69" s="2"/>
      <c r="F69" s="2">
        <v>2.5</v>
      </c>
      <c r="G69" s="2"/>
      <c r="H69" s="2"/>
      <c r="I69" s="2"/>
      <c r="J69" s="2">
        <v>3.8</v>
      </c>
      <c r="K69" s="2"/>
      <c r="L69" s="2">
        <v>2.6</v>
      </c>
      <c r="M69" s="2"/>
      <c r="N69" s="2"/>
      <c r="O69" s="2"/>
      <c r="P69" s="2"/>
      <c r="Q69" s="2">
        <v>11.3</v>
      </c>
      <c r="R69" s="2"/>
      <c r="S69" s="2"/>
      <c r="T69" s="2">
        <v>0</v>
      </c>
      <c r="U69" s="2"/>
      <c r="V69" s="2"/>
      <c r="W69" s="2">
        <v>7.5</v>
      </c>
      <c r="X69" s="2">
        <v>0.8</v>
      </c>
      <c r="Y69" s="2"/>
      <c r="Z69" s="2">
        <v>4.79999999999563</v>
      </c>
      <c r="AA69" s="2"/>
      <c r="AB69" s="2"/>
      <c r="AC69" s="2">
        <v>1</v>
      </c>
      <c r="AD69" s="2">
        <v>14.5</v>
      </c>
      <c r="AE69" s="2">
        <v>4.5</v>
      </c>
      <c r="AF69" s="2"/>
      <c r="AG69" s="2">
        <v>1.5</v>
      </c>
      <c r="AH69" s="2"/>
      <c r="AI69" s="2"/>
      <c r="AJ69" s="2">
        <v>5.1999999999970896</v>
      </c>
      <c r="AK69" s="2"/>
      <c r="AL69" s="2">
        <v>0.79999999999927196</v>
      </c>
      <c r="AM69" s="2"/>
      <c r="AN69" s="2">
        <v>13.599999999991301</v>
      </c>
      <c r="AO69" s="2"/>
      <c r="AP69" s="2">
        <v>2.0999999999985399</v>
      </c>
      <c r="AQ69" s="2">
        <v>11.6</v>
      </c>
      <c r="AR69" s="2"/>
      <c r="AS69" s="2"/>
      <c r="AT69" s="2"/>
      <c r="AU69" s="2"/>
      <c r="AV69" s="2">
        <v>12.599999999991301</v>
      </c>
      <c r="AW69" s="2"/>
      <c r="AX69" s="2">
        <v>9.9999999999908995E-2</v>
      </c>
      <c r="AY69" s="2">
        <v>0</v>
      </c>
      <c r="AZ69" s="2"/>
      <c r="BA69" s="2">
        <v>20</v>
      </c>
      <c r="BB69" s="2"/>
      <c r="BC69" s="2">
        <v>4.6999999999970896</v>
      </c>
      <c r="BD69" s="2"/>
      <c r="BE69" s="2">
        <v>0.400000000000091</v>
      </c>
      <c r="BF69" s="2"/>
      <c r="BG69" s="2">
        <v>0.400000000000091</v>
      </c>
      <c r="BH69" s="2"/>
      <c r="BI69" s="2">
        <v>1.39999999999964</v>
      </c>
      <c r="BJ69" s="2">
        <v>16.200000000011599</v>
      </c>
      <c r="BK69" s="2"/>
      <c r="BL69" s="2"/>
      <c r="BM69" s="2">
        <v>5.8000000000029104</v>
      </c>
      <c r="BN69" s="2"/>
      <c r="BO69" s="2">
        <v>1</v>
      </c>
      <c r="BP69" s="2">
        <v>2.7999999999992702</v>
      </c>
      <c r="BQ69" s="2">
        <v>1.7</v>
      </c>
      <c r="BR69" s="2">
        <v>0.200000000000045</v>
      </c>
      <c r="BS69" s="2">
        <v>0.89999999999963598</v>
      </c>
      <c r="BT69" s="2">
        <v>0</v>
      </c>
      <c r="BU69" s="2">
        <v>1</v>
      </c>
      <c r="BV69" s="2"/>
      <c r="BW69" s="2">
        <v>0.3</v>
      </c>
      <c r="BX69" s="2"/>
      <c r="BY69" s="2">
        <v>1</v>
      </c>
      <c r="BZ69" s="2">
        <v>6</v>
      </c>
      <c r="CA69" s="2">
        <v>0.8</v>
      </c>
      <c r="CB69" s="2"/>
      <c r="CC69" s="2"/>
      <c r="CD69" s="2"/>
      <c r="CE69" s="2">
        <v>0.2</v>
      </c>
      <c r="CF69" s="2"/>
      <c r="CG69" s="2"/>
      <c r="CH69" s="2">
        <v>3.6</v>
      </c>
      <c r="CI69" s="2">
        <v>0.3</v>
      </c>
      <c r="CJ69" s="2">
        <v>0</v>
      </c>
      <c r="CK69" s="2"/>
      <c r="CL69" s="2">
        <v>8.6999999999999993</v>
      </c>
      <c r="CM69" s="2"/>
      <c r="CN69" s="2"/>
      <c r="CO69" s="2"/>
      <c r="CP69" s="2"/>
      <c r="CQ69" s="2"/>
      <c r="CR69" s="2">
        <v>5.8</v>
      </c>
      <c r="CS69" s="2">
        <v>17</v>
      </c>
      <c r="CT69" s="2">
        <v>0.2</v>
      </c>
      <c r="CU69" s="2"/>
      <c r="CV69" s="2">
        <v>1.7</v>
      </c>
      <c r="CW69" s="2">
        <v>2.7</v>
      </c>
      <c r="CX69" s="2">
        <v>8.5</v>
      </c>
      <c r="CY69" s="2">
        <v>0.3</v>
      </c>
      <c r="CZ69" s="2">
        <v>1.2</v>
      </c>
      <c r="DB69">
        <v>1962</v>
      </c>
      <c r="DC69">
        <v>20</v>
      </c>
      <c r="DE69" s="28">
        <v>1978</v>
      </c>
      <c r="DF69" s="27">
        <v>41211</v>
      </c>
      <c r="DG69">
        <v>91</v>
      </c>
      <c r="DH69">
        <v>68</v>
      </c>
    </row>
    <row r="70" spans="1:112">
      <c r="A70" s="1">
        <v>40977</v>
      </c>
      <c r="B70" s="2"/>
      <c r="C70" s="2">
        <v>3.7</v>
      </c>
      <c r="D70" s="2"/>
      <c r="E70" s="2"/>
      <c r="F70" s="2"/>
      <c r="G70" s="2">
        <v>1.1000000000000001</v>
      </c>
      <c r="H70" s="2"/>
      <c r="I70" s="2">
        <v>1.9</v>
      </c>
      <c r="J70" s="2"/>
      <c r="K70" s="2"/>
      <c r="L70" s="2">
        <v>6.1</v>
      </c>
      <c r="M70" s="2"/>
      <c r="N70" s="2">
        <v>0.5</v>
      </c>
      <c r="O70" s="2"/>
      <c r="P70" s="2"/>
      <c r="Q70" s="2">
        <v>1</v>
      </c>
      <c r="R70" s="2"/>
      <c r="S70" s="2"/>
      <c r="T70" s="2">
        <v>0</v>
      </c>
      <c r="U70" s="2"/>
      <c r="V70" s="2"/>
      <c r="W70" s="2"/>
      <c r="X70" s="2">
        <v>0</v>
      </c>
      <c r="Y70" s="2">
        <v>0</v>
      </c>
      <c r="Z70" s="2">
        <v>7.3999999999941801</v>
      </c>
      <c r="AA70" s="2"/>
      <c r="AB70" s="2"/>
      <c r="AC70" s="2"/>
      <c r="AD70" s="2">
        <v>7.29999999999563</v>
      </c>
      <c r="AE70" s="2">
        <v>0</v>
      </c>
      <c r="AF70" s="2"/>
      <c r="AG70" s="2">
        <v>0.19999999999981799</v>
      </c>
      <c r="AH70" s="2"/>
      <c r="AI70" s="2">
        <v>3.2999999999992702</v>
      </c>
      <c r="AJ70" s="2">
        <v>1.5</v>
      </c>
      <c r="AK70" s="2">
        <v>2.5999999999985399</v>
      </c>
      <c r="AL70" s="2">
        <v>2.6999999999970901</v>
      </c>
      <c r="AM70" s="2"/>
      <c r="AN70" s="2">
        <v>1.1999999999989099</v>
      </c>
      <c r="AO70" s="2">
        <v>6.5999999999985501</v>
      </c>
      <c r="AP70" s="2"/>
      <c r="AQ70" s="2">
        <v>5.8</v>
      </c>
      <c r="AR70" s="2"/>
      <c r="AS70" s="2">
        <v>3.5</v>
      </c>
      <c r="AT70" s="2">
        <v>26.399999999994201</v>
      </c>
      <c r="AU70" s="2">
        <v>7</v>
      </c>
      <c r="AV70" s="2">
        <v>4</v>
      </c>
      <c r="AW70" s="2">
        <v>9.5999999999912706</v>
      </c>
      <c r="AX70" s="2">
        <v>1.5999999999985499</v>
      </c>
      <c r="AY70" s="2">
        <v>0.69999999999981799</v>
      </c>
      <c r="AZ70" s="2"/>
      <c r="BA70" s="2">
        <v>11</v>
      </c>
      <c r="BB70" s="2"/>
      <c r="BC70" s="2">
        <v>0.100000000000023</v>
      </c>
      <c r="BD70" s="2">
        <v>11.899999999994201</v>
      </c>
      <c r="BE70" s="2"/>
      <c r="BF70" s="2"/>
      <c r="BG70" s="2"/>
      <c r="BH70" s="2"/>
      <c r="BI70" s="2">
        <v>0.60000000000036402</v>
      </c>
      <c r="BJ70" s="2">
        <v>8.3999999999941792</v>
      </c>
      <c r="BK70" s="2">
        <v>0.3</v>
      </c>
      <c r="BL70" s="2">
        <v>0.2</v>
      </c>
      <c r="BM70" s="2">
        <v>13</v>
      </c>
      <c r="BN70" s="2"/>
      <c r="BO70" s="2">
        <v>0.100000000000023</v>
      </c>
      <c r="BP70" s="2"/>
      <c r="BQ70" s="2">
        <v>0.1</v>
      </c>
      <c r="BR70" s="2">
        <v>0.100000000000023</v>
      </c>
      <c r="BS70" s="2">
        <v>17.600000000005799</v>
      </c>
      <c r="BT70" s="2">
        <v>0</v>
      </c>
      <c r="BU70" s="2">
        <v>0.80000000000018201</v>
      </c>
      <c r="BV70" s="2"/>
      <c r="BW70" s="2">
        <v>18.100000000000001</v>
      </c>
      <c r="BX70" s="2"/>
      <c r="BY70" s="2">
        <v>0.3</v>
      </c>
      <c r="BZ70" s="2">
        <v>2.8</v>
      </c>
      <c r="CA70" s="2">
        <v>7.7</v>
      </c>
      <c r="CB70" s="2"/>
      <c r="CC70" s="2"/>
      <c r="CD70" s="2"/>
      <c r="CE70" s="2">
        <v>0.2</v>
      </c>
      <c r="CF70" s="2">
        <v>0</v>
      </c>
      <c r="CG70" s="2"/>
      <c r="CH70" s="2">
        <v>1.1000000000000001</v>
      </c>
      <c r="CI70" s="2">
        <v>8.1</v>
      </c>
      <c r="CJ70" s="2"/>
      <c r="CK70" s="2">
        <v>9</v>
      </c>
      <c r="CL70" s="2"/>
      <c r="CM70" s="2"/>
      <c r="CN70" s="2"/>
      <c r="CO70" s="2"/>
      <c r="CP70" s="2"/>
      <c r="CQ70" s="2">
        <v>8.4</v>
      </c>
      <c r="CR70" s="2"/>
      <c r="CS70" s="2"/>
      <c r="CT70" s="2">
        <v>0.2</v>
      </c>
      <c r="CU70" s="2"/>
      <c r="CV70" s="2">
        <v>0.3</v>
      </c>
      <c r="CW70" s="2">
        <v>5.3</v>
      </c>
      <c r="CX70" s="2">
        <v>5.5</v>
      </c>
      <c r="CY70" s="2"/>
      <c r="CZ70" s="2">
        <v>1.2</v>
      </c>
      <c r="DB70">
        <v>1955</v>
      </c>
      <c r="DC70">
        <v>26.399999999994201</v>
      </c>
      <c r="DE70" s="28">
        <v>1979</v>
      </c>
      <c r="DF70" s="27">
        <v>41214</v>
      </c>
      <c r="DG70">
        <v>47</v>
      </c>
      <c r="DH70">
        <v>69</v>
      </c>
    </row>
    <row r="71" spans="1:112">
      <c r="A71" s="1">
        <v>40978</v>
      </c>
      <c r="B71" s="2"/>
      <c r="C71" s="2"/>
      <c r="D71" s="2">
        <v>0</v>
      </c>
      <c r="E71" s="2"/>
      <c r="F71" s="2">
        <v>1.5</v>
      </c>
      <c r="G71" s="2">
        <v>4.5</v>
      </c>
      <c r="H71" s="2">
        <v>9.4</v>
      </c>
      <c r="I71" s="2"/>
      <c r="J71" s="2"/>
      <c r="K71" s="2"/>
      <c r="L71" s="2">
        <v>4.3</v>
      </c>
      <c r="M71" s="2"/>
      <c r="N71" s="2">
        <v>2.2999999999999998</v>
      </c>
      <c r="O71" s="2"/>
      <c r="P71" s="2">
        <v>6.8</v>
      </c>
      <c r="Q71" s="2"/>
      <c r="R71" s="2">
        <v>2.7</v>
      </c>
      <c r="S71" s="2"/>
      <c r="T71" s="2"/>
      <c r="U71" s="2">
        <v>33.5</v>
      </c>
      <c r="V71" s="2"/>
      <c r="W71" s="2">
        <v>0</v>
      </c>
      <c r="X71" s="2"/>
      <c r="Y71" s="2"/>
      <c r="Z71" s="2">
        <v>0.5</v>
      </c>
      <c r="AA71" s="2"/>
      <c r="AB71" s="2">
        <v>1.79999999999927</v>
      </c>
      <c r="AC71" s="2"/>
      <c r="AD71" s="2">
        <v>3.7999999999992702</v>
      </c>
      <c r="AE71" s="2"/>
      <c r="AF71" s="2">
        <v>0.5</v>
      </c>
      <c r="AG71" s="2"/>
      <c r="AH71" s="2"/>
      <c r="AI71" s="2">
        <v>8.2999999999883602</v>
      </c>
      <c r="AJ71" s="2">
        <v>0.59999999999945397</v>
      </c>
      <c r="AK71" s="2">
        <v>9.9999999999908995E-2</v>
      </c>
      <c r="AL71" s="2">
        <v>13.5</v>
      </c>
      <c r="AM71" s="2"/>
      <c r="AN71" s="2"/>
      <c r="AO71" s="2"/>
      <c r="AP71" s="2">
        <v>21.199999999982499</v>
      </c>
      <c r="AQ71" s="2"/>
      <c r="AR71" s="2">
        <v>12.399999999994201</v>
      </c>
      <c r="AS71" s="2">
        <v>0.19999999999981799</v>
      </c>
      <c r="AT71" s="2">
        <v>4.5</v>
      </c>
      <c r="AU71" s="2">
        <v>12.3</v>
      </c>
      <c r="AV71" s="2">
        <v>0.39999999999963598</v>
      </c>
      <c r="AW71" s="2">
        <v>8.8999999999941792</v>
      </c>
      <c r="AX71" s="2"/>
      <c r="AY71" s="2">
        <v>0.89999999999963598</v>
      </c>
      <c r="AZ71" s="2"/>
      <c r="BA71" s="2"/>
      <c r="BB71" s="2"/>
      <c r="BC71" s="2">
        <v>0</v>
      </c>
      <c r="BD71" s="2">
        <v>8.3000000000029104</v>
      </c>
      <c r="BE71" s="2">
        <v>1.39999999999964</v>
      </c>
      <c r="BF71" s="2">
        <v>0.69999999999981799</v>
      </c>
      <c r="BG71" s="2"/>
      <c r="BH71" s="2"/>
      <c r="BI71" s="2">
        <v>0.60000000000036402</v>
      </c>
      <c r="BJ71" s="2">
        <v>16.399999999994201</v>
      </c>
      <c r="BK71" s="2">
        <v>0</v>
      </c>
      <c r="BL71" s="2">
        <v>7.7</v>
      </c>
      <c r="BM71" s="2"/>
      <c r="BN71" s="2">
        <v>6.5</v>
      </c>
      <c r="BO71" s="2"/>
      <c r="BP71" s="2">
        <v>0.100000000000023</v>
      </c>
      <c r="BQ71" s="2"/>
      <c r="BR71" s="2"/>
      <c r="BS71" s="2">
        <v>12.3000000000029</v>
      </c>
      <c r="BT71" s="2">
        <v>0</v>
      </c>
      <c r="BU71" s="2">
        <v>0.69999999999981799</v>
      </c>
      <c r="BV71" s="2"/>
      <c r="BW71" s="2">
        <v>9.9</v>
      </c>
      <c r="BX71" s="2"/>
      <c r="BY71" s="2">
        <v>0.1</v>
      </c>
      <c r="BZ71" s="2">
        <v>17</v>
      </c>
      <c r="CA71" s="2">
        <v>3.2</v>
      </c>
      <c r="CB71" s="2"/>
      <c r="CC71" s="2">
        <v>1.8</v>
      </c>
      <c r="CD71" s="2"/>
      <c r="CE71" s="2"/>
      <c r="CF71" s="2">
        <v>1</v>
      </c>
      <c r="CG71" s="2"/>
      <c r="CH71" s="2">
        <v>0</v>
      </c>
      <c r="CI71" s="2">
        <v>8.1999999999999993</v>
      </c>
      <c r="CJ71" s="2">
        <v>5.5</v>
      </c>
      <c r="CK71" s="2">
        <v>22.5</v>
      </c>
      <c r="CL71" s="2"/>
      <c r="CM71" s="2">
        <v>9.8000000000000007</v>
      </c>
      <c r="CN71" s="2">
        <v>0.2</v>
      </c>
      <c r="CO71" s="2">
        <v>0.2</v>
      </c>
      <c r="CP71" s="2"/>
      <c r="CQ71" s="2">
        <v>3.8</v>
      </c>
      <c r="CR71" s="2">
        <v>2.1</v>
      </c>
      <c r="CS71" s="2"/>
      <c r="CT71" s="2">
        <v>0.2</v>
      </c>
      <c r="CU71" s="2"/>
      <c r="CV71" s="2">
        <v>16.3</v>
      </c>
      <c r="CW71" s="2">
        <v>0.1</v>
      </c>
      <c r="CX71" s="2">
        <v>0.7</v>
      </c>
      <c r="CY71" s="2"/>
      <c r="CZ71" s="2">
        <v>0.2</v>
      </c>
      <c r="DB71">
        <v>1930</v>
      </c>
      <c r="DC71">
        <v>33.5</v>
      </c>
      <c r="DE71" s="28">
        <v>1980</v>
      </c>
      <c r="DF71" s="27">
        <v>41223</v>
      </c>
      <c r="DG71">
        <v>47.520000000018598</v>
      </c>
      <c r="DH71">
        <v>70</v>
      </c>
    </row>
    <row r="72" spans="1:112">
      <c r="A72" s="1">
        <v>40979</v>
      </c>
      <c r="B72" s="2"/>
      <c r="C72" s="2"/>
      <c r="D72" s="2"/>
      <c r="E72" s="2"/>
      <c r="F72" s="2">
        <v>16.5</v>
      </c>
      <c r="G72" s="2">
        <v>0.2</v>
      </c>
      <c r="H72" s="2">
        <v>1</v>
      </c>
      <c r="I72" s="2"/>
      <c r="J72" s="2">
        <v>2.5</v>
      </c>
      <c r="K72" s="2"/>
      <c r="L72" s="2"/>
      <c r="M72" s="2"/>
      <c r="N72" s="2">
        <v>3.6</v>
      </c>
      <c r="O72" s="2">
        <v>6.2</v>
      </c>
      <c r="P72" s="2">
        <v>13</v>
      </c>
      <c r="Q72" s="2">
        <v>8.9</v>
      </c>
      <c r="R72" s="2"/>
      <c r="S72" s="2">
        <v>1.7</v>
      </c>
      <c r="T72" s="2"/>
      <c r="U72" s="2"/>
      <c r="V72" s="2"/>
      <c r="W72" s="2"/>
      <c r="X72" s="2">
        <v>1.6</v>
      </c>
      <c r="Y72" s="2"/>
      <c r="Z72" s="2"/>
      <c r="AA72" s="2"/>
      <c r="AB72" s="2">
        <v>0.29999999999972699</v>
      </c>
      <c r="AC72" s="2">
        <v>7.0999999999985501</v>
      </c>
      <c r="AD72" s="2">
        <v>19.199999999982499</v>
      </c>
      <c r="AE72" s="2">
        <v>0</v>
      </c>
      <c r="AF72" s="2"/>
      <c r="AG72" s="2"/>
      <c r="AH72" s="2"/>
      <c r="AI72" s="2"/>
      <c r="AJ72" s="2">
        <v>1.6999999999989099</v>
      </c>
      <c r="AK72" s="2">
        <v>2</v>
      </c>
      <c r="AL72" s="2"/>
      <c r="AM72" s="2">
        <v>0.29999999999972699</v>
      </c>
      <c r="AN72" s="2">
        <v>2</v>
      </c>
      <c r="AO72" s="2">
        <v>2.1999999999970901</v>
      </c>
      <c r="AP72" s="2"/>
      <c r="AQ72" s="2"/>
      <c r="AR72" s="2">
        <v>26.199999999982499</v>
      </c>
      <c r="AS72" s="2"/>
      <c r="AT72" s="2">
        <v>15.399999999994201</v>
      </c>
      <c r="AU72" s="2">
        <v>13</v>
      </c>
      <c r="AV72" s="2">
        <v>2.2999999999992702</v>
      </c>
      <c r="AW72" s="2">
        <v>0.19999999999981799</v>
      </c>
      <c r="AX72" s="2">
        <v>0.59999999999945397</v>
      </c>
      <c r="AY72" s="2"/>
      <c r="AZ72" s="2"/>
      <c r="BA72" s="2"/>
      <c r="BB72" s="2">
        <v>8.3999999999941792</v>
      </c>
      <c r="BC72" s="2"/>
      <c r="BD72" s="2">
        <v>0.60000000000036402</v>
      </c>
      <c r="BE72" s="2">
        <v>7.3000000000029104</v>
      </c>
      <c r="BF72" s="2"/>
      <c r="BG72" s="2">
        <v>27.600000000005799</v>
      </c>
      <c r="BH72" s="2"/>
      <c r="BI72" s="2">
        <v>0.69999999999981799</v>
      </c>
      <c r="BJ72" s="2">
        <v>0.200000000000045</v>
      </c>
      <c r="BK72" s="2">
        <v>9.6</v>
      </c>
      <c r="BL72" s="2">
        <v>13.2</v>
      </c>
      <c r="BM72" s="2">
        <v>0.100000000000023</v>
      </c>
      <c r="BN72" s="2">
        <v>6.5999999999985501</v>
      </c>
      <c r="BO72" s="2"/>
      <c r="BP72" s="2"/>
      <c r="BQ72" s="2">
        <v>0.3</v>
      </c>
      <c r="BR72" s="2">
        <v>0.100000000000023</v>
      </c>
      <c r="BS72" s="2">
        <v>1</v>
      </c>
      <c r="BT72" s="2">
        <v>0.30000000000018201</v>
      </c>
      <c r="BU72" s="2">
        <v>0</v>
      </c>
      <c r="BV72" s="2"/>
      <c r="BW72" s="2">
        <v>2.6</v>
      </c>
      <c r="BX72" s="2"/>
      <c r="BY72" s="2">
        <v>0</v>
      </c>
      <c r="BZ72" s="2">
        <v>6.6</v>
      </c>
      <c r="CA72" s="2"/>
      <c r="CB72" s="2"/>
      <c r="CC72" s="2"/>
      <c r="CD72" s="2"/>
      <c r="CE72" s="2">
        <v>0.2</v>
      </c>
      <c r="CF72" s="2"/>
      <c r="CG72" s="2">
        <v>0.5</v>
      </c>
      <c r="CH72" s="2"/>
      <c r="CI72" s="2">
        <v>1.7</v>
      </c>
      <c r="CJ72" s="2"/>
      <c r="CK72" s="2">
        <v>22</v>
      </c>
      <c r="CL72" s="2"/>
      <c r="CM72" s="2">
        <v>0</v>
      </c>
      <c r="CN72" s="2"/>
      <c r="CO72" s="2">
        <v>1.2</v>
      </c>
      <c r="CP72" s="2"/>
      <c r="CQ72" s="2">
        <v>2.8</v>
      </c>
      <c r="CR72" s="2">
        <v>0.9</v>
      </c>
      <c r="CS72" s="2">
        <v>8.5</v>
      </c>
      <c r="CT72" s="2">
        <v>0.5</v>
      </c>
      <c r="CU72" s="2"/>
      <c r="CV72" s="2"/>
      <c r="CW72" s="2"/>
      <c r="CX72" s="2"/>
      <c r="CY72" s="2">
        <v>14.3</v>
      </c>
      <c r="CZ72" s="2">
        <v>1.3</v>
      </c>
      <c r="DB72">
        <v>1968</v>
      </c>
      <c r="DC72">
        <v>27.600000000005799</v>
      </c>
      <c r="DE72" s="28">
        <v>1981</v>
      </c>
      <c r="DF72" s="27">
        <v>40955</v>
      </c>
      <c r="DG72">
        <v>86.900000000023297</v>
      </c>
      <c r="DH72">
        <v>71</v>
      </c>
    </row>
    <row r="73" spans="1:112">
      <c r="A73" s="1">
        <v>40980</v>
      </c>
      <c r="B73" s="2"/>
      <c r="C73" s="2"/>
      <c r="D73" s="2"/>
      <c r="E73" s="2"/>
      <c r="F73" s="2">
        <v>5.4</v>
      </c>
      <c r="G73" s="2">
        <v>0.2</v>
      </c>
      <c r="H73" s="2"/>
      <c r="I73" s="2"/>
      <c r="J73" s="2"/>
      <c r="K73" s="2">
        <v>0.9</v>
      </c>
      <c r="L73" s="2"/>
      <c r="M73" s="2"/>
      <c r="N73" s="2"/>
      <c r="O73" s="2">
        <v>1.2</v>
      </c>
      <c r="P73" s="2">
        <v>0.3</v>
      </c>
      <c r="Q73" s="2"/>
      <c r="R73" s="2"/>
      <c r="S73" s="2">
        <v>2.7</v>
      </c>
      <c r="T73" s="2"/>
      <c r="U73" s="2">
        <v>5.3</v>
      </c>
      <c r="V73" s="2"/>
      <c r="W73" s="2"/>
      <c r="X73" s="2">
        <v>0</v>
      </c>
      <c r="Y73" s="2"/>
      <c r="Z73" s="2"/>
      <c r="AA73" s="2"/>
      <c r="AB73" s="2"/>
      <c r="AC73" s="2">
        <v>24.5</v>
      </c>
      <c r="AD73" s="2">
        <v>31</v>
      </c>
      <c r="AE73" s="2"/>
      <c r="AF73" s="2">
        <v>1.79999999999927</v>
      </c>
      <c r="AG73" s="2"/>
      <c r="AH73" s="2"/>
      <c r="AI73" s="2">
        <v>3.5999999999985399</v>
      </c>
      <c r="AJ73" s="2"/>
      <c r="AK73" s="2">
        <v>3.1999999999970901</v>
      </c>
      <c r="AL73" s="2">
        <v>5.1999999999970896</v>
      </c>
      <c r="AM73" s="2"/>
      <c r="AN73" s="2">
        <v>5</v>
      </c>
      <c r="AO73" s="2">
        <v>1.79999999999927</v>
      </c>
      <c r="AP73" s="2"/>
      <c r="AQ73" s="2"/>
      <c r="AR73" s="2">
        <v>1.0999999999985499</v>
      </c>
      <c r="AS73" s="2"/>
      <c r="AT73" s="2">
        <v>4.79999999999563</v>
      </c>
      <c r="AU73" s="2">
        <v>20.399999999999999</v>
      </c>
      <c r="AV73" s="2">
        <v>0.29999999999972699</v>
      </c>
      <c r="AW73" s="2">
        <v>2</v>
      </c>
      <c r="AX73" s="2">
        <v>10</v>
      </c>
      <c r="AY73" s="2"/>
      <c r="AZ73" s="2"/>
      <c r="BA73" s="2">
        <v>0.59999999999945397</v>
      </c>
      <c r="BB73" s="2"/>
      <c r="BC73" s="2"/>
      <c r="BD73" s="2"/>
      <c r="BE73" s="2"/>
      <c r="BF73" s="2">
        <v>2.2999999999992702</v>
      </c>
      <c r="BG73" s="2">
        <v>21.9</v>
      </c>
      <c r="BH73" s="2"/>
      <c r="BI73" s="2">
        <v>0.200000000000045</v>
      </c>
      <c r="BJ73" s="2">
        <v>14</v>
      </c>
      <c r="BK73" s="2">
        <v>4</v>
      </c>
      <c r="BL73" s="2">
        <v>0.8</v>
      </c>
      <c r="BM73" s="2">
        <v>8.8000000000029104</v>
      </c>
      <c r="BN73" s="2"/>
      <c r="BO73" s="2">
        <v>2</v>
      </c>
      <c r="BP73" s="2"/>
      <c r="BQ73" s="2"/>
      <c r="BR73" s="2"/>
      <c r="BS73" s="2">
        <v>0.60000000000036402</v>
      </c>
      <c r="BT73" s="2">
        <v>4.4000000000014596</v>
      </c>
      <c r="BU73" s="2">
        <v>1.20000000000073</v>
      </c>
      <c r="BV73" s="2">
        <v>2.6</v>
      </c>
      <c r="BW73" s="2">
        <v>0</v>
      </c>
      <c r="BX73" s="2"/>
      <c r="BY73" s="2">
        <v>0.1</v>
      </c>
      <c r="BZ73" s="2">
        <v>10.8</v>
      </c>
      <c r="CA73" s="2"/>
      <c r="CB73" s="2"/>
      <c r="CC73" s="2"/>
      <c r="CD73" s="2">
        <v>3.8</v>
      </c>
      <c r="CE73" s="2">
        <v>0.5</v>
      </c>
      <c r="CF73" s="2"/>
      <c r="CG73" s="2"/>
      <c r="CH73" s="2">
        <v>0.5</v>
      </c>
      <c r="CI73" s="2"/>
      <c r="CJ73" s="2"/>
      <c r="CK73" s="2">
        <v>3.5</v>
      </c>
      <c r="CL73" s="2"/>
      <c r="CM73" s="2"/>
      <c r="CN73" s="2"/>
      <c r="CO73" s="2">
        <v>0.1</v>
      </c>
      <c r="CP73" s="2"/>
      <c r="CQ73" s="2"/>
      <c r="CR73" s="2"/>
      <c r="CS73" s="2">
        <v>0.3</v>
      </c>
      <c r="CT73" s="2">
        <v>0.5</v>
      </c>
      <c r="CU73" s="2"/>
      <c r="CV73" s="2">
        <v>25.8</v>
      </c>
      <c r="CW73" s="2">
        <v>0.5</v>
      </c>
      <c r="CX73" s="2"/>
      <c r="CY73" s="2">
        <v>10.1</v>
      </c>
      <c r="CZ73" s="2">
        <v>0.1</v>
      </c>
      <c r="DB73">
        <v>1939</v>
      </c>
      <c r="DC73">
        <v>31</v>
      </c>
      <c r="DE73" s="28">
        <v>1982</v>
      </c>
      <c r="DF73" s="27">
        <v>41258</v>
      </c>
      <c r="DG73">
        <v>36.6999999999964</v>
      </c>
      <c r="DH73">
        <v>72</v>
      </c>
    </row>
    <row r="74" spans="1:112">
      <c r="A74" s="1">
        <v>40981</v>
      </c>
      <c r="B74" s="2"/>
      <c r="C74" s="2"/>
      <c r="D74" s="2">
        <v>1.5</v>
      </c>
      <c r="E74" s="2"/>
      <c r="F74" s="2"/>
      <c r="G74" s="2"/>
      <c r="H74" s="2"/>
      <c r="I74" s="2"/>
      <c r="J74" s="2"/>
      <c r="K74" s="2">
        <v>0.5</v>
      </c>
      <c r="L74" s="2"/>
      <c r="M74" s="2"/>
      <c r="N74" s="2"/>
      <c r="O74" s="2">
        <v>7.6</v>
      </c>
      <c r="P74" s="2">
        <v>5</v>
      </c>
      <c r="Q74" s="2"/>
      <c r="R74" s="2"/>
      <c r="S74" s="2">
        <v>3.8</v>
      </c>
      <c r="T74" s="2"/>
      <c r="U74" s="2">
        <v>12.3</v>
      </c>
      <c r="V74" s="2"/>
      <c r="W74" s="2"/>
      <c r="X74" s="2">
        <v>0</v>
      </c>
      <c r="Y74" s="2"/>
      <c r="Z74" s="2"/>
      <c r="AA74" s="2"/>
      <c r="AB74" s="2"/>
      <c r="AC74" s="2">
        <v>3.5</v>
      </c>
      <c r="AD74" s="2">
        <v>9.9999999999908995E-2</v>
      </c>
      <c r="AE74" s="2"/>
      <c r="AF74" s="2">
        <v>8.1</v>
      </c>
      <c r="AG74" s="2">
        <v>5.0999999999985501</v>
      </c>
      <c r="AH74" s="2">
        <v>5.5999999999985501</v>
      </c>
      <c r="AI74" s="2"/>
      <c r="AJ74" s="2"/>
      <c r="AK74" s="2"/>
      <c r="AL74" s="2">
        <v>1.0999999999985499</v>
      </c>
      <c r="AM74" s="2">
        <v>0.79999999999927196</v>
      </c>
      <c r="AN74" s="2"/>
      <c r="AO74" s="2"/>
      <c r="AP74" s="2"/>
      <c r="AQ74" s="2"/>
      <c r="AR74" s="2">
        <v>1.5</v>
      </c>
      <c r="AS74" s="2"/>
      <c r="AT74" s="2"/>
      <c r="AU74" s="2">
        <v>4</v>
      </c>
      <c r="AV74" s="2"/>
      <c r="AW74" s="2">
        <v>4.79999999999563</v>
      </c>
      <c r="AX74" s="2">
        <v>9.9999999999908995E-2</v>
      </c>
      <c r="AY74" s="2"/>
      <c r="AZ74" s="2">
        <v>7.79999999999563</v>
      </c>
      <c r="BA74" s="2">
        <v>3.5999999999985399</v>
      </c>
      <c r="BB74" s="2">
        <v>5.6999999999970896</v>
      </c>
      <c r="BC74" s="2"/>
      <c r="BD74" s="2"/>
      <c r="BE74" s="2"/>
      <c r="BF74" s="2"/>
      <c r="BG74" s="2">
        <v>0.3</v>
      </c>
      <c r="BH74" s="2"/>
      <c r="BI74" s="2">
        <v>8</v>
      </c>
      <c r="BJ74" s="2">
        <v>2</v>
      </c>
      <c r="BK74" s="2">
        <v>1</v>
      </c>
      <c r="BL74" s="2">
        <v>0.7</v>
      </c>
      <c r="BM74" s="2">
        <v>2.4000000000014601</v>
      </c>
      <c r="BN74" s="2"/>
      <c r="BO74" s="2">
        <v>3</v>
      </c>
      <c r="BP74" s="2"/>
      <c r="BQ74" s="2">
        <v>0.8</v>
      </c>
      <c r="BR74" s="2"/>
      <c r="BS74" s="2">
        <v>0.100000000000023</v>
      </c>
      <c r="BT74" s="2">
        <v>13.8000000000029</v>
      </c>
      <c r="BU74" s="2">
        <v>2.7999999999992702</v>
      </c>
      <c r="BV74" s="2">
        <v>1.6</v>
      </c>
      <c r="BW74" s="2">
        <v>11.5</v>
      </c>
      <c r="BX74" s="2">
        <v>0</v>
      </c>
      <c r="BY74" s="2">
        <v>0</v>
      </c>
      <c r="BZ74" s="2">
        <v>0.8</v>
      </c>
      <c r="CA74" s="2"/>
      <c r="CB74" s="2">
        <v>0.8</v>
      </c>
      <c r="CC74" s="2">
        <v>1.5</v>
      </c>
      <c r="CD74" s="2">
        <v>0.2</v>
      </c>
      <c r="CE74" s="2"/>
      <c r="CF74" s="2"/>
      <c r="CG74" s="2"/>
      <c r="CH74" s="2">
        <v>1.2</v>
      </c>
      <c r="CI74" s="2"/>
      <c r="CJ74" s="2"/>
      <c r="CK74" s="2"/>
      <c r="CL74" s="2"/>
      <c r="CM74" s="2"/>
      <c r="CN74" s="2"/>
      <c r="CO74" s="2"/>
      <c r="CP74" s="2">
        <v>11.3</v>
      </c>
      <c r="CQ74" s="2"/>
      <c r="CR74" s="2">
        <v>4.5999999999999996</v>
      </c>
      <c r="CS74" s="2">
        <v>8.4</v>
      </c>
      <c r="CT74" s="2">
        <v>10.3</v>
      </c>
      <c r="CU74" s="2">
        <v>16.899999999999999</v>
      </c>
      <c r="CV74" s="2">
        <v>1.2</v>
      </c>
      <c r="CW74" s="2"/>
      <c r="CX74" s="2"/>
      <c r="CY74" s="2">
        <v>0.2</v>
      </c>
      <c r="CZ74" s="2"/>
      <c r="DB74">
        <v>2008</v>
      </c>
      <c r="DC74">
        <v>16.899999999999999</v>
      </c>
      <c r="DE74" s="28">
        <v>1983</v>
      </c>
      <c r="DF74" s="27">
        <v>41173</v>
      </c>
      <c r="DG74">
        <v>52.1</v>
      </c>
      <c r="DH74">
        <v>73</v>
      </c>
    </row>
    <row r="75" spans="1:112">
      <c r="A75" s="1">
        <v>40982</v>
      </c>
      <c r="B75" s="2"/>
      <c r="C75" s="2">
        <v>6.3</v>
      </c>
      <c r="D75" s="2"/>
      <c r="E75" s="2"/>
      <c r="F75" s="2"/>
      <c r="G75" s="2"/>
      <c r="H75" s="2">
        <v>1.2</v>
      </c>
      <c r="I75" s="2"/>
      <c r="J75" s="2">
        <v>0.1</v>
      </c>
      <c r="K75" s="2"/>
      <c r="L75" s="2"/>
      <c r="M75" s="2"/>
      <c r="N75" s="2">
        <v>0.8</v>
      </c>
      <c r="O75" s="2"/>
      <c r="P75" s="2">
        <v>1.5</v>
      </c>
      <c r="Q75" s="2">
        <v>0.3</v>
      </c>
      <c r="R75" s="2"/>
      <c r="S75" s="2">
        <v>0.8</v>
      </c>
      <c r="T75" s="2"/>
      <c r="U75" s="2"/>
      <c r="V75" s="2"/>
      <c r="W75" s="2">
        <v>1.5</v>
      </c>
      <c r="X75" s="2">
        <v>0</v>
      </c>
      <c r="Y75" s="2"/>
      <c r="Z75" s="2">
        <v>0.69999999999981799</v>
      </c>
      <c r="AA75" s="2">
        <v>1.6999999999989099</v>
      </c>
      <c r="AB75" s="2"/>
      <c r="AC75" s="2">
        <v>3</v>
      </c>
      <c r="AD75" s="2">
        <v>4.79999999999563</v>
      </c>
      <c r="AE75" s="2">
        <v>0.39999999999963598</v>
      </c>
      <c r="AF75" s="2">
        <v>1.6</v>
      </c>
      <c r="AG75" s="2"/>
      <c r="AH75" s="2">
        <v>0.79999999999927196</v>
      </c>
      <c r="AI75" s="2">
        <v>0.5</v>
      </c>
      <c r="AJ75" s="2"/>
      <c r="AK75" s="2"/>
      <c r="AL75" s="2"/>
      <c r="AM75" s="2">
        <v>2.5999999999985399</v>
      </c>
      <c r="AN75" s="2"/>
      <c r="AO75" s="2"/>
      <c r="AP75" s="2"/>
      <c r="AQ75" s="2">
        <v>16.3</v>
      </c>
      <c r="AR75" s="2">
        <v>2.5</v>
      </c>
      <c r="AS75" s="2"/>
      <c r="AT75" s="2"/>
      <c r="AU75" s="2">
        <v>5</v>
      </c>
      <c r="AV75" s="2"/>
      <c r="AW75" s="2">
        <v>2.6999999999970901</v>
      </c>
      <c r="AX75" s="2">
        <v>4.2999999999956398</v>
      </c>
      <c r="AY75" s="2">
        <v>1</v>
      </c>
      <c r="AZ75" s="2">
        <v>0.5</v>
      </c>
      <c r="BA75" s="2"/>
      <c r="BB75" s="2">
        <v>5.0999999999985501</v>
      </c>
      <c r="BC75" s="2"/>
      <c r="BD75" s="2"/>
      <c r="BE75" s="2">
        <v>21.399999999994201</v>
      </c>
      <c r="BF75" s="2">
        <v>1.60000000000036</v>
      </c>
      <c r="BG75" s="2"/>
      <c r="BH75" s="2"/>
      <c r="BI75" s="2">
        <v>0.60000000000036402</v>
      </c>
      <c r="BJ75" s="2"/>
      <c r="BK75" s="2"/>
      <c r="BL75" s="2">
        <v>14.7</v>
      </c>
      <c r="BM75" s="2">
        <v>2.2000000000007298</v>
      </c>
      <c r="BN75" s="2"/>
      <c r="BO75" s="2"/>
      <c r="BP75" s="2">
        <v>0.400000000000091</v>
      </c>
      <c r="BQ75" s="2"/>
      <c r="BR75" s="2"/>
      <c r="BS75" s="2"/>
      <c r="BT75" s="2">
        <v>11.5</v>
      </c>
      <c r="BU75" s="2">
        <v>10.100000000005799</v>
      </c>
      <c r="BV75" s="2">
        <v>0.2</v>
      </c>
      <c r="BW75" s="2">
        <v>2.9</v>
      </c>
      <c r="BX75" s="2">
        <v>0.5</v>
      </c>
      <c r="BY75" s="2">
        <v>0.1</v>
      </c>
      <c r="BZ75" s="2">
        <v>0.2</v>
      </c>
      <c r="CA75" s="2"/>
      <c r="CB75" s="2"/>
      <c r="CC75" s="2"/>
      <c r="CD75" s="2"/>
      <c r="CE75" s="2"/>
      <c r="CF75" s="2"/>
      <c r="CG75" s="2">
        <v>0.2</v>
      </c>
      <c r="CH75" s="2">
        <v>9.6</v>
      </c>
      <c r="CI75" s="2"/>
      <c r="CJ75" s="2"/>
      <c r="CK75" s="2"/>
      <c r="CL75" s="2">
        <v>0.2</v>
      </c>
      <c r="CM75" s="2"/>
      <c r="CN75" s="2">
        <v>2.5</v>
      </c>
      <c r="CO75" s="2"/>
      <c r="CP75" s="2">
        <v>3.6</v>
      </c>
      <c r="CQ75" s="2"/>
      <c r="CR75" s="2">
        <v>2.4</v>
      </c>
      <c r="CS75" s="2">
        <v>11.3</v>
      </c>
      <c r="CT75" s="2">
        <v>7</v>
      </c>
      <c r="CU75" s="2"/>
      <c r="CV75" s="2">
        <v>10.5</v>
      </c>
      <c r="CW75" s="2"/>
      <c r="CX75" s="2"/>
      <c r="CY75" s="2">
        <v>0.1</v>
      </c>
      <c r="CZ75" s="2">
        <v>6.8</v>
      </c>
      <c r="DB75">
        <v>1966</v>
      </c>
      <c r="DC75">
        <v>21.399999999994201</v>
      </c>
      <c r="DE75" s="28">
        <v>1984</v>
      </c>
      <c r="DF75" s="27">
        <v>41162</v>
      </c>
      <c r="DG75">
        <v>123</v>
      </c>
      <c r="DH75">
        <v>74</v>
      </c>
    </row>
    <row r="76" spans="1:112">
      <c r="A76" s="1">
        <v>40983</v>
      </c>
      <c r="B76" s="2"/>
      <c r="C76" s="2">
        <v>7.2</v>
      </c>
      <c r="D76" s="2"/>
      <c r="E76" s="2"/>
      <c r="F76" s="2"/>
      <c r="G76" s="2"/>
      <c r="H76" s="2">
        <v>0.3</v>
      </c>
      <c r="I76" s="2">
        <v>0.4</v>
      </c>
      <c r="J76" s="2"/>
      <c r="K76" s="2"/>
      <c r="L76" s="2"/>
      <c r="M76" s="2">
        <v>0.7</v>
      </c>
      <c r="N76" s="2"/>
      <c r="O76" s="2"/>
      <c r="P76" s="2">
        <v>1</v>
      </c>
      <c r="Q76" s="2"/>
      <c r="R76" s="2">
        <v>6.5</v>
      </c>
      <c r="S76" s="2">
        <v>0.1</v>
      </c>
      <c r="T76" s="2"/>
      <c r="U76" s="2"/>
      <c r="V76" s="2"/>
      <c r="W76" s="2"/>
      <c r="X76" s="2"/>
      <c r="Y76" s="2"/>
      <c r="Z76" s="2">
        <v>0.8</v>
      </c>
      <c r="AA76" s="2"/>
      <c r="AB76" s="2"/>
      <c r="AC76" s="2">
        <v>1.79999999999927</v>
      </c>
      <c r="AD76" s="2">
        <v>1.79999999999927</v>
      </c>
      <c r="AE76" s="2">
        <v>12.099999999991301</v>
      </c>
      <c r="AF76" s="2">
        <v>1.0999999999985499</v>
      </c>
      <c r="AG76" s="2"/>
      <c r="AH76" s="2">
        <v>1</v>
      </c>
      <c r="AI76" s="2">
        <v>4.79999999999563</v>
      </c>
      <c r="AJ76" s="2"/>
      <c r="AK76" s="2"/>
      <c r="AL76" s="2">
        <v>12.099999999991301</v>
      </c>
      <c r="AM76" s="2">
        <v>1</v>
      </c>
      <c r="AN76" s="2"/>
      <c r="AO76" s="2"/>
      <c r="AP76" s="2"/>
      <c r="AQ76" s="2">
        <v>17.8</v>
      </c>
      <c r="AR76" s="2">
        <v>3.1999999999970901</v>
      </c>
      <c r="AS76" s="2"/>
      <c r="AT76" s="2">
        <v>0.19999999999981799</v>
      </c>
      <c r="AU76" s="2">
        <v>7.6</v>
      </c>
      <c r="AV76" s="2"/>
      <c r="AW76" s="2">
        <v>13.6999999999971</v>
      </c>
      <c r="AX76" s="2">
        <v>13.599999999991301</v>
      </c>
      <c r="AY76" s="2"/>
      <c r="AZ76" s="2">
        <v>3.2999999999992702</v>
      </c>
      <c r="BA76" s="2">
        <v>10.6999999999971</v>
      </c>
      <c r="BB76" s="2">
        <v>7.3999999999941801</v>
      </c>
      <c r="BC76" s="2"/>
      <c r="BD76" s="2"/>
      <c r="BE76" s="2">
        <v>39.299999999988401</v>
      </c>
      <c r="BF76" s="2">
        <v>20.899999999994201</v>
      </c>
      <c r="BG76" s="2"/>
      <c r="BH76" s="2">
        <v>0.1</v>
      </c>
      <c r="BI76" s="2"/>
      <c r="BJ76" s="2">
        <v>0.69999999999981799</v>
      </c>
      <c r="BK76" s="2"/>
      <c r="BL76" s="2">
        <v>0.4</v>
      </c>
      <c r="BM76" s="2">
        <v>17.5</v>
      </c>
      <c r="BN76" s="2"/>
      <c r="BO76" s="2">
        <v>2.0999999999985399</v>
      </c>
      <c r="BP76" s="2">
        <v>4.3000000000029104</v>
      </c>
      <c r="BQ76" s="2"/>
      <c r="BR76" s="2"/>
      <c r="BS76" s="2"/>
      <c r="BT76" s="2"/>
      <c r="BU76" s="2">
        <v>7</v>
      </c>
      <c r="BV76" s="2">
        <v>0.6</v>
      </c>
      <c r="BW76" s="2">
        <v>1.9</v>
      </c>
      <c r="BX76" s="2">
        <v>3.5</v>
      </c>
      <c r="BY76" s="2">
        <v>0.5</v>
      </c>
      <c r="BZ76" s="2">
        <v>0.2</v>
      </c>
      <c r="CA76" s="2"/>
      <c r="CB76" s="2"/>
      <c r="CC76" s="2"/>
      <c r="CD76" s="2"/>
      <c r="CE76" s="2"/>
      <c r="CF76" s="2"/>
      <c r="CG76" s="2"/>
      <c r="CH76" s="2">
        <v>0.9</v>
      </c>
      <c r="CI76" s="2"/>
      <c r="CJ76" s="2"/>
      <c r="CK76" s="2">
        <v>0.1</v>
      </c>
      <c r="CL76" s="2"/>
      <c r="CM76" s="2"/>
      <c r="CN76" s="2"/>
      <c r="CO76" s="2"/>
      <c r="CP76" s="2">
        <v>0.6</v>
      </c>
      <c r="CQ76" s="2"/>
      <c r="CR76" s="2"/>
      <c r="CS76" s="2"/>
      <c r="CT76" s="2">
        <v>0.1</v>
      </c>
      <c r="CU76" s="2"/>
      <c r="CV76" s="2">
        <v>0.1</v>
      </c>
      <c r="CW76" s="2"/>
      <c r="CX76" s="2"/>
      <c r="CY76" s="2">
        <v>3.4</v>
      </c>
      <c r="CZ76" s="2">
        <v>13.7</v>
      </c>
      <c r="DB76">
        <v>1966</v>
      </c>
      <c r="DC76">
        <v>39.299999999988401</v>
      </c>
      <c r="DE76" s="28">
        <v>1985</v>
      </c>
      <c r="DF76" s="27">
        <v>41197</v>
      </c>
      <c r="DG76">
        <v>111.8</v>
      </c>
      <c r="DH76">
        <v>75</v>
      </c>
    </row>
    <row r="77" spans="1:112">
      <c r="A77" s="1">
        <v>40984</v>
      </c>
      <c r="B77" s="2"/>
      <c r="C77" s="2"/>
      <c r="D77" s="2"/>
      <c r="E77" s="2"/>
      <c r="F77" s="2"/>
      <c r="G77" s="2"/>
      <c r="H77" s="2">
        <v>32.1</v>
      </c>
      <c r="I77" s="2">
        <v>0.7</v>
      </c>
      <c r="J77" s="2">
        <v>2.7</v>
      </c>
      <c r="K77" s="2"/>
      <c r="L77" s="2"/>
      <c r="M77" s="2">
        <v>5.4</v>
      </c>
      <c r="N77" s="2">
        <v>0.1</v>
      </c>
      <c r="O77" s="2"/>
      <c r="P77" s="2">
        <v>0.2</v>
      </c>
      <c r="Q77" s="2">
        <v>1</v>
      </c>
      <c r="R77" s="2">
        <v>1.6</v>
      </c>
      <c r="S77" s="2">
        <v>0.1</v>
      </c>
      <c r="T77" s="2">
        <v>1.5</v>
      </c>
      <c r="U77" s="2"/>
      <c r="V77" s="2">
        <v>0</v>
      </c>
      <c r="W77" s="2"/>
      <c r="X77" s="2"/>
      <c r="Y77" s="2"/>
      <c r="Z77" s="2">
        <v>0.2</v>
      </c>
      <c r="AA77" s="2"/>
      <c r="AB77" s="2"/>
      <c r="AC77" s="2">
        <v>0</v>
      </c>
      <c r="AD77" s="2">
        <v>20</v>
      </c>
      <c r="AE77" s="2">
        <v>37</v>
      </c>
      <c r="AF77" s="2"/>
      <c r="AG77" s="2">
        <v>0</v>
      </c>
      <c r="AH77" s="2">
        <v>0.29999999999972699</v>
      </c>
      <c r="AI77" s="2">
        <v>4</v>
      </c>
      <c r="AJ77" s="2"/>
      <c r="AK77" s="2">
        <v>1.5</v>
      </c>
      <c r="AL77" s="2">
        <v>7.5999999999985501</v>
      </c>
      <c r="AM77" s="2"/>
      <c r="AN77" s="2">
        <v>2.5999999999985399</v>
      </c>
      <c r="AO77" s="2"/>
      <c r="AP77" s="2">
        <v>6.1999999999970896</v>
      </c>
      <c r="AQ77" s="2">
        <v>2</v>
      </c>
      <c r="AR77" s="2">
        <v>4.1999999999970896</v>
      </c>
      <c r="AS77" s="2">
        <v>4.1999999999970896</v>
      </c>
      <c r="AT77" s="2">
        <v>0.29999999999972699</v>
      </c>
      <c r="AU77" s="2"/>
      <c r="AV77" s="2"/>
      <c r="AW77" s="2"/>
      <c r="AX77" s="2">
        <v>9.0999999999912706</v>
      </c>
      <c r="AY77" s="2"/>
      <c r="AZ77" s="2"/>
      <c r="BA77" s="2">
        <v>5.3999999999941801</v>
      </c>
      <c r="BB77" s="2">
        <v>0.19999999999981799</v>
      </c>
      <c r="BC77" s="2">
        <v>2.5</v>
      </c>
      <c r="BD77" s="2"/>
      <c r="BE77" s="2">
        <v>14.899999999994201</v>
      </c>
      <c r="BF77" s="2">
        <v>2.5</v>
      </c>
      <c r="BG77" s="2">
        <v>0.30000000000018201</v>
      </c>
      <c r="BH77" s="2">
        <v>0.2</v>
      </c>
      <c r="BI77" s="2">
        <v>11</v>
      </c>
      <c r="BJ77" s="2">
        <v>1.60000000000036</v>
      </c>
      <c r="BK77" s="2"/>
      <c r="BL77" s="2">
        <v>2.7</v>
      </c>
      <c r="BM77" s="2">
        <v>2.5</v>
      </c>
      <c r="BN77" s="2">
        <v>4</v>
      </c>
      <c r="BO77" s="2">
        <v>0.100000000000023</v>
      </c>
      <c r="BP77" s="2">
        <v>5.5</v>
      </c>
      <c r="BQ77" s="2">
        <v>3.7</v>
      </c>
      <c r="BR77" s="2"/>
      <c r="BS77" s="2"/>
      <c r="BT77" s="2">
        <v>1.39999999999964</v>
      </c>
      <c r="BU77" s="2">
        <v>7.4000000000014596</v>
      </c>
      <c r="BV77" s="2"/>
      <c r="BW77" s="2"/>
      <c r="BX77" s="2"/>
      <c r="BY77" s="2">
        <v>1.6</v>
      </c>
      <c r="BZ77" s="2"/>
      <c r="CA77" s="2"/>
      <c r="CB77" s="2"/>
      <c r="CC77" s="2"/>
      <c r="CD77" s="2">
        <v>7.5</v>
      </c>
      <c r="CE77" s="2">
        <v>20.2</v>
      </c>
      <c r="CF77" s="2"/>
      <c r="CG77" s="2"/>
      <c r="CH77" s="2"/>
      <c r="CI77" s="2">
        <v>5.6</v>
      </c>
      <c r="CJ77" s="2"/>
      <c r="CK77" s="2">
        <v>6</v>
      </c>
      <c r="CL77" s="2">
        <v>0.5</v>
      </c>
      <c r="CM77" s="2">
        <v>39.5</v>
      </c>
      <c r="CN77" s="2"/>
      <c r="CO77" s="2"/>
      <c r="CP77" s="2">
        <v>3.1</v>
      </c>
      <c r="CQ77" s="2"/>
      <c r="CR77" s="2"/>
      <c r="CS77" s="2">
        <v>2.6</v>
      </c>
      <c r="CT77" s="2">
        <v>0.2</v>
      </c>
      <c r="CU77" s="2"/>
      <c r="CV77" s="2"/>
      <c r="CW77" s="2"/>
      <c r="CX77" s="2"/>
      <c r="CY77" s="2"/>
      <c r="CZ77" s="2">
        <v>13.2</v>
      </c>
      <c r="DB77">
        <v>2000</v>
      </c>
      <c r="DC77">
        <v>39.5</v>
      </c>
      <c r="DE77" s="28">
        <v>1986</v>
      </c>
      <c r="DF77" s="27">
        <v>41071</v>
      </c>
      <c r="DG77">
        <v>48.6</v>
      </c>
      <c r="DH77">
        <v>76</v>
      </c>
    </row>
    <row r="78" spans="1:112">
      <c r="A78" s="1">
        <v>40985</v>
      </c>
      <c r="B78" s="2"/>
      <c r="C78" s="2"/>
      <c r="D78" s="2"/>
      <c r="E78" s="2"/>
      <c r="F78" s="2"/>
      <c r="G78" s="2"/>
      <c r="H78" s="2">
        <v>2.2000000000000002</v>
      </c>
      <c r="I78" s="2"/>
      <c r="J78" s="2">
        <v>2</v>
      </c>
      <c r="K78" s="2"/>
      <c r="L78" s="2"/>
      <c r="M78" s="2">
        <v>18.600000000000001</v>
      </c>
      <c r="N78" s="2"/>
      <c r="O78" s="2"/>
      <c r="P78" s="2">
        <v>23.5</v>
      </c>
      <c r="Q78" s="2">
        <v>3.3</v>
      </c>
      <c r="R78" s="2"/>
      <c r="S78" s="2">
        <v>0.7</v>
      </c>
      <c r="T78" s="2">
        <v>0</v>
      </c>
      <c r="U78" s="2"/>
      <c r="V78" s="2">
        <v>2.4</v>
      </c>
      <c r="W78" s="2"/>
      <c r="X78" s="2"/>
      <c r="Y78" s="2"/>
      <c r="Z78" s="2"/>
      <c r="AA78" s="2">
        <v>0.39999999999963598</v>
      </c>
      <c r="AB78" s="2"/>
      <c r="AC78" s="2"/>
      <c r="AD78" s="2">
        <v>13.5</v>
      </c>
      <c r="AE78" s="2">
        <v>16.5</v>
      </c>
      <c r="AF78" s="2">
        <v>3.3999999999978199</v>
      </c>
      <c r="AG78" s="2"/>
      <c r="AH78" s="2">
        <v>3.3999999999978199</v>
      </c>
      <c r="AI78" s="2">
        <v>13</v>
      </c>
      <c r="AJ78" s="2">
        <v>5.1999999999970896</v>
      </c>
      <c r="AK78" s="2">
        <v>1.5</v>
      </c>
      <c r="AL78" s="2"/>
      <c r="AM78" s="2">
        <v>14</v>
      </c>
      <c r="AN78" s="2">
        <v>1.1999999999989099</v>
      </c>
      <c r="AO78" s="2"/>
      <c r="AP78" s="2"/>
      <c r="AQ78" s="2"/>
      <c r="AR78" s="2">
        <v>8.8999999999941792</v>
      </c>
      <c r="AS78" s="2">
        <v>0.19999999999981799</v>
      </c>
      <c r="AT78" s="2"/>
      <c r="AU78" s="2">
        <v>5</v>
      </c>
      <c r="AV78" s="2">
        <v>1</v>
      </c>
      <c r="AW78" s="2">
        <v>5.29999999999563</v>
      </c>
      <c r="AX78" s="2">
        <v>2.3999999999978199</v>
      </c>
      <c r="AY78" s="2"/>
      <c r="AZ78" s="2">
        <v>5.5</v>
      </c>
      <c r="BA78" s="2"/>
      <c r="BB78" s="2">
        <v>3.1999999999970901</v>
      </c>
      <c r="BC78" s="2">
        <v>4</v>
      </c>
      <c r="BD78" s="2"/>
      <c r="BE78" s="2">
        <v>4</v>
      </c>
      <c r="BF78" s="2"/>
      <c r="BG78" s="2"/>
      <c r="BH78" s="2">
        <v>1.1000000000000001</v>
      </c>
      <c r="BI78" s="2">
        <v>14.5</v>
      </c>
      <c r="BJ78" s="2">
        <v>10.600000000005799</v>
      </c>
      <c r="BK78" s="2"/>
      <c r="BL78" s="2">
        <v>2</v>
      </c>
      <c r="BM78" s="2">
        <v>2.2999999999992702</v>
      </c>
      <c r="BN78" s="2">
        <v>1.60000000000036</v>
      </c>
      <c r="BO78" s="2"/>
      <c r="BP78" s="2">
        <v>17.100000000005799</v>
      </c>
      <c r="BQ78" s="2"/>
      <c r="BR78" s="2"/>
      <c r="BS78" s="2">
        <v>0.200000000000045</v>
      </c>
      <c r="BT78" s="2"/>
      <c r="BU78" s="2">
        <v>3.7000000000007298</v>
      </c>
      <c r="BV78" s="2"/>
      <c r="BW78" s="2">
        <v>0.1</v>
      </c>
      <c r="BX78" s="2"/>
      <c r="BY78" s="2">
        <v>0.5</v>
      </c>
      <c r="BZ78" s="2">
        <v>3</v>
      </c>
      <c r="CA78" s="2">
        <v>2.8</v>
      </c>
      <c r="CB78" s="2"/>
      <c r="CC78" s="2"/>
      <c r="CD78" s="2">
        <v>6.5</v>
      </c>
      <c r="CE78" s="2">
        <v>41.3</v>
      </c>
      <c r="CF78" s="2"/>
      <c r="CG78" s="2"/>
      <c r="CH78" s="2"/>
      <c r="CI78" s="2">
        <v>20.6</v>
      </c>
      <c r="CJ78" s="2">
        <v>7.6</v>
      </c>
      <c r="CK78" s="2">
        <v>3</v>
      </c>
      <c r="CL78" s="2">
        <v>9.5</v>
      </c>
      <c r="CM78" s="2">
        <v>4.5</v>
      </c>
      <c r="CN78" s="2"/>
      <c r="CO78" s="2"/>
      <c r="CP78" s="2">
        <v>1.3</v>
      </c>
      <c r="CQ78" s="2">
        <v>0.9</v>
      </c>
      <c r="CR78" s="2"/>
      <c r="CS78" s="2"/>
      <c r="CT78" s="2"/>
      <c r="CU78" s="2">
        <v>3.4</v>
      </c>
      <c r="CV78" s="2">
        <v>0.6</v>
      </c>
      <c r="CW78" s="2">
        <v>1.5</v>
      </c>
      <c r="CX78" s="2">
        <v>1</v>
      </c>
      <c r="CY78" s="2"/>
      <c r="CZ78" s="2">
        <v>1.3</v>
      </c>
      <c r="DB78">
        <v>1992</v>
      </c>
      <c r="DC78">
        <v>41.3</v>
      </c>
      <c r="DE78" s="28">
        <v>1987</v>
      </c>
      <c r="DF78" s="27">
        <v>41096</v>
      </c>
      <c r="DG78">
        <v>100.5</v>
      </c>
      <c r="DH78">
        <v>77</v>
      </c>
    </row>
    <row r="79" spans="1:112">
      <c r="A79" s="1">
        <v>40986</v>
      </c>
      <c r="B79" s="2"/>
      <c r="C79" s="2"/>
      <c r="D79" s="2"/>
      <c r="E79" s="2">
        <v>5.6</v>
      </c>
      <c r="F79" s="2"/>
      <c r="G79" s="2">
        <v>2.2000000000000002</v>
      </c>
      <c r="H79" s="2"/>
      <c r="I79" s="2"/>
      <c r="J79" s="2">
        <v>4.5</v>
      </c>
      <c r="K79" s="2"/>
      <c r="L79" s="2"/>
      <c r="M79" s="2">
        <v>0.6</v>
      </c>
      <c r="N79" s="2">
        <v>0.9</v>
      </c>
      <c r="O79" s="2"/>
      <c r="P79" s="2">
        <v>12.2</v>
      </c>
      <c r="Q79" s="2"/>
      <c r="R79" s="2"/>
      <c r="S79" s="2"/>
      <c r="T79" s="2"/>
      <c r="U79" s="2"/>
      <c r="V79" s="2">
        <v>2.5</v>
      </c>
      <c r="W79" s="2"/>
      <c r="X79" s="2"/>
      <c r="Y79" s="2"/>
      <c r="Z79" s="2"/>
      <c r="AA79" s="2">
        <v>16.5</v>
      </c>
      <c r="AB79" s="2"/>
      <c r="AC79" s="2"/>
      <c r="AD79" s="2"/>
      <c r="AE79" s="2">
        <v>1.79999999999927</v>
      </c>
      <c r="AF79" s="2">
        <v>5.8</v>
      </c>
      <c r="AG79" s="2"/>
      <c r="AH79" s="2">
        <v>0.69999999999981799</v>
      </c>
      <c r="AI79" s="2">
        <v>0.5</v>
      </c>
      <c r="AJ79" s="2">
        <v>1.0999999999985499</v>
      </c>
      <c r="AK79" s="2">
        <v>0.59999999999945397</v>
      </c>
      <c r="AL79" s="2"/>
      <c r="AM79" s="2"/>
      <c r="AN79" s="2">
        <v>12.5</v>
      </c>
      <c r="AO79" s="2"/>
      <c r="AP79" s="2"/>
      <c r="AQ79" s="2"/>
      <c r="AR79" s="2">
        <v>10</v>
      </c>
      <c r="AS79" s="2"/>
      <c r="AT79" s="2"/>
      <c r="AU79" s="2">
        <v>2</v>
      </c>
      <c r="AV79" s="2"/>
      <c r="AW79" s="2">
        <v>53</v>
      </c>
      <c r="AX79" s="2">
        <v>4.5999999999985501</v>
      </c>
      <c r="AY79" s="2">
        <v>1.5</v>
      </c>
      <c r="AZ79" s="2"/>
      <c r="BA79" s="2">
        <v>4.5</v>
      </c>
      <c r="BB79" s="2">
        <v>0</v>
      </c>
      <c r="BC79" s="2">
        <v>0.100000000000023</v>
      </c>
      <c r="BD79" s="2"/>
      <c r="BE79" s="2">
        <v>0.30000000000018201</v>
      </c>
      <c r="BF79" s="2"/>
      <c r="BG79" s="2"/>
      <c r="BH79" s="2">
        <v>0.2</v>
      </c>
      <c r="BI79" s="2">
        <v>0.30000000000018201</v>
      </c>
      <c r="BJ79" s="2">
        <v>3</v>
      </c>
      <c r="BK79" s="2"/>
      <c r="BL79" s="2">
        <v>2.5</v>
      </c>
      <c r="BM79" s="2">
        <v>0.200000000000045</v>
      </c>
      <c r="BN79" s="2">
        <v>0.100000000000023</v>
      </c>
      <c r="BO79" s="2"/>
      <c r="BP79" s="2">
        <v>7.3000000000029104</v>
      </c>
      <c r="BQ79" s="2"/>
      <c r="BR79" s="2"/>
      <c r="BS79" s="2">
        <v>0.1</v>
      </c>
      <c r="BT79" s="2"/>
      <c r="BU79" s="2"/>
      <c r="BV79" s="2">
        <v>0.3</v>
      </c>
      <c r="BW79" s="2"/>
      <c r="BX79" s="2"/>
      <c r="BY79" s="2">
        <v>0.2</v>
      </c>
      <c r="BZ79" s="2">
        <v>3.9</v>
      </c>
      <c r="CA79" s="2">
        <v>0.8</v>
      </c>
      <c r="CB79" s="2"/>
      <c r="CC79" s="2"/>
      <c r="CD79" s="2">
        <v>6.2</v>
      </c>
      <c r="CE79" s="2">
        <v>11.8</v>
      </c>
      <c r="CF79" s="2">
        <v>0</v>
      </c>
      <c r="CG79" s="2">
        <v>0.4</v>
      </c>
      <c r="CH79" s="2"/>
      <c r="CI79" s="2">
        <v>1</v>
      </c>
      <c r="CJ79" s="2"/>
      <c r="CK79" s="2">
        <v>7.5</v>
      </c>
      <c r="CL79" s="2">
        <v>13</v>
      </c>
      <c r="CM79" s="2">
        <v>4</v>
      </c>
      <c r="CN79" s="2"/>
      <c r="CO79" s="2"/>
      <c r="CP79" s="2"/>
      <c r="CQ79" s="2"/>
      <c r="CR79" s="2"/>
      <c r="CS79" s="2">
        <v>0.1</v>
      </c>
      <c r="CT79" s="2"/>
      <c r="CU79" s="2">
        <v>5.6</v>
      </c>
      <c r="CV79" s="2">
        <v>6.5</v>
      </c>
      <c r="CW79" s="2"/>
      <c r="CX79" s="2">
        <v>8.6999999999999993</v>
      </c>
      <c r="CY79" s="2"/>
      <c r="CZ79" s="2">
        <v>0.4</v>
      </c>
      <c r="DB79">
        <v>1958</v>
      </c>
      <c r="DC79">
        <v>53</v>
      </c>
      <c r="DE79" s="28">
        <v>1988</v>
      </c>
      <c r="DF79" s="27">
        <v>41260</v>
      </c>
      <c r="DG79">
        <v>67</v>
      </c>
      <c r="DH79">
        <v>78</v>
      </c>
    </row>
    <row r="80" spans="1:112">
      <c r="A80" s="1">
        <v>40987</v>
      </c>
      <c r="B80" s="2"/>
      <c r="C80" s="2"/>
      <c r="D80" s="2"/>
      <c r="E80" s="2">
        <v>2.4</v>
      </c>
      <c r="F80" s="2"/>
      <c r="G80" s="2">
        <v>0.5</v>
      </c>
      <c r="H80" s="2"/>
      <c r="I80" s="2"/>
      <c r="J80" s="2">
        <v>1.5</v>
      </c>
      <c r="K80" s="2"/>
      <c r="L80" s="2"/>
      <c r="M80" s="2"/>
      <c r="N80" s="2">
        <v>0.2</v>
      </c>
      <c r="O80" s="2"/>
      <c r="P80" s="2">
        <v>3</v>
      </c>
      <c r="Q80" s="2"/>
      <c r="R80" s="2"/>
      <c r="S80" s="2">
        <v>3</v>
      </c>
      <c r="T80" s="2"/>
      <c r="U80" s="2"/>
      <c r="V80" s="2">
        <v>0</v>
      </c>
      <c r="W80" s="2"/>
      <c r="X80" s="2">
        <v>2.1</v>
      </c>
      <c r="Y80" s="2">
        <v>6.8999999999941801</v>
      </c>
      <c r="Z80" s="2"/>
      <c r="AA80" s="2">
        <v>0.5</v>
      </c>
      <c r="AB80" s="2"/>
      <c r="AC80" s="2"/>
      <c r="AD80" s="2"/>
      <c r="AE80" s="2">
        <v>0</v>
      </c>
      <c r="AF80" s="2"/>
      <c r="AG80" s="2"/>
      <c r="AH80" s="2">
        <v>0.29999999999972699</v>
      </c>
      <c r="AI80" s="2">
        <v>1.79999999999927</v>
      </c>
      <c r="AJ80" s="2"/>
      <c r="AK80" s="2">
        <v>1.5</v>
      </c>
      <c r="AL80" s="2"/>
      <c r="AM80" s="2">
        <v>5.6999999999970896</v>
      </c>
      <c r="AN80" s="2">
        <v>1.79999999999927</v>
      </c>
      <c r="AO80" s="2">
        <v>1.79999999999927</v>
      </c>
      <c r="AP80" s="2">
        <v>0.5</v>
      </c>
      <c r="AQ80" s="2"/>
      <c r="AR80" s="2">
        <v>1.5</v>
      </c>
      <c r="AS80" s="2"/>
      <c r="AT80" s="2"/>
      <c r="AU80" s="2">
        <v>4.1999999999970896</v>
      </c>
      <c r="AV80" s="2"/>
      <c r="AW80" s="2">
        <v>19.799999999988401</v>
      </c>
      <c r="AX80" s="2">
        <v>1.5</v>
      </c>
      <c r="AY80" s="2">
        <v>0.19999999999981799</v>
      </c>
      <c r="AZ80" s="2"/>
      <c r="BA80" s="2">
        <v>15.1999999999971</v>
      </c>
      <c r="BB80" s="2"/>
      <c r="BC80" s="2">
        <v>0.89999999999963598</v>
      </c>
      <c r="BD80" s="2"/>
      <c r="BE80" s="2">
        <v>8.5</v>
      </c>
      <c r="BF80" s="2"/>
      <c r="BG80" s="2">
        <v>1.70000000000073</v>
      </c>
      <c r="BH80" s="2">
        <v>4.3</v>
      </c>
      <c r="BI80" s="2"/>
      <c r="BJ80" s="2">
        <v>0.100000000000023</v>
      </c>
      <c r="BK80" s="2"/>
      <c r="BL80" s="2">
        <v>1.6</v>
      </c>
      <c r="BM80" s="2"/>
      <c r="BN80" s="2">
        <v>0.100000000000023</v>
      </c>
      <c r="BO80" s="2"/>
      <c r="BP80" s="2">
        <v>4.5</v>
      </c>
      <c r="BQ80" s="2">
        <v>1</v>
      </c>
      <c r="BR80" s="2">
        <v>0.60000000000036402</v>
      </c>
      <c r="BS80" s="2">
        <v>0.1</v>
      </c>
      <c r="BT80" s="2">
        <v>0.30000000000018201</v>
      </c>
      <c r="BU80" s="2"/>
      <c r="BV80" s="2">
        <v>0</v>
      </c>
      <c r="BW80" s="2">
        <v>8.9</v>
      </c>
      <c r="BX80" s="2">
        <v>6.2</v>
      </c>
      <c r="BY80" s="2">
        <v>0</v>
      </c>
      <c r="BZ80" s="2"/>
      <c r="CA80" s="2"/>
      <c r="CB80" s="2">
        <v>0.1</v>
      </c>
      <c r="CC80" s="2"/>
      <c r="CD80" s="2"/>
      <c r="CE80" s="2">
        <v>0.5</v>
      </c>
      <c r="CF80" s="2">
        <v>0.2</v>
      </c>
      <c r="CG80" s="2"/>
      <c r="CH80" s="2"/>
      <c r="CI80" s="2"/>
      <c r="CJ80" s="2"/>
      <c r="CK80" s="2">
        <v>0.5</v>
      </c>
      <c r="CL80" s="2">
        <v>10.3</v>
      </c>
      <c r="CM80" s="2">
        <v>4</v>
      </c>
      <c r="CN80" s="2"/>
      <c r="CO80" s="2"/>
      <c r="CP80" s="2">
        <v>0.2</v>
      </c>
      <c r="CQ80" s="2"/>
      <c r="CR80" s="2">
        <v>0.5</v>
      </c>
      <c r="CS80" s="2"/>
      <c r="CT80" s="2"/>
      <c r="CU80" s="2">
        <v>25.2</v>
      </c>
      <c r="CV80" s="2">
        <v>7.6</v>
      </c>
      <c r="CW80" s="2"/>
      <c r="CX80" s="2">
        <v>3</v>
      </c>
      <c r="CY80" s="2"/>
      <c r="CZ80" s="2">
        <v>0.2</v>
      </c>
      <c r="DB80">
        <v>2008</v>
      </c>
      <c r="DC80">
        <v>25.2</v>
      </c>
      <c r="DE80" s="28">
        <v>1989</v>
      </c>
      <c r="DF80" s="27">
        <v>41199</v>
      </c>
      <c r="DG80">
        <v>51.5</v>
      </c>
      <c r="DH80">
        <v>79</v>
      </c>
    </row>
    <row r="81" spans="1:112">
      <c r="A81" s="1">
        <v>40988</v>
      </c>
      <c r="B81" s="2"/>
      <c r="C81" s="2"/>
      <c r="D81" s="2"/>
      <c r="E81" s="2">
        <v>0.2</v>
      </c>
      <c r="F81" s="2"/>
      <c r="G81" s="2"/>
      <c r="H81" s="2"/>
      <c r="I81" s="2"/>
      <c r="J81" s="2">
        <v>1.7</v>
      </c>
      <c r="K81" s="2">
        <v>10.4</v>
      </c>
      <c r="L81" s="2"/>
      <c r="M81" s="2"/>
      <c r="N81" s="2">
        <v>0.1</v>
      </c>
      <c r="O81" s="2"/>
      <c r="P81" s="2">
        <v>6.7</v>
      </c>
      <c r="Q81" s="2">
        <v>0.1</v>
      </c>
      <c r="R81" s="2"/>
      <c r="S81" s="2">
        <v>0.9</v>
      </c>
      <c r="T81" s="2">
        <v>0</v>
      </c>
      <c r="U81" s="2"/>
      <c r="V81" s="2"/>
      <c r="W81" s="2"/>
      <c r="X81" s="2">
        <v>0.4</v>
      </c>
      <c r="Y81" s="2"/>
      <c r="Z81" s="2"/>
      <c r="AA81" s="2"/>
      <c r="AB81" s="2"/>
      <c r="AC81" s="2"/>
      <c r="AD81" s="2"/>
      <c r="AE81" s="2"/>
      <c r="AF81" s="2"/>
      <c r="AG81" s="2">
        <v>4.8999999999941801</v>
      </c>
      <c r="AH81" s="2">
        <v>0.79999999999927196</v>
      </c>
      <c r="AI81" s="2"/>
      <c r="AJ81" s="2"/>
      <c r="AK81" s="2">
        <v>9.9999999999908995E-2</v>
      </c>
      <c r="AL81" s="2"/>
      <c r="AM81" s="2"/>
      <c r="AN81" s="2">
        <v>0.29999999999972699</v>
      </c>
      <c r="AO81" s="2">
        <v>6.5</v>
      </c>
      <c r="AP81" s="2">
        <v>7.3999999999941801</v>
      </c>
      <c r="AQ81" s="2">
        <v>0</v>
      </c>
      <c r="AR81" s="2">
        <v>0.19999999999981799</v>
      </c>
      <c r="AS81" s="2">
        <v>0.19999999999981799</v>
      </c>
      <c r="AT81" s="2"/>
      <c r="AU81" s="2">
        <v>0.59999999999945397</v>
      </c>
      <c r="AV81" s="2"/>
      <c r="AW81" s="2">
        <v>3</v>
      </c>
      <c r="AX81" s="2">
        <v>0.5</v>
      </c>
      <c r="AY81" s="2">
        <v>9.3999999999941792</v>
      </c>
      <c r="AZ81" s="2"/>
      <c r="BA81" s="2"/>
      <c r="BB81" s="2"/>
      <c r="BC81" s="2"/>
      <c r="BD81" s="2">
        <v>0.80000000000018201</v>
      </c>
      <c r="BE81" s="2">
        <v>0.89999999999963598</v>
      </c>
      <c r="BF81" s="2"/>
      <c r="BG81" s="2"/>
      <c r="BH81" s="2">
        <v>13.5</v>
      </c>
      <c r="BI81" s="2">
        <v>9</v>
      </c>
      <c r="BJ81" s="2"/>
      <c r="BK81" s="2"/>
      <c r="BL81" s="2">
        <v>3</v>
      </c>
      <c r="BM81" s="2"/>
      <c r="BN81" s="2">
        <v>6</v>
      </c>
      <c r="BO81" s="2"/>
      <c r="BP81" s="2"/>
      <c r="BQ81" s="2"/>
      <c r="BR81" s="2">
        <v>5</v>
      </c>
      <c r="BS81" s="2"/>
      <c r="BT81" s="2">
        <v>0.89999999999963598</v>
      </c>
      <c r="BU81" s="2">
        <v>4.5999999999985501</v>
      </c>
      <c r="BV81" s="2">
        <v>1.1000000000000001</v>
      </c>
      <c r="BW81" s="2">
        <v>0.1</v>
      </c>
      <c r="BX81" s="2">
        <v>0.1</v>
      </c>
      <c r="BY81" s="2"/>
      <c r="BZ81" s="2"/>
      <c r="CA81" s="2"/>
      <c r="CB81" s="2"/>
      <c r="CC81" s="2"/>
      <c r="CD81" s="2"/>
      <c r="CE81" s="2">
        <v>22.3</v>
      </c>
      <c r="CF81" s="2">
        <v>0.1</v>
      </c>
      <c r="CG81" s="2"/>
      <c r="CH81" s="2"/>
      <c r="CI81" s="2"/>
      <c r="CJ81" s="2">
        <v>25.2</v>
      </c>
      <c r="CK81" s="2">
        <v>1</v>
      </c>
      <c r="CL81" s="2">
        <v>0.9</v>
      </c>
      <c r="CM81" s="2">
        <v>2</v>
      </c>
      <c r="CN81" s="2"/>
      <c r="CO81" s="2">
        <v>9.8000000000000007</v>
      </c>
      <c r="CP81" s="2">
        <v>2</v>
      </c>
      <c r="CQ81" s="2"/>
      <c r="CR81" s="2"/>
      <c r="CS81" s="2"/>
      <c r="CT81" s="2"/>
      <c r="CU81" s="2">
        <v>16.5</v>
      </c>
      <c r="CV81" s="2"/>
      <c r="CW81" s="2"/>
      <c r="CX81" s="2">
        <v>3.7</v>
      </c>
      <c r="CY81" s="2"/>
      <c r="CZ81" s="2">
        <v>0.2</v>
      </c>
      <c r="DB81">
        <v>1997</v>
      </c>
      <c r="DC81">
        <v>25.2</v>
      </c>
      <c r="DE81" s="28">
        <v>1990</v>
      </c>
      <c r="DF81" s="27">
        <v>41132</v>
      </c>
      <c r="DG81">
        <v>77.5</v>
      </c>
      <c r="DH81">
        <v>80</v>
      </c>
    </row>
    <row r="82" spans="1:112">
      <c r="A82" s="1">
        <v>40989</v>
      </c>
      <c r="B82" s="2"/>
      <c r="C82" s="2">
        <v>1.2</v>
      </c>
      <c r="D82" s="2"/>
      <c r="E82" s="2"/>
      <c r="F82" s="2">
        <v>15</v>
      </c>
      <c r="G82" s="2"/>
      <c r="H82" s="2"/>
      <c r="I82" s="2"/>
      <c r="J82" s="2"/>
      <c r="K82" s="2">
        <v>1.4</v>
      </c>
      <c r="L82" s="2"/>
      <c r="M82" s="2"/>
      <c r="N82" s="2"/>
      <c r="O82" s="2"/>
      <c r="P82" s="2"/>
      <c r="Q82" s="2">
        <v>11.7</v>
      </c>
      <c r="R82" s="2"/>
      <c r="S82" s="2"/>
      <c r="T82" s="2"/>
      <c r="U82" s="2"/>
      <c r="V82" s="2"/>
      <c r="W82" s="2">
        <v>1.5</v>
      </c>
      <c r="X82" s="2"/>
      <c r="Y82" s="2"/>
      <c r="Z82" s="2"/>
      <c r="AA82" s="2"/>
      <c r="AB82" s="2"/>
      <c r="AC82" s="2"/>
      <c r="AD82" s="2">
        <v>0.29999999999972699</v>
      </c>
      <c r="AE82" s="2">
        <v>0</v>
      </c>
      <c r="AF82" s="2"/>
      <c r="AG82" s="2">
        <v>2.5</v>
      </c>
      <c r="AH82" s="2"/>
      <c r="AI82" s="2"/>
      <c r="AJ82" s="2">
        <v>3.5999999999985399</v>
      </c>
      <c r="AK82" s="2"/>
      <c r="AL82" s="2"/>
      <c r="AM82" s="2"/>
      <c r="AN82" s="2">
        <v>3.7999999999992702</v>
      </c>
      <c r="AO82" s="2">
        <v>2.3999999999978199</v>
      </c>
      <c r="AP82" s="2">
        <v>8</v>
      </c>
      <c r="AQ82" s="2"/>
      <c r="AR82" s="2">
        <v>10</v>
      </c>
      <c r="AS82" s="2">
        <v>7.8999999999941801</v>
      </c>
      <c r="AT82" s="2"/>
      <c r="AU82" s="2">
        <v>0.39999999999963598</v>
      </c>
      <c r="AV82" s="2"/>
      <c r="AW82" s="2">
        <v>4</v>
      </c>
      <c r="AX82" s="2"/>
      <c r="AY82" s="2">
        <v>12.399999999994201</v>
      </c>
      <c r="AZ82" s="2"/>
      <c r="BA82" s="2"/>
      <c r="BB82" s="2"/>
      <c r="BC82" s="2"/>
      <c r="BD82" s="2">
        <v>4.5</v>
      </c>
      <c r="BE82" s="2">
        <v>0</v>
      </c>
      <c r="BF82" s="2"/>
      <c r="BG82" s="2"/>
      <c r="BH82" s="2">
        <v>8.1999999999999993</v>
      </c>
      <c r="BI82" s="2">
        <v>4.3000000000029104</v>
      </c>
      <c r="BJ82" s="2"/>
      <c r="BK82" s="2">
        <v>0</v>
      </c>
      <c r="BL82" s="2">
        <v>0.5</v>
      </c>
      <c r="BM82" s="2"/>
      <c r="BN82" s="2">
        <v>18.5</v>
      </c>
      <c r="BO82" s="2">
        <v>0.100000000000023</v>
      </c>
      <c r="BP82" s="2">
        <v>0</v>
      </c>
      <c r="BQ82" s="2">
        <v>6.5</v>
      </c>
      <c r="BR82" s="2">
        <v>0.200000000000045</v>
      </c>
      <c r="BS82" s="2">
        <v>0.100000000000023</v>
      </c>
      <c r="BT82" s="2"/>
      <c r="BU82" s="2"/>
      <c r="BV82" s="2">
        <v>0.3</v>
      </c>
      <c r="BW82" s="2"/>
      <c r="BX82" s="2"/>
      <c r="BY82" s="2"/>
      <c r="BZ82" s="2"/>
      <c r="CA82" s="2"/>
      <c r="CB82" s="2"/>
      <c r="CC82" s="2"/>
      <c r="CD82" s="2"/>
      <c r="CE82" s="2">
        <v>14.3</v>
      </c>
      <c r="CF82" s="2"/>
      <c r="CG82" s="2"/>
      <c r="CH82" s="2">
        <v>7.2</v>
      </c>
      <c r="CI82" s="2"/>
      <c r="CJ82" s="2">
        <v>25</v>
      </c>
      <c r="CK82" s="2">
        <v>1.8</v>
      </c>
      <c r="CL82" s="2"/>
      <c r="CM82" s="2"/>
      <c r="CN82" s="2"/>
      <c r="CO82" s="2">
        <v>1.1000000000000001</v>
      </c>
      <c r="CP82" s="2">
        <v>3.1</v>
      </c>
      <c r="CQ82" s="2"/>
      <c r="CR82" s="2"/>
      <c r="CS82" s="2"/>
      <c r="CT82" s="2">
        <v>0.1</v>
      </c>
      <c r="CU82" s="2">
        <v>0.6</v>
      </c>
      <c r="CV82" s="2">
        <v>4.7</v>
      </c>
      <c r="CW82" s="2"/>
      <c r="CX82" s="2">
        <v>0.6</v>
      </c>
      <c r="CY82" s="2"/>
      <c r="CZ82" s="2">
        <v>0.8</v>
      </c>
      <c r="DB82">
        <v>1997</v>
      </c>
      <c r="DC82">
        <v>25</v>
      </c>
      <c r="DE82" s="28">
        <v>1991</v>
      </c>
      <c r="DF82" s="27">
        <v>41250</v>
      </c>
      <c r="DG82">
        <v>66</v>
      </c>
      <c r="DH82">
        <v>81</v>
      </c>
    </row>
    <row r="83" spans="1:112">
      <c r="A83" s="1">
        <v>40990</v>
      </c>
      <c r="B83" s="2"/>
      <c r="C83" s="2">
        <v>2.6</v>
      </c>
      <c r="D83" s="2"/>
      <c r="E83" s="2">
        <v>1.9</v>
      </c>
      <c r="F83" s="2">
        <v>0.5</v>
      </c>
      <c r="G83" s="2">
        <v>5.4</v>
      </c>
      <c r="H83" s="2"/>
      <c r="I83" s="2"/>
      <c r="J83" s="2"/>
      <c r="K83" s="2">
        <v>2.7</v>
      </c>
      <c r="L83" s="2"/>
      <c r="M83" s="2"/>
      <c r="N83" s="2"/>
      <c r="O83" s="2"/>
      <c r="P83" s="2">
        <v>0.3</v>
      </c>
      <c r="Q83" s="2">
        <v>3.8</v>
      </c>
      <c r="R83" s="2"/>
      <c r="S83" s="2"/>
      <c r="T83" s="2"/>
      <c r="U83" s="2"/>
      <c r="V83" s="2"/>
      <c r="W83" s="2">
        <v>2.5</v>
      </c>
      <c r="X83" s="2">
        <v>11.5</v>
      </c>
      <c r="Y83" s="2"/>
      <c r="Z83" s="2"/>
      <c r="AA83" s="2"/>
      <c r="AB83" s="2"/>
      <c r="AC83" s="2"/>
      <c r="AD83" s="2">
        <v>6.1999999999970896</v>
      </c>
      <c r="AE83" s="2"/>
      <c r="AF83" s="2"/>
      <c r="AG83" s="2">
        <v>0.2</v>
      </c>
      <c r="AH83" s="2"/>
      <c r="AI83" s="2">
        <v>5.79999999999563</v>
      </c>
      <c r="AJ83" s="2"/>
      <c r="AK83" s="2"/>
      <c r="AL83" s="2"/>
      <c r="AM83" s="2"/>
      <c r="AN83" s="2">
        <v>11.5</v>
      </c>
      <c r="AO83" s="2"/>
      <c r="AP83" s="2">
        <v>4.3999999999941801</v>
      </c>
      <c r="AQ83" s="2"/>
      <c r="AR83" s="2">
        <v>3.3999999999978199</v>
      </c>
      <c r="AS83" s="2">
        <v>6.79999999999563</v>
      </c>
      <c r="AT83" s="2"/>
      <c r="AU83" s="2">
        <v>1.5999999999985499</v>
      </c>
      <c r="AV83" s="2"/>
      <c r="AW83" s="2">
        <v>31</v>
      </c>
      <c r="AX83" s="2"/>
      <c r="AY83" s="2">
        <v>1.6999999999989099</v>
      </c>
      <c r="AZ83" s="2">
        <v>1.5</v>
      </c>
      <c r="BA83" s="2"/>
      <c r="BB83" s="2">
        <v>15.599999999991301</v>
      </c>
      <c r="BC83" s="2"/>
      <c r="BD83" s="2">
        <v>5.5</v>
      </c>
      <c r="BE83" s="2"/>
      <c r="BF83" s="2"/>
      <c r="BG83" s="2"/>
      <c r="BH83" s="2">
        <v>1.6</v>
      </c>
      <c r="BI83" s="2">
        <v>0.100000000000023</v>
      </c>
      <c r="BJ83" s="2"/>
      <c r="BK83" s="2"/>
      <c r="BL83" s="2">
        <v>0.1</v>
      </c>
      <c r="BM83" s="2">
        <v>0.100000000000023</v>
      </c>
      <c r="BN83" s="2">
        <v>5</v>
      </c>
      <c r="BO83" s="2">
        <v>3.2000000000007298</v>
      </c>
      <c r="BP83" s="2">
        <v>0.100000000000023</v>
      </c>
      <c r="BQ83" s="2">
        <v>22.7</v>
      </c>
      <c r="BR83" s="2"/>
      <c r="BS83" s="2">
        <v>0.100000000000023</v>
      </c>
      <c r="BT83" s="2"/>
      <c r="BU83" s="2"/>
      <c r="BV83" s="2"/>
      <c r="BW83" s="2">
        <v>4.5</v>
      </c>
      <c r="BX83" s="2">
        <v>0.6</v>
      </c>
      <c r="BY83" s="2"/>
      <c r="BZ83" s="2"/>
      <c r="CA83" s="2"/>
      <c r="CB83" s="2">
        <v>0.1</v>
      </c>
      <c r="CC83" s="2"/>
      <c r="CD83" s="2"/>
      <c r="CE83" s="2"/>
      <c r="CF83" s="2"/>
      <c r="CG83" s="2">
        <v>1.5</v>
      </c>
      <c r="CH83" s="2">
        <v>9.1999999999999993</v>
      </c>
      <c r="CI83" s="2">
        <v>1.9</v>
      </c>
      <c r="CJ83" s="2">
        <v>2.8</v>
      </c>
      <c r="CK83" s="2">
        <v>12.4</v>
      </c>
      <c r="CL83" s="2"/>
      <c r="CM83" s="2"/>
      <c r="CN83" s="2">
        <v>4.0999999999999996</v>
      </c>
      <c r="CO83" s="2">
        <v>4.9000000000000004</v>
      </c>
      <c r="CP83" s="2"/>
      <c r="CQ83" s="2"/>
      <c r="CR83" s="2"/>
      <c r="CS83" s="2"/>
      <c r="CT83" s="2">
        <v>7</v>
      </c>
      <c r="CU83" s="2"/>
      <c r="CV83" s="2">
        <v>10.199999999999999</v>
      </c>
      <c r="CW83" s="2"/>
      <c r="CX83" s="2"/>
      <c r="CY83" s="2"/>
      <c r="CZ83" s="2">
        <v>9.8000000000000007</v>
      </c>
      <c r="DB83">
        <v>1958</v>
      </c>
      <c r="DC83">
        <v>31</v>
      </c>
      <c r="DE83" s="28">
        <v>1992</v>
      </c>
      <c r="DF83" s="27">
        <v>40985</v>
      </c>
      <c r="DG83">
        <v>41.3</v>
      </c>
      <c r="DH83">
        <v>82</v>
      </c>
    </row>
    <row r="84" spans="1:112">
      <c r="A84" s="1">
        <v>40991</v>
      </c>
      <c r="B84" s="2"/>
      <c r="C84" s="2"/>
      <c r="D84" s="2"/>
      <c r="E84" s="2">
        <v>0.6</v>
      </c>
      <c r="F84" s="2"/>
      <c r="G84" s="2"/>
      <c r="H84" s="2"/>
      <c r="I84" s="2"/>
      <c r="J84" s="2"/>
      <c r="K84" s="2">
        <v>11.2</v>
      </c>
      <c r="L84" s="2"/>
      <c r="M84" s="2"/>
      <c r="N84" s="2"/>
      <c r="O84" s="2"/>
      <c r="P84" s="2">
        <v>0.2</v>
      </c>
      <c r="Q84" s="2"/>
      <c r="R84" s="2"/>
      <c r="S84" s="2"/>
      <c r="T84" s="2"/>
      <c r="U84" s="2"/>
      <c r="V84" s="2"/>
      <c r="W84" s="2">
        <v>5.9</v>
      </c>
      <c r="X84" s="2">
        <v>2</v>
      </c>
      <c r="Y84" s="2"/>
      <c r="Z84" s="2"/>
      <c r="AA84" s="2"/>
      <c r="AB84" s="2"/>
      <c r="AC84" s="2"/>
      <c r="AD84" s="2">
        <v>15.099999999991301</v>
      </c>
      <c r="AE84" s="2"/>
      <c r="AF84" s="2"/>
      <c r="AG84" s="2">
        <v>0</v>
      </c>
      <c r="AH84" s="2">
        <v>0</v>
      </c>
      <c r="AI84" s="2">
        <v>8.5</v>
      </c>
      <c r="AJ84" s="2"/>
      <c r="AK84" s="2"/>
      <c r="AL84" s="2"/>
      <c r="AM84" s="2"/>
      <c r="AN84" s="2">
        <v>7</v>
      </c>
      <c r="AO84" s="2"/>
      <c r="AP84" s="2">
        <v>2.6999999999970901</v>
      </c>
      <c r="AQ84" s="2"/>
      <c r="AR84" s="2"/>
      <c r="AS84" s="2">
        <v>5</v>
      </c>
      <c r="AT84" s="2"/>
      <c r="AU84" s="2"/>
      <c r="AV84" s="2"/>
      <c r="AW84" s="2">
        <v>10.5</v>
      </c>
      <c r="AX84" s="2"/>
      <c r="AY84" s="2">
        <v>2.7999999999992702</v>
      </c>
      <c r="AZ84" s="2">
        <v>27.699999999982499</v>
      </c>
      <c r="BA84" s="2">
        <v>5.8999999999941801</v>
      </c>
      <c r="BB84" s="2">
        <v>17.699999999982499</v>
      </c>
      <c r="BC84" s="2">
        <v>8.8999999999941792</v>
      </c>
      <c r="BD84" s="2"/>
      <c r="BE84" s="2"/>
      <c r="BF84" s="2"/>
      <c r="BG84" s="2">
        <v>1.5</v>
      </c>
      <c r="BH84" s="2">
        <v>0</v>
      </c>
      <c r="BI84" s="2">
        <v>0.100000000000023</v>
      </c>
      <c r="BJ84" s="2">
        <v>1.10000000000036</v>
      </c>
      <c r="BK84" s="2">
        <v>0</v>
      </c>
      <c r="BL84" s="2">
        <v>0.1</v>
      </c>
      <c r="BM84" s="2">
        <v>0.200000000000045</v>
      </c>
      <c r="BN84" s="2">
        <v>19</v>
      </c>
      <c r="BO84" s="2"/>
      <c r="BP84" s="2"/>
      <c r="BQ84" s="2">
        <v>0.8</v>
      </c>
      <c r="BR84" s="2"/>
      <c r="BS84" s="2">
        <v>0.100000000000023</v>
      </c>
      <c r="BT84" s="2">
        <v>0</v>
      </c>
      <c r="BU84" s="2">
        <v>0</v>
      </c>
      <c r="BV84" s="2"/>
      <c r="BW84" s="2">
        <v>2</v>
      </c>
      <c r="BX84" s="2">
        <v>12.1</v>
      </c>
      <c r="BY84" s="2">
        <v>0</v>
      </c>
      <c r="BZ84" s="2">
        <v>16.3</v>
      </c>
      <c r="CA84" s="2">
        <v>0.8</v>
      </c>
      <c r="CB84" s="2">
        <v>3.3</v>
      </c>
      <c r="CC84" s="2"/>
      <c r="CD84" s="2"/>
      <c r="CE84" s="2"/>
      <c r="CF84" s="2"/>
      <c r="CG84" s="2"/>
      <c r="CH84" s="2">
        <v>9.3000000000000007</v>
      </c>
      <c r="CI84" s="2">
        <v>0.7</v>
      </c>
      <c r="CJ84" s="2"/>
      <c r="CK84" s="2">
        <v>9</v>
      </c>
      <c r="CL84" s="2"/>
      <c r="CM84" s="2"/>
      <c r="CN84" s="2">
        <v>8.4</v>
      </c>
      <c r="CO84" s="2">
        <v>8.1</v>
      </c>
      <c r="CP84" s="2">
        <v>1</v>
      </c>
      <c r="CQ84" s="2"/>
      <c r="CR84" s="2"/>
      <c r="CS84" s="2">
        <v>5</v>
      </c>
      <c r="CT84" s="2">
        <v>5.9</v>
      </c>
      <c r="CU84" s="2"/>
      <c r="CV84" s="2">
        <v>0.8</v>
      </c>
      <c r="CW84" s="2"/>
      <c r="CX84" s="2"/>
      <c r="CY84" s="2"/>
      <c r="CZ84" s="2">
        <v>0.3</v>
      </c>
      <c r="DB84">
        <v>1961</v>
      </c>
      <c r="DC84">
        <v>27.699999999982499</v>
      </c>
      <c r="DE84" s="28">
        <v>1993</v>
      </c>
      <c r="DF84" s="27">
        <v>41230</v>
      </c>
      <c r="DG84">
        <v>68.099999999999994</v>
      </c>
      <c r="DH84">
        <v>83</v>
      </c>
    </row>
    <row r="85" spans="1:112">
      <c r="A85" s="1">
        <v>40992</v>
      </c>
      <c r="B85" s="2"/>
      <c r="C85" s="2">
        <v>2.8</v>
      </c>
      <c r="D85" s="2"/>
      <c r="E85" s="2"/>
      <c r="F85" s="2"/>
      <c r="G85" s="2"/>
      <c r="H85" s="2"/>
      <c r="I85" s="2">
        <v>1.4</v>
      </c>
      <c r="J85" s="2"/>
      <c r="K85" s="2">
        <v>1.1000000000000001</v>
      </c>
      <c r="L85" s="2"/>
      <c r="M85" s="2"/>
      <c r="N85" s="2"/>
      <c r="O85" s="2"/>
      <c r="P85" s="2">
        <v>1.3</v>
      </c>
      <c r="Q85" s="2">
        <v>1</v>
      </c>
      <c r="R85" s="2"/>
      <c r="S85" s="2"/>
      <c r="T85" s="2">
        <v>2.5</v>
      </c>
      <c r="U85" s="2"/>
      <c r="V85" s="2"/>
      <c r="W85" s="2">
        <v>0</v>
      </c>
      <c r="X85" s="2">
        <v>0.8</v>
      </c>
      <c r="Y85" s="2"/>
      <c r="Z85" s="2"/>
      <c r="AA85" s="2"/>
      <c r="AB85" s="2"/>
      <c r="AC85" s="2"/>
      <c r="AD85" s="2">
        <v>1.79999999999927</v>
      </c>
      <c r="AE85" s="2">
        <v>0.5</v>
      </c>
      <c r="AF85" s="2">
        <v>0.59999999999945397</v>
      </c>
      <c r="AG85" s="2">
        <v>2.2000000000000002</v>
      </c>
      <c r="AH85" s="2">
        <v>2.8999999999978199</v>
      </c>
      <c r="AI85" s="2">
        <v>17</v>
      </c>
      <c r="AJ85" s="2">
        <v>0.89999999999963598</v>
      </c>
      <c r="AK85" s="2"/>
      <c r="AL85" s="2"/>
      <c r="AM85" s="2">
        <v>1.1999999999989099</v>
      </c>
      <c r="AN85" s="2">
        <v>1.1999999999989099</v>
      </c>
      <c r="AO85" s="2">
        <v>1.29999999999927</v>
      </c>
      <c r="AP85" s="2"/>
      <c r="AQ85" s="2"/>
      <c r="AR85" s="2"/>
      <c r="AS85" s="2"/>
      <c r="AT85" s="2"/>
      <c r="AU85" s="2">
        <v>0</v>
      </c>
      <c r="AV85" s="2"/>
      <c r="AW85" s="2"/>
      <c r="AX85" s="2"/>
      <c r="AY85" s="2"/>
      <c r="AZ85" s="2">
        <v>0.5</v>
      </c>
      <c r="BA85" s="2"/>
      <c r="BB85" s="2">
        <v>7.3999999999941801</v>
      </c>
      <c r="BC85" s="2"/>
      <c r="BD85" s="2"/>
      <c r="BE85" s="2">
        <v>1.79999999999927</v>
      </c>
      <c r="BF85" s="2">
        <v>7.8000000000029104</v>
      </c>
      <c r="BG85" s="2">
        <v>1.60000000000036</v>
      </c>
      <c r="BH85" s="2">
        <v>8.6999999999999993</v>
      </c>
      <c r="BI85" s="2"/>
      <c r="BJ85" s="2">
        <v>21.700000000011599</v>
      </c>
      <c r="BK85" s="2">
        <v>3.8</v>
      </c>
      <c r="BL85" s="2"/>
      <c r="BM85" s="2"/>
      <c r="BN85" s="2">
        <v>13</v>
      </c>
      <c r="BO85" s="2"/>
      <c r="BP85" s="2"/>
      <c r="BQ85" s="2"/>
      <c r="BR85" s="2"/>
      <c r="BS85" s="2">
        <v>0.100000000000023</v>
      </c>
      <c r="BT85" s="2"/>
      <c r="BU85" s="2">
        <v>0.100000000000023</v>
      </c>
      <c r="BV85" s="2"/>
      <c r="BW85" s="2">
        <v>0.9</v>
      </c>
      <c r="BX85" s="2">
        <v>0.5</v>
      </c>
      <c r="BY85" s="2"/>
      <c r="BZ85" s="2">
        <v>13.7</v>
      </c>
      <c r="CA85" s="2">
        <v>2.6</v>
      </c>
      <c r="CB85" s="2">
        <v>6.5</v>
      </c>
      <c r="CC85" s="2"/>
      <c r="CD85" s="2">
        <v>0.3</v>
      </c>
      <c r="CE85" s="2"/>
      <c r="CF85" s="2"/>
      <c r="CG85" s="2"/>
      <c r="CH85" s="2">
        <v>1.6</v>
      </c>
      <c r="CI85" s="2">
        <v>1</v>
      </c>
      <c r="CJ85" s="2">
        <v>2.8</v>
      </c>
      <c r="CK85" s="2"/>
      <c r="CL85" s="2">
        <v>3</v>
      </c>
      <c r="CM85" s="2"/>
      <c r="CN85" s="2"/>
      <c r="CO85" s="2">
        <v>5</v>
      </c>
      <c r="CP85" s="2">
        <v>2.2000000000000002</v>
      </c>
      <c r="CQ85" s="2"/>
      <c r="CR85" s="2"/>
      <c r="CS85" s="2">
        <v>2.5</v>
      </c>
      <c r="CT85" s="2">
        <v>1</v>
      </c>
      <c r="CU85" s="2"/>
      <c r="CV85" s="2"/>
      <c r="CW85" s="2">
        <v>0.4</v>
      </c>
      <c r="CX85" s="2">
        <v>0.1</v>
      </c>
      <c r="CY85" s="2"/>
      <c r="CZ85" s="2"/>
      <c r="DB85">
        <v>1971</v>
      </c>
      <c r="DC85">
        <v>21.700000000011599</v>
      </c>
      <c r="DE85" s="28">
        <v>1994</v>
      </c>
      <c r="DF85" s="27">
        <v>41193</v>
      </c>
      <c r="DG85">
        <v>47.9</v>
      </c>
      <c r="DH85">
        <v>84</v>
      </c>
    </row>
    <row r="86" spans="1:112">
      <c r="A86" s="1">
        <v>40993</v>
      </c>
      <c r="B86" s="2"/>
      <c r="C86" s="2">
        <v>4</v>
      </c>
      <c r="D86" s="2"/>
      <c r="E86" s="2"/>
      <c r="F86" s="2"/>
      <c r="G86" s="2"/>
      <c r="H86" s="2"/>
      <c r="I86" s="2"/>
      <c r="J86" s="2"/>
      <c r="K86" s="2">
        <v>0.8</v>
      </c>
      <c r="L86" s="2"/>
      <c r="M86" s="2"/>
      <c r="N86" s="2"/>
      <c r="O86" s="2"/>
      <c r="P86" s="2"/>
      <c r="Q86" s="2">
        <v>1</v>
      </c>
      <c r="R86" s="2"/>
      <c r="S86" s="2"/>
      <c r="T86" s="2"/>
      <c r="U86" s="2"/>
      <c r="V86" s="2"/>
      <c r="W86" s="2">
        <v>8.5</v>
      </c>
      <c r="X86" s="2">
        <v>1.6</v>
      </c>
      <c r="Y86" s="2"/>
      <c r="Z86" s="2"/>
      <c r="AA86" s="2"/>
      <c r="AB86" s="2"/>
      <c r="AC86" s="2"/>
      <c r="AD86" s="2"/>
      <c r="AE86" s="2"/>
      <c r="AF86" s="2">
        <v>0.89999999999963598</v>
      </c>
      <c r="AG86" s="2"/>
      <c r="AH86" s="2">
        <v>0</v>
      </c>
      <c r="AI86" s="2">
        <v>0.79999999999927196</v>
      </c>
      <c r="AJ86" s="2">
        <v>4</v>
      </c>
      <c r="AK86" s="2">
        <v>0</v>
      </c>
      <c r="AL86" s="2"/>
      <c r="AM86" s="2"/>
      <c r="AN86" s="2"/>
      <c r="AO86" s="2">
        <v>19.599999999976699</v>
      </c>
      <c r="AP86" s="2"/>
      <c r="AQ86" s="2">
        <v>1.1000000000000001</v>
      </c>
      <c r="AR86" s="2">
        <v>9.9999999999908995E-2</v>
      </c>
      <c r="AS86" s="2">
        <v>1.79999999999927</v>
      </c>
      <c r="AT86" s="2"/>
      <c r="AU86" s="2"/>
      <c r="AV86" s="2"/>
      <c r="AW86" s="2">
        <v>3.5</v>
      </c>
      <c r="AX86" s="2"/>
      <c r="AY86" s="2"/>
      <c r="AZ86" s="2"/>
      <c r="BA86" s="2"/>
      <c r="BB86" s="2"/>
      <c r="BC86" s="2"/>
      <c r="BD86" s="2">
        <v>2</v>
      </c>
      <c r="BE86" s="2">
        <v>0.100000000000023</v>
      </c>
      <c r="BF86" s="2">
        <v>2</v>
      </c>
      <c r="BG86" s="2">
        <v>0.69999999999981799</v>
      </c>
      <c r="BH86" s="2">
        <v>0.1</v>
      </c>
      <c r="BI86" s="2"/>
      <c r="BJ86" s="2">
        <v>26</v>
      </c>
      <c r="BK86" s="2">
        <v>0.1</v>
      </c>
      <c r="BL86" s="2"/>
      <c r="BM86" s="2"/>
      <c r="BN86" s="2">
        <v>8.8999999999941792</v>
      </c>
      <c r="BO86" s="2"/>
      <c r="BP86" s="2"/>
      <c r="BQ86" s="2">
        <v>18</v>
      </c>
      <c r="BR86" s="2"/>
      <c r="BS86" s="2">
        <v>2.5</v>
      </c>
      <c r="BT86" s="2">
        <v>0</v>
      </c>
      <c r="BU86" s="2">
        <v>0</v>
      </c>
      <c r="BV86" s="2"/>
      <c r="BW86" s="2">
        <v>0.1</v>
      </c>
      <c r="BX86" s="2">
        <v>1.2</v>
      </c>
      <c r="BY86" s="2"/>
      <c r="BZ86" s="2"/>
      <c r="CA86" s="2">
        <v>1</v>
      </c>
      <c r="CB86" s="2">
        <v>0.2</v>
      </c>
      <c r="CC86" s="2"/>
      <c r="CD86" s="2">
        <v>0.1</v>
      </c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>
        <v>13.8</v>
      </c>
      <c r="CP86" s="2"/>
      <c r="CQ86" s="2"/>
      <c r="CR86" s="2"/>
      <c r="CS86" s="2">
        <v>0.5</v>
      </c>
      <c r="CT86" s="2"/>
      <c r="CU86" s="2">
        <v>4.9000000000000004</v>
      </c>
      <c r="CV86" s="2">
        <v>14.2</v>
      </c>
      <c r="CW86" s="2"/>
      <c r="CX86" s="2"/>
      <c r="CY86" s="2"/>
      <c r="CZ86" s="2"/>
      <c r="DB86">
        <v>1971</v>
      </c>
      <c r="DC86">
        <v>26</v>
      </c>
      <c r="DE86" s="28">
        <v>1995</v>
      </c>
      <c r="DF86" s="27">
        <v>41099</v>
      </c>
      <c r="DG86">
        <v>67.5</v>
      </c>
      <c r="DH86">
        <v>85</v>
      </c>
    </row>
    <row r="87" spans="1:112">
      <c r="A87" s="1">
        <v>40994</v>
      </c>
      <c r="B87" s="2"/>
      <c r="C87" s="2">
        <v>4.4000000000000004</v>
      </c>
      <c r="D87" s="2">
        <v>1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>
        <v>3.5</v>
      </c>
      <c r="R87" s="2"/>
      <c r="S87" s="2"/>
      <c r="T87" s="2"/>
      <c r="U87" s="2"/>
      <c r="V87" s="2">
        <v>3.1</v>
      </c>
      <c r="W87" s="2"/>
      <c r="X87" s="2">
        <v>0.7</v>
      </c>
      <c r="Y87" s="2"/>
      <c r="Z87" s="2"/>
      <c r="AA87" s="2"/>
      <c r="AB87" s="2">
        <v>0.29999999999972699</v>
      </c>
      <c r="AC87" s="2"/>
      <c r="AD87" s="2">
        <v>4.1999999999970896</v>
      </c>
      <c r="AE87" s="2"/>
      <c r="AF87" s="2"/>
      <c r="AG87" s="2">
        <v>9.9999999999908995E-2</v>
      </c>
      <c r="AH87" s="2"/>
      <c r="AI87" s="2">
        <v>2</v>
      </c>
      <c r="AJ87" s="2"/>
      <c r="AK87" s="2">
        <v>0.39999999999963598</v>
      </c>
      <c r="AL87" s="2"/>
      <c r="AM87" s="2">
        <v>2.6999999999970901</v>
      </c>
      <c r="AN87" s="2"/>
      <c r="AO87" s="2">
        <v>1</v>
      </c>
      <c r="AP87" s="2">
        <v>0.29999999999972699</v>
      </c>
      <c r="AQ87" s="2">
        <v>0.3</v>
      </c>
      <c r="AR87" s="2"/>
      <c r="AS87" s="2">
        <v>7.3999999999941801</v>
      </c>
      <c r="AT87" s="2">
        <v>0.2</v>
      </c>
      <c r="AU87" s="2"/>
      <c r="AV87" s="2"/>
      <c r="AW87" s="2">
        <v>0.29999999999972699</v>
      </c>
      <c r="AX87" s="2"/>
      <c r="AY87" s="2"/>
      <c r="AZ87" s="2"/>
      <c r="BA87" s="2">
        <v>15.099999999991301</v>
      </c>
      <c r="BB87" s="2"/>
      <c r="BC87" s="2"/>
      <c r="BD87" s="2">
        <v>1</v>
      </c>
      <c r="BE87" s="2">
        <v>9</v>
      </c>
      <c r="BF87" s="2">
        <v>1.5</v>
      </c>
      <c r="BG87" s="2">
        <v>0.69999999999981799</v>
      </c>
      <c r="BH87" s="2">
        <v>8.4</v>
      </c>
      <c r="BI87" s="2"/>
      <c r="BJ87" s="2">
        <v>1.20000000000073</v>
      </c>
      <c r="BK87" s="2"/>
      <c r="BL87" s="2"/>
      <c r="BM87" s="2">
        <v>0.100000000000023</v>
      </c>
      <c r="BN87" s="2">
        <v>1.10000000000036</v>
      </c>
      <c r="BO87" s="2">
        <v>1.29999999999927</v>
      </c>
      <c r="BP87" s="2"/>
      <c r="BQ87" s="2">
        <v>1.5</v>
      </c>
      <c r="BR87" s="2"/>
      <c r="BS87" s="2">
        <v>2.7999999999992702</v>
      </c>
      <c r="BT87" s="2">
        <v>0.100000000000023</v>
      </c>
      <c r="BU87" s="2">
        <v>0.100000000000023</v>
      </c>
      <c r="BV87" s="2">
        <v>1.2</v>
      </c>
      <c r="BW87" s="2"/>
      <c r="BX87" s="2">
        <v>0</v>
      </c>
      <c r="BY87" s="2"/>
      <c r="BZ87" s="2"/>
      <c r="CA87" s="2"/>
      <c r="CB87" s="2"/>
      <c r="CC87" s="2"/>
      <c r="CD87" s="2">
        <v>0</v>
      </c>
      <c r="CE87" s="2"/>
      <c r="CF87" s="2"/>
      <c r="CG87" s="2"/>
      <c r="CH87" s="2"/>
      <c r="CI87" s="2">
        <v>0.5</v>
      </c>
      <c r="CJ87" s="2"/>
      <c r="CK87" s="2">
        <v>12</v>
      </c>
      <c r="CL87" s="2"/>
      <c r="CM87" s="2"/>
      <c r="CN87" s="2"/>
      <c r="CO87" s="2">
        <v>9</v>
      </c>
      <c r="CP87" s="2"/>
      <c r="CQ87" s="2"/>
      <c r="CR87" s="2"/>
      <c r="CS87" s="2"/>
      <c r="CT87" s="2"/>
      <c r="CU87" s="2"/>
      <c r="CV87" s="2">
        <v>4.0999999999999996</v>
      </c>
      <c r="CW87" s="2"/>
      <c r="CX87" s="2"/>
      <c r="CY87" s="2">
        <v>0.2</v>
      </c>
      <c r="CZ87" s="2">
        <v>7</v>
      </c>
      <c r="DB87">
        <v>1962</v>
      </c>
      <c r="DC87">
        <v>15.099999999991301</v>
      </c>
      <c r="DE87" s="28">
        <v>1996</v>
      </c>
      <c r="DF87" s="27">
        <v>41268</v>
      </c>
      <c r="DG87">
        <v>41.3</v>
      </c>
      <c r="DH87">
        <v>86</v>
      </c>
    </row>
    <row r="88" spans="1:112">
      <c r="A88" s="1">
        <v>40995</v>
      </c>
      <c r="B88" s="2"/>
      <c r="C88" s="2">
        <v>0.4</v>
      </c>
      <c r="D88" s="2"/>
      <c r="E88" s="2">
        <v>14.4</v>
      </c>
      <c r="F88" s="2"/>
      <c r="G88" s="2">
        <v>6.3</v>
      </c>
      <c r="H88" s="2"/>
      <c r="I88" s="2">
        <v>7.6</v>
      </c>
      <c r="J88" s="2"/>
      <c r="K88" s="2"/>
      <c r="L88" s="2"/>
      <c r="M88" s="2"/>
      <c r="N88" s="2"/>
      <c r="O88" s="2">
        <v>0.3</v>
      </c>
      <c r="P88" s="2">
        <v>0.2</v>
      </c>
      <c r="Q88" s="2"/>
      <c r="R88" s="2"/>
      <c r="S88" s="2"/>
      <c r="T88" s="2"/>
      <c r="U88" s="2">
        <v>2.9</v>
      </c>
      <c r="V88" s="2">
        <v>11.9</v>
      </c>
      <c r="W88" s="2"/>
      <c r="X88" s="2"/>
      <c r="Y88" s="2"/>
      <c r="Z88" s="2"/>
      <c r="AA88" s="2"/>
      <c r="AB88" s="2"/>
      <c r="AC88" s="2">
        <v>14</v>
      </c>
      <c r="AD88" s="2">
        <v>0</v>
      </c>
      <c r="AE88" s="2"/>
      <c r="AF88" s="2"/>
      <c r="AG88" s="2"/>
      <c r="AH88" s="2"/>
      <c r="AI88" s="2">
        <v>46.399999999965097</v>
      </c>
      <c r="AJ88" s="2"/>
      <c r="AK88" s="2">
        <v>9.9999999999908995E-2</v>
      </c>
      <c r="AL88" s="2"/>
      <c r="AM88" s="2">
        <v>5.5999999999985501</v>
      </c>
      <c r="AN88" s="2">
        <v>0.59999999999945397</v>
      </c>
      <c r="AO88" s="2"/>
      <c r="AP88" s="2">
        <v>2.1999999999970901</v>
      </c>
      <c r="AQ88" s="2"/>
      <c r="AR88" s="2"/>
      <c r="AS88" s="2"/>
      <c r="AT88" s="2">
        <v>0</v>
      </c>
      <c r="AU88" s="2"/>
      <c r="AV88" s="2"/>
      <c r="AW88" s="2">
        <v>2</v>
      </c>
      <c r="AX88" s="2"/>
      <c r="AY88" s="2"/>
      <c r="AZ88" s="2"/>
      <c r="BA88" s="2">
        <v>0.79999999999927196</v>
      </c>
      <c r="BB88" s="2"/>
      <c r="BC88" s="2"/>
      <c r="BD88" s="2">
        <v>10.100000000005799</v>
      </c>
      <c r="BE88" s="2">
        <v>3.9000000000014601</v>
      </c>
      <c r="BF88" s="2"/>
      <c r="BG88" s="2"/>
      <c r="BH88" s="2">
        <v>0.4</v>
      </c>
      <c r="BI88" s="2"/>
      <c r="BJ88" s="2"/>
      <c r="BK88" s="2"/>
      <c r="BL88" s="2"/>
      <c r="BM88" s="2"/>
      <c r="BN88" s="2"/>
      <c r="BO88" s="2">
        <v>0.5</v>
      </c>
      <c r="BP88" s="2"/>
      <c r="BQ88" s="2"/>
      <c r="BR88" s="2"/>
      <c r="BS88" s="2">
        <v>47.5</v>
      </c>
      <c r="BT88" s="2"/>
      <c r="BU88" s="2">
        <v>1.20000000000073</v>
      </c>
      <c r="BV88" s="2">
        <v>0</v>
      </c>
      <c r="BW88" s="2">
        <v>5.4</v>
      </c>
      <c r="BX88" s="2">
        <v>2.2000000000000002</v>
      </c>
      <c r="BY88" s="2"/>
      <c r="BZ88" s="2"/>
      <c r="CA88" s="2">
        <v>15.2</v>
      </c>
      <c r="CB88" s="2"/>
      <c r="CC88" s="2"/>
      <c r="CD88" s="2"/>
      <c r="CE88" s="2">
        <v>6.5</v>
      </c>
      <c r="CF88" s="2"/>
      <c r="CG88" s="2"/>
      <c r="CH88" s="2"/>
      <c r="CI88" s="2">
        <v>0.8</v>
      </c>
      <c r="CJ88" s="2"/>
      <c r="CK88" s="2">
        <v>16</v>
      </c>
      <c r="CL88" s="2"/>
      <c r="CM88" s="2">
        <v>0.1</v>
      </c>
      <c r="CN88" s="2"/>
      <c r="CO88" s="2">
        <v>4.4000000000000004</v>
      </c>
      <c r="CP88" s="2"/>
      <c r="CQ88" s="2">
        <v>0.3</v>
      </c>
      <c r="CR88" s="2">
        <v>0.4</v>
      </c>
      <c r="CS88" s="2"/>
      <c r="CT88" s="2"/>
      <c r="CU88" s="2">
        <v>0.1</v>
      </c>
      <c r="CV88" s="2"/>
      <c r="CW88" s="2"/>
      <c r="CX88" s="2">
        <v>5.2</v>
      </c>
      <c r="CY88" s="2"/>
      <c r="CZ88" s="2">
        <v>10.7</v>
      </c>
      <c r="DB88">
        <v>1980</v>
      </c>
      <c r="DC88">
        <v>47.5</v>
      </c>
      <c r="DE88" s="28">
        <v>1997</v>
      </c>
      <c r="DF88" s="27">
        <v>41195</v>
      </c>
      <c r="DG88">
        <v>117</v>
      </c>
      <c r="DH88">
        <v>87</v>
      </c>
    </row>
    <row r="89" spans="1:112">
      <c r="A89" s="1">
        <v>40996</v>
      </c>
      <c r="B89" s="2"/>
      <c r="C89" s="2">
        <v>0.3</v>
      </c>
      <c r="D89" s="2">
        <v>1.8</v>
      </c>
      <c r="E89" s="2">
        <v>6.3</v>
      </c>
      <c r="F89" s="2"/>
      <c r="G89" s="2">
        <v>2.5</v>
      </c>
      <c r="H89" s="2"/>
      <c r="I89" s="2">
        <v>23.2</v>
      </c>
      <c r="J89" s="2"/>
      <c r="K89" s="2"/>
      <c r="L89" s="2">
        <v>4.8</v>
      </c>
      <c r="M89" s="2"/>
      <c r="N89" s="2"/>
      <c r="O89" s="2">
        <v>1.1000000000000001</v>
      </c>
      <c r="P89" s="2"/>
      <c r="Q89" s="2"/>
      <c r="R89" s="2"/>
      <c r="S89" s="2">
        <v>1.4</v>
      </c>
      <c r="T89" s="2"/>
      <c r="U89" s="2">
        <v>20.5</v>
      </c>
      <c r="V89" s="2">
        <v>17.8</v>
      </c>
      <c r="W89" s="2">
        <v>7.4</v>
      </c>
      <c r="X89" s="2"/>
      <c r="Y89" s="2">
        <v>1.5999999999985499</v>
      </c>
      <c r="Z89" s="2">
        <v>1</v>
      </c>
      <c r="AA89" s="2">
        <v>0.69999999999981799</v>
      </c>
      <c r="AB89" s="2"/>
      <c r="AC89" s="2">
        <v>20.399999999994201</v>
      </c>
      <c r="AD89" s="2">
        <v>0.59999999999945397</v>
      </c>
      <c r="AE89" s="2"/>
      <c r="AF89" s="2"/>
      <c r="AG89" s="2">
        <v>0.19999999999981799</v>
      </c>
      <c r="AH89" s="2"/>
      <c r="AI89" s="2">
        <v>6.6999999999970896</v>
      </c>
      <c r="AJ89" s="2"/>
      <c r="AK89" s="2">
        <v>1.6999999999989099</v>
      </c>
      <c r="AL89" s="2">
        <v>3</v>
      </c>
      <c r="AM89" s="2">
        <v>4.6999999999970896</v>
      </c>
      <c r="AN89" s="2"/>
      <c r="AO89" s="2">
        <v>0.39999999999963598</v>
      </c>
      <c r="AP89" s="2"/>
      <c r="AQ89" s="2"/>
      <c r="AR89" s="2">
        <v>1.0999999999985499</v>
      </c>
      <c r="AS89" s="2"/>
      <c r="AT89" s="2">
        <v>0.89999999999963598</v>
      </c>
      <c r="AU89" s="2">
        <v>0.5</v>
      </c>
      <c r="AV89" s="2"/>
      <c r="AW89" s="2"/>
      <c r="AX89" s="2"/>
      <c r="AY89" s="2"/>
      <c r="AZ89" s="2">
        <v>0.69999999999981799</v>
      </c>
      <c r="BA89" s="2">
        <v>0.59999999999945397</v>
      </c>
      <c r="BB89" s="2">
        <v>1.1999999999989099</v>
      </c>
      <c r="BC89" s="2"/>
      <c r="BD89" s="2">
        <v>16.700000000011599</v>
      </c>
      <c r="BE89" s="2"/>
      <c r="BF89" s="2"/>
      <c r="BG89" s="2"/>
      <c r="BH89" s="2">
        <v>2.9</v>
      </c>
      <c r="BI89" s="2"/>
      <c r="BJ89" s="2">
        <v>0.60000000000036402</v>
      </c>
      <c r="BK89" s="2"/>
      <c r="BL89" s="2"/>
      <c r="BM89" s="2"/>
      <c r="BN89" s="2"/>
      <c r="BO89" s="2"/>
      <c r="BP89" s="2"/>
      <c r="BQ89" s="2"/>
      <c r="BR89" s="2">
        <v>4</v>
      </c>
      <c r="BS89" s="2">
        <v>10.8000000000029</v>
      </c>
      <c r="BT89" s="2">
        <v>0</v>
      </c>
      <c r="BU89" s="2"/>
      <c r="BV89" s="2">
        <v>0</v>
      </c>
      <c r="BW89" s="2"/>
      <c r="BX89" s="2"/>
      <c r="BY89" s="2"/>
      <c r="BZ89" s="2"/>
      <c r="CA89" s="2">
        <v>9.9</v>
      </c>
      <c r="CB89" s="2"/>
      <c r="CC89" s="2"/>
      <c r="CD89" s="2">
        <v>0.4</v>
      </c>
      <c r="CE89" s="2">
        <v>3.7</v>
      </c>
      <c r="CF89" s="2">
        <v>0.1</v>
      </c>
      <c r="CG89" s="2">
        <v>25</v>
      </c>
      <c r="CH89" s="2"/>
      <c r="CI89" s="2">
        <v>17</v>
      </c>
      <c r="CJ89" s="2"/>
      <c r="CK89" s="2">
        <v>3.8</v>
      </c>
      <c r="CL89" s="2">
        <v>9.4</v>
      </c>
      <c r="CM89" s="2"/>
      <c r="CN89" s="2">
        <v>2.5</v>
      </c>
      <c r="CO89" s="2">
        <v>5.6</v>
      </c>
      <c r="CP89" s="2"/>
      <c r="CQ89" s="2">
        <v>17.399999999999999</v>
      </c>
      <c r="CR89" s="2">
        <v>0.4</v>
      </c>
      <c r="CS89" s="2"/>
      <c r="CT89" s="2">
        <v>0.1</v>
      </c>
      <c r="CU89" s="2"/>
      <c r="CV89" s="2"/>
      <c r="CW89" s="2">
        <v>14.4</v>
      </c>
      <c r="CX89" s="2"/>
      <c r="CY89" s="2"/>
      <c r="CZ89" s="2">
        <v>0.1</v>
      </c>
      <c r="DB89">
        <v>1994</v>
      </c>
      <c r="DC89">
        <v>25</v>
      </c>
      <c r="DE89" s="28">
        <v>1998</v>
      </c>
      <c r="DF89" s="27">
        <v>41208</v>
      </c>
      <c r="DG89">
        <v>59.5</v>
      </c>
      <c r="DH89">
        <v>88</v>
      </c>
    </row>
    <row r="90" spans="1:112">
      <c r="A90" s="1">
        <v>40997</v>
      </c>
      <c r="B90" s="2"/>
      <c r="C90" s="2"/>
      <c r="D90" s="2">
        <v>2</v>
      </c>
      <c r="E90" s="2">
        <v>4.7</v>
      </c>
      <c r="F90" s="2">
        <v>0.2</v>
      </c>
      <c r="G90" s="2">
        <v>0.1</v>
      </c>
      <c r="H90" s="2"/>
      <c r="I90" s="2">
        <v>27.3</v>
      </c>
      <c r="J90" s="2"/>
      <c r="K90" s="2">
        <v>4.8</v>
      </c>
      <c r="L90" s="2"/>
      <c r="M90" s="2">
        <v>5.6</v>
      </c>
      <c r="N90" s="2"/>
      <c r="O90" s="2">
        <v>2.5</v>
      </c>
      <c r="P90" s="2"/>
      <c r="Q90" s="2"/>
      <c r="R90" s="2"/>
      <c r="S90" s="2">
        <v>3.5</v>
      </c>
      <c r="T90" s="2"/>
      <c r="U90" s="2">
        <v>1.4</v>
      </c>
      <c r="V90" s="2">
        <v>5.5</v>
      </c>
      <c r="W90" s="2">
        <v>0</v>
      </c>
      <c r="X90" s="2">
        <v>0.8</v>
      </c>
      <c r="Y90" s="2"/>
      <c r="Z90" s="2"/>
      <c r="AA90" s="2">
        <v>0.19999999999981799</v>
      </c>
      <c r="AB90" s="2"/>
      <c r="AC90" s="2">
        <v>0</v>
      </c>
      <c r="AD90" s="2">
        <v>2.7999999999992702</v>
      </c>
      <c r="AE90" s="2"/>
      <c r="AF90" s="2"/>
      <c r="AG90" s="2">
        <v>2.5</v>
      </c>
      <c r="AH90" s="2"/>
      <c r="AI90" s="2">
        <v>0</v>
      </c>
      <c r="AJ90" s="2"/>
      <c r="AK90" s="2"/>
      <c r="AL90" s="2"/>
      <c r="AM90" s="2">
        <v>10.9</v>
      </c>
      <c r="AN90" s="2"/>
      <c r="AO90" s="2"/>
      <c r="AP90" s="2"/>
      <c r="AQ90" s="2"/>
      <c r="AR90" s="2"/>
      <c r="AS90" s="2">
        <v>0.79999999999927196</v>
      </c>
      <c r="AT90" s="2">
        <v>2.0999999999985399</v>
      </c>
      <c r="AU90" s="2">
        <v>2</v>
      </c>
      <c r="AV90" s="2"/>
      <c r="AW90" s="2"/>
      <c r="AX90" s="2"/>
      <c r="AY90" s="2"/>
      <c r="AZ90" s="2">
        <v>0.29999999999972699</v>
      </c>
      <c r="BA90" s="2">
        <v>9.1999999999970896</v>
      </c>
      <c r="BB90" s="2">
        <v>16.099999999976699</v>
      </c>
      <c r="BC90" s="2"/>
      <c r="BD90" s="2">
        <v>4.4000000000014596</v>
      </c>
      <c r="BE90" s="2"/>
      <c r="BF90" s="2"/>
      <c r="BG90" s="2"/>
      <c r="BH90" s="2">
        <v>8.6</v>
      </c>
      <c r="BI90" s="2">
        <v>18.600000000005799</v>
      </c>
      <c r="BJ90" s="2"/>
      <c r="BK90" s="2"/>
      <c r="BL90" s="2">
        <v>1.7</v>
      </c>
      <c r="BM90" s="2"/>
      <c r="BN90" s="2"/>
      <c r="BO90" s="2"/>
      <c r="BP90" s="2"/>
      <c r="BQ90" s="2"/>
      <c r="BR90" s="2"/>
      <c r="BS90" s="2"/>
      <c r="BT90" s="2"/>
      <c r="BU90" s="2"/>
      <c r="BV90" s="2">
        <v>0</v>
      </c>
      <c r="BW90" s="2"/>
      <c r="BX90" s="2"/>
      <c r="BY90" s="2">
        <v>0</v>
      </c>
      <c r="BZ90" s="2"/>
      <c r="CA90" s="2">
        <v>0.8</v>
      </c>
      <c r="CB90" s="2"/>
      <c r="CC90" s="2"/>
      <c r="CD90" s="2">
        <v>1</v>
      </c>
      <c r="CE90" s="2">
        <v>5</v>
      </c>
      <c r="CF90" s="2">
        <v>3.5</v>
      </c>
      <c r="CG90" s="2">
        <v>1.8</v>
      </c>
      <c r="CH90" s="2">
        <v>19.5</v>
      </c>
      <c r="CI90" s="2">
        <v>18.5</v>
      </c>
      <c r="CJ90" s="2">
        <v>0.1</v>
      </c>
      <c r="CK90" s="2">
        <v>7</v>
      </c>
      <c r="CL90" s="2">
        <v>9</v>
      </c>
      <c r="CM90" s="2"/>
      <c r="CN90" s="2"/>
      <c r="CO90" s="2">
        <v>3.8</v>
      </c>
      <c r="CP90" s="2"/>
      <c r="CQ90" s="2">
        <v>0.4</v>
      </c>
      <c r="CR90" s="2">
        <v>0.2</v>
      </c>
      <c r="CS90" s="2"/>
      <c r="CT90" s="2"/>
      <c r="CU90" s="2"/>
      <c r="CV90" s="2">
        <v>0.1</v>
      </c>
      <c r="CW90" s="2">
        <v>9.5</v>
      </c>
      <c r="CX90" s="2">
        <v>5.6</v>
      </c>
      <c r="CY90" s="2"/>
      <c r="CZ90" s="2">
        <v>1</v>
      </c>
      <c r="DB90">
        <v>1918</v>
      </c>
      <c r="DC90">
        <v>27.3</v>
      </c>
      <c r="DE90" s="28">
        <v>1999</v>
      </c>
      <c r="DF90" s="27">
        <v>41265</v>
      </c>
      <c r="DG90">
        <v>50.1</v>
      </c>
      <c r="DH90">
        <v>89</v>
      </c>
    </row>
    <row r="91" spans="1:112">
      <c r="A91" s="1">
        <v>40998</v>
      </c>
      <c r="B91" s="2"/>
      <c r="C91" s="2">
        <v>5.5</v>
      </c>
      <c r="D91" s="2"/>
      <c r="E91" s="2"/>
      <c r="F91" s="2"/>
      <c r="G91" s="2">
        <v>0.2</v>
      </c>
      <c r="H91" s="2"/>
      <c r="I91" s="2"/>
      <c r="J91" s="2">
        <v>7.2</v>
      </c>
      <c r="K91" s="2">
        <v>8.6</v>
      </c>
      <c r="L91" s="2">
        <v>0.2</v>
      </c>
      <c r="M91" s="2"/>
      <c r="N91" s="2"/>
      <c r="O91" s="2">
        <v>0.3</v>
      </c>
      <c r="P91" s="2">
        <v>3.7</v>
      </c>
      <c r="Q91" s="2"/>
      <c r="R91" s="2"/>
      <c r="S91" s="2">
        <v>4.5999999999999996</v>
      </c>
      <c r="T91" s="2"/>
      <c r="U91" s="2">
        <v>0.8</v>
      </c>
      <c r="V91" s="2">
        <v>0</v>
      </c>
      <c r="W91" s="2"/>
      <c r="X91" s="2"/>
      <c r="Y91" s="2"/>
      <c r="Z91" s="2"/>
      <c r="AA91" s="2">
        <v>2.3999999999978199</v>
      </c>
      <c r="AB91" s="2"/>
      <c r="AC91" s="2">
        <v>0</v>
      </c>
      <c r="AD91" s="2"/>
      <c r="AE91" s="2">
        <v>10.899999999994201</v>
      </c>
      <c r="AF91" s="2"/>
      <c r="AG91" s="2">
        <v>4.5</v>
      </c>
      <c r="AH91" s="2"/>
      <c r="AI91" s="2"/>
      <c r="AJ91" s="2"/>
      <c r="AK91" s="2"/>
      <c r="AL91" s="2"/>
      <c r="AM91" s="2"/>
      <c r="AN91" s="2">
        <v>0.59999999999945397</v>
      </c>
      <c r="AO91" s="2"/>
      <c r="AP91" s="2"/>
      <c r="AQ91" s="2"/>
      <c r="AR91" s="2"/>
      <c r="AS91" s="2">
        <v>5</v>
      </c>
      <c r="AT91" s="2"/>
      <c r="AU91" s="2">
        <v>0.29999999999972699</v>
      </c>
      <c r="AV91" s="2"/>
      <c r="AW91" s="2"/>
      <c r="AX91" s="2"/>
      <c r="AY91" s="2"/>
      <c r="AZ91" s="2"/>
      <c r="BA91" s="2"/>
      <c r="BB91" s="2"/>
      <c r="BC91" s="2"/>
      <c r="BD91" s="2">
        <v>10.899999999994201</v>
      </c>
      <c r="BE91" s="2">
        <v>8</v>
      </c>
      <c r="BF91" s="2"/>
      <c r="BG91" s="2"/>
      <c r="BH91" s="2"/>
      <c r="BI91" s="2">
        <v>4.6999999999970896</v>
      </c>
      <c r="BJ91" s="2">
        <v>16.799999999988401</v>
      </c>
      <c r="BK91" s="2"/>
      <c r="BL91" s="2"/>
      <c r="BM91" s="2"/>
      <c r="BN91" s="2"/>
      <c r="BO91" s="2"/>
      <c r="BP91" s="2"/>
      <c r="BQ91" s="2">
        <v>2</v>
      </c>
      <c r="BR91" s="2"/>
      <c r="BS91" s="2"/>
      <c r="BT91" s="2"/>
      <c r="BU91" s="2"/>
      <c r="BV91" s="2">
        <v>0</v>
      </c>
      <c r="BW91" s="2"/>
      <c r="BX91" s="2">
        <v>3.8</v>
      </c>
      <c r="BY91" s="2">
        <v>0.1</v>
      </c>
      <c r="BZ91" s="2"/>
      <c r="CA91" s="2"/>
      <c r="CB91" s="2"/>
      <c r="CC91" s="2"/>
      <c r="CD91" s="2">
        <v>0.1</v>
      </c>
      <c r="CE91" s="2">
        <v>0.2</v>
      </c>
      <c r="CF91" s="2">
        <v>0</v>
      </c>
      <c r="CG91" s="2"/>
      <c r="CH91" s="2">
        <v>14.6</v>
      </c>
      <c r="CI91" s="2">
        <v>2.2999999999999998</v>
      </c>
      <c r="CJ91" s="2">
        <v>4.5</v>
      </c>
      <c r="CK91" s="2">
        <v>1.5</v>
      </c>
      <c r="CL91" s="2">
        <v>1</v>
      </c>
      <c r="CM91" s="2"/>
      <c r="CN91" s="2"/>
      <c r="CO91" s="2">
        <v>2.2000000000000002</v>
      </c>
      <c r="CP91" s="2"/>
      <c r="CQ91" s="2"/>
      <c r="CR91" s="2"/>
      <c r="CS91" s="2">
        <v>11</v>
      </c>
      <c r="CT91" s="2">
        <v>0.3</v>
      </c>
      <c r="CU91" s="2">
        <v>0.3</v>
      </c>
      <c r="CV91" s="2"/>
      <c r="CW91" s="2"/>
      <c r="CX91" s="2"/>
      <c r="CY91" s="2">
        <v>15.5</v>
      </c>
      <c r="CZ91" s="2"/>
      <c r="DB91">
        <v>1971</v>
      </c>
      <c r="DC91">
        <v>16.799999999988401</v>
      </c>
      <c r="DE91" s="28">
        <v>2000</v>
      </c>
      <c r="DF91" s="27">
        <v>40959</v>
      </c>
      <c r="DG91">
        <v>40.5</v>
      </c>
      <c r="DH91">
        <v>90</v>
      </c>
    </row>
    <row r="92" spans="1:112">
      <c r="A92" s="1">
        <v>40999</v>
      </c>
      <c r="B92" s="2"/>
      <c r="C92" s="2"/>
      <c r="D92" s="2"/>
      <c r="E92" s="2">
        <v>0.7</v>
      </c>
      <c r="F92" s="2"/>
      <c r="G92" s="2"/>
      <c r="H92" s="2"/>
      <c r="I92" s="2"/>
      <c r="J92" s="2"/>
      <c r="K92" s="2"/>
      <c r="L92" s="2"/>
      <c r="M92" s="2"/>
      <c r="N92" s="2"/>
      <c r="O92" s="2">
        <v>1.4</v>
      </c>
      <c r="P92" s="2">
        <v>14.2</v>
      </c>
      <c r="Q92" s="2"/>
      <c r="R92" s="2"/>
      <c r="S92" s="2"/>
      <c r="T92" s="2">
        <v>0</v>
      </c>
      <c r="U92" s="2">
        <v>1.8</v>
      </c>
      <c r="V92" s="2">
        <v>0.6</v>
      </c>
      <c r="W92" s="2"/>
      <c r="X92" s="2"/>
      <c r="Y92" s="2">
        <v>0.3</v>
      </c>
      <c r="Z92" s="2">
        <v>3.0999999999985399</v>
      </c>
      <c r="AA92" s="2"/>
      <c r="AB92" s="2"/>
      <c r="AC92" s="2">
        <v>0</v>
      </c>
      <c r="AD92" s="2"/>
      <c r="AE92" s="2"/>
      <c r="AF92" s="2"/>
      <c r="AG92" s="2">
        <v>7.5999999999985501</v>
      </c>
      <c r="AH92" s="2"/>
      <c r="AI92" s="2">
        <v>0.1</v>
      </c>
      <c r="AJ92" s="2"/>
      <c r="AK92" s="2"/>
      <c r="AL92" s="2"/>
      <c r="AM92" s="2"/>
      <c r="AN92" s="2">
        <v>2.1999999999970901</v>
      </c>
      <c r="AO92" s="2"/>
      <c r="AP92" s="2"/>
      <c r="AQ92" s="2"/>
      <c r="AR92" s="2"/>
      <c r="AS92" s="2"/>
      <c r="AT92" s="2"/>
      <c r="AU92" s="2"/>
      <c r="AV92" s="2"/>
      <c r="AW92" s="2">
        <v>10</v>
      </c>
      <c r="AX92" s="2"/>
      <c r="AY92" s="2"/>
      <c r="AZ92" s="2"/>
      <c r="BA92" s="2"/>
      <c r="BB92" s="2">
        <v>0.89999999999963598</v>
      </c>
      <c r="BC92" s="2"/>
      <c r="BD92" s="2">
        <v>4.6999999999970896</v>
      </c>
      <c r="BE92" s="2">
        <v>8.8000000000029104</v>
      </c>
      <c r="BF92" s="2"/>
      <c r="BG92" s="2"/>
      <c r="BH92" s="2"/>
      <c r="BI92" s="2"/>
      <c r="BJ92" s="2">
        <v>0.89999999999963598</v>
      </c>
      <c r="BK92" s="2"/>
      <c r="BL92" s="2">
        <v>0.1</v>
      </c>
      <c r="BM92" s="2"/>
      <c r="BN92" s="2"/>
      <c r="BO92" s="2"/>
      <c r="BP92" s="2"/>
      <c r="BQ92" s="2">
        <v>0.2</v>
      </c>
      <c r="BR92" s="2"/>
      <c r="BS92" s="2">
        <v>0.100000000000023</v>
      </c>
      <c r="BT92" s="2">
        <v>0.100000000000023</v>
      </c>
      <c r="BU92" s="2"/>
      <c r="BV92" s="2">
        <v>1.4</v>
      </c>
      <c r="BW92" s="2">
        <v>2.6</v>
      </c>
      <c r="BX92" s="2">
        <v>8</v>
      </c>
      <c r="BY92" s="2"/>
      <c r="BZ92" s="2"/>
      <c r="CA92" s="2"/>
      <c r="CB92" s="2"/>
      <c r="CC92" s="2"/>
      <c r="CD92" s="2">
        <v>1.3</v>
      </c>
      <c r="CE92" s="2"/>
      <c r="CF92" s="2">
        <v>1.5</v>
      </c>
      <c r="CG92" s="2"/>
      <c r="CH92" s="2">
        <v>1.8</v>
      </c>
      <c r="CI92" s="2">
        <v>9.1999999999999993</v>
      </c>
      <c r="CJ92" s="2">
        <v>1</v>
      </c>
      <c r="CK92" s="2"/>
      <c r="CL92" s="2">
        <v>6.5</v>
      </c>
      <c r="CM92" s="2"/>
      <c r="CN92" s="2"/>
      <c r="CO92" s="2">
        <v>0.5</v>
      </c>
      <c r="CP92" s="2"/>
      <c r="CQ92" s="2"/>
      <c r="CR92" s="2"/>
      <c r="CS92" s="2"/>
      <c r="CT92" s="2">
        <v>7.6</v>
      </c>
      <c r="CU92" s="2">
        <v>0.1</v>
      </c>
      <c r="CV92" s="2"/>
      <c r="CW92" s="2"/>
      <c r="CX92" s="2">
        <v>0.5</v>
      </c>
      <c r="CY92" s="2"/>
      <c r="CZ92" s="2"/>
      <c r="DB92">
        <v>1925</v>
      </c>
      <c r="DC92">
        <v>14.2</v>
      </c>
      <c r="DE92" s="28">
        <v>2001</v>
      </c>
      <c r="DF92" s="27">
        <v>41250</v>
      </c>
      <c r="DG92">
        <v>38.4</v>
      </c>
      <c r="DH92">
        <v>91</v>
      </c>
    </row>
    <row r="93" spans="1:112">
      <c r="A93" s="1">
        <v>41000</v>
      </c>
      <c r="B93" s="2"/>
      <c r="C93" s="2"/>
      <c r="D93" s="2"/>
      <c r="E93" s="2">
        <v>1.4</v>
      </c>
      <c r="F93" s="2">
        <v>1</v>
      </c>
      <c r="G93" s="2">
        <v>0.2</v>
      </c>
      <c r="H93" s="2"/>
      <c r="I93" s="2"/>
      <c r="J93" s="2"/>
      <c r="K93" s="2"/>
      <c r="L93" s="2"/>
      <c r="M93" s="2"/>
      <c r="N93" s="2"/>
      <c r="O93" s="2"/>
      <c r="P93" s="2">
        <v>4.2</v>
      </c>
      <c r="Q93" s="2"/>
      <c r="R93" s="2"/>
      <c r="S93" s="2"/>
      <c r="T93" s="2">
        <v>1.5</v>
      </c>
      <c r="U93" s="2"/>
      <c r="V93" s="2">
        <v>6.8</v>
      </c>
      <c r="W93" s="2"/>
      <c r="X93" s="2"/>
      <c r="Y93" s="2">
        <v>12.5</v>
      </c>
      <c r="Z93" s="2">
        <v>1.29999999999927</v>
      </c>
      <c r="AA93" s="2"/>
      <c r="AB93" s="2"/>
      <c r="AC93" s="2">
        <v>9.9999999999908995E-2</v>
      </c>
      <c r="AD93" s="2"/>
      <c r="AE93" s="2">
        <v>9.1999999999970896</v>
      </c>
      <c r="AF93" s="2"/>
      <c r="AG93" s="2">
        <v>1.1999999999989099</v>
      </c>
      <c r="AH93" s="2"/>
      <c r="AI93" s="2">
        <v>15.799999999988399</v>
      </c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>
        <v>14.799999999988399</v>
      </c>
      <c r="AX93" s="2"/>
      <c r="AY93" s="2"/>
      <c r="AZ93" s="2"/>
      <c r="BA93" s="2">
        <v>9.5</v>
      </c>
      <c r="BB93" s="2">
        <v>0.5</v>
      </c>
      <c r="BC93" s="2"/>
      <c r="BD93" s="2">
        <v>8.4</v>
      </c>
      <c r="BE93" s="2"/>
      <c r="BF93" s="2">
        <v>11.1999999999971</v>
      </c>
      <c r="BG93" s="2"/>
      <c r="BH93" s="2"/>
      <c r="BI93" s="2"/>
      <c r="BJ93" s="2">
        <v>0.100000000000023</v>
      </c>
      <c r="BK93" s="2"/>
      <c r="BL93" s="2"/>
      <c r="BM93" s="2">
        <v>7.9000000000014596</v>
      </c>
      <c r="BN93" s="2"/>
      <c r="BO93" s="2"/>
      <c r="BP93" s="2"/>
      <c r="BQ93" s="2"/>
      <c r="BR93" s="2">
        <v>0.400000000000091</v>
      </c>
      <c r="BS93" s="2">
        <v>0</v>
      </c>
      <c r="BT93" s="2"/>
      <c r="BU93" s="2">
        <v>6.0999999999985501</v>
      </c>
      <c r="BV93" s="2">
        <v>1.4</v>
      </c>
      <c r="BW93" s="2"/>
      <c r="BX93" s="2">
        <v>0.1</v>
      </c>
      <c r="BY93" s="2"/>
      <c r="BZ93" s="2"/>
      <c r="CA93" s="2"/>
      <c r="CB93" s="2"/>
      <c r="CC93" s="2"/>
      <c r="CD93" s="2">
        <v>7.4</v>
      </c>
      <c r="CE93" s="2"/>
      <c r="CF93" s="2">
        <v>4.8</v>
      </c>
      <c r="CG93" s="2"/>
      <c r="CH93" s="2"/>
      <c r="CI93" s="2">
        <v>0.3</v>
      </c>
      <c r="CJ93" s="2">
        <v>13</v>
      </c>
      <c r="CK93" s="2"/>
      <c r="CL93" s="2">
        <v>1</v>
      </c>
      <c r="CM93" s="2"/>
      <c r="CN93" s="2">
        <v>1.4</v>
      </c>
      <c r="CO93" s="2">
        <v>1.4</v>
      </c>
      <c r="CP93" s="2">
        <v>8.1</v>
      </c>
      <c r="CQ93" s="2"/>
      <c r="CR93" s="2">
        <v>0.1</v>
      </c>
      <c r="CS93" s="2"/>
      <c r="CT93" s="2">
        <v>0.1</v>
      </c>
      <c r="CU93" s="2">
        <v>0.1</v>
      </c>
      <c r="CV93" s="2"/>
      <c r="CW93" s="2">
        <v>0.5</v>
      </c>
      <c r="CX93" s="2">
        <v>4.5999999999999996</v>
      </c>
      <c r="CY93" s="2">
        <v>21.8</v>
      </c>
      <c r="CZ93" s="2"/>
      <c r="DB93">
        <v>2012</v>
      </c>
      <c r="DC93">
        <v>21.8</v>
      </c>
      <c r="DE93" s="28">
        <v>2002</v>
      </c>
      <c r="DF93" s="27">
        <v>41138</v>
      </c>
      <c r="DG93">
        <v>56.3</v>
      </c>
      <c r="DH93">
        <v>92</v>
      </c>
    </row>
    <row r="94" spans="1:112">
      <c r="A94" s="1">
        <v>41001</v>
      </c>
      <c r="B94" s="2"/>
      <c r="C94" s="2"/>
      <c r="D94" s="2"/>
      <c r="E94" s="2"/>
      <c r="F94" s="2">
        <v>0.7</v>
      </c>
      <c r="G94" s="2"/>
      <c r="H94" s="2"/>
      <c r="I94" s="2"/>
      <c r="J94" s="2"/>
      <c r="K94" s="2">
        <v>6.2</v>
      </c>
      <c r="L94" s="2"/>
      <c r="M94" s="2"/>
      <c r="N94" s="2">
        <v>7</v>
      </c>
      <c r="O94" s="2"/>
      <c r="P94" s="2"/>
      <c r="Q94" s="2"/>
      <c r="R94" s="2">
        <v>7</v>
      </c>
      <c r="S94" s="2">
        <v>0.2</v>
      </c>
      <c r="T94" s="2"/>
      <c r="U94" s="2"/>
      <c r="V94" s="2"/>
      <c r="W94" s="2"/>
      <c r="X94" s="2"/>
      <c r="Y94" s="2"/>
      <c r="Z94" s="2"/>
      <c r="AA94" s="2"/>
      <c r="AB94" s="2">
        <v>3.0999999999985399</v>
      </c>
      <c r="AC94" s="2"/>
      <c r="AD94" s="2"/>
      <c r="AE94" s="2">
        <v>1.5999999999985499</v>
      </c>
      <c r="AF94" s="2"/>
      <c r="AG94" s="2"/>
      <c r="AH94" s="2">
        <v>20.599999999976699</v>
      </c>
      <c r="AI94" s="2">
        <v>3.0999999999985399</v>
      </c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>
        <v>9</v>
      </c>
      <c r="AY94" s="2">
        <v>2.5999999999985399</v>
      </c>
      <c r="AZ94" s="2"/>
      <c r="BA94" s="2">
        <v>1</v>
      </c>
      <c r="BB94" s="2">
        <v>7</v>
      </c>
      <c r="BC94" s="2"/>
      <c r="BD94" s="2">
        <v>0</v>
      </c>
      <c r="BE94" s="2"/>
      <c r="BF94" s="2">
        <v>0.30000000000018201</v>
      </c>
      <c r="BG94" s="2"/>
      <c r="BH94" s="2"/>
      <c r="BI94" s="2"/>
      <c r="BJ94" s="2">
        <v>4.5</v>
      </c>
      <c r="BK94" s="2">
        <v>11.399999999994201</v>
      </c>
      <c r="BL94" s="2">
        <v>0.100000000000023</v>
      </c>
      <c r="BM94" s="2">
        <v>2.0999999999985399</v>
      </c>
      <c r="BN94" s="2"/>
      <c r="BO94" s="2"/>
      <c r="BP94" s="2"/>
      <c r="BQ94" s="2">
        <v>3.4000000000014601</v>
      </c>
      <c r="BR94" s="2">
        <v>3.4000000000014601</v>
      </c>
      <c r="BS94" s="2">
        <v>0.200000000000045</v>
      </c>
      <c r="BT94" s="2"/>
      <c r="BU94" s="2">
        <v>3.4000000000014601</v>
      </c>
      <c r="BV94" s="2">
        <v>0.2</v>
      </c>
      <c r="BW94" s="2"/>
      <c r="BX94" s="2"/>
      <c r="BY94" s="2"/>
      <c r="BZ94" s="2">
        <v>0.2</v>
      </c>
      <c r="CA94" s="2"/>
      <c r="CB94" s="2"/>
      <c r="CC94" s="2"/>
      <c r="CD94" s="2">
        <v>16.5</v>
      </c>
      <c r="CE94" s="2">
        <v>3.8</v>
      </c>
      <c r="CF94" s="2">
        <v>0.1</v>
      </c>
      <c r="CG94" s="2"/>
      <c r="CH94" s="2">
        <v>0.1</v>
      </c>
      <c r="CI94" s="2"/>
      <c r="CJ94" s="2">
        <v>1.8</v>
      </c>
      <c r="CK94" s="2"/>
      <c r="CL94" s="2"/>
      <c r="CM94" s="2"/>
      <c r="CN94" s="2">
        <v>1</v>
      </c>
      <c r="CO94" s="2">
        <v>0</v>
      </c>
      <c r="CP94" s="2">
        <v>8.9</v>
      </c>
      <c r="CQ94" s="2">
        <v>0.1</v>
      </c>
      <c r="CR94" s="2">
        <v>3.1</v>
      </c>
      <c r="CS94" s="2"/>
      <c r="CT94" s="2"/>
      <c r="CU94" s="2"/>
      <c r="CV94" s="2">
        <v>0.2</v>
      </c>
      <c r="CW94" s="2">
        <v>4</v>
      </c>
      <c r="CX94" s="2">
        <v>23.2</v>
      </c>
      <c r="CY94" s="2"/>
      <c r="CZ94" s="2">
        <v>0.1</v>
      </c>
      <c r="DB94">
        <v>2011</v>
      </c>
      <c r="DC94">
        <v>23.2</v>
      </c>
      <c r="DE94" s="28">
        <v>2003</v>
      </c>
      <c r="DF94" s="27">
        <v>40946</v>
      </c>
      <c r="DG94">
        <v>33.700000000000003</v>
      </c>
      <c r="DH94">
        <v>93</v>
      </c>
    </row>
    <row r="95" spans="1:112">
      <c r="A95" s="1">
        <v>41002</v>
      </c>
      <c r="B95" s="2"/>
      <c r="C95" s="2">
        <v>1</v>
      </c>
      <c r="D95" s="2"/>
      <c r="E95" s="2"/>
      <c r="F95" s="2"/>
      <c r="G95" s="2"/>
      <c r="H95" s="2"/>
      <c r="I95" s="2"/>
      <c r="J95" s="2"/>
      <c r="K95" s="2"/>
      <c r="L95" s="2">
        <v>5.9</v>
      </c>
      <c r="M95" s="2">
        <v>4.9000000000000004</v>
      </c>
      <c r="N95" s="2"/>
      <c r="O95" s="2"/>
      <c r="P95" s="2"/>
      <c r="Q95" s="2">
        <v>4.5999999999999996</v>
      </c>
      <c r="R95" s="2">
        <v>6.8</v>
      </c>
      <c r="S95" s="2">
        <v>0.6</v>
      </c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>
        <v>3.5999999999985399</v>
      </c>
      <c r="AF95" s="2"/>
      <c r="AG95" s="2">
        <v>0.19999999999981799</v>
      </c>
      <c r="AH95" s="2">
        <v>5</v>
      </c>
      <c r="AI95" s="2"/>
      <c r="AJ95" s="2"/>
      <c r="AK95" s="2"/>
      <c r="AL95" s="2"/>
      <c r="AM95" s="2"/>
      <c r="AN95" s="2"/>
      <c r="AO95" s="2">
        <v>2.1999999999970901</v>
      </c>
      <c r="AP95" s="2"/>
      <c r="AQ95" s="2"/>
      <c r="AR95" s="2"/>
      <c r="AS95" s="2">
        <v>0.5</v>
      </c>
      <c r="AT95" s="2">
        <v>7.1999999999970896</v>
      </c>
      <c r="AU95" s="2">
        <v>0.79999999999927196</v>
      </c>
      <c r="AV95" s="2"/>
      <c r="AW95" s="2"/>
      <c r="AX95" s="2">
        <v>6.0999999999985501</v>
      </c>
      <c r="AY95" s="2">
        <v>4.2999999999956398</v>
      </c>
      <c r="AZ95" s="2"/>
      <c r="BA95" s="2"/>
      <c r="BB95" s="2">
        <v>12.1999999999971</v>
      </c>
      <c r="BC95" s="2"/>
      <c r="BD95" s="2">
        <v>0.200000000000045</v>
      </c>
      <c r="BE95" s="2"/>
      <c r="BF95" s="2"/>
      <c r="BG95" s="2">
        <v>0.100000000000023</v>
      </c>
      <c r="BH95" s="2"/>
      <c r="BI95" s="2">
        <v>10.100000000005799</v>
      </c>
      <c r="BJ95" s="2">
        <v>3</v>
      </c>
      <c r="BK95" s="2"/>
      <c r="BL95" s="2">
        <v>0.100000000000023</v>
      </c>
      <c r="BM95" s="2">
        <v>0.5</v>
      </c>
      <c r="BN95" s="2"/>
      <c r="BO95" s="2"/>
      <c r="BP95" s="2"/>
      <c r="BQ95" s="2"/>
      <c r="BR95" s="2">
        <v>2.9000000000014601</v>
      </c>
      <c r="BS95" s="2">
        <v>0.100000000000023</v>
      </c>
      <c r="BT95" s="2">
        <v>3.0999999999985399</v>
      </c>
      <c r="BU95" s="2">
        <v>1.29999999999927</v>
      </c>
      <c r="BV95" s="2"/>
      <c r="BW95" s="2"/>
      <c r="BX95" s="2"/>
      <c r="BY95" s="2"/>
      <c r="BZ95" s="2"/>
      <c r="CA95" s="2"/>
      <c r="CB95" s="2"/>
      <c r="CC95" s="2"/>
      <c r="CD95" s="2">
        <v>0.7</v>
      </c>
      <c r="CE95" s="2"/>
      <c r="CF95" s="2"/>
      <c r="CG95" s="2"/>
      <c r="CH95" s="2">
        <v>2.5</v>
      </c>
      <c r="CI95" s="2"/>
      <c r="CJ95" s="2">
        <v>0.3</v>
      </c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>
        <v>2.2999999999999998</v>
      </c>
      <c r="CY95" s="2"/>
      <c r="CZ95" s="2">
        <v>9.6</v>
      </c>
      <c r="DB95">
        <v>1963</v>
      </c>
      <c r="DC95">
        <v>12.1999999999971</v>
      </c>
      <c r="DE95" s="28">
        <v>2004</v>
      </c>
      <c r="DF95" s="27">
        <v>41189</v>
      </c>
      <c r="DG95">
        <v>120.5</v>
      </c>
      <c r="DH95">
        <v>94</v>
      </c>
    </row>
    <row r="96" spans="1:112">
      <c r="A96" s="1">
        <v>41003</v>
      </c>
      <c r="B96" s="2"/>
      <c r="C96" s="2">
        <v>3</v>
      </c>
      <c r="D96" s="2"/>
      <c r="E96" s="2"/>
      <c r="F96" s="2"/>
      <c r="G96" s="2"/>
      <c r="H96" s="2"/>
      <c r="I96" s="2"/>
      <c r="J96" s="2"/>
      <c r="K96" s="2"/>
      <c r="L96" s="2">
        <v>8.6</v>
      </c>
      <c r="M96" s="2"/>
      <c r="N96" s="2"/>
      <c r="O96" s="2">
        <v>18.399999999999999</v>
      </c>
      <c r="P96" s="2"/>
      <c r="Q96" s="2">
        <v>4.4000000000000004</v>
      </c>
      <c r="R96" s="2">
        <v>7.1</v>
      </c>
      <c r="S96" s="2">
        <v>5.6</v>
      </c>
      <c r="T96" s="2">
        <v>3.5</v>
      </c>
      <c r="U96" s="2">
        <v>0</v>
      </c>
      <c r="V96" s="2"/>
      <c r="W96" s="2"/>
      <c r="X96" s="2">
        <v>3.2</v>
      </c>
      <c r="Y96" s="2">
        <v>2.6999999999970901</v>
      </c>
      <c r="Z96" s="2"/>
      <c r="AA96" s="2"/>
      <c r="AB96" s="2"/>
      <c r="AC96" s="2">
        <v>4.79999999999563</v>
      </c>
      <c r="AD96" s="2"/>
      <c r="AE96" s="2"/>
      <c r="AF96" s="2"/>
      <c r="AG96" s="2"/>
      <c r="AH96" s="2">
        <v>1.1999999999989099</v>
      </c>
      <c r="AI96" s="2"/>
      <c r="AJ96" s="2"/>
      <c r="AK96" s="2"/>
      <c r="AL96" s="2"/>
      <c r="AM96" s="2"/>
      <c r="AN96" s="2">
        <v>1.89999999999964</v>
      </c>
      <c r="AO96" s="2">
        <v>0.79999999999927196</v>
      </c>
      <c r="AP96" s="2">
        <v>1</v>
      </c>
      <c r="AQ96" s="2">
        <v>0.5</v>
      </c>
      <c r="AR96" s="2">
        <v>0.29999999999972699</v>
      </c>
      <c r="AS96" s="2"/>
      <c r="AT96" s="2">
        <v>0.79999999999927196</v>
      </c>
      <c r="AU96" s="2"/>
      <c r="AV96" s="2"/>
      <c r="AW96" s="2"/>
      <c r="AX96" s="2"/>
      <c r="AY96" s="2">
        <v>2.5999999999985399</v>
      </c>
      <c r="AZ96" s="2"/>
      <c r="BA96" s="2"/>
      <c r="BB96" s="2"/>
      <c r="BC96" s="2"/>
      <c r="BD96" s="2"/>
      <c r="BE96" s="2">
        <v>0.400000000000091</v>
      </c>
      <c r="BF96" s="2"/>
      <c r="BG96" s="2"/>
      <c r="BH96" s="2"/>
      <c r="BI96" s="2">
        <v>2</v>
      </c>
      <c r="BJ96" s="2">
        <v>0.100000000000023</v>
      </c>
      <c r="BK96" s="2"/>
      <c r="BL96" s="2">
        <v>0.100000000000023</v>
      </c>
      <c r="BM96" s="2"/>
      <c r="BN96" s="2"/>
      <c r="BO96" s="2">
        <v>0.100000000000023</v>
      </c>
      <c r="BP96" s="2"/>
      <c r="BQ96" s="2">
        <v>7.0999999999985501</v>
      </c>
      <c r="BR96" s="2">
        <v>1.29999999999927</v>
      </c>
      <c r="BS96" s="2">
        <v>6</v>
      </c>
      <c r="BT96" s="2">
        <v>0.80000000000018201</v>
      </c>
      <c r="BU96" s="2">
        <v>3</v>
      </c>
      <c r="BV96" s="2">
        <v>0.1</v>
      </c>
      <c r="BW96" s="2"/>
      <c r="BX96" s="2"/>
      <c r="BY96" s="2">
        <v>0</v>
      </c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>
        <v>1.5</v>
      </c>
      <c r="CK96" s="2"/>
      <c r="CL96" s="2">
        <v>0.5</v>
      </c>
      <c r="CM96" s="2"/>
      <c r="CN96" s="2"/>
      <c r="CO96" s="2">
        <v>2.2999999999999998</v>
      </c>
      <c r="CP96" s="2"/>
      <c r="CQ96" s="2"/>
      <c r="CR96" s="2"/>
      <c r="CS96" s="2"/>
      <c r="CT96" s="2">
        <v>0.4</v>
      </c>
      <c r="CU96" s="2"/>
      <c r="CV96" s="2"/>
      <c r="CW96" s="2"/>
      <c r="CX96" s="2">
        <v>1.2</v>
      </c>
      <c r="CY96" s="2"/>
      <c r="CZ96" s="2"/>
      <c r="DB96">
        <v>1924</v>
      </c>
      <c r="DC96">
        <v>18.399999999999999</v>
      </c>
      <c r="DE96" s="28">
        <v>2005</v>
      </c>
      <c r="DF96" s="27">
        <v>41261</v>
      </c>
      <c r="DG96">
        <v>41.3</v>
      </c>
      <c r="DH96">
        <v>95</v>
      </c>
    </row>
    <row r="97" spans="1:112">
      <c r="A97" s="1">
        <v>41004</v>
      </c>
      <c r="B97" s="2"/>
      <c r="C97" s="2"/>
      <c r="D97" s="2"/>
      <c r="E97" s="2">
        <v>4.5</v>
      </c>
      <c r="F97" s="2">
        <v>6.3</v>
      </c>
      <c r="G97" s="2"/>
      <c r="H97" s="2"/>
      <c r="I97" s="2"/>
      <c r="J97" s="2"/>
      <c r="K97" s="2">
        <v>2.9</v>
      </c>
      <c r="L97" s="2">
        <v>1.5</v>
      </c>
      <c r="M97" s="2">
        <v>1.5</v>
      </c>
      <c r="N97" s="2"/>
      <c r="O97" s="2">
        <v>3.6</v>
      </c>
      <c r="P97" s="2"/>
      <c r="Q97" s="2"/>
      <c r="R97" s="2">
        <v>4</v>
      </c>
      <c r="S97" s="2"/>
      <c r="T97" s="2">
        <v>14.1</v>
      </c>
      <c r="U97" s="2"/>
      <c r="V97" s="2">
        <v>0.2</v>
      </c>
      <c r="W97" s="2"/>
      <c r="X97" s="2">
        <v>2.5</v>
      </c>
      <c r="Y97" s="2">
        <v>1</v>
      </c>
      <c r="Z97" s="2"/>
      <c r="AA97" s="2">
        <v>4.1999999999970896</v>
      </c>
      <c r="AB97" s="2">
        <v>27.299999999988401</v>
      </c>
      <c r="AC97" s="2">
        <v>8.5999999999912706</v>
      </c>
      <c r="AD97" s="2"/>
      <c r="AE97" s="2">
        <v>0</v>
      </c>
      <c r="AF97" s="2"/>
      <c r="AG97" s="2">
        <v>0.19999999999981799</v>
      </c>
      <c r="AH97" s="2">
        <v>0</v>
      </c>
      <c r="AI97" s="2"/>
      <c r="AJ97" s="2"/>
      <c r="AK97" s="2"/>
      <c r="AL97" s="2"/>
      <c r="AM97" s="2"/>
      <c r="AN97" s="2"/>
      <c r="AO97" s="2">
        <v>0.2</v>
      </c>
      <c r="AP97" s="2">
        <v>0.59999999999945397</v>
      </c>
      <c r="AQ97" s="2"/>
      <c r="AR97" s="2"/>
      <c r="AS97" s="2">
        <v>0.59999999999945397</v>
      </c>
      <c r="AT97" s="2">
        <v>5.5</v>
      </c>
      <c r="AU97" s="2"/>
      <c r="AV97" s="2"/>
      <c r="AW97" s="2"/>
      <c r="AX97" s="2"/>
      <c r="AY97" s="2"/>
      <c r="AZ97" s="2"/>
      <c r="BA97" s="2"/>
      <c r="BB97" s="2"/>
      <c r="BC97" s="2"/>
      <c r="BD97" s="2">
        <v>2.2999999999992702</v>
      </c>
      <c r="BE97" s="2">
        <v>5.1999999999970896</v>
      </c>
      <c r="BF97" s="2"/>
      <c r="BG97" s="2"/>
      <c r="BH97" s="2"/>
      <c r="BI97" s="2">
        <v>0.89999999999963598</v>
      </c>
      <c r="BJ97" s="2"/>
      <c r="BK97" s="2"/>
      <c r="BL97" s="2"/>
      <c r="BM97" s="2">
        <v>0.30000000000018201</v>
      </c>
      <c r="BN97" s="2"/>
      <c r="BO97" s="2"/>
      <c r="BP97" s="2"/>
      <c r="BQ97" s="2">
        <v>1.5</v>
      </c>
      <c r="BR97" s="2"/>
      <c r="BS97" s="2">
        <v>0.200000000000045</v>
      </c>
      <c r="BT97" s="2"/>
      <c r="BU97" s="2">
        <v>0.200000000000045</v>
      </c>
      <c r="BV97" s="2">
        <v>18</v>
      </c>
      <c r="BW97" s="2">
        <v>0</v>
      </c>
      <c r="BX97" s="2"/>
      <c r="BY97" s="2">
        <v>0</v>
      </c>
      <c r="BZ97" s="2"/>
      <c r="CA97" s="2">
        <v>0.1</v>
      </c>
      <c r="CB97" s="2"/>
      <c r="CC97" s="2"/>
      <c r="CD97" s="2"/>
      <c r="CE97" s="2"/>
      <c r="CF97" s="2"/>
      <c r="CG97" s="2">
        <v>0.3</v>
      </c>
      <c r="CH97" s="2">
        <v>2</v>
      </c>
      <c r="CI97" s="2">
        <v>13.4</v>
      </c>
      <c r="CJ97" s="2">
        <v>30.9</v>
      </c>
      <c r="CK97" s="2"/>
      <c r="CL97" s="2"/>
      <c r="CM97" s="2"/>
      <c r="CN97" s="2"/>
      <c r="CO97" s="2">
        <v>24.2</v>
      </c>
      <c r="CP97" s="2">
        <v>8.6</v>
      </c>
      <c r="CQ97" s="2"/>
      <c r="CR97" s="2"/>
      <c r="CS97" s="2"/>
      <c r="CT97" s="2">
        <v>2.4</v>
      </c>
      <c r="CU97" s="2">
        <v>0.5</v>
      </c>
      <c r="CV97" s="2">
        <v>0.9</v>
      </c>
      <c r="CW97" s="2"/>
      <c r="CX97" s="2">
        <v>1.2</v>
      </c>
      <c r="CY97" s="2"/>
      <c r="CZ97" s="2"/>
      <c r="DB97">
        <v>1997</v>
      </c>
      <c r="DC97">
        <v>30.9</v>
      </c>
      <c r="DE97" s="28">
        <v>2006</v>
      </c>
      <c r="DF97" s="27">
        <v>41175</v>
      </c>
      <c r="DG97">
        <v>47.6</v>
      </c>
      <c r="DH97">
        <v>96</v>
      </c>
    </row>
    <row r="98" spans="1:112">
      <c r="A98" s="1">
        <v>41005</v>
      </c>
      <c r="B98" s="2"/>
      <c r="C98" s="2"/>
      <c r="D98" s="2"/>
      <c r="E98" s="2">
        <v>1</v>
      </c>
      <c r="F98" s="2">
        <v>17.100000000000001</v>
      </c>
      <c r="G98" s="2">
        <v>0.2</v>
      </c>
      <c r="H98" s="2"/>
      <c r="I98" s="2"/>
      <c r="J98" s="2"/>
      <c r="K98" s="2"/>
      <c r="L98" s="2"/>
      <c r="M98" s="2">
        <v>16.100000000000001</v>
      </c>
      <c r="N98" s="2">
        <v>4.9000000000000004</v>
      </c>
      <c r="O98" s="2"/>
      <c r="P98" s="2"/>
      <c r="Q98" s="2"/>
      <c r="R98" s="2"/>
      <c r="S98" s="2"/>
      <c r="T98" s="2"/>
      <c r="U98" s="2">
        <v>0</v>
      </c>
      <c r="V98" s="2"/>
      <c r="W98" s="2"/>
      <c r="X98" s="2"/>
      <c r="Y98" s="2"/>
      <c r="Z98" s="2"/>
      <c r="AA98" s="2">
        <v>1.79999999999927</v>
      </c>
      <c r="AB98" s="2">
        <v>3.7999999999992702</v>
      </c>
      <c r="AC98" s="2">
        <v>12.299999999988399</v>
      </c>
      <c r="AD98" s="2"/>
      <c r="AE98" s="2">
        <v>2.5</v>
      </c>
      <c r="AF98" s="2"/>
      <c r="AG98" s="2"/>
      <c r="AH98" s="2"/>
      <c r="AI98" s="2"/>
      <c r="AJ98" s="2"/>
      <c r="AK98" s="2"/>
      <c r="AL98" s="2"/>
      <c r="AM98" s="2"/>
      <c r="AN98" s="2"/>
      <c r="AO98" s="2">
        <v>9.0999999999912706</v>
      </c>
      <c r="AP98" s="2">
        <v>0.5</v>
      </c>
      <c r="AQ98" s="2"/>
      <c r="AR98" s="2"/>
      <c r="AS98" s="2"/>
      <c r="AT98" s="2">
        <v>7</v>
      </c>
      <c r="AU98" s="2">
        <v>4.5</v>
      </c>
      <c r="AV98" s="2"/>
      <c r="AW98" s="2">
        <v>0.19999999999981799</v>
      </c>
      <c r="AX98" s="2"/>
      <c r="AY98" s="2">
        <v>5.5</v>
      </c>
      <c r="AZ98" s="2"/>
      <c r="BA98" s="2">
        <v>1.39999999999964</v>
      </c>
      <c r="BB98" s="2"/>
      <c r="BC98" s="2"/>
      <c r="BD98" s="2">
        <v>0.400000000000091</v>
      </c>
      <c r="BE98" s="2">
        <v>1.70000000000073</v>
      </c>
      <c r="BF98" s="2"/>
      <c r="BG98" s="2"/>
      <c r="BH98" s="2"/>
      <c r="BI98" s="2">
        <v>6.9000000000014596</v>
      </c>
      <c r="BJ98" s="2">
        <v>0.100000000000023</v>
      </c>
      <c r="BK98" s="2"/>
      <c r="BL98" s="2">
        <v>8.6000000000058208</v>
      </c>
      <c r="BM98" s="2"/>
      <c r="BN98" s="2"/>
      <c r="BO98" s="2"/>
      <c r="BP98" s="2"/>
      <c r="BQ98" s="2">
        <v>5.1999999999970896</v>
      </c>
      <c r="BR98" s="2"/>
      <c r="BS98" s="2">
        <v>14.3000000000029</v>
      </c>
      <c r="BT98" s="2"/>
      <c r="BU98" s="2">
        <v>0</v>
      </c>
      <c r="BV98" s="2">
        <v>5</v>
      </c>
      <c r="BW98" s="2">
        <v>0.59999999999945397</v>
      </c>
      <c r="BX98" s="2"/>
      <c r="BY98" s="2">
        <v>0</v>
      </c>
      <c r="BZ98" s="2"/>
      <c r="CA98" s="2"/>
      <c r="CB98" s="2"/>
      <c r="CC98" s="2"/>
      <c r="CD98" s="2"/>
      <c r="CE98" s="2"/>
      <c r="CF98" s="2"/>
      <c r="CG98" s="2">
        <v>0.8</v>
      </c>
      <c r="CH98" s="2">
        <v>0.8</v>
      </c>
      <c r="CI98" s="2">
        <v>9.1</v>
      </c>
      <c r="CJ98" s="2">
        <v>2.5</v>
      </c>
      <c r="CK98" s="2"/>
      <c r="CL98" s="2"/>
      <c r="CM98" s="2">
        <v>0.6</v>
      </c>
      <c r="CN98" s="2"/>
      <c r="CO98" s="2">
        <v>0.3</v>
      </c>
      <c r="CP98" s="2">
        <v>0</v>
      </c>
      <c r="CQ98" s="2"/>
      <c r="CR98" s="2"/>
      <c r="CS98" s="2"/>
      <c r="CT98" s="2">
        <v>0.2</v>
      </c>
      <c r="CU98" s="2">
        <v>4.9000000000000004</v>
      </c>
      <c r="CV98" s="2">
        <v>1</v>
      </c>
      <c r="CW98" s="2">
        <v>13.6</v>
      </c>
      <c r="CX98" s="2">
        <v>0.2</v>
      </c>
      <c r="CY98" s="2"/>
      <c r="CZ98" s="2"/>
      <c r="DB98">
        <v>1915</v>
      </c>
      <c r="DC98">
        <v>17.100000000000001</v>
      </c>
      <c r="DE98" s="28">
        <v>2007</v>
      </c>
      <c r="DF98" s="27">
        <v>41195</v>
      </c>
      <c r="DG98">
        <v>97</v>
      </c>
      <c r="DH98">
        <v>97</v>
      </c>
    </row>
    <row r="99" spans="1:112">
      <c r="A99" s="1">
        <v>41006</v>
      </c>
      <c r="B99" s="2"/>
      <c r="C99" s="2"/>
      <c r="D99" s="2">
        <v>23.2</v>
      </c>
      <c r="E99" s="2">
        <v>6.3</v>
      </c>
      <c r="F99" s="2"/>
      <c r="G99" s="2"/>
      <c r="H99" s="2"/>
      <c r="I99" s="2"/>
      <c r="J99" s="2"/>
      <c r="K99" s="2"/>
      <c r="L99" s="2"/>
      <c r="M99" s="2">
        <v>16.2</v>
      </c>
      <c r="N99" s="2"/>
      <c r="O99" s="2">
        <v>1.1000000000000001</v>
      </c>
      <c r="P99" s="2"/>
      <c r="Q99" s="2"/>
      <c r="R99" s="2">
        <v>0.2</v>
      </c>
      <c r="S99" s="2">
        <v>6.6</v>
      </c>
      <c r="T99" s="2"/>
      <c r="U99" s="2"/>
      <c r="V99" s="2"/>
      <c r="W99" s="2"/>
      <c r="X99" s="2">
        <v>2.1</v>
      </c>
      <c r="Y99" s="2"/>
      <c r="Z99" s="2"/>
      <c r="AA99" s="2"/>
      <c r="AB99" s="2"/>
      <c r="AC99" s="2"/>
      <c r="AD99" s="2"/>
      <c r="AE99" s="2">
        <v>21.099999999976699</v>
      </c>
      <c r="AF99" s="2">
        <v>0.19999999999981799</v>
      </c>
      <c r="AG99" s="2"/>
      <c r="AH99" s="2"/>
      <c r="AI99" s="2"/>
      <c r="AJ99" s="2">
        <v>12</v>
      </c>
      <c r="AK99" s="2"/>
      <c r="AL99" s="2"/>
      <c r="AM99" s="2"/>
      <c r="AN99" s="2"/>
      <c r="AO99" s="2"/>
      <c r="AP99" s="2">
        <v>8.7999999999883602</v>
      </c>
      <c r="AQ99" s="2"/>
      <c r="AR99" s="2">
        <v>0.19999999999981799</v>
      </c>
      <c r="AS99" s="2"/>
      <c r="AT99" s="2">
        <v>3.5</v>
      </c>
      <c r="AU99" s="2">
        <v>2.2999999999992702</v>
      </c>
      <c r="AV99" s="2"/>
      <c r="AW99" s="2">
        <v>0.5</v>
      </c>
      <c r="AX99" s="2"/>
      <c r="AY99" s="2">
        <v>11.899999999994201</v>
      </c>
      <c r="AZ99" s="2"/>
      <c r="BA99" s="2">
        <v>8.5</v>
      </c>
      <c r="BB99" s="2"/>
      <c r="BC99" s="2"/>
      <c r="BD99" s="2"/>
      <c r="BE99" s="2">
        <v>0.400000000000091</v>
      </c>
      <c r="BF99" s="2"/>
      <c r="BG99" s="2"/>
      <c r="BH99" s="2"/>
      <c r="BI99" s="2"/>
      <c r="BJ99" s="2">
        <v>0</v>
      </c>
      <c r="BK99" s="2">
        <v>0.89999999999963598</v>
      </c>
      <c r="BL99" s="2">
        <v>5.9000000000014596</v>
      </c>
      <c r="BM99" s="2"/>
      <c r="BN99" s="2"/>
      <c r="BO99" s="2"/>
      <c r="BP99" s="2"/>
      <c r="BQ99" s="2">
        <v>4.3000000000029104</v>
      </c>
      <c r="BR99" s="2">
        <v>0.89999999999963598</v>
      </c>
      <c r="BS99" s="2">
        <v>0.30000000000018201</v>
      </c>
      <c r="BT99" s="2"/>
      <c r="BU99" s="2">
        <v>0</v>
      </c>
      <c r="BV99" s="2">
        <v>0.1</v>
      </c>
      <c r="BW99" s="2">
        <v>12.099999999991301</v>
      </c>
      <c r="BX99" s="2">
        <v>2</v>
      </c>
      <c r="BY99" s="2">
        <v>0</v>
      </c>
      <c r="BZ99" s="2">
        <v>0.8</v>
      </c>
      <c r="CA99" s="2"/>
      <c r="CB99" s="2"/>
      <c r="CC99" s="2">
        <v>2.2999999999999998</v>
      </c>
      <c r="CD99" s="2">
        <v>4.2</v>
      </c>
      <c r="CE99" s="2">
        <v>7.8</v>
      </c>
      <c r="CF99" s="2">
        <v>12</v>
      </c>
      <c r="CG99" s="2">
        <v>0.7</v>
      </c>
      <c r="CH99" s="2"/>
      <c r="CI99" s="2">
        <v>5.5</v>
      </c>
      <c r="CJ99" s="2">
        <v>12.5</v>
      </c>
      <c r="CK99" s="2"/>
      <c r="CL99" s="2"/>
      <c r="CM99" s="2"/>
      <c r="CN99" s="2"/>
      <c r="CO99" s="2">
        <v>4.0999999999999996</v>
      </c>
      <c r="CP99" s="2">
        <v>14.5</v>
      </c>
      <c r="CQ99" s="2"/>
      <c r="CR99" s="2"/>
      <c r="CS99" s="2"/>
      <c r="CT99" s="2"/>
      <c r="CU99" s="2">
        <v>2</v>
      </c>
      <c r="CV99" s="2">
        <v>0.3</v>
      </c>
      <c r="CW99" s="2">
        <v>2.7</v>
      </c>
      <c r="CX99" s="2"/>
      <c r="CY99" s="2">
        <v>0.2</v>
      </c>
      <c r="CZ99" s="2">
        <v>11</v>
      </c>
      <c r="DB99">
        <v>1913</v>
      </c>
      <c r="DC99">
        <v>23.2</v>
      </c>
      <c r="DE99" s="28">
        <v>2008</v>
      </c>
      <c r="DF99" s="27">
        <v>41208</v>
      </c>
      <c r="DG99">
        <v>110</v>
      </c>
      <c r="DH99">
        <v>98</v>
      </c>
    </row>
    <row r="100" spans="1:112">
      <c r="A100" s="1">
        <v>41007</v>
      </c>
      <c r="B100" s="2"/>
      <c r="C100" s="2"/>
      <c r="D100" s="2"/>
      <c r="E100" s="2">
        <v>0.1</v>
      </c>
      <c r="F100" s="2"/>
      <c r="G100" s="2"/>
      <c r="H100" s="2"/>
      <c r="I100" s="2"/>
      <c r="J100" s="2"/>
      <c r="K100" s="2">
        <v>15.3</v>
      </c>
      <c r="L100" s="2"/>
      <c r="M100" s="2">
        <v>0.2</v>
      </c>
      <c r="N100" s="2">
        <v>5.0999999999999996</v>
      </c>
      <c r="O100" s="2"/>
      <c r="P100" s="2"/>
      <c r="Q100" s="2"/>
      <c r="R100" s="2"/>
      <c r="S100" s="2">
        <v>0.2</v>
      </c>
      <c r="T100" s="2">
        <v>23</v>
      </c>
      <c r="U100" s="2"/>
      <c r="V100" s="2">
        <v>11.7</v>
      </c>
      <c r="W100" s="2">
        <v>0.5</v>
      </c>
      <c r="X100" s="2"/>
      <c r="Y100" s="2"/>
      <c r="Z100" s="2">
        <v>0.1</v>
      </c>
      <c r="AA100" s="2">
        <v>1.79999999999927</v>
      </c>
      <c r="AB100" s="2"/>
      <c r="AC100" s="2"/>
      <c r="AD100" s="2"/>
      <c r="AE100" s="2">
        <v>4.8999999999941801</v>
      </c>
      <c r="AF100" s="2"/>
      <c r="AG100" s="2"/>
      <c r="AH100" s="2">
        <v>3</v>
      </c>
      <c r="AI100" s="2"/>
      <c r="AJ100" s="2"/>
      <c r="AK100" s="2"/>
      <c r="AL100" s="2"/>
      <c r="AM100" s="2"/>
      <c r="AN100" s="2"/>
      <c r="AO100" s="2"/>
      <c r="AP100" s="2"/>
      <c r="AQ100" s="2">
        <v>0.6</v>
      </c>
      <c r="AR100" s="2"/>
      <c r="AS100" s="2"/>
      <c r="AT100" s="2">
        <v>1.5</v>
      </c>
      <c r="AU100" s="2">
        <v>12.599999999991301</v>
      </c>
      <c r="AV100" s="2"/>
      <c r="AW100" s="2">
        <v>2.5</v>
      </c>
      <c r="AX100" s="2"/>
      <c r="AY100" s="2">
        <v>2</v>
      </c>
      <c r="AZ100" s="2"/>
      <c r="BA100" s="2">
        <v>0.79999999999927196</v>
      </c>
      <c r="BB100" s="2">
        <v>0.19999999999981799</v>
      </c>
      <c r="BC100" s="2">
        <v>5.6999999999970896</v>
      </c>
      <c r="BD100" s="2"/>
      <c r="BE100" s="2"/>
      <c r="BF100" s="2"/>
      <c r="BG100" s="2"/>
      <c r="BH100" s="2">
        <v>0.100000000000023</v>
      </c>
      <c r="BI100" s="2"/>
      <c r="BJ100" s="2">
        <v>0.69999999999981799</v>
      </c>
      <c r="BK100" s="2"/>
      <c r="BL100" s="2"/>
      <c r="BM100" s="2">
        <v>0</v>
      </c>
      <c r="BN100" s="2"/>
      <c r="BO100" s="2">
        <v>0.400000000000091</v>
      </c>
      <c r="BP100" s="2"/>
      <c r="BQ100" s="2">
        <v>3.5999999999985399</v>
      </c>
      <c r="BR100" s="2">
        <v>15.3000000000029</v>
      </c>
      <c r="BS100" s="2"/>
      <c r="BT100" s="2">
        <v>0.200000000000045</v>
      </c>
      <c r="BU100" s="2"/>
      <c r="BV100" s="2"/>
      <c r="BW100" s="2"/>
      <c r="BX100" s="2">
        <v>0.2</v>
      </c>
      <c r="BY100" s="2">
        <v>0</v>
      </c>
      <c r="BZ100" s="2"/>
      <c r="CA100" s="2"/>
      <c r="CB100" s="2"/>
      <c r="CC100" s="2">
        <v>1.8</v>
      </c>
      <c r="CD100" s="2">
        <v>13.8</v>
      </c>
      <c r="CE100" s="2">
        <v>1.8</v>
      </c>
      <c r="CF100" s="2">
        <v>2.4</v>
      </c>
      <c r="CG100" s="2">
        <v>1.6</v>
      </c>
      <c r="CH100" s="2">
        <v>6.9</v>
      </c>
      <c r="CI100" s="2">
        <v>4.0999999999999996</v>
      </c>
      <c r="CJ100" s="2">
        <v>6</v>
      </c>
      <c r="CK100" s="2"/>
      <c r="CL100" s="2"/>
      <c r="CM100" s="2"/>
      <c r="CN100" s="2"/>
      <c r="CO100" s="2"/>
      <c r="CP100" s="2">
        <v>0.5</v>
      </c>
      <c r="CQ100" s="2"/>
      <c r="CR100" s="2"/>
      <c r="CS100" s="2">
        <v>10.6</v>
      </c>
      <c r="CT100" s="2"/>
      <c r="CU100" s="2"/>
      <c r="CV100" s="2"/>
      <c r="CW100" s="2"/>
      <c r="CX100" s="2">
        <v>1.1000000000000001</v>
      </c>
      <c r="CY100" s="2">
        <v>11.2</v>
      </c>
      <c r="CZ100" s="2">
        <v>2.5</v>
      </c>
      <c r="DB100">
        <v>1929</v>
      </c>
      <c r="DC100">
        <v>23</v>
      </c>
      <c r="DE100" s="28">
        <v>2009</v>
      </c>
      <c r="DF100" s="27">
        <v>41213</v>
      </c>
      <c r="DG100">
        <v>57.5</v>
      </c>
      <c r="DH100">
        <v>99</v>
      </c>
    </row>
    <row r="101" spans="1:112">
      <c r="A101" s="1">
        <v>41008</v>
      </c>
      <c r="B101" s="2"/>
      <c r="C101" s="2"/>
      <c r="D101" s="2"/>
      <c r="E101" s="2"/>
      <c r="F101" s="2"/>
      <c r="G101" s="2"/>
      <c r="H101" s="2"/>
      <c r="I101" s="2">
        <v>0.3</v>
      </c>
      <c r="J101" s="2"/>
      <c r="K101" s="2">
        <v>0.2</v>
      </c>
      <c r="L101" s="2">
        <v>0.4</v>
      </c>
      <c r="M101" s="2"/>
      <c r="N101" s="2"/>
      <c r="O101" s="2">
        <v>0.8</v>
      </c>
      <c r="P101" s="2">
        <v>3.4</v>
      </c>
      <c r="Q101" s="2"/>
      <c r="R101" s="2"/>
      <c r="S101" s="2"/>
      <c r="T101" s="2">
        <v>1.9</v>
      </c>
      <c r="U101" s="2">
        <v>4</v>
      </c>
      <c r="V101" s="2">
        <v>16</v>
      </c>
      <c r="W101" s="2">
        <v>0.5</v>
      </c>
      <c r="X101" s="2">
        <v>6.5</v>
      </c>
      <c r="Y101" s="2"/>
      <c r="Z101" s="2">
        <v>5.0999999999999996</v>
      </c>
      <c r="AA101" s="2">
        <v>0.79999999999927196</v>
      </c>
      <c r="AB101" s="2">
        <v>0.59999999999945397</v>
      </c>
      <c r="AC101" s="2">
        <v>5.5</v>
      </c>
      <c r="AD101" s="2"/>
      <c r="AE101" s="2">
        <v>27.099999999976699</v>
      </c>
      <c r="AF101" s="2">
        <v>5.0999999999985501</v>
      </c>
      <c r="AG101" s="2">
        <v>4.3999999999941801</v>
      </c>
      <c r="AH101" s="2">
        <v>22</v>
      </c>
      <c r="AI101" s="2"/>
      <c r="AJ101" s="2">
        <v>3.1999999999970901</v>
      </c>
      <c r="AK101" s="2"/>
      <c r="AL101" s="2"/>
      <c r="AM101" s="2"/>
      <c r="AN101" s="2">
        <v>22</v>
      </c>
      <c r="AO101" s="2">
        <v>1.79999999999927</v>
      </c>
      <c r="AP101" s="2"/>
      <c r="AQ101" s="2">
        <v>1.1000000000000001</v>
      </c>
      <c r="AR101" s="2"/>
      <c r="AS101" s="2"/>
      <c r="AT101" s="2"/>
      <c r="AU101" s="2">
        <v>1.6999999999989099</v>
      </c>
      <c r="AV101" s="2"/>
      <c r="AW101" s="2">
        <v>4.79999999999563</v>
      </c>
      <c r="AX101" s="2"/>
      <c r="AY101" s="2"/>
      <c r="AZ101" s="2"/>
      <c r="BA101" s="2"/>
      <c r="BB101" s="2"/>
      <c r="BC101" s="2">
        <v>14.1999999999971</v>
      </c>
      <c r="BD101" s="2">
        <v>0.30000000000018201</v>
      </c>
      <c r="BE101" s="2"/>
      <c r="BF101" s="2"/>
      <c r="BG101" s="2">
        <v>10.8000000000029</v>
      </c>
      <c r="BH101" s="2">
        <v>0</v>
      </c>
      <c r="BI101" s="2"/>
      <c r="BJ101" s="2">
        <v>0.100000000000023</v>
      </c>
      <c r="BK101" s="2"/>
      <c r="BL101" s="2"/>
      <c r="BM101" s="2"/>
      <c r="BN101" s="2"/>
      <c r="BO101" s="2">
        <v>3</v>
      </c>
      <c r="BP101" s="2"/>
      <c r="BQ101" s="2">
        <v>3.2999999999992702</v>
      </c>
      <c r="BR101" s="2">
        <v>3</v>
      </c>
      <c r="BS101" s="2">
        <v>0.100000000000023</v>
      </c>
      <c r="BT101" s="2"/>
      <c r="BU101" s="2"/>
      <c r="BV101" s="2"/>
      <c r="BW101" s="2">
        <v>0</v>
      </c>
      <c r="BX101" s="2"/>
      <c r="BY101" s="2"/>
      <c r="BZ101" s="2"/>
      <c r="CA101" s="2"/>
      <c r="CB101" s="2"/>
      <c r="CC101" s="2">
        <v>0.1</v>
      </c>
      <c r="CD101" s="2">
        <v>45</v>
      </c>
      <c r="CE101" s="2"/>
      <c r="CF101" s="2"/>
      <c r="CG101" s="2">
        <v>9.9</v>
      </c>
      <c r="CH101" s="2">
        <v>14.8</v>
      </c>
      <c r="CI101" s="2">
        <v>3</v>
      </c>
      <c r="CJ101" s="2">
        <v>0</v>
      </c>
      <c r="CK101" s="2"/>
      <c r="CL101" s="2"/>
      <c r="CM101" s="2"/>
      <c r="CN101" s="2"/>
      <c r="CO101" s="2"/>
      <c r="CP101" s="2"/>
      <c r="CQ101" s="2"/>
      <c r="CR101" s="2"/>
      <c r="CS101" s="2">
        <v>0.3</v>
      </c>
      <c r="CT101" s="2"/>
      <c r="CU101" s="2">
        <v>0.3</v>
      </c>
      <c r="CV101" s="2">
        <v>9.8000000000000007</v>
      </c>
      <c r="CW101" s="2"/>
      <c r="CX101" s="2">
        <v>1.4</v>
      </c>
      <c r="CY101" s="2">
        <v>11</v>
      </c>
      <c r="CZ101" s="2">
        <v>0.5</v>
      </c>
      <c r="DB101">
        <v>1991</v>
      </c>
      <c r="DC101">
        <v>45</v>
      </c>
      <c r="DE101" s="28">
        <v>2010</v>
      </c>
      <c r="DF101" s="27">
        <v>41190</v>
      </c>
      <c r="DG101">
        <v>91.2</v>
      </c>
      <c r="DH101">
        <v>100</v>
      </c>
    </row>
    <row r="102" spans="1:112">
      <c r="A102" s="1">
        <v>41009</v>
      </c>
      <c r="B102" s="2"/>
      <c r="C102" s="2">
        <v>5.2</v>
      </c>
      <c r="D102" s="2"/>
      <c r="E102" s="2">
        <v>6.7</v>
      </c>
      <c r="F102" s="2">
        <v>0.5</v>
      </c>
      <c r="G102" s="2"/>
      <c r="H102" s="2"/>
      <c r="I102" s="2"/>
      <c r="J102" s="2">
        <v>0.2</v>
      </c>
      <c r="K102" s="2"/>
      <c r="L102" s="2">
        <v>1.8</v>
      </c>
      <c r="M102" s="2">
        <v>1.3</v>
      </c>
      <c r="N102" s="2">
        <v>0.1</v>
      </c>
      <c r="O102" s="2">
        <v>1.7</v>
      </c>
      <c r="P102" s="2">
        <v>0.9</v>
      </c>
      <c r="Q102" s="2">
        <v>17.5</v>
      </c>
      <c r="R102" s="2"/>
      <c r="S102" s="2"/>
      <c r="T102" s="2"/>
      <c r="U102" s="2">
        <v>7.5</v>
      </c>
      <c r="V102" s="2">
        <v>0.6</v>
      </c>
      <c r="W102" s="2"/>
      <c r="X102" s="2"/>
      <c r="Y102" s="2"/>
      <c r="Z102" s="2"/>
      <c r="AA102" s="2"/>
      <c r="AB102" s="2"/>
      <c r="AC102" s="2"/>
      <c r="AD102" s="2"/>
      <c r="AE102" s="2"/>
      <c r="AF102" s="2">
        <v>8.5999999999912706</v>
      </c>
      <c r="AG102" s="2">
        <v>1.6999999999989099</v>
      </c>
      <c r="AH102" s="2">
        <v>14.5</v>
      </c>
      <c r="AI102" s="2">
        <v>0.59999999999945397</v>
      </c>
      <c r="AJ102" s="2">
        <v>3.3999999999978199</v>
      </c>
      <c r="AK102" s="2"/>
      <c r="AL102" s="2"/>
      <c r="AM102" s="2">
        <v>13</v>
      </c>
      <c r="AN102" s="2">
        <v>9.6999999999970896</v>
      </c>
      <c r="AO102" s="2"/>
      <c r="AP102" s="2"/>
      <c r="AQ102" s="2"/>
      <c r="AR102" s="2"/>
      <c r="AS102" s="2"/>
      <c r="AT102" s="2">
        <v>0.29999999999972699</v>
      </c>
      <c r="AU102" s="2"/>
      <c r="AV102" s="2"/>
      <c r="AW102" s="2"/>
      <c r="AX102" s="2"/>
      <c r="AY102" s="2"/>
      <c r="AZ102" s="2"/>
      <c r="BA102" s="2"/>
      <c r="BB102" s="2"/>
      <c r="BC102" s="2"/>
      <c r="BD102" s="2">
        <v>2.4000000000014601</v>
      </c>
      <c r="BE102" s="2">
        <v>1.79999999999927</v>
      </c>
      <c r="BF102" s="2"/>
      <c r="BG102" s="2">
        <v>0.80000000000018201</v>
      </c>
      <c r="BH102" s="2"/>
      <c r="BI102" s="2"/>
      <c r="BJ102" s="2">
        <v>0</v>
      </c>
      <c r="BK102" s="2">
        <v>0.100000000000023</v>
      </c>
      <c r="BL102" s="2"/>
      <c r="BM102" s="2">
        <v>0.89999999999963598</v>
      </c>
      <c r="BN102" s="2"/>
      <c r="BO102" s="2">
        <v>0.89999999999963598</v>
      </c>
      <c r="BP102" s="2">
        <v>4.4000000000014596</v>
      </c>
      <c r="BQ102" s="2"/>
      <c r="BR102" s="2">
        <v>3.7999999999992702</v>
      </c>
      <c r="BS102" s="2"/>
      <c r="BT102" s="2"/>
      <c r="BU102" s="2"/>
      <c r="BV102" s="2"/>
      <c r="BW102" s="2"/>
      <c r="BX102" s="2"/>
      <c r="BY102" s="2"/>
      <c r="BZ102" s="2"/>
      <c r="CA102" s="2"/>
      <c r="CB102" s="2">
        <v>0.4</v>
      </c>
      <c r="CC102" s="2">
        <v>11.5</v>
      </c>
      <c r="CD102" s="2">
        <v>5</v>
      </c>
      <c r="CE102" s="2"/>
      <c r="CF102" s="2"/>
      <c r="CG102" s="2"/>
      <c r="CH102" s="2">
        <v>10.8</v>
      </c>
      <c r="CI102" s="2"/>
      <c r="CJ102" s="2"/>
      <c r="CK102" s="2"/>
      <c r="CL102" s="2"/>
      <c r="CM102" s="2">
        <v>0.1</v>
      </c>
      <c r="CN102" s="2"/>
      <c r="CO102" s="2">
        <v>0.2</v>
      </c>
      <c r="CP102" s="2"/>
      <c r="CQ102" s="2"/>
      <c r="CR102" s="2"/>
      <c r="CS102" s="2"/>
      <c r="CT102" s="2"/>
      <c r="CU102" s="2"/>
      <c r="CV102" s="2"/>
      <c r="CW102" s="2"/>
      <c r="CX102" s="2">
        <v>0.2</v>
      </c>
      <c r="CY102" s="2">
        <v>6.5</v>
      </c>
      <c r="CZ102" s="2">
        <v>0.2</v>
      </c>
      <c r="DB102">
        <v>1926</v>
      </c>
      <c r="DC102">
        <v>17.5</v>
      </c>
      <c r="DE102" s="28">
        <v>2011</v>
      </c>
      <c r="DF102" s="27">
        <v>41266</v>
      </c>
      <c r="DG102">
        <v>36.6</v>
      </c>
      <c r="DH102">
        <v>101</v>
      </c>
    </row>
    <row r="103" spans="1:112">
      <c r="A103" s="1">
        <v>41010</v>
      </c>
      <c r="B103" s="2"/>
      <c r="C103" s="2">
        <v>15.2</v>
      </c>
      <c r="D103" s="2"/>
      <c r="E103" s="2">
        <v>11.6</v>
      </c>
      <c r="F103" s="2">
        <v>5.7</v>
      </c>
      <c r="G103" s="2"/>
      <c r="H103" s="2"/>
      <c r="I103" s="2"/>
      <c r="J103" s="2">
        <v>1</v>
      </c>
      <c r="K103" s="2"/>
      <c r="L103" s="2">
        <v>6.4</v>
      </c>
      <c r="M103" s="2"/>
      <c r="N103" s="2">
        <v>0.1</v>
      </c>
      <c r="O103" s="2"/>
      <c r="P103" s="2"/>
      <c r="Q103" s="2"/>
      <c r="R103" s="2"/>
      <c r="S103" s="2"/>
      <c r="T103" s="2"/>
      <c r="U103" s="2"/>
      <c r="V103" s="2"/>
      <c r="W103" s="2"/>
      <c r="X103" s="2">
        <v>0.2</v>
      </c>
      <c r="Y103" s="2"/>
      <c r="Z103" s="2"/>
      <c r="AA103" s="2">
        <v>3.1</v>
      </c>
      <c r="AB103" s="2"/>
      <c r="AC103" s="2">
        <v>0.5</v>
      </c>
      <c r="AD103" s="2">
        <v>0.89999999999963598</v>
      </c>
      <c r="AE103" s="2"/>
      <c r="AF103" s="2">
        <v>10.5</v>
      </c>
      <c r="AG103" s="2">
        <v>4.0999999999985501</v>
      </c>
      <c r="AH103" s="2"/>
      <c r="AI103" s="2">
        <v>1.79999999999927</v>
      </c>
      <c r="AJ103" s="2"/>
      <c r="AK103" s="2"/>
      <c r="AL103" s="2"/>
      <c r="AM103" s="2">
        <v>2.5</v>
      </c>
      <c r="AN103" s="2"/>
      <c r="AO103" s="2"/>
      <c r="AP103" s="2"/>
      <c r="AQ103" s="2"/>
      <c r="AR103" s="2">
        <v>0.29999999999972699</v>
      </c>
      <c r="AS103" s="2"/>
      <c r="AT103" s="2"/>
      <c r="AU103" s="2"/>
      <c r="AV103" s="2"/>
      <c r="AW103" s="2">
        <v>0.19999999999981799</v>
      </c>
      <c r="AX103" s="2"/>
      <c r="AY103" s="2"/>
      <c r="AZ103" s="2">
        <v>0.5</v>
      </c>
      <c r="BA103" s="2"/>
      <c r="BB103" s="2"/>
      <c r="BC103" s="2"/>
      <c r="BD103" s="2">
        <v>14.399999999994201</v>
      </c>
      <c r="BE103" s="2">
        <v>0.69999999999981799</v>
      </c>
      <c r="BF103" s="2"/>
      <c r="BG103" s="2"/>
      <c r="BH103" s="2">
        <v>1.39999999999964</v>
      </c>
      <c r="BI103" s="2"/>
      <c r="BJ103" s="2">
        <v>0.69999999999981799</v>
      </c>
      <c r="BK103" s="2"/>
      <c r="BL103" s="2"/>
      <c r="BM103" s="2">
        <v>0.5</v>
      </c>
      <c r="BN103" s="2"/>
      <c r="BO103" s="2">
        <v>15.6999999999971</v>
      </c>
      <c r="BP103" s="2">
        <v>30.600000000005799</v>
      </c>
      <c r="BQ103" s="2"/>
      <c r="BR103" s="2">
        <v>2.0999999999985399</v>
      </c>
      <c r="BS103" s="2"/>
      <c r="BT103" s="2"/>
      <c r="BU103" s="2"/>
      <c r="BV103" s="2">
        <v>0</v>
      </c>
      <c r="BW103" s="2">
        <v>0</v>
      </c>
      <c r="BX103" s="2">
        <v>0.1</v>
      </c>
      <c r="BY103" s="2"/>
      <c r="BZ103" s="2">
        <v>24</v>
      </c>
      <c r="CA103" s="2"/>
      <c r="CB103" s="2"/>
      <c r="CC103" s="2">
        <v>6.1</v>
      </c>
      <c r="CD103" s="2">
        <v>0.1</v>
      </c>
      <c r="CE103" s="2">
        <v>1</v>
      </c>
      <c r="CF103" s="2">
        <v>0.1</v>
      </c>
      <c r="CG103" s="2"/>
      <c r="CH103" s="2">
        <v>0.2</v>
      </c>
      <c r="CI103" s="2"/>
      <c r="CJ103" s="2"/>
      <c r="CK103" s="2"/>
      <c r="CL103" s="2">
        <v>0.1</v>
      </c>
      <c r="CM103" s="2">
        <v>1.5</v>
      </c>
      <c r="CN103" s="2">
        <v>3.5</v>
      </c>
      <c r="CO103" s="2"/>
      <c r="CP103" s="2"/>
      <c r="CQ103" s="2"/>
      <c r="CR103" s="2"/>
      <c r="CS103" s="2">
        <v>0</v>
      </c>
      <c r="CT103" s="2">
        <v>5.8</v>
      </c>
      <c r="CU103" s="2"/>
      <c r="CV103" s="2"/>
      <c r="CW103" s="2"/>
      <c r="CX103" s="2">
        <v>1.8</v>
      </c>
      <c r="CY103" s="2">
        <v>0.3</v>
      </c>
      <c r="CZ103" s="2">
        <v>0.5</v>
      </c>
      <c r="DB103">
        <v>1977</v>
      </c>
      <c r="DC103">
        <v>30.600000000005799</v>
      </c>
      <c r="DE103" s="28">
        <v>2012</v>
      </c>
      <c r="DF103" s="27">
        <v>41013</v>
      </c>
      <c r="DG103">
        <v>36.5</v>
      </c>
      <c r="DH103">
        <v>102</v>
      </c>
    </row>
    <row r="104" spans="1:112">
      <c r="A104" s="1">
        <v>41011</v>
      </c>
      <c r="B104" s="2"/>
      <c r="C104" s="2"/>
      <c r="D104" s="2">
        <v>0.6</v>
      </c>
      <c r="E104" s="2"/>
      <c r="F104" s="2">
        <v>3.3</v>
      </c>
      <c r="G104" s="2"/>
      <c r="H104" s="2"/>
      <c r="I104" s="2"/>
      <c r="J104" s="2"/>
      <c r="K104" s="2"/>
      <c r="L104" s="2">
        <v>1.9</v>
      </c>
      <c r="M104" s="2">
        <v>4.2</v>
      </c>
      <c r="N104" s="2"/>
      <c r="O104" s="2">
        <v>13.2</v>
      </c>
      <c r="P104" s="2"/>
      <c r="Q104" s="2"/>
      <c r="R104" s="2"/>
      <c r="S104" s="2"/>
      <c r="T104" s="2"/>
      <c r="U104" s="2">
        <v>8</v>
      </c>
      <c r="V104" s="2">
        <v>0</v>
      </c>
      <c r="W104" s="2"/>
      <c r="X104" s="2">
        <v>3.3</v>
      </c>
      <c r="Y104" s="2"/>
      <c r="Z104" s="2"/>
      <c r="AA104" s="2">
        <v>0.29999999999972699</v>
      </c>
      <c r="AB104" s="2"/>
      <c r="AC104" s="2">
        <v>6.79999999999563</v>
      </c>
      <c r="AD104" s="2"/>
      <c r="AE104" s="2"/>
      <c r="AF104" s="2">
        <v>6.0999999999985501</v>
      </c>
      <c r="AG104" s="2"/>
      <c r="AH104" s="2">
        <v>0.69999999999981799</v>
      </c>
      <c r="AI104" s="2"/>
      <c r="AJ104" s="2"/>
      <c r="AK104" s="2">
        <v>13</v>
      </c>
      <c r="AL104" s="2">
        <v>24.799999999988401</v>
      </c>
      <c r="AM104" s="2">
        <v>1.79999999999927</v>
      </c>
      <c r="AN104" s="2"/>
      <c r="AO104" s="2"/>
      <c r="AP104" s="2"/>
      <c r="AQ104" s="2"/>
      <c r="AR104" s="2">
        <v>16.5</v>
      </c>
      <c r="AS104" s="2"/>
      <c r="AT104" s="2">
        <v>16.699999999982499</v>
      </c>
      <c r="AU104" s="2"/>
      <c r="AV104" s="2"/>
      <c r="AW104" s="2"/>
      <c r="AX104" s="2">
        <v>1</v>
      </c>
      <c r="AY104" s="2"/>
      <c r="AZ104" s="2"/>
      <c r="BA104" s="2">
        <v>1.29999999999927</v>
      </c>
      <c r="BB104" s="2"/>
      <c r="BC104" s="2"/>
      <c r="BD104" s="2">
        <v>1</v>
      </c>
      <c r="BE104" s="2">
        <v>2.4000000000014601</v>
      </c>
      <c r="BF104" s="2"/>
      <c r="BG104" s="2">
        <v>0.30000000000018201</v>
      </c>
      <c r="BH104" s="2">
        <v>2.4000000000014601</v>
      </c>
      <c r="BI104" s="2"/>
      <c r="BJ104" s="2">
        <v>0.30000000000018201</v>
      </c>
      <c r="BK104" s="2"/>
      <c r="BL104" s="2">
        <v>8</v>
      </c>
      <c r="BM104" s="2">
        <v>0.89999999999963598</v>
      </c>
      <c r="BN104" s="2"/>
      <c r="BO104" s="2">
        <v>2.2000000000007298</v>
      </c>
      <c r="BP104" s="2"/>
      <c r="BQ104" s="2"/>
      <c r="BR104" s="2">
        <v>3</v>
      </c>
      <c r="BS104" s="2">
        <v>0.100000000000023</v>
      </c>
      <c r="BT104" s="2">
        <v>0.100000000000023</v>
      </c>
      <c r="BU104" s="2"/>
      <c r="BV104" s="2"/>
      <c r="BW104" s="2">
        <v>5.0999999999985501</v>
      </c>
      <c r="BX104" s="2">
        <v>0.3</v>
      </c>
      <c r="BY104" s="2"/>
      <c r="BZ104" s="2">
        <v>3.1</v>
      </c>
      <c r="CA104" s="2"/>
      <c r="CB104" s="2"/>
      <c r="CC104" s="2">
        <v>0.3</v>
      </c>
      <c r="CD104" s="2"/>
      <c r="CE104" s="2">
        <v>0.8</v>
      </c>
      <c r="CF104" s="2">
        <v>0.1</v>
      </c>
      <c r="CG104" s="2"/>
      <c r="CH104" s="2"/>
      <c r="CI104" s="2"/>
      <c r="CJ104" s="2">
        <v>13.5</v>
      </c>
      <c r="CK104" s="2"/>
      <c r="CL104" s="2"/>
      <c r="CM104" s="2"/>
      <c r="CN104" s="2"/>
      <c r="CO104" s="2">
        <v>1</v>
      </c>
      <c r="CP104" s="2"/>
      <c r="CQ104" s="2"/>
      <c r="CR104" s="2"/>
      <c r="CS104" s="2">
        <v>0.1</v>
      </c>
      <c r="CT104" s="2"/>
      <c r="CU104" s="2"/>
      <c r="CV104" s="2"/>
      <c r="CW104" s="2"/>
      <c r="CX104" s="2"/>
      <c r="CY104" s="2"/>
      <c r="CZ104" s="2"/>
      <c r="DB104">
        <v>1947</v>
      </c>
      <c r="DC104">
        <v>24.799999999988401</v>
      </c>
      <c r="DE104" s="28">
        <v>2013</v>
      </c>
      <c r="DF104" s="27">
        <v>41199</v>
      </c>
      <c r="DG104">
        <v>30.5</v>
      </c>
      <c r="DH104">
        <v>103</v>
      </c>
    </row>
    <row r="105" spans="1:112">
      <c r="A105" s="1">
        <v>41012</v>
      </c>
      <c r="B105" s="2"/>
      <c r="C105" s="2">
        <v>0.7</v>
      </c>
      <c r="D105" s="2"/>
      <c r="E105" s="2"/>
      <c r="F105" s="2">
        <v>9.5</v>
      </c>
      <c r="G105" s="2"/>
      <c r="H105" s="2"/>
      <c r="I105" s="2"/>
      <c r="J105" s="2">
        <v>0.3</v>
      </c>
      <c r="K105" s="2"/>
      <c r="L105" s="2"/>
      <c r="M105" s="2">
        <v>2.2000000000000002</v>
      </c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>
        <v>5.6</v>
      </c>
      <c r="Y105" s="2"/>
      <c r="Z105" s="2"/>
      <c r="AA105" s="2"/>
      <c r="AB105" s="2"/>
      <c r="AC105" s="2">
        <v>10.799999999988399</v>
      </c>
      <c r="AD105" s="2"/>
      <c r="AE105" s="2">
        <v>0</v>
      </c>
      <c r="AF105" s="2"/>
      <c r="AG105" s="2"/>
      <c r="AH105" s="2">
        <v>1.89999999999964</v>
      </c>
      <c r="AI105" s="2"/>
      <c r="AJ105" s="2">
        <v>0.5</v>
      </c>
      <c r="AK105" s="2"/>
      <c r="AL105" s="2">
        <v>4.5</v>
      </c>
      <c r="AM105" s="2">
        <v>18.5</v>
      </c>
      <c r="AN105" s="2">
        <v>19</v>
      </c>
      <c r="AO105" s="2"/>
      <c r="AP105" s="2"/>
      <c r="AQ105" s="2"/>
      <c r="AR105" s="2">
        <v>14.899999999994201</v>
      </c>
      <c r="AS105" s="2">
        <v>6</v>
      </c>
      <c r="AT105" s="2">
        <v>2</v>
      </c>
      <c r="AU105" s="2"/>
      <c r="AV105" s="2"/>
      <c r="AW105" s="2">
        <v>1.29999999999927</v>
      </c>
      <c r="AX105" s="2"/>
      <c r="AY105" s="2">
        <v>0.5</v>
      </c>
      <c r="AZ105" s="2"/>
      <c r="BA105" s="2">
        <v>9.7999999999883602</v>
      </c>
      <c r="BB105" s="2"/>
      <c r="BC105" s="2"/>
      <c r="BD105" s="2">
        <v>4.3000000000029104</v>
      </c>
      <c r="BE105" s="2"/>
      <c r="BF105" s="2"/>
      <c r="BG105" s="2">
        <v>7</v>
      </c>
      <c r="BH105" s="2"/>
      <c r="BI105" s="2"/>
      <c r="BJ105" s="2"/>
      <c r="BK105" s="2"/>
      <c r="BL105" s="2">
        <v>2.7999999999992702</v>
      </c>
      <c r="BM105" s="2">
        <v>0.100000000000023</v>
      </c>
      <c r="BN105" s="2"/>
      <c r="BO105" s="2">
        <v>0.100000000000023</v>
      </c>
      <c r="BP105" s="2"/>
      <c r="BQ105" s="2"/>
      <c r="BR105" s="2">
        <v>1.10000000000036</v>
      </c>
      <c r="BS105" s="2">
        <v>1</v>
      </c>
      <c r="BT105" s="2">
        <v>0.100000000000023</v>
      </c>
      <c r="BU105" s="2"/>
      <c r="BV105" s="2"/>
      <c r="BW105" s="2">
        <v>5.0999999999985501</v>
      </c>
      <c r="BX105" s="2">
        <v>5</v>
      </c>
      <c r="BY105" s="2">
        <v>1.5</v>
      </c>
      <c r="BZ105" s="2">
        <v>0.2</v>
      </c>
      <c r="CA105" s="2"/>
      <c r="CB105" s="2"/>
      <c r="CC105" s="2">
        <v>0.1</v>
      </c>
      <c r="CD105" s="2"/>
      <c r="CE105" s="2"/>
      <c r="CF105" s="2"/>
      <c r="CG105" s="2"/>
      <c r="CH105" s="2"/>
      <c r="CI105" s="2"/>
      <c r="CJ105" s="2">
        <v>8.5</v>
      </c>
      <c r="CK105" s="2"/>
      <c r="CL105" s="2"/>
      <c r="CM105" s="2">
        <v>1</v>
      </c>
      <c r="CN105" s="2">
        <v>16.5</v>
      </c>
      <c r="CO105" s="2">
        <v>0.8</v>
      </c>
      <c r="CP105" s="2">
        <v>18.100000000000001</v>
      </c>
      <c r="CQ105" s="2">
        <v>0.1</v>
      </c>
      <c r="CR105" s="2">
        <v>0.4</v>
      </c>
      <c r="CS105" s="2"/>
      <c r="CT105" s="2">
        <v>0.2</v>
      </c>
      <c r="CU105" s="2"/>
      <c r="CV105" s="2">
        <v>0.1</v>
      </c>
      <c r="CW105" s="2"/>
      <c r="CX105" s="2"/>
      <c r="CY105" s="2">
        <v>2</v>
      </c>
      <c r="CZ105" s="2">
        <v>0.7</v>
      </c>
      <c r="DB105">
        <v>1949</v>
      </c>
      <c r="DC105">
        <v>19</v>
      </c>
      <c r="DH105">
        <v>104</v>
      </c>
    </row>
    <row r="106" spans="1:112">
      <c r="A106" s="1">
        <v>41013</v>
      </c>
      <c r="B106" s="2"/>
      <c r="C106" s="2"/>
      <c r="D106" s="2"/>
      <c r="E106" s="2"/>
      <c r="F106" s="2">
        <v>3.6</v>
      </c>
      <c r="G106" s="2">
        <v>0.3</v>
      </c>
      <c r="H106" s="2"/>
      <c r="I106" s="2"/>
      <c r="J106" s="2"/>
      <c r="K106" s="2"/>
      <c r="L106" s="2"/>
      <c r="M106" s="2"/>
      <c r="N106" s="2"/>
      <c r="O106" s="2">
        <v>0.7</v>
      </c>
      <c r="P106" s="2"/>
      <c r="Q106" s="2"/>
      <c r="R106" s="2">
        <v>2.8</v>
      </c>
      <c r="S106" s="2">
        <v>1.3</v>
      </c>
      <c r="T106" s="2"/>
      <c r="U106" s="2">
        <v>5.0999999999999996</v>
      </c>
      <c r="V106" s="2">
        <v>1.4</v>
      </c>
      <c r="W106" s="2"/>
      <c r="X106" s="2"/>
      <c r="Y106" s="2"/>
      <c r="Z106" s="2">
        <v>4.79999999999563</v>
      </c>
      <c r="AA106" s="2"/>
      <c r="AB106" s="2"/>
      <c r="AC106" s="2"/>
      <c r="AD106" s="2"/>
      <c r="AE106" s="2">
        <v>18.699999999982499</v>
      </c>
      <c r="AF106" s="2"/>
      <c r="AG106" s="2"/>
      <c r="AH106" s="2">
        <v>0.29999999999972699</v>
      </c>
      <c r="AI106" s="2"/>
      <c r="AJ106" s="2"/>
      <c r="AK106" s="2"/>
      <c r="AL106" s="2"/>
      <c r="AM106" s="2">
        <v>2.2999999999992702</v>
      </c>
      <c r="AN106" s="2">
        <v>2.0999999999985399</v>
      </c>
      <c r="AO106" s="2"/>
      <c r="AP106" s="2">
        <v>0.59999999999945397</v>
      </c>
      <c r="AQ106" s="2"/>
      <c r="AR106" s="2"/>
      <c r="AS106" s="2"/>
      <c r="AT106" s="2"/>
      <c r="AU106" s="2"/>
      <c r="AV106" s="2"/>
      <c r="AW106" s="2"/>
      <c r="AX106" s="2"/>
      <c r="AY106" s="2">
        <v>2</v>
      </c>
      <c r="AZ106" s="2"/>
      <c r="BA106" s="2">
        <v>0.89999999999963598</v>
      </c>
      <c r="BB106" s="2"/>
      <c r="BC106" s="2"/>
      <c r="BD106" s="2">
        <v>1.39999999999964</v>
      </c>
      <c r="BE106" s="2">
        <v>1.5</v>
      </c>
      <c r="BF106" s="2"/>
      <c r="BG106" s="2">
        <v>0.100000000000023</v>
      </c>
      <c r="BH106" s="2">
        <v>1.10000000000036</v>
      </c>
      <c r="BI106" s="2"/>
      <c r="BJ106" s="2"/>
      <c r="BK106" s="2"/>
      <c r="BL106" s="2">
        <v>0.100000000000023</v>
      </c>
      <c r="BM106" s="2">
        <v>0.100000000000023</v>
      </c>
      <c r="BN106" s="2"/>
      <c r="BO106" s="2"/>
      <c r="BP106" s="2"/>
      <c r="BQ106" s="2">
        <v>3</v>
      </c>
      <c r="BR106" s="2">
        <v>1.29999999999927</v>
      </c>
      <c r="BS106" s="2"/>
      <c r="BT106" s="2"/>
      <c r="BU106" s="2"/>
      <c r="BV106" s="2">
        <v>0</v>
      </c>
      <c r="BW106" s="2">
        <v>1.79999999999927</v>
      </c>
      <c r="BX106" s="2"/>
      <c r="BY106" s="2">
        <v>19.8</v>
      </c>
      <c r="BZ106" s="2">
        <v>0.1</v>
      </c>
      <c r="CA106" s="2">
        <v>8</v>
      </c>
      <c r="CB106" s="2">
        <v>9.5</v>
      </c>
      <c r="CC106" s="2"/>
      <c r="CD106" s="2">
        <v>1.5</v>
      </c>
      <c r="CE106" s="2"/>
      <c r="CF106" s="2"/>
      <c r="CG106" s="2"/>
      <c r="CH106" s="2"/>
      <c r="CI106" s="2"/>
      <c r="CJ106" s="2">
        <v>4</v>
      </c>
      <c r="CK106" s="2"/>
      <c r="CL106" s="2">
        <v>7.5</v>
      </c>
      <c r="CM106" s="2"/>
      <c r="CN106" s="2">
        <v>0.2</v>
      </c>
      <c r="CO106" s="2">
        <v>0.7</v>
      </c>
      <c r="CP106" s="2"/>
      <c r="CQ106" s="2">
        <v>2.5</v>
      </c>
      <c r="CR106" s="2"/>
      <c r="CS106" s="2">
        <v>1.4</v>
      </c>
      <c r="CT106" s="2"/>
      <c r="CU106" s="2"/>
      <c r="CV106" s="2">
        <v>0.1</v>
      </c>
      <c r="CW106" s="2"/>
      <c r="CX106" s="2">
        <v>10.199999999999999</v>
      </c>
      <c r="CY106" s="2">
        <v>36.5</v>
      </c>
      <c r="CZ106" s="2"/>
      <c r="DB106">
        <v>2012</v>
      </c>
      <c r="DC106">
        <v>36.5</v>
      </c>
      <c r="DH106">
        <v>105</v>
      </c>
    </row>
    <row r="107" spans="1:112">
      <c r="A107" s="1">
        <v>41014</v>
      </c>
      <c r="B107" s="2"/>
      <c r="C107" s="2">
        <v>4.0999999999999996</v>
      </c>
      <c r="D107" s="2">
        <v>10.3</v>
      </c>
      <c r="E107" s="2"/>
      <c r="F107" s="2"/>
      <c r="G107" s="2">
        <v>8.5</v>
      </c>
      <c r="H107" s="2"/>
      <c r="I107" s="2"/>
      <c r="J107" s="2"/>
      <c r="K107" s="2"/>
      <c r="L107" s="2">
        <v>0.4</v>
      </c>
      <c r="M107" s="2">
        <v>5.3</v>
      </c>
      <c r="N107" s="2">
        <v>0.1</v>
      </c>
      <c r="O107" s="2"/>
      <c r="P107" s="2">
        <v>0.2</v>
      </c>
      <c r="Q107" s="2"/>
      <c r="R107" s="2"/>
      <c r="S107" s="2"/>
      <c r="T107" s="2"/>
      <c r="U107" s="2"/>
      <c r="V107" s="2">
        <v>19.2</v>
      </c>
      <c r="W107" s="2">
        <v>0</v>
      </c>
      <c r="X107" s="2"/>
      <c r="Y107" s="2"/>
      <c r="Z107" s="2">
        <v>6.5</v>
      </c>
      <c r="AA107" s="2"/>
      <c r="AB107" s="2"/>
      <c r="AC107" s="2"/>
      <c r="AD107" s="2"/>
      <c r="AE107" s="2">
        <v>1.5</v>
      </c>
      <c r="AF107" s="2"/>
      <c r="AG107" s="2">
        <v>0.69999999999981799</v>
      </c>
      <c r="AH107" s="2">
        <v>0.39999999999963598</v>
      </c>
      <c r="AI107" s="2"/>
      <c r="AJ107" s="2">
        <v>14.5</v>
      </c>
      <c r="AK107" s="2"/>
      <c r="AL107" s="2"/>
      <c r="AM107" s="2">
        <v>0.5</v>
      </c>
      <c r="AN107" s="2">
        <v>1.29999999999927</v>
      </c>
      <c r="AO107" s="2"/>
      <c r="AP107" s="2">
        <v>0.69999999999981799</v>
      </c>
      <c r="AQ107" s="2"/>
      <c r="AR107" s="2">
        <v>0.79999999999927196</v>
      </c>
      <c r="AS107" s="2"/>
      <c r="AT107" s="2">
        <v>4.5999999999985501</v>
      </c>
      <c r="AU107" s="2"/>
      <c r="AV107" s="2">
        <v>0.59999999999945397</v>
      </c>
      <c r="AW107" s="2">
        <v>15.599999999991301</v>
      </c>
      <c r="AX107" s="2"/>
      <c r="AY107" s="2">
        <v>0.5</v>
      </c>
      <c r="AZ107" s="2"/>
      <c r="BA107" s="2">
        <v>4.79999999999563</v>
      </c>
      <c r="BB107" s="2">
        <v>0.19999999999981799</v>
      </c>
      <c r="BC107" s="2"/>
      <c r="BD107" s="2">
        <v>0.5</v>
      </c>
      <c r="BE107" s="2">
        <v>4.1999999999970896</v>
      </c>
      <c r="BF107" s="2">
        <v>0.30000000000018201</v>
      </c>
      <c r="BG107" s="2"/>
      <c r="BH107" s="2">
        <v>15.100000000005799</v>
      </c>
      <c r="BI107" s="2">
        <v>1.20000000000073</v>
      </c>
      <c r="BJ107" s="2">
        <v>0.100000000000023</v>
      </c>
      <c r="BK107" s="2">
        <v>0.100000000000023</v>
      </c>
      <c r="BL107" s="2">
        <v>8</v>
      </c>
      <c r="BM107" s="2">
        <v>23</v>
      </c>
      <c r="BN107" s="2"/>
      <c r="BO107" s="2">
        <v>0.5</v>
      </c>
      <c r="BP107" s="2">
        <v>0.400000000000091</v>
      </c>
      <c r="BQ107" s="2">
        <v>0.100000000000023</v>
      </c>
      <c r="BR107" s="2"/>
      <c r="BS107" s="2">
        <v>0.30000000000018201</v>
      </c>
      <c r="BT107" s="2"/>
      <c r="BU107" s="2"/>
      <c r="BV107" s="2">
        <v>0</v>
      </c>
      <c r="BW107" s="2">
        <v>1.6999999999989099</v>
      </c>
      <c r="BX107" s="2"/>
      <c r="BY107" s="2"/>
      <c r="BZ107" s="2">
        <v>0.5</v>
      </c>
      <c r="CA107" s="2">
        <v>4.8</v>
      </c>
      <c r="CB107" s="2">
        <v>1.5</v>
      </c>
      <c r="CC107" s="2"/>
      <c r="CD107" s="2">
        <v>0.6</v>
      </c>
      <c r="CE107" s="2"/>
      <c r="CF107" s="2"/>
      <c r="CG107" s="2"/>
      <c r="CH107" s="2"/>
      <c r="CI107" s="2">
        <v>11.6</v>
      </c>
      <c r="CJ107" s="2"/>
      <c r="CK107" s="2"/>
      <c r="CL107" s="2"/>
      <c r="CM107" s="2"/>
      <c r="CN107" s="2">
        <v>16.5</v>
      </c>
      <c r="CO107" s="2">
        <v>1.5</v>
      </c>
      <c r="CP107" s="2">
        <v>0.2</v>
      </c>
      <c r="CQ107" s="2">
        <v>7.6</v>
      </c>
      <c r="CR107" s="2">
        <v>0.3</v>
      </c>
      <c r="CS107" s="2"/>
      <c r="CT107" s="2"/>
      <c r="CU107" s="2"/>
      <c r="CV107" s="2"/>
      <c r="CW107" s="2"/>
      <c r="CX107" s="2"/>
      <c r="CY107" s="2">
        <v>0.5</v>
      </c>
      <c r="CZ107" s="2">
        <v>5</v>
      </c>
      <c r="DB107">
        <v>1974</v>
      </c>
      <c r="DC107">
        <v>23</v>
      </c>
      <c r="DH107">
        <v>106</v>
      </c>
    </row>
    <row r="108" spans="1:112">
      <c r="A108" s="1">
        <v>41015</v>
      </c>
      <c r="B108" s="2"/>
      <c r="C108" s="2">
        <v>0.7</v>
      </c>
      <c r="D108" s="2">
        <v>2.6</v>
      </c>
      <c r="E108" s="2"/>
      <c r="F108" s="2"/>
      <c r="G108" s="2">
        <v>3.8</v>
      </c>
      <c r="H108" s="2"/>
      <c r="I108" s="2">
        <v>3.3</v>
      </c>
      <c r="J108" s="2"/>
      <c r="K108" s="2"/>
      <c r="L108" s="2">
        <v>0.4</v>
      </c>
      <c r="M108" s="2">
        <v>0.1</v>
      </c>
      <c r="N108" s="2"/>
      <c r="O108" s="2"/>
      <c r="P108" s="2"/>
      <c r="Q108" s="2"/>
      <c r="R108" s="2">
        <v>0.2</v>
      </c>
      <c r="S108" s="2"/>
      <c r="T108" s="2"/>
      <c r="U108" s="2"/>
      <c r="V108" s="2"/>
      <c r="W108" s="2">
        <v>13</v>
      </c>
      <c r="X108" s="2"/>
      <c r="Y108" s="2"/>
      <c r="Z108" s="2">
        <v>0.19999999999981799</v>
      </c>
      <c r="AA108" s="2"/>
      <c r="AB108" s="2">
        <v>9</v>
      </c>
      <c r="AC108" s="2">
        <v>8.3999999999941792</v>
      </c>
      <c r="AD108" s="2"/>
      <c r="AE108" s="2"/>
      <c r="AF108" s="2">
        <v>0.89999999999963598</v>
      </c>
      <c r="AG108" s="2"/>
      <c r="AH108" s="2"/>
      <c r="AI108" s="2"/>
      <c r="AJ108" s="2"/>
      <c r="AK108" s="2"/>
      <c r="AL108" s="2"/>
      <c r="AM108" s="2"/>
      <c r="AN108" s="2">
        <v>1.6999999999989099</v>
      </c>
      <c r="AO108" s="2"/>
      <c r="AP108" s="2">
        <v>13</v>
      </c>
      <c r="AQ108" s="2"/>
      <c r="AR108" s="2"/>
      <c r="AS108" s="2"/>
      <c r="AT108" s="2">
        <v>5.29999999999563</v>
      </c>
      <c r="AU108" s="2"/>
      <c r="AV108" s="2">
        <v>21</v>
      </c>
      <c r="AW108" s="2">
        <v>3.7999999999992702</v>
      </c>
      <c r="AX108" s="2"/>
      <c r="AY108" s="2">
        <v>13.299999999988399</v>
      </c>
      <c r="AZ108" s="2"/>
      <c r="BA108" s="2">
        <v>5</v>
      </c>
      <c r="BB108" s="2">
        <v>0.79999999999927196</v>
      </c>
      <c r="BC108" s="2"/>
      <c r="BD108" s="2">
        <v>24.399999999994201</v>
      </c>
      <c r="BE108" s="2"/>
      <c r="BF108" s="2">
        <v>0.200000000000045</v>
      </c>
      <c r="BG108" s="2">
        <v>22</v>
      </c>
      <c r="BH108" s="2">
        <v>2.5999999999985399</v>
      </c>
      <c r="BI108" s="2">
        <v>40.799999999988401</v>
      </c>
      <c r="BJ108" s="2">
        <v>0.200000000000045</v>
      </c>
      <c r="BK108" s="2">
        <v>1</v>
      </c>
      <c r="BL108" s="2">
        <v>0.100000000000023</v>
      </c>
      <c r="BM108" s="2">
        <v>5.3000000000029104</v>
      </c>
      <c r="BN108" s="2">
        <v>1.29999999999927</v>
      </c>
      <c r="BO108" s="2">
        <v>1.5</v>
      </c>
      <c r="BP108" s="2">
        <v>11</v>
      </c>
      <c r="BQ108" s="2">
        <v>3.2000000000007298</v>
      </c>
      <c r="BR108" s="2"/>
      <c r="BS108" s="2"/>
      <c r="BT108" s="2"/>
      <c r="BU108" s="2">
        <v>7.5</v>
      </c>
      <c r="BV108" s="2">
        <v>7.7</v>
      </c>
      <c r="BW108" s="2"/>
      <c r="BX108" s="2"/>
      <c r="BY108" s="2"/>
      <c r="BZ108" s="2">
        <v>0</v>
      </c>
      <c r="CA108" s="2">
        <v>4.5</v>
      </c>
      <c r="CB108" s="2">
        <v>0</v>
      </c>
      <c r="CC108" s="2">
        <v>0.1</v>
      </c>
      <c r="CD108" s="2">
        <v>1.2</v>
      </c>
      <c r="CE108" s="2"/>
      <c r="CF108" s="2"/>
      <c r="CG108" s="2"/>
      <c r="CH108" s="2">
        <v>5.0999999999999996</v>
      </c>
      <c r="CI108" s="2"/>
      <c r="CJ108" s="2">
        <v>7.3</v>
      </c>
      <c r="CK108" s="2"/>
      <c r="CL108" s="2"/>
      <c r="CM108" s="2"/>
      <c r="CN108" s="2"/>
      <c r="CO108" s="2">
        <v>4.3</v>
      </c>
      <c r="CP108" s="2"/>
      <c r="CQ108" s="2"/>
      <c r="CR108" s="2"/>
      <c r="CS108" s="2"/>
      <c r="CT108" s="2">
        <v>0.3</v>
      </c>
      <c r="CU108" s="2">
        <v>0.2</v>
      </c>
      <c r="CV108" s="2">
        <v>2.7</v>
      </c>
      <c r="CW108" s="2">
        <v>0.1</v>
      </c>
      <c r="CX108" s="2"/>
      <c r="CY108" s="2"/>
      <c r="CZ108" s="2">
        <v>2.6</v>
      </c>
      <c r="DB108">
        <v>1970</v>
      </c>
      <c r="DC108">
        <v>40.799999999988401</v>
      </c>
      <c r="DH108">
        <v>107</v>
      </c>
    </row>
    <row r="109" spans="1:112">
      <c r="A109" s="1">
        <v>41016</v>
      </c>
      <c r="B109" s="2"/>
      <c r="C109" s="2">
        <v>0.1</v>
      </c>
      <c r="D109" s="2"/>
      <c r="E109" s="2"/>
      <c r="F109" s="2"/>
      <c r="G109" s="2">
        <v>10</v>
      </c>
      <c r="H109" s="2"/>
      <c r="I109" s="2"/>
      <c r="J109" s="2"/>
      <c r="K109" s="2"/>
      <c r="L109" s="2"/>
      <c r="M109" s="2">
        <v>0.2</v>
      </c>
      <c r="N109" s="2">
        <v>0.2</v>
      </c>
      <c r="O109" s="2"/>
      <c r="P109" s="2">
        <v>3.8</v>
      </c>
      <c r="Q109" s="2"/>
      <c r="R109" s="2">
        <v>5.5</v>
      </c>
      <c r="S109" s="2"/>
      <c r="T109" s="2">
        <v>14</v>
      </c>
      <c r="U109" s="2">
        <v>11.9</v>
      </c>
      <c r="V109" s="2"/>
      <c r="W109" s="2"/>
      <c r="X109" s="2">
        <v>0.2</v>
      </c>
      <c r="Y109" s="2"/>
      <c r="Z109" s="2">
        <v>0.59999999999945397</v>
      </c>
      <c r="AA109" s="2"/>
      <c r="AB109" s="2">
        <v>4.6999999999970896</v>
      </c>
      <c r="AC109" s="2">
        <v>7.5</v>
      </c>
      <c r="AD109" s="2"/>
      <c r="AE109" s="2"/>
      <c r="AF109" s="2">
        <v>0</v>
      </c>
      <c r="AG109" s="2"/>
      <c r="AH109" s="2"/>
      <c r="AI109" s="2"/>
      <c r="AJ109" s="2"/>
      <c r="AK109" s="2"/>
      <c r="AL109" s="2"/>
      <c r="AM109" s="2"/>
      <c r="AN109" s="2">
        <v>0</v>
      </c>
      <c r="AO109" s="2"/>
      <c r="AP109" s="2"/>
      <c r="AQ109" s="2"/>
      <c r="AR109" s="2">
        <v>3.1999999999970901</v>
      </c>
      <c r="AS109" s="2"/>
      <c r="AT109" s="2"/>
      <c r="AU109" s="2"/>
      <c r="AV109" s="2"/>
      <c r="AW109" s="2"/>
      <c r="AX109" s="2"/>
      <c r="AY109" s="2">
        <v>1.5</v>
      </c>
      <c r="AZ109" s="2"/>
      <c r="BA109" s="2"/>
      <c r="BB109" s="2"/>
      <c r="BC109" s="2"/>
      <c r="BD109" s="2">
        <v>18.799999999988401</v>
      </c>
      <c r="BE109" s="2"/>
      <c r="BF109" s="2">
        <v>0.200000000000045</v>
      </c>
      <c r="BG109" s="2">
        <v>0.30000000000018201</v>
      </c>
      <c r="BH109" s="2"/>
      <c r="BI109" s="2">
        <v>37</v>
      </c>
      <c r="BJ109" s="2">
        <v>0.100000000000023</v>
      </c>
      <c r="BK109" s="2">
        <v>1.29999999999927</v>
      </c>
      <c r="BL109" s="2">
        <v>5.5</v>
      </c>
      <c r="BM109" s="2">
        <v>1.39999999999964</v>
      </c>
      <c r="BN109" s="2">
        <v>4.3000000000029104</v>
      </c>
      <c r="BO109" s="2">
        <v>1.20000000000073</v>
      </c>
      <c r="BP109" s="2">
        <v>0.400000000000091</v>
      </c>
      <c r="BQ109" s="2">
        <v>2.7999999999992702</v>
      </c>
      <c r="BR109" s="2">
        <v>1.29999999999927</v>
      </c>
      <c r="BS109" s="2">
        <v>0.69999999999981799</v>
      </c>
      <c r="BT109" s="2"/>
      <c r="BU109" s="2">
        <v>16.100000000005799</v>
      </c>
      <c r="BV109" s="2">
        <v>1.7</v>
      </c>
      <c r="BW109" s="2"/>
      <c r="BX109" s="2"/>
      <c r="BY109" s="2"/>
      <c r="BZ109" s="2"/>
      <c r="CA109" s="2">
        <v>1.6</v>
      </c>
      <c r="CB109" s="2"/>
      <c r="CC109" s="2">
        <v>2.2999999999999998</v>
      </c>
      <c r="CD109" s="2"/>
      <c r="CE109" s="2"/>
      <c r="CF109" s="2">
        <v>1.6</v>
      </c>
      <c r="CG109" s="2"/>
      <c r="CH109" s="2">
        <v>1.8</v>
      </c>
      <c r="CI109" s="2">
        <v>2.5</v>
      </c>
      <c r="CJ109" s="2">
        <v>0.8</v>
      </c>
      <c r="CK109" s="2"/>
      <c r="CL109" s="2"/>
      <c r="CM109" s="2"/>
      <c r="CN109" s="2">
        <v>2</v>
      </c>
      <c r="CO109" s="2"/>
      <c r="CP109" s="2">
        <v>0.1</v>
      </c>
      <c r="CQ109" s="2">
        <v>0.5</v>
      </c>
      <c r="CR109" s="2"/>
      <c r="CS109" s="2"/>
      <c r="CT109" s="2"/>
      <c r="CU109" s="2"/>
      <c r="CV109" s="2"/>
      <c r="CW109" s="2">
        <v>1.7</v>
      </c>
      <c r="CX109" s="2">
        <v>12.2</v>
      </c>
      <c r="CY109" s="2"/>
      <c r="CZ109" s="2">
        <v>0.2</v>
      </c>
      <c r="DB109">
        <v>1970</v>
      </c>
      <c r="DC109">
        <v>37</v>
      </c>
      <c r="DH109">
        <v>108</v>
      </c>
    </row>
    <row r="110" spans="1:112">
      <c r="A110" s="1">
        <v>41017</v>
      </c>
      <c r="B110" s="2"/>
      <c r="C110" s="2"/>
      <c r="D110" s="2"/>
      <c r="E110" s="2"/>
      <c r="F110" s="2"/>
      <c r="G110" s="2">
        <v>0.6</v>
      </c>
      <c r="H110" s="2"/>
      <c r="I110" s="2">
        <v>0.5</v>
      </c>
      <c r="J110" s="2"/>
      <c r="K110" s="2"/>
      <c r="L110" s="2">
        <v>0.2</v>
      </c>
      <c r="M110" s="2"/>
      <c r="N110" s="2"/>
      <c r="O110" s="2"/>
      <c r="P110" s="2">
        <v>3.2</v>
      </c>
      <c r="Q110" s="2">
        <v>4</v>
      </c>
      <c r="R110" s="2">
        <v>7.2</v>
      </c>
      <c r="S110" s="2"/>
      <c r="T110" s="2">
        <v>1.1000000000000001</v>
      </c>
      <c r="U110" s="2"/>
      <c r="V110" s="2"/>
      <c r="W110" s="2">
        <v>0.1</v>
      </c>
      <c r="X110" s="2">
        <v>0.2</v>
      </c>
      <c r="Y110" s="2"/>
      <c r="Z110" s="2">
        <v>15.5</v>
      </c>
      <c r="AA110" s="2">
        <v>0.59999999999945397</v>
      </c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>
        <v>40.5</v>
      </c>
      <c r="AO110" s="2"/>
      <c r="AP110" s="2"/>
      <c r="AQ110" s="2"/>
      <c r="AR110" s="2">
        <v>7.79999999999563</v>
      </c>
      <c r="AS110" s="2">
        <v>3.7999999999992702</v>
      </c>
      <c r="AT110" s="2">
        <v>4.5999999999985501</v>
      </c>
      <c r="AU110" s="2"/>
      <c r="AV110" s="2"/>
      <c r="AW110" s="2">
        <v>6.5999999999985501</v>
      </c>
      <c r="AX110" s="2"/>
      <c r="AY110" s="2">
        <v>1.79999999999927</v>
      </c>
      <c r="AZ110" s="2"/>
      <c r="BA110" s="2"/>
      <c r="BB110" s="2"/>
      <c r="BC110" s="2"/>
      <c r="BD110" s="2"/>
      <c r="BE110" s="2"/>
      <c r="BF110" s="2"/>
      <c r="BG110" s="2"/>
      <c r="BH110" s="2">
        <v>26.700000000011599</v>
      </c>
      <c r="BI110" s="2">
        <v>3.7999999999992702</v>
      </c>
      <c r="BJ110" s="2"/>
      <c r="BK110" s="2"/>
      <c r="BL110" s="2">
        <v>1.29999999999927</v>
      </c>
      <c r="BM110" s="2">
        <v>0.80000000000018201</v>
      </c>
      <c r="BN110" s="2">
        <v>0.89999999999963598</v>
      </c>
      <c r="BO110" s="2"/>
      <c r="BP110" s="2"/>
      <c r="BQ110" s="2">
        <v>1</v>
      </c>
      <c r="BR110" s="2">
        <v>8.6000000000058208</v>
      </c>
      <c r="BS110" s="2"/>
      <c r="BT110" s="2">
        <v>1</v>
      </c>
      <c r="BU110" s="2">
        <v>1.20000000000073</v>
      </c>
      <c r="BV110" s="2">
        <v>0.2</v>
      </c>
      <c r="BW110" s="2">
        <v>0</v>
      </c>
      <c r="BX110" s="2"/>
      <c r="BY110" s="2"/>
      <c r="BZ110" s="2">
        <v>0.3</v>
      </c>
      <c r="CA110" s="2">
        <v>21.8</v>
      </c>
      <c r="CB110" s="2"/>
      <c r="CC110" s="2"/>
      <c r="CD110" s="2"/>
      <c r="CE110" s="2"/>
      <c r="CF110" s="2"/>
      <c r="CG110" s="2"/>
      <c r="CH110" s="2"/>
      <c r="CI110" s="2">
        <v>10</v>
      </c>
      <c r="CJ110" s="2"/>
      <c r="CK110" s="2"/>
      <c r="CL110" s="2"/>
      <c r="CM110" s="2">
        <v>0.5</v>
      </c>
      <c r="CN110" s="2">
        <v>12.5</v>
      </c>
      <c r="CO110" s="2"/>
      <c r="CP110" s="2">
        <v>10.4</v>
      </c>
      <c r="CQ110" s="2">
        <v>1.2</v>
      </c>
      <c r="CR110" s="2"/>
      <c r="CS110" s="2"/>
      <c r="CT110" s="2">
        <v>0.4</v>
      </c>
      <c r="CU110" s="2"/>
      <c r="CV110" s="2"/>
      <c r="CW110" s="2">
        <v>0.1</v>
      </c>
      <c r="CX110" s="2">
        <v>14.6</v>
      </c>
      <c r="CY110" s="2">
        <v>14.6</v>
      </c>
      <c r="CZ110" s="2"/>
      <c r="DB110">
        <v>1949</v>
      </c>
      <c r="DC110">
        <v>40.5</v>
      </c>
      <c r="DH110">
        <v>109</v>
      </c>
    </row>
    <row r="111" spans="1:112">
      <c r="A111" s="1">
        <v>41018</v>
      </c>
      <c r="B111" s="2"/>
      <c r="C111" s="2"/>
      <c r="D111" s="2"/>
      <c r="E111" s="2">
        <v>0.1</v>
      </c>
      <c r="F111" s="2"/>
      <c r="G111" s="2">
        <v>5.9</v>
      </c>
      <c r="H111" s="2">
        <v>2.1</v>
      </c>
      <c r="I111" s="2"/>
      <c r="J111" s="2">
        <v>1.4</v>
      </c>
      <c r="K111" s="2"/>
      <c r="L111" s="2"/>
      <c r="M111" s="2"/>
      <c r="N111" s="2"/>
      <c r="O111" s="2"/>
      <c r="P111" s="2">
        <v>1.5</v>
      </c>
      <c r="Q111" s="2"/>
      <c r="R111" s="2"/>
      <c r="S111" s="2"/>
      <c r="T111" s="2"/>
      <c r="U111" s="2"/>
      <c r="V111" s="2"/>
      <c r="W111" s="2"/>
      <c r="X111" s="2">
        <v>5.5</v>
      </c>
      <c r="Y111" s="2"/>
      <c r="Z111" s="2">
        <v>0.29999999999972699</v>
      </c>
      <c r="AA111" s="2"/>
      <c r="AB111" s="2"/>
      <c r="AC111" s="2">
        <v>0.19999999999981799</v>
      </c>
      <c r="AD111" s="2"/>
      <c r="AE111" s="2"/>
      <c r="AF111" s="2"/>
      <c r="AG111" s="2">
        <v>0</v>
      </c>
      <c r="AH111" s="2"/>
      <c r="AI111" s="2"/>
      <c r="AJ111" s="2">
        <v>4.5</v>
      </c>
      <c r="AK111" s="2">
        <v>0</v>
      </c>
      <c r="AL111" s="2"/>
      <c r="AM111" s="2"/>
      <c r="AN111" s="2">
        <v>4.5999999999985501</v>
      </c>
      <c r="AO111" s="2"/>
      <c r="AP111" s="2"/>
      <c r="AQ111" s="2"/>
      <c r="AR111" s="2">
        <v>6.3999999999941801</v>
      </c>
      <c r="AS111" s="2">
        <v>5.5999999999985501</v>
      </c>
      <c r="AT111" s="2">
        <v>1.5</v>
      </c>
      <c r="AU111" s="2"/>
      <c r="AV111" s="2">
        <v>1.79999999999927</v>
      </c>
      <c r="AW111" s="2"/>
      <c r="AX111" s="2">
        <v>0.19999999999981799</v>
      </c>
      <c r="AY111" s="2"/>
      <c r="AZ111" s="2"/>
      <c r="BA111" s="2"/>
      <c r="BB111" s="2"/>
      <c r="BC111" s="2"/>
      <c r="BD111" s="2">
        <v>0.200000000000045</v>
      </c>
      <c r="BE111" s="2"/>
      <c r="BF111" s="2">
        <v>11.8000000000029</v>
      </c>
      <c r="BG111" s="2"/>
      <c r="BH111" s="2">
        <v>10.3000000000029</v>
      </c>
      <c r="BI111" s="2">
        <v>0.30000000000018201</v>
      </c>
      <c r="BJ111" s="2"/>
      <c r="BK111" s="2"/>
      <c r="BL111" s="2">
        <v>0.400000000000091</v>
      </c>
      <c r="BM111" s="2">
        <v>0.100000000000023</v>
      </c>
      <c r="BN111" s="2">
        <v>3.4000000000014601</v>
      </c>
      <c r="BO111" s="2">
        <v>0</v>
      </c>
      <c r="BP111" s="2"/>
      <c r="BQ111" s="2">
        <v>41.200000000011599</v>
      </c>
      <c r="BR111" s="2">
        <v>20.299999999988401</v>
      </c>
      <c r="BS111" s="2"/>
      <c r="BT111" s="2">
        <v>14.600000000005799</v>
      </c>
      <c r="BU111" s="2">
        <v>0.200000000000045</v>
      </c>
      <c r="BV111" s="2">
        <v>0</v>
      </c>
      <c r="BW111" s="2">
        <v>3.3</v>
      </c>
      <c r="BX111" s="2"/>
      <c r="BY111" s="2"/>
      <c r="BZ111" s="2">
        <v>0.1</v>
      </c>
      <c r="CA111" s="2">
        <v>6.2</v>
      </c>
      <c r="CB111" s="2"/>
      <c r="CC111" s="2"/>
      <c r="CD111" s="2"/>
      <c r="CE111" s="2">
        <v>8.8000000000000007</v>
      </c>
      <c r="CF111" s="2"/>
      <c r="CG111" s="2"/>
      <c r="CH111" s="2"/>
      <c r="CI111" s="2">
        <v>8.1</v>
      </c>
      <c r="CJ111" s="2">
        <v>7</v>
      </c>
      <c r="CK111" s="2">
        <v>5.5</v>
      </c>
      <c r="CL111" s="2"/>
      <c r="CM111" s="2">
        <v>7</v>
      </c>
      <c r="CN111" s="2"/>
      <c r="CO111" s="2">
        <v>1.9</v>
      </c>
      <c r="CP111" s="2">
        <v>15</v>
      </c>
      <c r="CQ111" s="2">
        <v>0.6</v>
      </c>
      <c r="CR111" s="2"/>
      <c r="CS111" s="2"/>
      <c r="CT111" s="2">
        <v>0.4</v>
      </c>
      <c r="CU111" s="2">
        <v>0.1</v>
      </c>
      <c r="CV111" s="2"/>
      <c r="CW111" s="2">
        <v>10.4</v>
      </c>
      <c r="CX111" s="2">
        <v>1.1000000000000001</v>
      </c>
      <c r="CY111" s="2">
        <v>0.5</v>
      </c>
      <c r="CZ111" s="2"/>
      <c r="DB111">
        <v>1978</v>
      </c>
      <c r="DC111">
        <v>41.200000000011599</v>
      </c>
      <c r="DH111">
        <v>110</v>
      </c>
    </row>
    <row r="112" spans="1:112">
      <c r="A112" s="1">
        <v>41019</v>
      </c>
      <c r="B112" s="2"/>
      <c r="C112" s="2">
        <v>0.7</v>
      </c>
      <c r="D112" s="2">
        <v>0.3</v>
      </c>
      <c r="E112" s="2"/>
      <c r="F112" s="2"/>
      <c r="G112" s="2"/>
      <c r="H112" s="2">
        <v>6</v>
      </c>
      <c r="I112" s="2">
        <v>3.2</v>
      </c>
      <c r="J112" s="2">
        <v>1.8</v>
      </c>
      <c r="K112" s="2"/>
      <c r="L112" s="2">
        <v>0.1</v>
      </c>
      <c r="M112" s="2"/>
      <c r="N112" s="2"/>
      <c r="O112" s="2"/>
      <c r="P112" s="2"/>
      <c r="Q112" s="2"/>
      <c r="R112" s="2"/>
      <c r="S112" s="2"/>
      <c r="T112" s="2"/>
      <c r="U112" s="2">
        <v>0.4</v>
      </c>
      <c r="V112" s="2"/>
      <c r="W112" s="2">
        <v>22.1</v>
      </c>
      <c r="X112" s="2"/>
      <c r="Y112" s="2"/>
      <c r="Z112" s="2"/>
      <c r="AA112" s="2"/>
      <c r="AB112" s="2">
        <v>0.8</v>
      </c>
      <c r="AC112" s="2">
        <v>1</v>
      </c>
      <c r="AD112" s="2">
        <v>2.5999999999985399</v>
      </c>
      <c r="AE112" s="2"/>
      <c r="AF112" s="2"/>
      <c r="AG112" s="2"/>
      <c r="AH112" s="2"/>
      <c r="AI112" s="2"/>
      <c r="AJ112" s="2">
        <v>15.299999999988399</v>
      </c>
      <c r="AK112" s="2"/>
      <c r="AL112" s="2"/>
      <c r="AM112" s="2">
        <v>0.29999999999972699</v>
      </c>
      <c r="AN112" s="2"/>
      <c r="AO112" s="2"/>
      <c r="AP112" s="2"/>
      <c r="AQ112" s="2"/>
      <c r="AR112" s="2">
        <v>15.5</v>
      </c>
      <c r="AS112" s="2"/>
      <c r="AT112" s="2">
        <v>2.5</v>
      </c>
      <c r="AU112" s="2"/>
      <c r="AV112" s="2"/>
      <c r="AW112" s="2"/>
      <c r="AX112" s="2">
        <v>2.8999999999978199</v>
      </c>
      <c r="AY112" s="2">
        <v>4.1999999999970896</v>
      </c>
      <c r="AZ112" s="2"/>
      <c r="BA112" s="2"/>
      <c r="BB112" s="2"/>
      <c r="BC112" s="2"/>
      <c r="BD112" s="2">
        <v>1.10000000000036</v>
      </c>
      <c r="BE112" s="2"/>
      <c r="BF112" s="2">
        <v>0.5</v>
      </c>
      <c r="BG112" s="2">
        <v>5.1999999999970896</v>
      </c>
      <c r="BH112" s="2"/>
      <c r="BI112" s="2">
        <v>0.200000000000045</v>
      </c>
      <c r="BJ112" s="2">
        <v>0.60000000000036402</v>
      </c>
      <c r="BK112" s="2">
        <v>2</v>
      </c>
      <c r="BL112" s="2">
        <v>0.60000000000036402</v>
      </c>
      <c r="BM112" s="2">
        <v>0.200000000000045</v>
      </c>
      <c r="BN112" s="2">
        <v>0.100000000000023</v>
      </c>
      <c r="BO112" s="2"/>
      <c r="BP112" s="2"/>
      <c r="BQ112" s="2"/>
      <c r="BR112" s="2"/>
      <c r="BS112" s="2">
        <v>9.8000000000029104</v>
      </c>
      <c r="BT112" s="2"/>
      <c r="BU112" s="2">
        <v>20.299999999988401</v>
      </c>
      <c r="BV112" s="2">
        <v>0.4</v>
      </c>
      <c r="BW112" s="2">
        <v>2</v>
      </c>
      <c r="BX112" s="2"/>
      <c r="BY112" s="2">
        <v>11</v>
      </c>
      <c r="BZ112" s="2"/>
      <c r="CA112" s="2">
        <v>2.6</v>
      </c>
      <c r="CB112" s="2"/>
      <c r="CC112" s="2">
        <v>0.8</v>
      </c>
      <c r="CD112" s="2"/>
      <c r="CE112" s="2">
        <v>4.5</v>
      </c>
      <c r="CF112" s="2"/>
      <c r="CG112" s="2">
        <v>4.7</v>
      </c>
      <c r="CH112" s="2"/>
      <c r="CI112" s="2">
        <v>2.6</v>
      </c>
      <c r="CJ112" s="2"/>
      <c r="CK112" s="2">
        <v>0.5</v>
      </c>
      <c r="CL112" s="2"/>
      <c r="CM112" s="2">
        <v>19</v>
      </c>
      <c r="CN112" s="2"/>
      <c r="CO112" s="2">
        <v>0.5</v>
      </c>
      <c r="CP112" s="2">
        <v>3</v>
      </c>
      <c r="CQ112" s="2"/>
      <c r="CR112" s="2"/>
      <c r="CS112" s="2"/>
      <c r="CT112" s="2"/>
      <c r="CU112" s="2"/>
      <c r="CV112" s="2"/>
      <c r="CW112" s="2"/>
      <c r="CX112" s="2">
        <v>4.9000000000000004</v>
      </c>
      <c r="CY112" s="2"/>
      <c r="CZ112" s="2">
        <v>0.4</v>
      </c>
      <c r="DB112">
        <v>1932</v>
      </c>
      <c r="DC112">
        <v>22.1</v>
      </c>
      <c r="DH112">
        <v>111</v>
      </c>
    </row>
    <row r="113" spans="1:112">
      <c r="A113" s="1">
        <v>41020</v>
      </c>
      <c r="B113" s="2"/>
      <c r="C113" s="2">
        <v>42.5</v>
      </c>
      <c r="D113" s="2">
        <v>0.4</v>
      </c>
      <c r="E113" s="2"/>
      <c r="F113" s="2"/>
      <c r="G113" s="2"/>
      <c r="H113" s="2">
        <v>6.1</v>
      </c>
      <c r="I113" s="2"/>
      <c r="J113" s="2">
        <v>1.8</v>
      </c>
      <c r="K113" s="2"/>
      <c r="L113" s="2">
        <v>0.7</v>
      </c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>
        <v>23.2</v>
      </c>
      <c r="X113" s="2"/>
      <c r="Y113" s="2"/>
      <c r="Z113" s="2"/>
      <c r="AA113" s="2"/>
      <c r="AB113" s="2">
        <v>12.5</v>
      </c>
      <c r="AC113" s="2">
        <v>5.5</v>
      </c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>
        <v>3.1999999999970901</v>
      </c>
      <c r="AO113" s="2"/>
      <c r="AP113" s="2">
        <v>0.19999999999981799</v>
      </c>
      <c r="AQ113" s="2"/>
      <c r="AR113" s="2"/>
      <c r="AS113" s="2">
        <v>0.79999999999927196</v>
      </c>
      <c r="AT113" s="2"/>
      <c r="AU113" s="2">
        <v>0.29999999999972699</v>
      </c>
      <c r="AV113" s="2">
        <v>1.1999999999989099</v>
      </c>
      <c r="AW113" s="2"/>
      <c r="AX113" s="2">
        <v>0.5</v>
      </c>
      <c r="AY113" s="2">
        <v>7.1999999999970896</v>
      </c>
      <c r="AZ113" s="2">
        <v>0.39999999999963598</v>
      </c>
      <c r="BA113" s="2"/>
      <c r="BB113" s="2">
        <v>2.2999999999992702</v>
      </c>
      <c r="BC113" s="2"/>
      <c r="BD113" s="2">
        <v>0.200000000000045</v>
      </c>
      <c r="BE113" s="2"/>
      <c r="BF113" s="2"/>
      <c r="BG113" s="2">
        <v>1</v>
      </c>
      <c r="BH113" s="2"/>
      <c r="BI113" s="2"/>
      <c r="BJ113" s="2">
        <v>7.6999999999970896</v>
      </c>
      <c r="BK113" s="2">
        <v>6.9000000000014596</v>
      </c>
      <c r="BL113" s="2"/>
      <c r="BM113" s="2"/>
      <c r="BN113" s="2"/>
      <c r="BO113" s="2"/>
      <c r="BP113" s="2">
        <v>0.200000000000045</v>
      </c>
      <c r="BQ113" s="2"/>
      <c r="BR113" s="2"/>
      <c r="BS113" s="2">
        <v>0.100000000000023</v>
      </c>
      <c r="BT113" s="2"/>
      <c r="BU113" s="2">
        <v>20.299999999988401</v>
      </c>
      <c r="BV113" s="2">
        <v>0.1</v>
      </c>
      <c r="BW113" s="2">
        <v>0</v>
      </c>
      <c r="BX113" s="2">
        <v>0.3</v>
      </c>
      <c r="BY113" s="2">
        <v>1</v>
      </c>
      <c r="BZ113" s="2"/>
      <c r="CA113" s="2">
        <v>10.5</v>
      </c>
      <c r="CB113" s="2"/>
      <c r="CC113" s="2"/>
      <c r="CD113" s="2"/>
      <c r="CE113" s="2">
        <v>14.1</v>
      </c>
      <c r="CF113" s="2"/>
      <c r="CG113" s="2"/>
      <c r="CH113" s="2"/>
      <c r="CI113" s="2">
        <v>0.2</v>
      </c>
      <c r="CJ113" s="2"/>
      <c r="CK113" s="2">
        <v>1</v>
      </c>
      <c r="CL113" s="2"/>
      <c r="CM113" s="2">
        <v>1</v>
      </c>
      <c r="CN113" s="2">
        <v>0.8</v>
      </c>
      <c r="CO113" s="2"/>
      <c r="CP113" s="2"/>
      <c r="CQ113" s="2">
        <v>1.4</v>
      </c>
      <c r="CR113" s="2"/>
      <c r="CS113" s="2"/>
      <c r="CT113" s="2"/>
      <c r="CU113" s="2"/>
      <c r="CV113" s="2"/>
      <c r="CW113" s="2">
        <v>1.2</v>
      </c>
      <c r="CX113" s="2"/>
      <c r="CY113" s="2">
        <v>5.9</v>
      </c>
      <c r="CZ113" s="2">
        <v>1</v>
      </c>
      <c r="DB113">
        <v>1912</v>
      </c>
      <c r="DC113">
        <v>42.5</v>
      </c>
      <c r="DH113">
        <v>112</v>
      </c>
    </row>
    <row r="114" spans="1:112">
      <c r="A114" s="1">
        <v>41021</v>
      </c>
      <c r="B114" s="2"/>
      <c r="C114" s="2">
        <v>28.8</v>
      </c>
      <c r="D114" s="2"/>
      <c r="E114" s="2"/>
      <c r="F114" s="2"/>
      <c r="G114" s="2"/>
      <c r="H114" s="2">
        <v>1.7</v>
      </c>
      <c r="I114" s="2">
        <v>5</v>
      </c>
      <c r="J114" s="2">
        <v>1.4</v>
      </c>
      <c r="K114" s="2"/>
      <c r="L114" s="2"/>
      <c r="M114" s="2"/>
      <c r="N114" s="2"/>
      <c r="O114" s="2"/>
      <c r="P114" s="2"/>
      <c r="Q114" s="2"/>
      <c r="R114" s="2">
        <v>1.4</v>
      </c>
      <c r="S114" s="2"/>
      <c r="T114" s="2"/>
      <c r="U114" s="2"/>
      <c r="V114" s="2"/>
      <c r="W114" s="2"/>
      <c r="X114" s="2"/>
      <c r="Y114" s="2"/>
      <c r="Z114" s="2"/>
      <c r="AA114" s="2">
        <v>0.29999999999972699</v>
      </c>
      <c r="AB114" s="2">
        <v>0.29999999999972699</v>
      </c>
      <c r="AC114" s="2">
        <v>2.0999999999985399</v>
      </c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>
        <v>8.7999999999883602</v>
      </c>
      <c r="AW114" s="2"/>
      <c r="AX114" s="2"/>
      <c r="AY114" s="2"/>
      <c r="AZ114" s="2">
        <v>0.39999999999963598</v>
      </c>
      <c r="BA114" s="2"/>
      <c r="BB114" s="2">
        <v>0.79999999999927196</v>
      </c>
      <c r="BC114" s="2"/>
      <c r="BD114" s="2">
        <v>35.400000000023297</v>
      </c>
      <c r="BE114" s="2"/>
      <c r="BF114" s="2">
        <v>5</v>
      </c>
      <c r="BG114" s="2"/>
      <c r="BH114" s="2"/>
      <c r="BI114" s="2"/>
      <c r="BJ114" s="2">
        <v>0.100000000000023</v>
      </c>
      <c r="BK114" s="2">
        <v>7.4000000000014596</v>
      </c>
      <c r="BL114" s="2"/>
      <c r="BM114" s="2">
        <v>0.200000000000045</v>
      </c>
      <c r="BN114" s="2"/>
      <c r="BO114" s="2"/>
      <c r="BP114" s="2">
        <v>0.5</v>
      </c>
      <c r="BQ114" s="2"/>
      <c r="BR114" s="2"/>
      <c r="BS114" s="2">
        <v>10</v>
      </c>
      <c r="BT114" s="2"/>
      <c r="BU114" s="2">
        <v>1.60000000000036</v>
      </c>
      <c r="BV114" s="2"/>
      <c r="BW114" s="2">
        <v>1.4</v>
      </c>
      <c r="BX114" s="2">
        <v>0.8</v>
      </c>
      <c r="BY114" s="2"/>
      <c r="BZ114" s="2">
        <v>5.5</v>
      </c>
      <c r="CA114" s="2">
        <v>0.2</v>
      </c>
      <c r="CB114" s="2"/>
      <c r="CC114" s="2"/>
      <c r="CD114" s="2">
        <v>7.2</v>
      </c>
      <c r="CE114" s="2"/>
      <c r="CF114" s="2"/>
      <c r="CG114" s="2">
        <v>13.9</v>
      </c>
      <c r="CH114" s="2"/>
      <c r="CI114" s="2">
        <v>1.1000000000000001</v>
      </c>
      <c r="CJ114" s="2"/>
      <c r="CK114" s="2">
        <v>7</v>
      </c>
      <c r="CL114" s="2"/>
      <c r="CM114" s="2">
        <v>0.5</v>
      </c>
      <c r="CN114" s="2">
        <v>0.7</v>
      </c>
      <c r="CO114" s="2"/>
      <c r="CP114" s="2"/>
      <c r="CQ114" s="2"/>
      <c r="CR114" s="2">
        <v>4.3</v>
      </c>
      <c r="CS114" s="2"/>
      <c r="CT114" s="2"/>
      <c r="CU114" s="2"/>
      <c r="CV114" s="2">
        <v>7.7</v>
      </c>
      <c r="CW114" s="2"/>
      <c r="CX114" s="2"/>
      <c r="CY114" s="2"/>
      <c r="CZ114" s="2">
        <v>0.2</v>
      </c>
      <c r="DB114">
        <v>1965</v>
      </c>
      <c r="DC114">
        <v>35.400000000023297</v>
      </c>
      <c r="DH114">
        <v>113</v>
      </c>
    </row>
    <row r="115" spans="1:112">
      <c r="A115" s="1">
        <v>41022</v>
      </c>
      <c r="B115" s="2"/>
      <c r="C115" s="2">
        <v>2.2000000000000002</v>
      </c>
      <c r="D115" s="2"/>
      <c r="E115" s="2"/>
      <c r="F115" s="2"/>
      <c r="G115" s="2"/>
      <c r="H115" s="2">
        <v>4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>
        <v>0.2</v>
      </c>
      <c r="V115" s="2"/>
      <c r="W115" s="2"/>
      <c r="X115" s="2">
        <v>2.2000000000000002</v>
      </c>
      <c r="Y115" s="2">
        <v>0.19999999999981799</v>
      </c>
      <c r="Z115" s="2"/>
      <c r="AA115" s="2"/>
      <c r="AB115" s="2">
        <v>0.39999999999963598</v>
      </c>
      <c r="AC115" s="2"/>
      <c r="AD115" s="2">
        <v>0.29999999999972699</v>
      </c>
      <c r="AE115" s="2">
        <v>0.19999999999981799</v>
      </c>
      <c r="AF115" s="2"/>
      <c r="AG115" s="2">
        <v>0</v>
      </c>
      <c r="AH115" s="2"/>
      <c r="AI115" s="2"/>
      <c r="AJ115" s="2">
        <v>13</v>
      </c>
      <c r="AK115" s="2">
        <v>9.9999999999908995E-2</v>
      </c>
      <c r="AL115" s="2"/>
      <c r="AM115" s="2"/>
      <c r="AN115" s="2">
        <v>3.8999999999978199</v>
      </c>
      <c r="AO115" s="2"/>
      <c r="AP115" s="2">
        <v>12.299999999988399</v>
      </c>
      <c r="AQ115" s="2"/>
      <c r="AR115" s="2"/>
      <c r="AS115" s="2">
        <v>3</v>
      </c>
      <c r="AT115" s="2"/>
      <c r="AU115" s="2"/>
      <c r="AV115" s="2">
        <v>0.19999999999981799</v>
      </c>
      <c r="AW115" s="2">
        <v>0.19999999999981799</v>
      </c>
      <c r="AX115" s="2">
        <v>0.29999999999972699</v>
      </c>
      <c r="AY115" s="2"/>
      <c r="AZ115" s="2"/>
      <c r="BA115" s="2"/>
      <c r="BB115" s="2"/>
      <c r="BC115" s="2"/>
      <c r="BD115" s="2">
        <v>9</v>
      </c>
      <c r="BE115" s="2"/>
      <c r="BF115" s="2">
        <v>15.6999999999971</v>
      </c>
      <c r="BG115" s="2">
        <v>0.30000000000018201</v>
      </c>
      <c r="BH115" s="2"/>
      <c r="BI115" s="2">
        <v>0</v>
      </c>
      <c r="BJ115" s="2"/>
      <c r="BK115" s="2"/>
      <c r="BL115" s="2">
        <v>1.20000000000073</v>
      </c>
      <c r="BM115" s="2">
        <v>5.1999999999970896</v>
      </c>
      <c r="BN115" s="2"/>
      <c r="BO115" s="2"/>
      <c r="BP115" s="2"/>
      <c r="BQ115" s="2"/>
      <c r="BR115" s="2">
        <v>0.100000000000023</v>
      </c>
      <c r="BS115" s="2">
        <v>0.100000000000023</v>
      </c>
      <c r="BT115" s="2"/>
      <c r="BU115" s="2"/>
      <c r="BV115" s="2"/>
      <c r="BW115" s="2">
        <v>9.9999999999908995E-2</v>
      </c>
      <c r="BX115" s="2"/>
      <c r="BY115" s="2"/>
      <c r="BZ115" s="2">
        <v>3.3</v>
      </c>
      <c r="CA115" s="2">
        <v>0.1</v>
      </c>
      <c r="CB115" s="2"/>
      <c r="CC115" s="2"/>
      <c r="CD115" s="2">
        <v>1.2</v>
      </c>
      <c r="CE115" s="2"/>
      <c r="CF115" s="2"/>
      <c r="CG115" s="2"/>
      <c r="CH115" s="2"/>
      <c r="CI115" s="2"/>
      <c r="CJ115" s="2"/>
      <c r="CK115" s="2">
        <v>4.5</v>
      </c>
      <c r="CL115" s="2"/>
      <c r="CM115" s="2">
        <v>9</v>
      </c>
      <c r="CN115" s="2">
        <v>5.5</v>
      </c>
      <c r="CO115" s="2"/>
      <c r="CP115" s="2"/>
      <c r="CQ115" s="2"/>
      <c r="CR115" s="2">
        <v>0.3</v>
      </c>
      <c r="CS115" s="2"/>
      <c r="CT115" s="2"/>
      <c r="CU115" s="2"/>
      <c r="CV115" s="2"/>
      <c r="CW115" s="2"/>
      <c r="CX115" s="2"/>
      <c r="CY115" s="2"/>
      <c r="CZ115" s="2"/>
      <c r="DB115">
        <v>1967</v>
      </c>
      <c r="DC115">
        <v>15.6999999999971</v>
      </c>
      <c r="DH115">
        <v>114</v>
      </c>
    </row>
    <row r="116" spans="1:112">
      <c r="A116" s="1">
        <v>41023</v>
      </c>
      <c r="B116" s="2"/>
      <c r="C116" s="2"/>
      <c r="D116" s="2"/>
      <c r="E116" s="2"/>
      <c r="F116" s="2"/>
      <c r="G116" s="2"/>
      <c r="H116" s="2">
        <v>1.3</v>
      </c>
      <c r="I116" s="2"/>
      <c r="J116" s="2">
        <v>4.7</v>
      </c>
      <c r="K116" s="2">
        <v>3.4</v>
      </c>
      <c r="L116" s="2">
        <v>1.2</v>
      </c>
      <c r="M116" s="2">
        <v>12.2</v>
      </c>
      <c r="N116" s="2"/>
      <c r="O116" s="2"/>
      <c r="P116" s="2"/>
      <c r="Q116" s="2"/>
      <c r="R116" s="2"/>
      <c r="S116" s="2">
        <v>1</v>
      </c>
      <c r="T116" s="2"/>
      <c r="U116" s="2">
        <v>0</v>
      </c>
      <c r="V116" s="2"/>
      <c r="W116" s="2">
        <v>2</v>
      </c>
      <c r="X116" s="2">
        <v>8.8000000000000007</v>
      </c>
      <c r="Y116" s="2"/>
      <c r="Z116" s="2"/>
      <c r="AA116" s="2">
        <v>11.599999999991301</v>
      </c>
      <c r="AB116" s="2"/>
      <c r="AC116" s="2"/>
      <c r="AD116" s="2">
        <v>0.19999999999981799</v>
      </c>
      <c r="AE116" s="2"/>
      <c r="AF116" s="2"/>
      <c r="AG116" s="2">
        <v>0.29999999999972699</v>
      </c>
      <c r="AH116" s="2"/>
      <c r="AI116" s="2"/>
      <c r="AJ116" s="2"/>
      <c r="AK116" s="2">
        <v>1.1999999999989099</v>
      </c>
      <c r="AL116" s="2"/>
      <c r="AM116" s="2">
        <v>1.39999999999964</v>
      </c>
      <c r="AN116" s="2">
        <v>0.79999999999927196</v>
      </c>
      <c r="AO116" s="2"/>
      <c r="AP116" s="2">
        <v>5.3999999999941801</v>
      </c>
      <c r="AQ116" s="2"/>
      <c r="AR116" s="2"/>
      <c r="AS116" s="2">
        <v>8.2999999999883602</v>
      </c>
      <c r="AT116" s="2"/>
      <c r="AU116" s="2">
        <v>1.39999999999964</v>
      </c>
      <c r="AV116" s="2"/>
      <c r="AW116" s="2"/>
      <c r="AX116" s="2"/>
      <c r="AY116" s="2"/>
      <c r="AZ116" s="2">
        <v>6.6999999999970896</v>
      </c>
      <c r="BA116" s="2"/>
      <c r="BB116" s="2"/>
      <c r="BC116" s="2"/>
      <c r="BD116" s="2"/>
      <c r="BE116" s="2">
        <v>0.5</v>
      </c>
      <c r="BF116" s="2"/>
      <c r="BG116" s="2"/>
      <c r="BH116" s="2">
        <v>0.200000000000045</v>
      </c>
      <c r="BI116" s="2">
        <v>0.100000000000023</v>
      </c>
      <c r="BJ116" s="2"/>
      <c r="BK116" s="2"/>
      <c r="BL116" s="2">
        <v>9</v>
      </c>
      <c r="BM116" s="2"/>
      <c r="BN116" s="2"/>
      <c r="BO116" s="2">
        <v>0.200000000000045</v>
      </c>
      <c r="BP116" s="2"/>
      <c r="BQ116" s="2"/>
      <c r="BR116" s="2"/>
      <c r="BS116" s="2">
        <v>0.200000000000045</v>
      </c>
      <c r="BT116" s="2"/>
      <c r="BU116" s="2"/>
      <c r="BV116" s="2"/>
      <c r="BW116" s="2">
        <v>7.0999999999985501</v>
      </c>
      <c r="BX116" s="2"/>
      <c r="BY116" s="2"/>
      <c r="BZ116" s="2"/>
      <c r="CA116" s="2"/>
      <c r="CB116" s="2"/>
      <c r="CC116" s="2">
        <v>0.1</v>
      </c>
      <c r="CD116" s="2"/>
      <c r="CE116" s="2">
        <v>12.6</v>
      </c>
      <c r="CF116" s="2"/>
      <c r="CG116" s="2"/>
      <c r="CH116" s="2"/>
      <c r="CI116" s="2"/>
      <c r="CJ116" s="2">
        <v>0</v>
      </c>
      <c r="CK116" s="2"/>
      <c r="CL116" s="2"/>
      <c r="CM116" s="2">
        <v>0.2</v>
      </c>
      <c r="CN116" s="2"/>
      <c r="CO116" s="2"/>
      <c r="CP116" s="2">
        <v>0.1</v>
      </c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B116">
        <v>1992</v>
      </c>
      <c r="DC116">
        <v>12.6</v>
      </c>
      <c r="DH116">
        <v>115</v>
      </c>
    </row>
    <row r="117" spans="1:112">
      <c r="A117" s="1">
        <v>41024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>
        <v>4.3</v>
      </c>
      <c r="M117" s="2">
        <v>1.1000000000000001</v>
      </c>
      <c r="N117" s="2"/>
      <c r="O117" s="2">
        <v>0.6</v>
      </c>
      <c r="P117" s="2"/>
      <c r="Q117" s="2"/>
      <c r="R117" s="2"/>
      <c r="S117" s="2"/>
      <c r="T117" s="2">
        <v>4.9000000000000004</v>
      </c>
      <c r="U117" s="2"/>
      <c r="V117" s="2"/>
      <c r="W117" s="2"/>
      <c r="X117" s="2">
        <v>4</v>
      </c>
      <c r="Y117" s="2"/>
      <c r="Z117" s="2"/>
      <c r="AA117" s="2">
        <v>1.39999999999964</v>
      </c>
      <c r="AB117" s="2">
        <v>2.0999999999985399</v>
      </c>
      <c r="AC117" s="2"/>
      <c r="AD117" s="2"/>
      <c r="AE117" s="2"/>
      <c r="AF117" s="2"/>
      <c r="AG117" s="2">
        <v>0</v>
      </c>
      <c r="AH117" s="2"/>
      <c r="AI117" s="2"/>
      <c r="AJ117" s="2">
        <v>2.5</v>
      </c>
      <c r="AK117" s="2"/>
      <c r="AL117" s="2"/>
      <c r="AM117" s="2"/>
      <c r="AN117" s="2"/>
      <c r="AO117" s="2">
        <v>3.2999999999992702</v>
      </c>
      <c r="AP117" s="2">
        <v>1.0999999999985499</v>
      </c>
      <c r="AQ117" s="2"/>
      <c r="AR117" s="2">
        <v>0.69999999999981799</v>
      </c>
      <c r="AS117" s="2">
        <v>0.59999999999945397</v>
      </c>
      <c r="AT117" s="2"/>
      <c r="AU117" s="2">
        <v>1.79999999999927</v>
      </c>
      <c r="AV117" s="2">
        <v>0.29999999999972699</v>
      </c>
      <c r="AW117" s="2">
        <v>1.5</v>
      </c>
      <c r="AX117" s="2"/>
      <c r="AY117" s="2"/>
      <c r="AZ117" s="2">
        <v>9.1999999999970896</v>
      </c>
      <c r="BA117" s="2"/>
      <c r="BB117" s="2">
        <v>1.6999999999989099</v>
      </c>
      <c r="BC117" s="2"/>
      <c r="BD117" s="2"/>
      <c r="BE117" s="2"/>
      <c r="BF117" s="2"/>
      <c r="BG117" s="2"/>
      <c r="BH117" s="2">
        <v>12.3000000000029</v>
      </c>
      <c r="BI117" s="2">
        <v>0.100000000000023</v>
      </c>
      <c r="BJ117" s="2"/>
      <c r="BK117" s="2"/>
      <c r="BL117" s="2">
        <v>0.100000000000023</v>
      </c>
      <c r="BM117" s="2">
        <v>0.89999999999963598</v>
      </c>
      <c r="BN117" s="2"/>
      <c r="BO117" s="2"/>
      <c r="BP117" s="2">
        <v>16.700000000011599</v>
      </c>
      <c r="BQ117" s="2"/>
      <c r="BR117" s="2"/>
      <c r="BS117" s="2"/>
      <c r="BT117" s="2"/>
      <c r="BU117" s="2"/>
      <c r="BV117" s="2"/>
      <c r="BW117" s="2">
        <v>2.5</v>
      </c>
      <c r="BX117" s="2">
        <v>0.2</v>
      </c>
      <c r="BY117" s="2"/>
      <c r="BZ117" s="2"/>
      <c r="CA117" s="2"/>
      <c r="CB117" s="2"/>
      <c r="CC117" s="2">
        <v>2.8</v>
      </c>
      <c r="CD117" s="2">
        <v>1.3</v>
      </c>
      <c r="CE117" s="2"/>
      <c r="CF117" s="2"/>
      <c r="CG117" s="2"/>
      <c r="CH117" s="2"/>
      <c r="CI117" s="2"/>
      <c r="CJ117" s="2"/>
      <c r="CK117" s="2">
        <v>15.7</v>
      </c>
      <c r="CL117" s="2">
        <v>0.5</v>
      </c>
      <c r="CM117" s="2">
        <v>16.5</v>
      </c>
      <c r="CN117" s="2"/>
      <c r="CO117" s="2"/>
      <c r="CP117" s="2">
        <v>0.5</v>
      </c>
      <c r="CQ117" s="2"/>
      <c r="CR117" s="2"/>
      <c r="CS117" s="2"/>
      <c r="CT117" s="2"/>
      <c r="CU117" s="2">
        <v>4.2</v>
      </c>
      <c r="CV117" s="2"/>
      <c r="CW117" s="2"/>
      <c r="CX117" s="2"/>
      <c r="CY117" s="2"/>
      <c r="CZ117" s="2">
        <v>0.1</v>
      </c>
      <c r="DB117">
        <v>1977</v>
      </c>
      <c r="DC117">
        <v>16.700000000011599</v>
      </c>
      <c r="DH117">
        <v>116</v>
      </c>
    </row>
    <row r="118" spans="1:112">
      <c r="A118" s="1">
        <v>41025</v>
      </c>
      <c r="B118" s="2"/>
      <c r="C118" s="2"/>
      <c r="D118" s="2"/>
      <c r="E118" s="2"/>
      <c r="F118" s="2">
        <v>0.9</v>
      </c>
      <c r="G118" s="2">
        <v>1.3</v>
      </c>
      <c r="H118" s="2">
        <v>4.2</v>
      </c>
      <c r="I118" s="2"/>
      <c r="J118" s="2">
        <v>0.4</v>
      </c>
      <c r="K118" s="2"/>
      <c r="L118" s="2">
        <v>4.9000000000000004</v>
      </c>
      <c r="M118" s="2">
        <v>9.4</v>
      </c>
      <c r="N118" s="2"/>
      <c r="O118" s="2"/>
      <c r="P118" s="2"/>
      <c r="Q118" s="2"/>
      <c r="R118" s="2">
        <v>16.7</v>
      </c>
      <c r="S118" s="2">
        <v>2</v>
      </c>
      <c r="T118" s="2"/>
      <c r="U118" s="2">
        <v>0.8</v>
      </c>
      <c r="V118" s="2"/>
      <c r="W118" s="2">
        <v>1.2</v>
      </c>
      <c r="X118" s="2">
        <v>5.6</v>
      </c>
      <c r="Y118" s="2"/>
      <c r="Z118" s="2"/>
      <c r="AA118" s="2"/>
      <c r="AB118" s="2">
        <v>2.0999999999985399</v>
      </c>
      <c r="AC118" s="2">
        <v>1.0999999999985499</v>
      </c>
      <c r="AD118" s="2">
        <v>0</v>
      </c>
      <c r="AE118" s="2"/>
      <c r="AF118" s="2">
        <v>0</v>
      </c>
      <c r="AG118" s="2"/>
      <c r="AH118" s="2"/>
      <c r="AI118" s="2">
        <v>1.0999999999985499</v>
      </c>
      <c r="AJ118" s="2"/>
      <c r="AK118" s="2">
        <v>0.29999999999972699</v>
      </c>
      <c r="AL118" s="2"/>
      <c r="AM118" s="2">
        <v>16.5</v>
      </c>
      <c r="AN118" s="2"/>
      <c r="AO118" s="2">
        <v>1.1999999999989099</v>
      </c>
      <c r="AP118" s="2"/>
      <c r="AQ118" s="2"/>
      <c r="AR118" s="2"/>
      <c r="AS118" s="2"/>
      <c r="AT118" s="2"/>
      <c r="AU118" s="2"/>
      <c r="AV118" s="2">
        <v>15.599999999991301</v>
      </c>
      <c r="AW118" s="2"/>
      <c r="AX118" s="2"/>
      <c r="AY118" s="2"/>
      <c r="AZ118" s="2"/>
      <c r="BA118" s="2"/>
      <c r="BB118" s="2">
        <v>12</v>
      </c>
      <c r="BC118" s="2">
        <v>8.1999999999970896</v>
      </c>
      <c r="BD118" s="2">
        <v>13.5</v>
      </c>
      <c r="BE118" s="2">
        <v>1.29999999999927</v>
      </c>
      <c r="BF118" s="2"/>
      <c r="BG118" s="2"/>
      <c r="BH118" s="2">
        <v>16.600000000005799</v>
      </c>
      <c r="BI118" s="2">
        <v>0.100000000000023</v>
      </c>
      <c r="BJ118" s="2"/>
      <c r="BK118" s="2">
        <v>4.8000000000029104</v>
      </c>
      <c r="BL118" s="2">
        <v>4.8000000000029104</v>
      </c>
      <c r="BM118" s="2">
        <v>0.400000000000091</v>
      </c>
      <c r="BN118" s="2">
        <v>1.60000000000036</v>
      </c>
      <c r="BO118" s="2">
        <v>0.100000000000023</v>
      </c>
      <c r="BP118" s="2">
        <v>0.200000000000045</v>
      </c>
      <c r="BQ118" s="2">
        <v>8</v>
      </c>
      <c r="BR118" s="2"/>
      <c r="BS118" s="2"/>
      <c r="BT118" s="2"/>
      <c r="BU118" s="2"/>
      <c r="BV118" s="2"/>
      <c r="BW118" s="2"/>
      <c r="BX118" s="2">
        <v>0.4</v>
      </c>
      <c r="BY118" s="2"/>
      <c r="BZ118" s="2"/>
      <c r="CA118" s="2"/>
      <c r="CB118" s="2"/>
      <c r="CC118" s="2">
        <v>7.4</v>
      </c>
      <c r="CD118" s="2"/>
      <c r="CE118" s="2"/>
      <c r="CF118" s="2"/>
      <c r="CG118" s="2"/>
      <c r="CH118" s="2"/>
      <c r="CI118" s="2"/>
      <c r="CJ118" s="2"/>
      <c r="CK118" s="2">
        <v>6</v>
      </c>
      <c r="CL118" s="2">
        <v>0.5</v>
      </c>
      <c r="CM118" s="2">
        <v>4.5</v>
      </c>
      <c r="CN118" s="2"/>
      <c r="CO118" s="2"/>
      <c r="CP118" s="2"/>
      <c r="CQ118" s="2">
        <v>1.7</v>
      </c>
      <c r="CR118" s="2">
        <v>2</v>
      </c>
      <c r="CS118" s="2"/>
      <c r="CT118" s="2"/>
      <c r="CU118" s="2">
        <v>4.5</v>
      </c>
      <c r="CV118" s="2">
        <v>0.8</v>
      </c>
      <c r="CW118" s="2"/>
      <c r="CX118" s="2"/>
      <c r="CY118" s="2"/>
      <c r="CZ118" s="2"/>
      <c r="DB118">
        <v>1927</v>
      </c>
      <c r="DC118">
        <v>16.7</v>
      </c>
      <c r="DH118">
        <v>117</v>
      </c>
    </row>
    <row r="119" spans="1:112">
      <c r="A119" s="1">
        <v>41026</v>
      </c>
      <c r="B119" s="2"/>
      <c r="C119" s="2"/>
      <c r="D119" s="2"/>
      <c r="E119" s="2">
        <v>6.7</v>
      </c>
      <c r="F119" s="2">
        <v>0.3</v>
      </c>
      <c r="G119" s="2">
        <v>0.2</v>
      </c>
      <c r="H119" s="2">
        <v>6.9</v>
      </c>
      <c r="I119" s="2"/>
      <c r="J119" s="2"/>
      <c r="K119" s="2"/>
      <c r="L119" s="2">
        <v>5.7</v>
      </c>
      <c r="M119" s="2">
        <v>1.3</v>
      </c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>
        <v>0.79999999999927196</v>
      </c>
      <c r="AB119" s="2"/>
      <c r="AC119" s="2">
        <v>0.29999999999972699</v>
      </c>
      <c r="AD119" s="2"/>
      <c r="AE119" s="2"/>
      <c r="AF119" s="2"/>
      <c r="AG119" s="2">
        <v>0</v>
      </c>
      <c r="AH119" s="2"/>
      <c r="AI119" s="2">
        <v>1.79999999999927</v>
      </c>
      <c r="AJ119" s="2"/>
      <c r="AK119" s="2">
        <v>2.5999999999985399</v>
      </c>
      <c r="AL119" s="2"/>
      <c r="AM119" s="2">
        <v>5.0999999999985501</v>
      </c>
      <c r="AN119" s="2"/>
      <c r="AO119" s="2"/>
      <c r="AP119" s="2"/>
      <c r="AQ119" s="2"/>
      <c r="AR119" s="2">
        <v>1.1999999999989099</v>
      </c>
      <c r="AS119" s="2"/>
      <c r="AT119" s="2"/>
      <c r="AU119" s="2"/>
      <c r="AV119" s="2"/>
      <c r="AW119" s="2"/>
      <c r="AX119" s="2"/>
      <c r="AY119" s="2"/>
      <c r="AZ119" s="2">
        <v>5.1999999999970896</v>
      </c>
      <c r="BA119" s="2"/>
      <c r="BB119" s="2">
        <v>0.19999999999981799</v>
      </c>
      <c r="BC119" s="2">
        <v>6</v>
      </c>
      <c r="BD119" s="2">
        <v>21</v>
      </c>
      <c r="BE119" s="2"/>
      <c r="BF119" s="2">
        <v>0.200000000000045</v>
      </c>
      <c r="BG119" s="2"/>
      <c r="BH119" s="2">
        <v>11.899999999994201</v>
      </c>
      <c r="BI119" s="2"/>
      <c r="BJ119" s="2"/>
      <c r="BK119" s="2">
        <v>1.79999999999927</v>
      </c>
      <c r="BL119" s="2">
        <v>0.30000000000018201</v>
      </c>
      <c r="BM119" s="2"/>
      <c r="BN119" s="2">
        <v>1.79999999999927</v>
      </c>
      <c r="BO119" s="2"/>
      <c r="BP119" s="2"/>
      <c r="BQ119" s="2"/>
      <c r="BR119" s="2"/>
      <c r="BS119" s="2"/>
      <c r="BT119" s="2">
        <v>0.200000000000045</v>
      </c>
      <c r="BU119" s="2"/>
      <c r="BV119" s="2"/>
      <c r="BW119" s="2">
        <v>5.5999999999985501</v>
      </c>
      <c r="BX119" s="2">
        <v>6.1</v>
      </c>
      <c r="BY119" s="2"/>
      <c r="BZ119" s="2"/>
      <c r="CA119" s="2"/>
      <c r="CB119" s="2"/>
      <c r="CC119" s="2">
        <v>0.6</v>
      </c>
      <c r="CD119" s="2"/>
      <c r="CE119" s="2"/>
      <c r="CF119" s="2"/>
      <c r="CG119" s="2"/>
      <c r="CH119" s="2"/>
      <c r="CI119" s="2"/>
      <c r="CJ119" s="2"/>
      <c r="CK119" s="2"/>
      <c r="CL119" s="2"/>
      <c r="CM119" s="2">
        <v>8.5</v>
      </c>
      <c r="CN119" s="2"/>
      <c r="CO119" s="2"/>
      <c r="CP119" s="2"/>
      <c r="CQ119" s="2">
        <v>6.2</v>
      </c>
      <c r="CR119" s="2"/>
      <c r="CS119" s="2"/>
      <c r="CT119" s="2"/>
      <c r="CU119" s="2">
        <v>1.5</v>
      </c>
      <c r="CV119" s="2">
        <v>1.7</v>
      </c>
      <c r="CW119" s="2"/>
      <c r="CX119" s="2">
        <v>11.5</v>
      </c>
      <c r="CY119" s="2">
        <v>1.9</v>
      </c>
      <c r="CZ119" s="2"/>
      <c r="DB119">
        <v>1965</v>
      </c>
      <c r="DC119">
        <v>21</v>
      </c>
      <c r="DH119">
        <v>118</v>
      </c>
    </row>
    <row r="120" spans="1:112">
      <c r="A120" s="1">
        <v>41027</v>
      </c>
      <c r="B120" s="2"/>
      <c r="C120" s="2"/>
      <c r="D120" s="2"/>
      <c r="E120" s="2"/>
      <c r="F120" s="2">
        <v>4.5</v>
      </c>
      <c r="G120" s="2">
        <v>0.2</v>
      </c>
      <c r="H120" s="2">
        <v>1.5</v>
      </c>
      <c r="I120" s="2"/>
      <c r="J120" s="2"/>
      <c r="K120" s="2"/>
      <c r="L120" s="2"/>
      <c r="M120" s="2"/>
      <c r="N120" s="2"/>
      <c r="O120" s="2"/>
      <c r="P120" s="2">
        <v>1.5</v>
      </c>
      <c r="Q120" s="2"/>
      <c r="R120" s="2"/>
      <c r="S120" s="2"/>
      <c r="T120" s="2"/>
      <c r="U120" s="2">
        <v>0.9</v>
      </c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>
        <v>0</v>
      </c>
      <c r="AH120" s="2"/>
      <c r="AI120" s="2">
        <v>3.3999999999978199</v>
      </c>
      <c r="AJ120" s="2"/>
      <c r="AK120" s="2"/>
      <c r="AL120" s="2"/>
      <c r="AM120" s="2">
        <v>2.6999999999970901</v>
      </c>
      <c r="AN120" s="2"/>
      <c r="AO120" s="2"/>
      <c r="AP120" s="2"/>
      <c r="AQ120" s="2">
        <v>1.2</v>
      </c>
      <c r="AR120" s="2">
        <v>1.39999999999964</v>
      </c>
      <c r="AS120" s="2"/>
      <c r="AT120" s="2"/>
      <c r="AU120" s="2">
        <v>0.29999999999972699</v>
      </c>
      <c r="AV120" s="2">
        <v>9.9999999999908995E-2</v>
      </c>
      <c r="AW120" s="2"/>
      <c r="AX120" s="2"/>
      <c r="AY120" s="2"/>
      <c r="AZ120" s="2">
        <v>6.79999999999563</v>
      </c>
      <c r="BA120" s="2"/>
      <c r="BB120" s="2">
        <v>0.39999999999963598</v>
      </c>
      <c r="BC120" s="2">
        <v>2.7000000000007298</v>
      </c>
      <c r="BD120" s="2"/>
      <c r="BE120" s="2">
        <v>3.5</v>
      </c>
      <c r="BF120" s="2"/>
      <c r="BG120" s="2"/>
      <c r="BH120" s="2">
        <v>0.5</v>
      </c>
      <c r="BI120" s="2"/>
      <c r="BJ120" s="2">
        <v>0.200000000000045</v>
      </c>
      <c r="BK120" s="2"/>
      <c r="BL120" s="2"/>
      <c r="BM120" s="2"/>
      <c r="BN120" s="2">
        <v>0.400000000000091</v>
      </c>
      <c r="BO120" s="2"/>
      <c r="BP120" s="2"/>
      <c r="BQ120" s="2"/>
      <c r="BR120" s="2"/>
      <c r="BS120" s="2"/>
      <c r="BT120" s="2"/>
      <c r="BU120" s="2">
        <v>0.30000000000018201</v>
      </c>
      <c r="BV120" s="2"/>
      <c r="BW120" s="2">
        <v>7.6</v>
      </c>
      <c r="BX120" s="2"/>
      <c r="BY120" s="2"/>
      <c r="BZ120" s="2">
        <v>0.1</v>
      </c>
      <c r="CA120" s="2"/>
      <c r="CB120" s="2">
        <v>0.1</v>
      </c>
      <c r="CC120" s="2">
        <v>5.9</v>
      </c>
      <c r="CD120" s="2">
        <v>4.3</v>
      </c>
      <c r="CE120" s="2"/>
      <c r="CF120" s="2"/>
      <c r="CG120" s="2"/>
      <c r="CH120" s="2"/>
      <c r="CI120" s="2">
        <v>0.8</v>
      </c>
      <c r="CJ120" s="2"/>
      <c r="CK120" s="2"/>
      <c r="CL120" s="2">
        <v>2</v>
      </c>
      <c r="CM120" s="2">
        <v>2</v>
      </c>
      <c r="CN120" s="2"/>
      <c r="CO120" s="2">
        <v>2.4</v>
      </c>
      <c r="CP120" s="2"/>
      <c r="CQ120" s="2">
        <v>0.1</v>
      </c>
      <c r="CR120" s="2">
        <v>4.5999999999999996</v>
      </c>
      <c r="CS120" s="2"/>
      <c r="CT120" s="2"/>
      <c r="CU120" s="2">
        <v>0.8</v>
      </c>
      <c r="CV120" s="2"/>
      <c r="CW120" s="2"/>
      <c r="CX120" s="2"/>
      <c r="CY120" s="2"/>
      <c r="CZ120" s="2"/>
      <c r="DB120">
        <v>1984</v>
      </c>
      <c r="DC120">
        <v>7.6</v>
      </c>
      <c r="DH120">
        <v>119</v>
      </c>
    </row>
    <row r="121" spans="1:112">
      <c r="A121" s="1">
        <v>41028</v>
      </c>
      <c r="B121" s="2"/>
      <c r="C121" s="2">
        <v>1.3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>
        <v>5.7</v>
      </c>
      <c r="W121" s="2"/>
      <c r="X121" s="2">
        <v>3.6</v>
      </c>
      <c r="Y121" s="2"/>
      <c r="Z121" s="2"/>
      <c r="AA121" s="2"/>
      <c r="AB121" s="2"/>
      <c r="AC121" s="2"/>
      <c r="AD121" s="2">
        <v>0.5</v>
      </c>
      <c r="AE121" s="2"/>
      <c r="AF121" s="2">
        <v>2.1999999999970901</v>
      </c>
      <c r="AG121" s="2"/>
      <c r="AH121" s="2"/>
      <c r="AI121" s="2">
        <v>4.5999999999985501</v>
      </c>
      <c r="AJ121" s="2">
        <v>3</v>
      </c>
      <c r="AK121" s="2"/>
      <c r="AL121" s="2"/>
      <c r="AM121" s="2"/>
      <c r="AN121" s="2"/>
      <c r="AO121" s="2"/>
      <c r="AP121" s="2"/>
      <c r="AQ121" s="2">
        <v>2.2999999999999998</v>
      </c>
      <c r="AR121" s="2"/>
      <c r="AS121" s="2"/>
      <c r="AT121" s="2"/>
      <c r="AU121" s="2"/>
      <c r="AV121" s="2"/>
      <c r="AW121" s="2">
        <v>0.39999999999963598</v>
      </c>
      <c r="AX121" s="2"/>
      <c r="AY121" s="2"/>
      <c r="AZ121" s="2"/>
      <c r="BA121" s="2">
        <v>2.8999999999978199</v>
      </c>
      <c r="BB121" s="2"/>
      <c r="BC121" s="2"/>
      <c r="BD121" s="2"/>
      <c r="BE121" s="2">
        <v>17.200000000011599</v>
      </c>
      <c r="BF121" s="2">
        <v>4.0999999999985501</v>
      </c>
      <c r="BG121" s="2"/>
      <c r="BH121" s="2">
        <v>1.20000000000073</v>
      </c>
      <c r="BI121" s="2"/>
      <c r="BJ121" s="2"/>
      <c r="BK121" s="2">
        <v>2.7000000000007298</v>
      </c>
      <c r="BL121" s="2"/>
      <c r="BM121" s="2">
        <v>0.30000000000018201</v>
      </c>
      <c r="BN121" s="2">
        <v>10.899999999994201</v>
      </c>
      <c r="BO121" s="2"/>
      <c r="BP121" s="2"/>
      <c r="BQ121" s="2">
        <v>7.9000000000014596</v>
      </c>
      <c r="BR121" s="2"/>
      <c r="BS121" s="2"/>
      <c r="BT121" s="2">
        <v>3.9000000000014601</v>
      </c>
      <c r="BU121" s="2">
        <v>2.7999999999992702</v>
      </c>
      <c r="BV121" s="2"/>
      <c r="BW121" s="2"/>
      <c r="BX121" s="2">
        <v>7.5</v>
      </c>
      <c r="BY121" s="2"/>
      <c r="BZ121" s="2">
        <v>2.8</v>
      </c>
      <c r="CA121" s="2"/>
      <c r="CB121" s="2">
        <v>0.1</v>
      </c>
      <c r="CC121" s="2">
        <v>1.1000000000000001</v>
      </c>
      <c r="CD121" s="2">
        <v>14</v>
      </c>
      <c r="CE121" s="2"/>
      <c r="CF121" s="2"/>
      <c r="CG121" s="2"/>
      <c r="CH121" s="2"/>
      <c r="CI121" s="2"/>
      <c r="CJ121" s="2"/>
      <c r="CK121" s="2">
        <v>0.2</v>
      </c>
      <c r="CL121" s="2"/>
      <c r="CM121" s="2">
        <v>6.5</v>
      </c>
      <c r="CN121" s="2"/>
      <c r="CO121" s="2"/>
      <c r="CP121" s="2"/>
      <c r="CQ121" s="2"/>
      <c r="CR121" s="2">
        <v>7.8</v>
      </c>
      <c r="CS121" s="2">
        <v>6.3</v>
      </c>
      <c r="CT121" s="2"/>
      <c r="CU121" s="2"/>
      <c r="CV121" s="2">
        <v>1.7</v>
      </c>
      <c r="CW121" s="2"/>
      <c r="CX121" s="2">
        <v>0.1</v>
      </c>
      <c r="CY121" s="2"/>
      <c r="CZ121" s="2"/>
      <c r="DB121">
        <v>1966</v>
      </c>
      <c r="DC121">
        <v>17.200000000011599</v>
      </c>
      <c r="DH121">
        <v>120</v>
      </c>
    </row>
    <row r="122" spans="1:112">
      <c r="A122" s="1">
        <v>41029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>
        <v>0.1</v>
      </c>
      <c r="O122" s="2">
        <v>0.1</v>
      </c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>
        <v>0</v>
      </c>
      <c r="AE122" s="2">
        <v>3.5</v>
      </c>
      <c r="AF122" s="2"/>
      <c r="AG122" s="2"/>
      <c r="AH122" s="2">
        <v>10.1999999999971</v>
      </c>
      <c r="AI122" s="2">
        <v>1.5</v>
      </c>
      <c r="AJ122" s="2"/>
      <c r="AK122" s="2">
        <v>9.9999999999908995E-2</v>
      </c>
      <c r="AL122" s="2">
        <v>2.8999999999978199</v>
      </c>
      <c r="AM122" s="2"/>
      <c r="AN122" s="2"/>
      <c r="AO122" s="2">
        <v>1.39999999999964</v>
      </c>
      <c r="AP122" s="2"/>
      <c r="AQ122" s="2"/>
      <c r="AR122" s="2">
        <v>0.29999999999972699</v>
      </c>
      <c r="AS122" s="2"/>
      <c r="AT122" s="2">
        <v>3</v>
      </c>
      <c r="AU122" s="2"/>
      <c r="AV122" s="2"/>
      <c r="AW122" s="2">
        <v>5</v>
      </c>
      <c r="AX122" s="2"/>
      <c r="AY122" s="2"/>
      <c r="AZ122" s="2"/>
      <c r="BA122" s="2">
        <v>0.29999999999972699</v>
      </c>
      <c r="BB122" s="2"/>
      <c r="BC122" s="2"/>
      <c r="BD122" s="2">
        <v>2.0999999999985399</v>
      </c>
      <c r="BE122" s="2"/>
      <c r="BF122" s="2">
        <v>0.60000000000036402</v>
      </c>
      <c r="BG122" s="2"/>
      <c r="BH122" s="2">
        <v>0</v>
      </c>
      <c r="BI122" s="2"/>
      <c r="BJ122" s="2"/>
      <c r="BK122" s="2">
        <v>10.5</v>
      </c>
      <c r="BL122" s="2">
        <v>0.400000000000091</v>
      </c>
      <c r="BM122" s="2">
        <v>5.5999999999985501</v>
      </c>
      <c r="BN122" s="2">
        <v>6.8000000000029104</v>
      </c>
      <c r="BO122" s="2">
        <v>0</v>
      </c>
      <c r="BP122" s="2">
        <v>0.100000000000023</v>
      </c>
      <c r="BQ122" s="2"/>
      <c r="BR122" s="2"/>
      <c r="BS122" s="2"/>
      <c r="BT122" s="2">
        <v>1.10000000000036</v>
      </c>
      <c r="BU122" s="2">
        <v>0.30000000000018201</v>
      </c>
      <c r="BV122" s="2"/>
      <c r="BW122" s="2"/>
      <c r="BX122" s="2">
        <v>2.8</v>
      </c>
      <c r="BY122" s="2">
        <v>4.8</v>
      </c>
      <c r="BZ122" s="2">
        <v>4.4000000000000004</v>
      </c>
      <c r="CA122" s="2"/>
      <c r="CB122" s="2"/>
      <c r="CC122" s="2">
        <v>0.2</v>
      </c>
      <c r="CD122" s="2">
        <v>8.1999999999999993</v>
      </c>
      <c r="CE122" s="2"/>
      <c r="CF122" s="2">
        <v>5.9</v>
      </c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>
        <v>3.4</v>
      </c>
      <c r="CS122" s="2"/>
      <c r="CT122" s="2"/>
      <c r="CU122" s="2"/>
      <c r="CV122" s="2"/>
      <c r="CW122" s="2"/>
      <c r="CX122" s="2"/>
      <c r="CY122" s="2"/>
      <c r="CZ122" s="2"/>
      <c r="DB122">
        <v>1972</v>
      </c>
      <c r="DC122">
        <v>10.5</v>
      </c>
      <c r="DH122">
        <v>121</v>
      </c>
    </row>
    <row r="123" spans="1:112">
      <c r="A123" s="1">
        <v>41030</v>
      </c>
      <c r="B123" s="2"/>
      <c r="C123" s="2">
        <v>1.4</v>
      </c>
      <c r="D123" s="2">
        <v>1.3</v>
      </c>
      <c r="E123" s="2"/>
      <c r="F123" s="2"/>
      <c r="G123" s="2">
        <v>1.2</v>
      </c>
      <c r="H123" s="2"/>
      <c r="I123" s="2"/>
      <c r="J123" s="2">
        <v>15</v>
      </c>
      <c r="K123" s="2"/>
      <c r="L123" s="2"/>
      <c r="M123" s="2"/>
      <c r="N123" s="2">
        <v>0.1</v>
      </c>
      <c r="O123" s="2">
        <v>44.7</v>
      </c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>
        <v>1</v>
      </c>
      <c r="AA123" s="2"/>
      <c r="AB123" s="2"/>
      <c r="AC123" s="2">
        <v>0.69999999999981799</v>
      </c>
      <c r="AD123" s="2">
        <v>2.5</v>
      </c>
      <c r="AE123" s="2"/>
      <c r="AF123" s="2"/>
      <c r="AG123" s="2"/>
      <c r="AH123" s="2">
        <v>0.4</v>
      </c>
      <c r="AI123" s="2">
        <v>8.8999999999941792</v>
      </c>
      <c r="AJ123" s="2"/>
      <c r="AK123" s="2">
        <v>0.29999999999972699</v>
      </c>
      <c r="AL123" s="2"/>
      <c r="AM123" s="2">
        <v>8.2999999999883602</v>
      </c>
      <c r="AN123" s="2"/>
      <c r="AO123" s="2">
        <v>9.2999999999883602</v>
      </c>
      <c r="AP123" s="2"/>
      <c r="AQ123" s="2"/>
      <c r="AR123" s="2"/>
      <c r="AS123" s="2"/>
      <c r="AT123" s="2">
        <v>1</v>
      </c>
      <c r="AU123" s="2">
        <v>1.29999999999927</v>
      </c>
      <c r="AV123" s="2"/>
      <c r="AW123" s="2">
        <v>8.5</v>
      </c>
      <c r="AX123" s="2"/>
      <c r="AY123" s="2"/>
      <c r="AZ123" s="2"/>
      <c r="BA123" s="2">
        <v>2.6999999999970901</v>
      </c>
      <c r="BB123" s="2"/>
      <c r="BC123" s="2"/>
      <c r="BD123" s="2"/>
      <c r="BE123" s="2"/>
      <c r="BF123" s="2">
        <v>0.69999999999981799</v>
      </c>
      <c r="BG123" s="2"/>
      <c r="BH123" s="2"/>
      <c r="BI123" s="2"/>
      <c r="BJ123" s="2"/>
      <c r="BK123" s="2">
        <v>5.1999999999970896</v>
      </c>
      <c r="BL123" s="2">
        <v>0.100000000000023</v>
      </c>
      <c r="BM123" s="2">
        <v>4.6999999999970896</v>
      </c>
      <c r="BN123" s="2">
        <v>15.100000000005799</v>
      </c>
      <c r="BO123" s="2"/>
      <c r="BP123" s="2">
        <v>0.200000000000045</v>
      </c>
      <c r="BQ123" s="2"/>
      <c r="BR123" s="2"/>
      <c r="BS123" s="2">
        <v>3.5999999999985399</v>
      </c>
      <c r="BT123" s="2"/>
      <c r="BU123" s="2"/>
      <c r="BV123" s="2"/>
      <c r="BW123" s="2">
        <v>5.8999999999941801</v>
      </c>
      <c r="BX123" s="2"/>
      <c r="BY123" s="2"/>
      <c r="BZ123" s="2">
        <v>0.5</v>
      </c>
      <c r="CA123" s="2"/>
      <c r="CB123" s="2">
        <v>0.9</v>
      </c>
      <c r="CC123" s="2">
        <v>25.7</v>
      </c>
      <c r="CD123" s="2">
        <v>0.5</v>
      </c>
      <c r="CE123" s="2"/>
      <c r="CF123" s="2">
        <v>6.5</v>
      </c>
      <c r="CG123" s="2">
        <v>3.9</v>
      </c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>
        <v>0.1</v>
      </c>
      <c r="CS123" s="2"/>
      <c r="CT123" s="2">
        <v>5.9</v>
      </c>
      <c r="CU123" s="2"/>
      <c r="CV123" s="2">
        <v>8.5</v>
      </c>
      <c r="CW123" s="2"/>
      <c r="CX123" s="2">
        <v>2.5</v>
      </c>
      <c r="CY123" s="2"/>
      <c r="CZ123" s="2"/>
      <c r="DB123">
        <v>1924</v>
      </c>
      <c r="DC123">
        <v>44.7</v>
      </c>
      <c r="DH123">
        <v>122</v>
      </c>
    </row>
    <row r="124" spans="1:112">
      <c r="A124" s="1">
        <v>41031</v>
      </c>
      <c r="B124" s="2"/>
      <c r="C124" s="2">
        <v>1.3</v>
      </c>
      <c r="D124" s="2">
        <v>0.3</v>
      </c>
      <c r="E124" s="2"/>
      <c r="F124" s="2"/>
      <c r="G124" s="2"/>
      <c r="H124" s="2"/>
      <c r="I124" s="2"/>
      <c r="J124" s="2"/>
      <c r="K124" s="2"/>
      <c r="L124" s="2"/>
      <c r="M124" s="2"/>
      <c r="N124" s="2">
        <v>1.4</v>
      </c>
      <c r="O124" s="2">
        <v>3.7</v>
      </c>
      <c r="P124" s="2"/>
      <c r="Q124" s="2"/>
      <c r="R124" s="2"/>
      <c r="S124" s="2">
        <v>1</v>
      </c>
      <c r="T124" s="2"/>
      <c r="U124" s="2">
        <v>0</v>
      </c>
      <c r="V124" s="2"/>
      <c r="W124" s="2"/>
      <c r="X124" s="2"/>
      <c r="Y124" s="2"/>
      <c r="Z124" s="2">
        <v>43.199999999953398</v>
      </c>
      <c r="AA124" s="2"/>
      <c r="AB124" s="2"/>
      <c r="AC124" s="2">
        <v>14.899999999994201</v>
      </c>
      <c r="AD124" s="2"/>
      <c r="AE124" s="2"/>
      <c r="AF124" s="2"/>
      <c r="AG124" s="2"/>
      <c r="AH124" s="2">
        <v>9.9999999999908995E-2</v>
      </c>
      <c r="AI124" s="2">
        <v>1.6999999999989099</v>
      </c>
      <c r="AJ124" s="2"/>
      <c r="AK124" s="2">
        <v>1.29999999999927</v>
      </c>
      <c r="AL124" s="2"/>
      <c r="AM124" s="2"/>
      <c r="AN124" s="2"/>
      <c r="AO124" s="2">
        <v>3.5</v>
      </c>
      <c r="AP124" s="2"/>
      <c r="AQ124" s="2"/>
      <c r="AR124" s="2">
        <v>0.39999999999963598</v>
      </c>
      <c r="AS124" s="2"/>
      <c r="AT124" s="2">
        <v>0.39999999999963598</v>
      </c>
      <c r="AU124" s="2">
        <v>0.59999999999945397</v>
      </c>
      <c r="AV124" s="2"/>
      <c r="AW124" s="2"/>
      <c r="AX124" s="2"/>
      <c r="AY124" s="2"/>
      <c r="AZ124" s="2">
        <v>11</v>
      </c>
      <c r="BA124" s="2">
        <v>2.5</v>
      </c>
      <c r="BB124" s="2"/>
      <c r="BC124" s="2">
        <v>12.899999999994201</v>
      </c>
      <c r="BD124" s="2">
        <v>1.60000000000036</v>
      </c>
      <c r="BE124" s="2"/>
      <c r="BF124" s="2"/>
      <c r="BG124" s="2"/>
      <c r="BH124" s="2">
        <v>0.200000000000045</v>
      </c>
      <c r="BI124" s="2"/>
      <c r="BJ124" s="2"/>
      <c r="BK124" s="2">
        <v>1.70000000000073</v>
      </c>
      <c r="BL124" s="2">
        <v>0.200000000000045</v>
      </c>
      <c r="BM124" s="2">
        <v>2.7999999999992702</v>
      </c>
      <c r="BN124" s="2">
        <v>1.39999999999964</v>
      </c>
      <c r="BO124" s="2"/>
      <c r="BP124" s="2">
        <v>0</v>
      </c>
      <c r="BQ124" s="2">
        <v>0</v>
      </c>
      <c r="BR124" s="2"/>
      <c r="BS124" s="2">
        <v>4</v>
      </c>
      <c r="BT124" s="2">
        <v>8.6999999999970896</v>
      </c>
      <c r="BU124" s="2"/>
      <c r="BV124" s="2">
        <v>3.2</v>
      </c>
      <c r="BW124" s="2">
        <v>0.89999999999963598</v>
      </c>
      <c r="BX124" s="2"/>
      <c r="BY124" s="2"/>
      <c r="BZ124" s="2"/>
      <c r="CA124" s="2"/>
      <c r="CB124" s="2">
        <v>0.3</v>
      </c>
      <c r="CC124" s="2">
        <v>9.1999999999999993</v>
      </c>
      <c r="CD124" s="2"/>
      <c r="CE124" s="2"/>
      <c r="CF124" s="2">
        <v>0.3</v>
      </c>
      <c r="CG124" s="2">
        <v>0.4</v>
      </c>
      <c r="CH124" s="2">
        <v>0.1</v>
      </c>
      <c r="CI124" s="2">
        <v>0</v>
      </c>
      <c r="CJ124" s="2"/>
      <c r="CK124" s="2"/>
      <c r="CL124" s="2"/>
      <c r="CM124" s="2">
        <v>9.5</v>
      </c>
      <c r="CN124" s="2"/>
      <c r="CO124" s="2"/>
      <c r="CP124" s="2"/>
      <c r="CQ124" s="2"/>
      <c r="CR124" s="2"/>
      <c r="CS124" s="2"/>
      <c r="CT124" s="2">
        <v>13.3</v>
      </c>
      <c r="CU124" s="2">
        <v>10.5</v>
      </c>
      <c r="CV124" s="2">
        <v>1.3</v>
      </c>
      <c r="CW124" s="2"/>
      <c r="CX124" s="2"/>
      <c r="CY124" s="2"/>
      <c r="CZ124" s="2"/>
      <c r="DB124">
        <v>1935</v>
      </c>
      <c r="DC124">
        <v>43.199999999953398</v>
      </c>
      <c r="DH124">
        <v>123</v>
      </c>
    </row>
    <row r="125" spans="1:112">
      <c r="A125" s="1">
        <v>41032</v>
      </c>
      <c r="B125" s="2"/>
      <c r="C125" s="2"/>
      <c r="D125" s="2"/>
      <c r="E125" s="2">
        <v>4.3</v>
      </c>
      <c r="F125" s="2">
        <v>0.3</v>
      </c>
      <c r="G125" s="2">
        <v>1.4</v>
      </c>
      <c r="H125" s="2">
        <v>1.2</v>
      </c>
      <c r="I125" s="2"/>
      <c r="J125" s="2"/>
      <c r="K125" s="2"/>
      <c r="L125" s="2"/>
      <c r="M125" s="2"/>
      <c r="N125" s="2">
        <v>13.9</v>
      </c>
      <c r="O125" s="2"/>
      <c r="P125" s="2"/>
      <c r="Q125" s="2"/>
      <c r="R125" s="2">
        <v>0.1</v>
      </c>
      <c r="S125" s="2">
        <v>8.1999999999999993</v>
      </c>
      <c r="T125" s="2"/>
      <c r="U125" s="2">
        <v>3.7</v>
      </c>
      <c r="V125" s="2"/>
      <c r="W125" s="2"/>
      <c r="X125" s="2"/>
      <c r="Y125" s="2"/>
      <c r="Z125" s="2">
        <v>0.59999999999945397</v>
      </c>
      <c r="AA125" s="2">
        <v>14</v>
      </c>
      <c r="AB125" s="2"/>
      <c r="AC125" s="2">
        <v>23.299999999988401</v>
      </c>
      <c r="AD125" s="2"/>
      <c r="AE125" s="2">
        <v>1.39999999999964</v>
      </c>
      <c r="AF125" s="2">
        <v>0.19999999999981799</v>
      </c>
      <c r="AG125" s="2"/>
      <c r="AH125" s="2"/>
      <c r="AI125" s="2"/>
      <c r="AJ125" s="2">
        <v>0.5</v>
      </c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>
        <v>0.39999999999963598</v>
      </c>
      <c r="AW125" s="2"/>
      <c r="AX125" s="2"/>
      <c r="AY125" s="2"/>
      <c r="AZ125" s="2"/>
      <c r="BA125" s="2"/>
      <c r="BB125" s="2"/>
      <c r="BC125" s="2">
        <v>1.20000000000073</v>
      </c>
      <c r="BD125" s="2">
        <v>0.5</v>
      </c>
      <c r="BE125" s="2"/>
      <c r="BF125" s="2"/>
      <c r="BG125" s="2"/>
      <c r="BH125" s="2">
        <v>0.200000000000045</v>
      </c>
      <c r="BI125" s="2">
        <v>7.4000000000014596</v>
      </c>
      <c r="BJ125" s="2"/>
      <c r="BK125" s="2"/>
      <c r="BL125" s="2"/>
      <c r="BM125" s="2">
        <v>3.4000000000014601</v>
      </c>
      <c r="BN125" s="2">
        <v>1.79999999999927</v>
      </c>
      <c r="BO125" s="2">
        <v>2.7999999999992702</v>
      </c>
      <c r="BP125" s="2"/>
      <c r="BQ125" s="2"/>
      <c r="BR125" s="2"/>
      <c r="BS125" s="2"/>
      <c r="BT125" s="2">
        <v>0.200000000000045</v>
      </c>
      <c r="BU125" s="2"/>
      <c r="BV125" s="2"/>
      <c r="BW125" s="2"/>
      <c r="BX125" s="2"/>
      <c r="BY125" s="2"/>
      <c r="BZ125" s="2">
        <v>0.4</v>
      </c>
      <c r="CA125" s="2"/>
      <c r="CB125" s="2">
        <v>4.7</v>
      </c>
      <c r="CC125" s="2">
        <v>3.6</v>
      </c>
      <c r="CD125" s="2"/>
      <c r="CE125" s="2"/>
      <c r="CF125" s="2">
        <v>0.2</v>
      </c>
      <c r="CG125" s="2"/>
      <c r="CH125" s="2"/>
      <c r="CI125" s="2"/>
      <c r="CJ125" s="2">
        <v>0.3</v>
      </c>
      <c r="CK125" s="2">
        <v>0.1</v>
      </c>
      <c r="CL125" s="2"/>
      <c r="CM125" s="2">
        <v>0.3</v>
      </c>
      <c r="CN125" s="2"/>
      <c r="CO125" s="2"/>
      <c r="CP125" s="2"/>
      <c r="CQ125" s="2"/>
      <c r="CR125" s="2">
        <v>0.1</v>
      </c>
      <c r="CS125" s="2"/>
      <c r="CT125" s="2"/>
      <c r="CU125" s="2">
        <v>0.1</v>
      </c>
      <c r="CV125" s="2">
        <v>0.2</v>
      </c>
      <c r="CW125" s="2"/>
      <c r="CX125" s="2">
        <v>9.9</v>
      </c>
      <c r="CY125" s="2"/>
      <c r="CZ125" s="2"/>
      <c r="DB125">
        <v>1938</v>
      </c>
      <c r="DC125">
        <v>23.299999999988401</v>
      </c>
      <c r="DH125">
        <v>124</v>
      </c>
    </row>
    <row r="126" spans="1:112">
      <c r="A126" s="1">
        <v>41033</v>
      </c>
      <c r="B126" s="2"/>
      <c r="C126" s="2">
        <v>0.2</v>
      </c>
      <c r="D126" s="2"/>
      <c r="E126" s="2"/>
      <c r="F126" s="2"/>
      <c r="G126" s="2"/>
      <c r="H126" s="2">
        <v>0.3</v>
      </c>
      <c r="I126" s="2"/>
      <c r="J126" s="2">
        <v>13.5</v>
      </c>
      <c r="K126" s="2"/>
      <c r="L126" s="2"/>
      <c r="M126" s="2"/>
      <c r="N126" s="2">
        <v>4.2</v>
      </c>
      <c r="O126" s="2"/>
      <c r="P126" s="2">
        <v>2.2000000000000002</v>
      </c>
      <c r="Q126" s="2"/>
      <c r="R126" s="2"/>
      <c r="S126" s="2">
        <v>9.1999999999999993</v>
      </c>
      <c r="T126" s="2"/>
      <c r="U126" s="2">
        <v>7.1</v>
      </c>
      <c r="V126" s="2"/>
      <c r="W126" s="2">
        <v>0</v>
      </c>
      <c r="X126" s="2"/>
      <c r="Y126" s="2"/>
      <c r="Z126" s="2">
        <v>0.29999999999972699</v>
      </c>
      <c r="AA126" s="2">
        <v>7</v>
      </c>
      <c r="AB126" s="2"/>
      <c r="AC126" s="2">
        <v>5.5</v>
      </c>
      <c r="AD126" s="2">
        <v>0</v>
      </c>
      <c r="AE126" s="2">
        <v>7.3999999999941801</v>
      </c>
      <c r="AF126" s="2"/>
      <c r="AG126" s="2">
        <v>1</v>
      </c>
      <c r="AH126" s="2">
        <v>0.29999999999972699</v>
      </c>
      <c r="AI126" s="2"/>
      <c r="AJ126" s="2"/>
      <c r="AK126" s="2">
        <v>2.5</v>
      </c>
      <c r="AL126" s="2"/>
      <c r="AM126" s="2"/>
      <c r="AN126" s="2"/>
      <c r="AO126" s="2">
        <v>9.2999999999883602</v>
      </c>
      <c r="AP126" s="2"/>
      <c r="AQ126" s="2"/>
      <c r="AR126" s="2"/>
      <c r="AS126" s="2"/>
      <c r="AT126" s="2"/>
      <c r="AU126" s="2">
        <v>0.19999999999981799</v>
      </c>
      <c r="AV126" s="2">
        <v>14</v>
      </c>
      <c r="AW126" s="2"/>
      <c r="AX126" s="2"/>
      <c r="AY126" s="2"/>
      <c r="AZ126" s="2"/>
      <c r="BA126" s="2"/>
      <c r="BB126" s="2"/>
      <c r="BC126" s="2"/>
      <c r="BD126" s="2"/>
      <c r="BE126" s="2"/>
      <c r="BF126" s="2">
        <v>10.100000000005799</v>
      </c>
      <c r="BG126" s="2"/>
      <c r="BH126" s="2">
        <v>0.100000000000023</v>
      </c>
      <c r="BI126" s="2">
        <v>0.200000000000045</v>
      </c>
      <c r="BJ126" s="2"/>
      <c r="BK126" s="2">
        <v>7</v>
      </c>
      <c r="BL126" s="2">
        <v>0</v>
      </c>
      <c r="BM126" s="2"/>
      <c r="BN126" s="2"/>
      <c r="BO126" s="2">
        <v>0.30000000000018201</v>
      </c>
      <c r="BP126" s="2"/>
      <c r="BQ126" s="2"/>
      <c r="BR126" s="2"/>
      <c r="BS126" s="2"/>
      <c r="BT126" s="2"/>
      <c r="BU126" s="2"/>
      <c r="BV126" s="2"/>
      <c r="BW126" s="2"/>
      <c r="BX126" s="2">
        <v>1.1000000000000001</v>
      </c>
      <c r="BY126" s="2"/>
      <c r="BZ126" s="2"/>
      <c r="CA126" s="2"/>
      <c r="CB126" s="2"/>
      <c r="CC126" s="2">
        <v>2.6</v>
      </c>
      <c r="CD126" s="2"/>
      <c r="CE126" s="2"/>
      <c r="CF126" s="2"/>
      <c r="CG126" s="2"/>
      <c r="CH126" s="2">
        <v>0</v>
      </c>
      <c r="CI126" s="2"/>
      <c r="CJ126" s="2"/>
      <c r="CK126" s="2">
        <v>0.5</v>
      </c>
      <c r="CL126" s="2"/>
      <c r="CM126" s="2"/>
      <c r="CN126" s="2"/>
      <c r="CO126" s="2"/>
      <c r="CP126" s="2"/>
      <c r="CQ126" s="2"/>
      <c r="CR126" s="2"/>
      <c r="CS126" s="2"/>
      <c r="CT126" s="2"/>
      <c r="CU126" s="2">
        <v>3.3</v>
      </c>
      <c r="CV126" s="2"/>
      <c r="CW126" s="2"/>
      <c r="CX126" s="2">
        <v>8.1999999999999993</v>
      </c>
      <c r="CY126" s="2"/>
      <c r="CZ126" s="2"/>
      <c r="DB126">
        <v>1957</v>
      </c>
      <c r="DC126">
        <v>14</v>
      </c>
      <c r="DH126">
        <v>125</v>
      </c>
    </row>
    <row r="127" spans="1:112">
      <c r="A127" s="1">
        <v>41034</v>
      </c>
      <c r="B127" s="2"/>
      <c r="C127" s="2"/>
      <c r="D127" s="2">
        <v>11.6</v>
      </c>
      <c r="E127" s="2"/>
      <c r="F127" s="2">
        <v>1.5</v>
      </c>
      <c r="G127" s="2"/>
      <c r="H127" s="2"/>
      <c r="I127" s="2"/>
      <c r="J127" s="2">
        <v>3.6</v>
      </c>
      <c r="K127" s="2"/>
      <c r="L127" s="2"/>
      <c r="M127" s="2">
        <v>4.8</v>
      </c>
      <c r="N127" s="2"/>
      <c r="O127" s="2"/>
      <c r="P127" s="2">
        <v>2.4</v>
      </c>
      <c r="Q127" s="2"/>
      <c r="R127" s="2"/>
      <c r="S127" s="2"/>
      <c r="T127" s="2"/>
      <c r="U127" s="2">
        <v>2.2000000000000002</v>
      </c>
      <c r="V127" s="2"/>
      <c r="W127" s="2"/>
      <c r="X127" s="2"/>
      <c r="Y127" s="2"/>
      <c r="Z127" s="2"/>
      <c r="AA127" s="2"/>
      <c r="AB127" s="2">
        <v>11.099999999991301</v>
      </c>
      <c r="AC127" s="2">
        <v>1.29999999999927</v>
      </c>
      <c r="AD127" s="2">
        <v>2.7999999999992702</v>
      </c>
      <c r="AE127" s="2"/>
      <c r="AF127" s="2">
        <v>0.59999999999945397</v>
      </c>
      <c r="AG127" s="2"/>
      <c r="AH127" s="2"/>
      <c r="AI127" s="2">
        <v>0.69999999999981799</v>
      </c>
      <c r="AJ127" s="2"/>
      <c r="AK127" s="2"/>
      <c r="AL127" s="2"/>
      <c r="AM127" s="2"/>
      <c r="AN127" s="2"/>
      <c r="AO127" s="2"/>
      <c r="AP127" s="2"/>
      <c r="AQ127" s="2"/>
      <c r="AR127" s="2">
        <v>5.0999999999985501</v>
      </c>
      <c r="AS127" s="2"/>
      <c r="AT127" s="2">
        <v>0.79999999999927196</v>
      </c>
      <c r="AU127" s="2"/>
      <c r="AV127" s="2"/>
      <c r="AW127" s="2"/>
      <c r="AX127" s="2">
        <v>22</v>
      </c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>
        <v>2.2000000000007298</v>
      </c>
      <c r="BL127" s="2"/>
      <c r="BM127" s="2"/>
      <c r="BN127" s="2">
        <v>0.100000000000023</v>
      </c>
      <c r="BO127" s="2"/>
      <c r="BP127" s="2">
        <v>0.400000000000091</v>
      </c>
      <c r="BQ127" s="2"/>
      <c r="BR127" s="2"/>
      <c r="BS127" s="2"/>
      <c r="BT127" s="2">
        <v>18.5</v>
      </c>
      <c r="BU127" s="2"/>
      <c r="BV127" s="2"/>
      <c r="BW127" s="2"/>
      <c r="BX127" s="2">
        <v>0</v>
      </c>
      <c r="BY127" s="2"/>
      <c r="BZ127" s="2"/>
      <c r="CA127" s="2"/>
      <c r="CB127" s="2"/>
      <c r="CC127" s="2">
        <v>1.6</v>
      </c>
      <c r="CD127" s="2">
        <v>6.8</v>
      </c>
      <c r="CE127" s="2"/>
      <c r="CF127" s="2">
        <v>0.1</v>
      </c>
      <c r="CG127" s="2"/>
      <c r="CH127" s="2"/>
      <c r="CI127" s="2"/>
      <c r="CJ127" s="2"/>
      <c r="CK127" s="2"/>
      <c r="CL127" s="2">
        <v>0.3</v>
      </c>
      <c r="CM127" s="2"/>
      <c r="CN127" s="2">
        <v>1.6</v>
      </c>
      <c r="CO127" s="2"/>
      <c r="CP127" s="2"/>
      <c r="CQ127" s="2">
        <v>12.8</v>
      </c>
      <c r="CR127" s="2">
        <v>0</v>
      </c>
      <c r="CS127" s="2"/>
      <c r="CT127" s="2"/>
      <c r="CU127" s="2"/>
      <c r="CV127" s="2"/>
      <c r="CW127" s="2"/>
      <c r="CX127" s="2">
        <v>0.1</v>
      </c>
      <c r="CY127" s="2"/>
      <c r="CZ127" s="2"/>
      <c r="DB127">
        <v>1959</v>
      </c>
      <c r="DC127">
        <v>22</v>
      </c>
      <c r="DH127">
        <v>126</v>
      </c>
    </row>
    <row r="128" spans="1:112">
      <c r="A128" s="1">
        <v>41035</v>
      </c>
      <c r="B128" s="2"/>
      <c r="C128" s="2"/>
      <c r="D128" s="2"/>
      <c r="E128" s="2"/>
      <c r="F128" s="2"/>
      <c r="G128" s="2"/>
      <c r="H128" s="2"/>
      <c r="I128" s="2">
        <v>0.3</v>
      </c>
      <c r="J128" s="2"/>
      <c r="K128" s="2"/>
      <c r="L128" s="2"/>
      <c r="M128" s="2">
        <v>10.6</v>
      </c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>
        <v>12</v>
      </c>
      <c r="Y128" s="2"/>
      <c r="Z128" s="2"/>
      <c r="AA128" s="2"/>
      <c r="AB128" s="2">
        <v>9.7999999999883602</v>
      </c>
      <c r="AC128" s="2">
        <v>0.39999999999963598</v>
      </c>
      <c r="AD128" s="2"/>
      <c r="AE128" s="2">
        <v>0</v>
      </c>
      <c r="AF128" s="2">
        <v>41.399999999965097</v>
      </c>
      <c r="AG128" s="2"/>
      <c r="AH128" s="2"/>
      <c r="AI128" s="2"/>
      <c r="AJ128" s="2"/>
      <c r="AK128" s="2"/>
      <c r="AL128" s="2"/>
      <c r="AM128" s="2">
        <v>1.6999999999989099</v>
      </c>
      <c r="AN128" s="2"/>
      <c r="AO128" s="2">
        <v>2.7999999999992702</v>
      </c>
      <c r="AP128" s="2">
        <v>1</v>
      </c>
      <c r="AQ128" s="2"/>
      <c r="AR128" s="2">
        <v>1.29999999999927</v>
      </c>
      <c r="AS128" s="2"/>
      <c r="AT128" s="2"/>
      <c r="AU128" s="2"/>
      <c r="AV128" s="2"/>
      <c r="AW128" s="2"/>
      <c r="AX128" s="2">
        <v>14.5</v>
      </c>
      <c r="AY128" s="2"/>
      <c r="AZ128" s="2"/>
      <c r="BA128" s="2"/>
      <c r="BB128" s="2"/>
      <c r="BC128" s="2">
        <v>8.1000000000058208</v>
      </c>
      <c r="BD128" s="2">
        <v>2.4000000000014601</v>
      </c>
      <c r="BE128" s="2"/>
      <c r="BF128" s="2"/>
      <c r="BG128" s="2"/>
      <c r="BH128" s="2"/>
      <c r="BI128" s="2"/>
      <c r="BJ128" s="2">
        <v>3.4000000000014601</v>
      </c>
      <c r="BK128" s="2"/>
      <c r="BL128" s="2">
        <v>0</v>
      </c>
      <c r="BM128" s="2">
        <v>0</v>
      </c>
      <c r="BN128" s="2"/>
      <c r="BO128" s="2"/>
      <c r="BP128" s="2"/>
      <c r="BQ128" s="2"/>
      <c r="BR128" s="2"/>
      <c r="BS128" s="2"/>
      <c r="BT128" s="2">
        <v>1.39999999999964</v>
      </c>
      <c r="BU128" s="2"/>
      <c r="BV128" s="2"/>
      <c r="BW128" s="2">
        <v>0.29999999999972699</v>
      </c>
      <c r="BX128" s="2">
        <v>0.1</v>
      </c>
      <c r="BY128" s="2"/>
      <c r="BZ128" s="2">
        <v>0.1</v>
      </c>
      <c r="CA128" s="2">
        <v>0.7</v>
      </c>
      <c r="CB128" s="2">
        <v>0.5</v>
      </c>
      <c r="CC128" s="2"/>
      <c r="CD128" s="2"/>
      <c r="CE128" s="2"/>
      <c r="CF128" s="2"/>
      <c r="CG128" s="2"/>
      <c r="CH128" s="2"/>
      <c r="CI128" s="2"/>
      <c r="CJ128" s="2"/>
      <c r="CK128" s="2">
        <v>8</v>
      </c>
      <c r="CL128" s="2">
        <v>2.2999999999999998</v>
      </c>
      <c r="CM128" s="2"/>
      <c r="CN128" s="2">
        <v>18.5</v>
      </c>
      <c r="CO128" s="2"/>
      <c r="CP128" s="2"/>
      <c r="CQ128" s="2"/>
      <c r="CR128" s="2"/>
      <c r="CS128" s="2"/>
      <c r="CT128" s="2"/>
      <c r="CU128" s="2">
        <v>0.2</v>
      </c>
      <c r="CV128" s="2"/>
      <c r="CW128" s="2"/>
      <c r="CX128" s="2">
        <v>1</v>
      </c>
      <c r="CY128" s="2"/>
      <c r="CZ128" s="2"/>
      <c r="DB128">
        <v>1941</v>
      </c>
      <c r="DC128">
        <v>41.399999999965097</v>
      </c>
      <c r="DH128">
        <v>127</v>
      </c>
    </row>
    <row r="129" spans="1:112">
      <c r="A129" s="1">
        <v>41036</v>
      </c>
      <c r="B129" s="2"/>
      <c r="C129" s="2"/>
      <c r="D129" s="2"/>
      <c r="E129" s="2">
        <v>0.2</v>
      </c>
      <c r="F129" s="2"/>
      <c r="G129" s="2">
        <v>2.1</v>
      </c>
      <c r="H129" s="2"/>
      <c r="I129" s="2">
        <v>0.3</v>
      </c>
      <c r="J129" s="2"/>
      <c r="K129" s="2"/>
      <c r="L129" s="2">
        <v>0.4</v>
      </c>
      <c r="M129" s="2"/>
      <c r="N129" s="2"/>
      <c r="O129" s="2"/>
      <c r="P129" s="2"/>
      <c r="Q129" s="2">
        <v>0.5</v>
      </c>
      <c r="R129" s="2"/>
      <c r="S129" s="2"/>
      <c r="T129" s="2"/>
      <c r="U129" s="2"/>
      <c r="V129" s="2"/>
      <c r="W129" s="2"/>
      <c r="X129" s="2"/>
      <c r="Y129" s="2"/>
      <c r="Z129" s="2"/>
      <c r="AA129" s="2">
        <v>2.3999999999978199</v>
      </c>
      <c r="AB129" s="2">
        <v>1.29999999999927</v>
      </c>
      <c r="AC129" s="2"/>
      <c r="AD129" s="2"/>
      <c r="AE129" s="2"/>
      <c r="AF129" s="2">
        <v>1</v>
      </c>
      <c r="AG129" s="2"/>
      <c r="AH129" s="2"/>
      <c r="AI129" s="2"/>
      <c r="AJ129" s="2"/>
      <c r="AK129" s="2">
        <v>0.79999999999927196</v>
      </c>
      <c r="AL129" s="2"/>
      <c r="AM129" s="2">
        <v>6.29999999999563</v>
      </c>
      <c r="AN129" s="2"/>
      <c r="AO129" s="2">
        <v>1.5999999999985499</v>
      </c>
      <c r="AP129" s="2"/>
      <c r="AQ129" s="2"/>
      <c r="AR129" s="2">
        <v>2.0999999999985399</v>
      </c>
      <c r="AS129" s="2">
        <v>9.9999999999908995E-2</v>
      </c>
      <c r="AT129" s="2"/>
      <c r="AU129" s="2"/>
      <c r="AV129" s="2">
        <v>5</v>
      </c>
      <c r="AW129" s="2"/>
      <c r="AX129" s="2">
        <v>23.699999999982499</v>
      </c>
      <c r="AY129" s="2"/>
      <c r="AZ129" s="2"/>
      <c r="BA129" s="2"/>
      <c r="BB129" s="2"/>
      <c r="BC129" s="2">
        <v>0.200000000000045</v>
      </c>
      <c r="BD129" s="2"/>
      <c r="BE129" s="2"/>
      <c r="BF129" s="2"/>
      <c r="BG129" s="2"/>
      <c r="BH129" s="2"/>
      <c r="BI129" s="2"/>
      <c r="BJ129" s="2">
        <v>1.60000000000036</v>
      </c>
      <c r="BK129" s="2"/>
      <c r="BL129" s="2"/>
      <c r="BM129" s="2">
        <v>2.2000000000007298</v>
      </c>
      <c r="BN129" s="2"/>
      <c r="BO129" s="2"/>
      <c r="BP129" s="2"/>
      <c r="BQ129" s="2"/>
      <c r="BR129" s="2"/>
      <c r="BS129" s="2"/>
      <c r="BT129" s="2">
        <v>27.799999999988401</v>
      </c>
      <c r="BU129" s="2"/>
      <c r="BV129" s="2">
        <v>4.2</v>
      </c>
      <c r="BW129" s="2"/>
      <c r="BX129" s="2"/>
      <c r="BY129" s="2"/>
      <c r="BZ129" s="2"/>
      <c r="CA129" s="2">
        <v>0.1</v>
      </c>
      <c r="CB129" s="2">
        <v>14.7</v>
      </c>
      <c r="CC129" s="2"/>
      <c r="CD129" s="2"/>
      <c r="CE129" s="2"/>
      <c r="CF129" s="2"/>
      <c r="CG129" s="2">
        <v>16.7</v>
      </c>
      <c r="CH129" s="2">
        <v>0.8</v>
      </c>
      <c r="CI129" s="2"/>
      <c r="CJ129" s="2"/>
      <c r="CK129" s="2"/>
      <c r="CL129" s="2">
        <v>1</v>
      </c>
      <c r="CM129" s="2"/>
      <c r="CN129" s="2">
        <v>0.5</v>
      </c>
      <c r="CO129" s="2"/>
      <c r="CP129" s="2"/>
      <c r="CQ129" s="2"/>
      <c r="CR129" s="2">
        <v>1.8</v>
      </c>
      <c r="CS129" s="2"/>
      <c r="CT129" s="2">
        <v>0.2</v>
      </c>
      <c r="CU129" s="2"/>
      <c r="CV129" s="2"/>
      <c r="CW129" s="2"/>
      <c r="CX129" s="2">
        <v>0.1</v>
      </c>
      <c r="CY129" s="2"/>
      <c r="CZ129" s="2"/>
      <c r="DB129">
        <v>1981</v>
      </c>
      <c r="DC129">
        <v>27.799999999988401</v>
      </c>
      <c r="DH129">
        <v>128</v>
      </c>
    </row>
    <row r="130" spans="1:112">
      <c r="A130" s="1">
        <v>41037</v>
      </c>
      <c r="B130" s="2"/>
      <c r="C130" s="2"/>
      <c r="D130" s="2">
        <v>9.6</v>
      </c>
      <c r="E130" s="2"/>
      <c r="F130" s="2"/>
      <c r="G130" s="2">
        <v>0.2</v>
      </c>
      <c r="H130" s="2"/>
      <c r="I130" s="2"/>
      <c r="J130" s="2"/>
      <c r="K130" s="2"/>
      <c r="L130" s="2"/>
      <c r="M130" s="2"/>
      <c r="N130" s="2"/>
      <c r="O130" s="2"/>
      <c r="P130" s="2"/>
      <c r="Q130" s="2">
        <v>0.5</v>
      </c>
      <c r="R130" s="2"/>
      <c r="S130" s="2"/>
      <c r="T130" s="2"/>
      <c r="U130" s="2"/>
      <c r="V130" s="2"/>
      <c r="W130" s="2"/>
      <c r="X130" s="2">
        <v>0.1</v>
      </c>
      <c r="Y130" s="2"/>
      <c r="Z130" s="2"/>
      <c r="AA130" s="2">
        <v>2.0999999999985399</v>
      </c>
      <c r="AB130" s="2"/>
      <c r="AC130" s="2"/>
      <c r="AD130" s="2"/>
      <c r="AE130" s="2"/>
      <c r="AF130" s="2">
        <v>0.39999999999963598</v>
      </c>
      <c r="AG130" s="2"/>
      <c r="AH130" s="2">
        <v>1.89999999999964</v>
      </c>
      <c r="AI130" s="2"/>
      <c r="AJ130" s="2"/>
      <c r="AK130" s="2"/>
      <c r="AL130" s="2">
        <v>5.29999999999563</v>
      </c>
      <c r="AM130" s="2">
        <v>3.5</v>
      </c>
      <c r="AN130" s="2"/>
      <c r="AO130" s="2"/>
      <c r="AP130" s="2"/>
      <c r="AQ130" s="2">
        <v>1.0999999999985499</v>
      </c>
      <c r="AR130" s="2">
        <v>4.79999999999563</v>
      </c>
      <c r="AS130" s="2">
        <v>0.79999999999927196</v>
      </c>
      <c r="AT130" s="2"/>
      <c r="AU130" s="2"/>
      <c r="AV130" s="2">
        <v>7</v>
      </c>
      <c r="AW130" s="2"/>
      <c r="AX130" s="2"/>
      <c r="AY130" s="2"/>
      <c r="AZ130" s="2"/>
      <c r="BA130" s="2"/>
      <c r="BB130" s="2"/>
      <c r="BC130" s="2">
        <v>18.899999999994201</v>
      </c>
      <c r="BD130" s="2">
        <v>3.5</v>
      </c>
      <c r="BE130" s="2"/>
      <c r="BF130" s="2"/>
      <c r="BG130" s="2"/>
      <c r="BH130" s="2"/>
      <c r="BI130" s="2">
        <v>0.100000000000023</v>
      </c>
      <c r="BJ130" s="2">
        <v>1.5</v>
      </c>
      <c r="BK130" s="2"/>
      <c r="BL130" s="2"/>
      <c r="BM130" s="2">
        <v>0.100000000000023</v>
      </c>
      <c r="BN130" s="2"/>
      <c r="BO130" s="2"/>
      <c r="BP130" s="2"/>
      <c r="BQ130" s="2">
        <v>1.20000000000073</v>
      </c>
      <c r="BR130" s="2"/>
      <c r="BS130" s="2"/>
      <c r="BT130" s="2">
        <v>11.5</v>
      </c>
      <c r="BU130" s="2"/>
      <c r="BV130" s="2"/>
      <c r="BW130" s="2"/>
      <c r="BX130" s="2"/>
      <c r="BY130" s="2"/>
      <c r="BZ130" s="2">
        <v>0.8</v>
      </c>
      <c r="CA130" s="2"/>
      <c r="CB130" s="2">
        <v>5.8</v>
      </c>
      <c r="CC130" s="2"/>
      <c r="CD130" s="2"/>
      <c r="CE130" s="2"/>
      <c r="CF130" s="2">
        <v>11.6</v>
      </c>
      <c r="CG130" s="2">
        <v>4.4000000000000004</v>
      </c>
      <c r="CH130" s="2">
        <v>5.5</v>
      </c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>
        <v>7.8</v>
      </c>
      <c r="CT130" s="2"/>
      <c r="CU130" s="2"/>
      <c r="CV130" s="2"/>
      <c r="CW130" s="2">
        <v>0.1</v>
      </c>
      <c r="CX130" s="2"/>
      <c r="CY130" s="2"/>
      <c r="CZ130" s="2"/>
      <c r="DB130">
        <v>1964</v>
      </c>
      <c r="DC130">
        <v>18.899999999994201</v>
      </c>
      <c r="DH130">
        <v>129</v>
      </c>
    </row>
    <row r="131" spans="1:112">
      <c r="A131" s="1">
        <v>41038</v>
      </c>
      <c r="B131" s="2"/>
      <c r="C131" s="2">
        <v>0.4</v>
      </c>
      <c r="D131" s="2">
        <v>1.9</v>
      </c>
      <c r="E131" s="2"/>
      <c r="F131" s="2">
        <v>2.8</v>
      </c>
      <c r="G131" s="2"/>
      <c r="H131" s="2"/>
      <c r="I131" s="2"/>
      <c r="J131" s="2"/>
      <c r="K131" s="2"/>
      <c r="L131" s="2"/>
      <c r="M131" s="2">
        <v>0.1</v>
      </c>
      <c r="N131" s="2"/>
      <c r="O131" s="2"/>
      <c r="P131" s="2"/>
      <c r="Q131" s="2"/>
      <c r="R131" s="2"/>
      <c r="S131" s="2"/>
      <c r="T131" s="2"/>
      <c r="U131" s="2"/>
      <c r="V131" s="2">
        <v>3.1</v>
      </c>
      <c r="W131" s="2"/>
      <c r="X131" s="2">
        <v>0.5</v>
      </c>
      <c r="Y131" s="2"/>
      <c r="Z131" s="2"/>
      <c r="AA131" s="2"/>
      <c r="AB131" s="2"/>
      <c r="AC131" s="2"/>
      <c r="AD131" s="2"/>
      <c r="AE131" s="2"/>
      <c r="AF131" s="2">
        <v>1.0999999999985499</v>
      </c>
      <c r="AG131" s="2"/>
      <c r="AH131" s="2"/>
      <c r="AI131" s="2"/>
      <c r="AJ131" s="2"/>
      <c r="AK131" s="2"/>
      <c r="AL131" s="2">
        <v>7.8999999999941801</v>
      </c>
      <c r="AM131" s="2"/>
      <c r="AN131" s="2">
        <v>2.1999999999970901</v>
      </c>
      <c r="AO131" s="2"/>
      <c r="AP131" s="2"/>
      <c r="AQ131" s="2"/>
      <c r="AR131" s="2">
        <v>11.399999999994201</v>
      </c>
      <c r="AS131" s="2"/>
      <c r="AT131" s="2"/>
      <c r="AU131" s="2"/>
      <c r="AV131" s="2"/>
      <c r="AW131" s="2"/>
      <c r="AX131" s="2"/>
      <c r="AY131" s="2">
        <v>5.29999999999563</v>
      </c>
      <c r="AZ131" s="2">
        <v>3.2999999999992702</v>
      </c>
      <c r="BA131" s="2"/>
      <c r="BB131" s="2"/>
      <c r="BC131" s="2">
        <v>2.5999999999985399</v>
      </c>
      <c r="BD131" s="2">
        <v>3.7000000000007298</v>
      </c>
      <c r="BE131" s="2">
        <v>4</v>
      </c>
      <c r="BF131" s="2"/>
      <c r="BG131" s="2"/>
      <c r="BH131" s="2"/>
      <c r="BI131" s="2">
        <v>0.100000000000023</v>
      </c>
      <c r="BJ131" s="2">
        <v>4.4000000000014596</v>
      </c>
      <c r="BK131" s="2"/>
      <c r="BL131" s="2">
        <v>0</v>
      </c>
      <c r="BM131" s="2">
        <v>1.39999999999964</v>
      </c>
      <c r="BN131" s="2"/>
      <c r="BO131" s="2"/>
      <c r="BP131" s="2">
        <v>0.100000000000023</v>
      </c>
      <c r="BQ131" s="2"/>
      <c r="BR131" s="2"/>
      <c r="BS131" s="2">
        <v>0.200000000000045</v>
      </c>
      <c r="BT131" s="2">
        <v>0.80000000000018201</v>
      </c>
      <c r="BU131" s="2"/>
      <c r="BV131" s="2"/>
      <c r="BW131" s="2"/>
      <c r="BX131" s="2">
        <v>1.7</v>
      </c>
      <c r="BY131" s="2">
        <v>0</v>
      </c>
      <c r="BZ131" s="2">
        <v>1.3</v>
      </c>
      <c r="CA131" s="2"/>
      <c r="CB131" s="2">
        <v>5</v>
      </c>
      <c r="CC131" s="2"/>
      <c r="CD131" s="2"/>
      <c r="CE131" s="2"/>
      <c r="CF131" s="2">
        <v>7.5</v>
      </c>
      <c r="CG131" s="2">
        <v>0.2</v>
      </c>
      <c r="CH131" s="2">
        <v>0.1</v>
      </c>
      <c r="CI131" s="2"/>
      <c r="CJ131" s="2"/>
      <c r="CK131" s="2">
        <v>2.7</v>
      </c>
      <c r="CL131" s="2"/>
      <c r="CM131" s="2"/>
      <c r="CN131" s="2">
        <v>0.1</v>
      </c>
      <c r="CO131" s="2"/>
      <c r="CP131" s="2"/>
      <c r="CQ131" s="2"/>
      <c r="CR131" s="2"/>
      <c r="CS131" s="2">
        <v>0.2</v>
      </c>
      <c r="CT131" s="2"/>
      <c r="CU131" s="2">
        <v>0.3</v>
      </c>
      <c r="CV131" s="2"/>
      <c r="CW131" s="2"/>
      <c r="CX131" s="2"/>
      <c r="CY131" s="2"/>
      <c r="CZ131" s="2">
        <v>0.1</v>
      </c>
      <c r="DB131">
        <v>1953</v>
      </c>
      <c r="DC131">
        <v>11.399999999994201</v>
      </c>
      <c r="DH131">
        <v>130</v>
      </c>
    </row>
    <row r="132" spans="1:112">
      <c r="A132" s="1">
        <v>41039</v>
      </c>
      <c r="B132" s="2"/>
      <c r="C132" s="2"/>
      <c r="D132" s="2"/>
      <c r="E132" s="2"/>
      <c r="F132" s="2"/>
      <c r="G132" s="2"/>
      <c r="H132" s="2"/>
      <c r="I132" s="2"/>
      <c r="J132" s="2"/>
      <c r="K132" s="2">
        <v>0.2</v>
      </c>
      <c r="L132" s="2">
        <v>3.7</v>
      </c>
      <c r="M132" s="2"/>
      <c r="N132" s="2"/>
      <c r="O132" s="2"/>
      <c r="P132" s="2"/>
      <c r="Q132" s="2"/>
      <c r="R132" s="2"/>
      <c r="S132" s="2"/>
      <c r="T132" s="2"/>
      <c r="U132" s="2">
        <v>0.9</v>
      </c>
      <c r="V132" s="2"/>
      <c r="W132" s="2"/>
      <c r="X132" s="2">
        <v>26</v>
      </c>
      <c r="Y132" s="2"/>
      <c r="Z132" s="2"/>
      <c r="AA132" s="2"/>
      <c r="AB132" s="2"/>
      <c r="AC132" s="2"/>
      <c r="AD132" s="2">
        <v>0.2</v>
      </c>
      <c r="AE132" s="2">
        <v>9.9999999999908995E-2</v>
      </c>
      <c r="AF132" s="2">
        <v>0.29999999999972699</v>
      </c>
      <c r="AG132" s="2"/>
      <c r="AH132" s="2"/>
      <c r="AI132" s="2"/>
      <c r="AJ132" s="2"/>
      <c r="AK132" s="2">
        <v>0</v>
      </c>
      <c r="AL132" s="2">
        <v>5.79999999999563</v>
      </c>
      <c r="AM132" s="2"/>
      <c r="AN132" s="2">
        <v>0.79999999999927196</v>
      </c>
      <c r="AO132" s="2"/>
      <c r="AP132" s="2"/>
      <c r="AQ132" s="2"/>
      <c r="AR132" s="2">
        <v>0.59999999999945397</v>
      </c>
      <c r="AS132" s="2">
        <v>0.3</v>
      </c>
      <c r="AT132" s="2"/>
      <c r="AU132" s="2"/>
      <c r="AV132" s="2"/>
      <c r="AW132" s="2"/>
      <c r="AX132" s="2"/>
      <c r="AY132" s="2">
        <v>0.19999999999981799</v>
      </c>
      <c r="AZ132" s="2"/>
      <c r="BA132" s="2"/>
      <c r="BB132" s="2"/>
      <c r="BC132" s="2"/>
      <c r="BD132" s="2"/>
      <c r="BE132" s="2">
        <v>1.29999999999927</v>
      </c>
      <c r="BF132" s="2"/>
      <c r="BG132" s="2"/>
      <c r="BH132" s="2"/>
      <c r="BI132" s="2"/>
      <c r="BJ132" s="2">
        <v>2.7000000000007298</v>
      </c>
      <c r="BK132" s="2"/>
      <c r="BL132" s="2"/>
      <c r="BM132" s="2">
        <v>36.400000000023297</v>
      </c>
      <c r="BN132" s="2"/>
      <c r="BO132" s="2">
        <v>2</v>
      </c>
      <c r="BP132" s="2"/>
      <c r="BQ132" s="2">
        <v>0.100000000000023</v>
      </c>
      <c r="BR132" s="2"/>
      <c r="BS132" s="2"/>
      <c r="BT132" s="2">
        <v>0</v>
      </c>
      <c r="BU132" s="2"/>
      <c r="BV132" s="2">
        <v>6.1</v>
      </c>
      <c r="BW132" s="2"/>
      <c r="BX132" s="2">
        <v>0.2</v>
      </c>
      <c r="BY132" s="2">
        <v>0</v>
      </c>
      <c r="BZ132" s="2"/>
      <c r="CA132" s="2">
        <v>0.1</v>
      </c>
      <c r="CB132" s="2"/>
      <c r="CC132" s="2"/>
      <c r="CD132" s="2"/>
      <c r="CE132" s="2"/>
      <c r="CF132" s="2">
        <v>0.2</v>
      </c>
      <c r="CG132" s="2">
        <v>6.6</v>
      </c>
      <c r="CH132" s="2"/>
      <c r="CI132" s="2"/>
      <c r="CJ132" s="2"/>
      <c r="CK132" s="2">
        <v>0.5</v>
      </c>
      <c r="CL132" s="2"/>
      <c r="CM132" s="2"/>
      <c r="CN132" s="2"/>
      <c r="CO132" s="2"/>
      <c r="CP132" s="2"/>
      <c r="CQ132" s="2">
        <v>4.8</v>
      </c>
      <c r="CR132" s="2"/>
      <c r="CS132" s="2">
        <v>0.5</v>
      </c>
      <c r="CT132" s="2"/>
      <c r="CU132" s="2">
        <v>0.1</v>
      </c>
      <c r="CV132" s="2"/>
      <c r="CW132" s="2"/>
      <c r="CX132" s="2"/>
      <c r="CY132" s="2">
        <v>0.1</v>
      </c>
      <c r="CZ132" s="2"/>
      <c r="DB132">
        <v>1974</v>
      </c>
      <c r="DC132">
        <v>36.400000000023297</v>
      </c>
      <c r="DH132">
        <v>131</v>
      </c>
    </row>
    <row r="133" spans="1:112">
      <c r="A133" s="1">
        <v>41040</v>
      </c>
      <c r="B133" s="2"/>
      <c r="C133" s="2">
        <v>1.3</v>
      </c>
      <c r="D133" s="2">
        <v>0.8</v>
      </c>
      <c r="E133" s="2"/>
      <c r="F133" s="2">
        <v>2.9</v>
      </c>
      <c r="G133" s="2">
        <v>0.3</v>
      </c>
      <c r="H133" s="2"/>
      <c r="I133" s="2"/>
      <c r="J133" s="2"/>
      <c r="K133" s="2">
        <v>2.7</v>
      </c>
      <c r="L133" s="2">
        <v>0.1</v>
      </c>
      <c r="M133" s="2"/>
      <c r="N133" s="2"/>
      <c r="O133" s="2"/>
      <c r="P133" s="2"/>
      <c r="Q133" s="2"/>
      <c r="R133" s="2">
        <v>1.7</v>
      </c>
      <c r="S133" s="2"/>
      <c r="T133" s="2"/>
      <c r="U133" s="2">
        <v>0</v>
      </c>
      <c r="V133" s="2"/>
      <c r="W133" s="2">
        <v>5.5</v>
      </c>
      <c r="X133" s="2"/>
      <c r="Y133" s="2"/>
      <c r="Z133" s="2"/>
      <c r="AA133" s="2">
        <v>0.69999999999981799</v>
      </c>
      <c r="AB133" s="2"/>
      <c r="AC133" s="2"/>
      <c r="AD133" s="2"/>
      <c r="AE133" s="2"/>
      <c r="AF133" s="2"/>
      <c r="AG133" s="2"/>
      <c r="AH133" s="2">
        <v>0.5</v>
      </c>
      <c r="AI133" s="2"/>
      <c r="AJ133" s="2"/>
      <c r="AK133" s="2"/>
      <c r="AL133" s="2">
        <v>0.59999999999945397</v>
      </c>
      <c r="AM133" s="2">
        <v>5</v>
      </c>
      <c r="AN133" s="2"/>
      <c r="AO133" s="2"/>
      <c r="AP133" s="2"/>
      <c r="AQ133" s="2"/>
      <c r="AR133" s="2"/>
      <c r="AS133" s="2">
        <v>2.8999999999978199</v>
      </c>
      <c r="AT133" s="2"/>
      <c r="AU133" s="2"/>
      <c r="AV133" s="2"/>
      <c r="AW133" s="2"/>
      <c r="AX133" s="2"/>
      <c r="AY133" s="2">
        <v>2.2999999999992702</v>
      </c>
      <c r="AZ133" s="2"/>
      <c r="BA133" s="2"/>
      <c r="BB133" s="2"/>
      <c r="BC133" s="2"/>
      <c r="BD133" s="2">
        <v>4.3000000000029104</v>
      </c>
      <c r="BE133" s="2"/>
      <c r="BF133" s="2"/>
      <c r="BG133" s="2"/>
      <c r="BH133" s="2"/>
      <c r="BI133" s="2"/>
      <c r="BJ133" s="2">
        <v>0.100000000000023</v>
      </c>
      <c r="BK133" s="2">
        <v>0</v>
      </c>
      <c r="BL133" s="2"/>
      <c r="BM133" s="2">
        <v>84</v>
      </c>
      <c r="BN133" s="2">
        <v>0.100000000000023</v>
      </c>
      <c r="BO133" s="2">
        <v>2.7000000000007298</v>
      </c>
      <c r="BP133" s="2">
        <v>2.7000000000007298</v>
      </c>
      <c r="BQ133" s="2">
        <v>5.5</v>
      </c>
      <c r="BR133" s="2">
        <v>0.200000000000045</v>
      </c>
      <c r="BS133" s="2">
        <v>22</v>
      </c>
      <c r="BT133" s="2"/>
      <c r="BU133" s="2"/>
      <c r="BV133" s="2">
        <v>2</v>
      </c>
      <c r="BW133" s="2">
        <v>5.5</v>
      </c>
      <c r="BX133" s="2">
        <v>1.5</v>
      </c>
      <c r="BY133" s="2"/>
      <c r="BZ133" s="2"/>
      <c r="CA133" s="2"/>
      <c r="CB133" s="2"/>
      <c r="CC133" s="2"/>
      <c r="CD133" s="2">
        <v>0.4</v>
      </c>
      <c r="CE133" s="2"/>
      <c r="CF133" s="2">
        <v>0.8</v>
      </c>
      <c r="CG133" s="2">
        <v>9.3000000000000007</v>
      </c>
      <c r="CH133" s="2"/>
      <c r="CI133" s="2">
        <v>0.2</v>
      </c>
      <c r="CJ133" s="2"/>
      <c r="CK133" s="2">
        <v>18</v>
      </c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>
        <v>0.2</v>
      </c>
      <c r="CZ133" s="2"/>
      <c r="DB133">
        <v>1974</v>
      </c>
      <c r="DC133">
        <v>84</v>
      </c>
      <c r="DH133">
        <v>132</v>
      </c>
    </row>
    <row r="134" spans="1:112">
      <c r="A134" s="1">
        <v>41041</v>
      </c>
      <c r="B134" s="2"/>
      <c r="C134" s="2"/>
      <c r="D134" s="2"/>
      <c r="E134" s="2"/>
      <c r="F134" s="2">
        <v>0.5</v>
      </c>
      <c r="G134" s="2">
        <v>9.6</v>
      </c>
      <c r="H134" s="2">
        <v>1.6</v>
      </c>
      <c r="I134" s="2"/>
      <c r="J134" s="2"/>
      <c r="K134" s="2">
        <v>15.8</v>
      </c>
      <c r="L134" s="2"/>
      <c r="M134" s="2"/>
      <c r="N134" s="2"/>
      <c r="O134" s="2"/>
      <c r="P134" s="2"/>
      <c r="Q134" s="2"/>
      <c r="R134" s="2">
        <v>4.9000000000000004</v>
      </c>
      <c r="S134" s="2"/>
      <c r="T134" s="2">
        <v>0</v>
      </c>
      <c r="U134" s="2"/>
      <c r="V134" s="2">
        <v>14.3</v>
      </c>
      <c r="W134" s="2">
        <v>1.6</v>
      </c>
      <c r="X134" s="2"/>
      <c r="Y134" s="2"/>
      <c r="Z134" s="2"/>
      <c r="AA134" s="2">
        <v>1.39999999999964</v>
      </c>
      <c r="AB134" s="2"/>
      <c r="AC134" s="2">
        <v>1.5</v>
      </c>
      <c r="AD134" s="2"/>
      <c r="AE134" s="2"/>
      <c r="AF134" s="2"/>
      <c r="AG134" s="2"/>
      <c r="AH134" s="2">
        <v>0.39999999999963598</v>
      </c>
      <c r="AI134" s="2"/>
      <c r="AJ134" s="2"/>
      <c r="AK134" s="2"/>
      <c r="AL134" s="2"/>
      <c r="AM134" s="2">
        <v>0.69999999999981799</v>
      </c>
      <c r="AN134" s="2"/>
      <c r="AO134" s="2"/>
      <c r="AP134" s="2"/>
      <c r="AQ134" s="2"/>
      <c r="AR134" s="2"/>
      <c r="AS134" s="2">
        <v>7.29999999999563</v>
      </c>
      <c r="AT134" s="2"/>
      <c r="AU134" s="2">
        <v>10.5</v>
      </c>
      <c r="AV134" s="2"/>
      <c r="AW134" s="2"/>
      <c r="AX134" s="2"/>
      <c r="AY134" s="2">
        <v>1.0999999999985499</v>
      </c>
      <c r="AZ134" s="2">
        <v>12.6999999999971</v>
      </c>
      <c r="BA134" s="2"/>
      <c r="BB134" s="2"/>
      <c r="BC134" s="2"/>
      <c r="BD134" s="2"/>
      <c r="BE134" s="2"/>
      <c r="BF134" s="2">
        <v>0.200000000000045</v>
      </c>
      <c r="BG134" s="2"/>
      <c r="BH134" s="2">
        <v>0</v>
      </c>
      <c r="BI134" s="2"/>
      <c r="BJ134" s="2">
        <v>0.100000000000023</v>
      </c>
      <c r="BK134" s="2">
        <v>5.1999999999970896</v>
      </c>
      <c r="BL134" s="2"/>
      <c r="BM134" s="2">
        <v>4.0999999999985501</v>
      </c>
      <c r="BN134" s="2"/>
      <c r="BO134" s="2">
        <v>0.100000000000023</v>
      </c>
      <c r="BP134" s="2">
        <v>3.5</v>
      </c>
      <c r="BQ134" s="2">
        <v>6.8000000000029104</v>
      </c>
      <c r="BR134" s="2">
        <v>2.2000000000007298</v>
      </c>
      <c r="BS134" s="2">
        <v>6.8000000000029104</v>
      </c>
      <c r="BT134" s="2"/>
      <c r="BU134" s="2"/>
      <c r="BV134" s="2"/>
      <c r="BW134" s="2"/>
      <c r="BX134" s="2"/>
      <c r="BY134" s="2">
        <v>0.1</v>
      </c>
      <c r="BZ134" s="2"/>
      <c r="CA134" s="2"/>
      <c r="CB134" s="2"/>
      <c r="CC134" s="2"/>
      <c r="CD134" s="2">
        <v>0.1</v>
      </c>
      <c r="CE134" s="2"/>
      <c r="CF134" s="2">
        <v>0.2</v>
      </c>
      <c r="CG134" s="2"/>
      <c r="CH134" s="2"/>
      <c r="CI134" s="2"/>
      <c r="CJ134" s="2"/>
      <c r="CK134" s="2">
        <v>12.5</v>
      </c>
      <c r="CL134" s="2"/>
      <c r="CM134" s="2"/>
      <c r="CN134" s="2"/>
      <c r="CO134" s="2"/>
      <c r="CP134" s="2"/>
      <c r="CQ134" s="2"/>
      <c r="CR134" s="2"/>
      <c r="CS134" s="2">
        <v>0.4</v>
      </c>
      <c r="CT134" s="2"/>
      <c r="CU134" s="2"/>
      <c r="CV134" s="2"/>
      <c r="CW134" s="2"/>
      <c r="CX134" s="2">
        <v>0.5</v>
      </c>
      <c r="CY134" s="2">
        <v>0.1</v>
      </c>
      <c r="CZ134" s="2">
        <v>1.5</v>
      </c>
      <c r="DB134">
        <v>1920</v>
      </c>
      <c r="DC134">
        <v>15.8</v>
      </c>
      <c r="DH134">
        <v>133</v>
      </c>
    </row>
    <row r="135" spans="1:112">
      <c r="A135" s="1">
        <v>41042</v>
      </c>
      <c r="B135" s="2"/>
      <c r="C135" s="2"/>
      <c r="D135" s="2">
        <v>0.9</v>
      </c>
      <c r="E135" s="2"/>
      <c r="F135" s="2">
        <v>1.3</v>
      </c>
      <c r="G135" s="2">
        <v>0.2</v>
      </c>
      <c r="H135" s="2">
        <v>1.9</v>
      </c>
      <c r="I135" s="2"/>
      <c r="J135" s="2"/>
      <c r="K135" s="2">
        <v>6.4</v>
      </c>
      <c r="L135" s="2"/>
      <c r="M135" s="2"/>
      <c r="N135" s="2"/>
      <c r="O135" s="2"/>
      <c r="P135" s="2">
        <v>3.4</v>
      </c>
      <c r="Q135" s="2"/>
      <c r="R135" s="2"/>
      <c r="S135" s="2"/>
      <c r="T135" s="2"/>
      <c r="U135" s="2">
        <v>14.2</v>
      </c>
      <c r="V135" s="2"/>
      <c r="W135" s="2"/>
      <c r="X135" s="2">
        <v>0.2</v>
      </c>
      <c r="Y135" s="2"/>
      <c r="Z135" s="2"/>
      <c r="AA135" s="2">
        <v>0.29999999999972699</v>
      </c>
      <c r="AB135" s="2"/>
      <c r="AC135" s="2">
        <v>2.5999999999985399</v>
      </c>
      <c r="AD135" s="2">
        <v>2.5</v>
      </c>
      <c r="AE135" s="2">
        <v>0.19999999999981799</v>
      </c>
      <c r="AF135" s="2">
        <v>10.799999999988399</v>
      </c>
      <c r="AG135" s="2"/>
      <c r="AH135" s="2">
        <v>5.29999999999563</v>
      </c>
      <c r="AI135" s="2">
        <v>0.29999999999972699</v>
      </c>
      <c r="AJ135" s="2"/>
      <c r="AK135" s="2"/>
      <c r="AL135" s="2"/>
      <c r="AM135" s="2"/>
      <c r="AN135" s="2"/>
      <c r="AO135" s="2"/>
      <c r="AP135" s="2">
        <v>9.2999999999883602</v>
      </c>
      <c r="AQ135" s="2">
        <v>0.19999999999981799</v>
      </c>
      <c r="AR135" s="2"/>
      <c r="AS135" s="2"/>
      <c r="AT135" s="2"/>
      <c r="AU135" s="2"/>
      <c r="AV135" s="2"/>
      <c r="AW135" s="2"/>
      <c r="AX135" s="2"/>
      <c r="AY135" s="2">
        <v>0.89999999999963598</v>
      </c>
      <c r="AZ135" s="2">
        <v>9.1999999999970896</v>
      </c>
      <c r="BA135" s="2"/>
      <c r="BB135" s="2"/>
      <c r="BC135" s="2">
        <v>2.7999999999992702</v>
      </c>
      <c r="BD135" s="2">
        <v>7</v>
      </c>
      <c r="BE135" s="2"/>
      <c r="BF135" s="2"/>
      <c r="BG135" s="2"/>
      <c r="BH135" s="2">
        <v>15.5</v>
      </c>
      <c r="BI135" s="2"/>
      <c r="BJ135" s="2"/>
      <c r="BK135" s="2"/>
      <c r="BL135" s="2"/>
      <c r="BM135" s="2">
        <v>1.20000000000073</v>
      </c>
      <c r="BN135" s="2">
        <v>3</v>
      </c>
      <c r="BO135" s="2">
        <v>0.100000000000023</v>
      </c>
      <c r="BP135" s="2"/>
      <c r="BQ135" s="2"/>
      <c r="BR135" s="2">
        <v>1.79999999999927</v>
      </c>
      <c r="BS135" s="2"/>
      <c r="BT135" s="2">
        <v>2.7999999999992702</v>
      </c>
      <c r="BU135" s="2"/>
      <c r="BV135" s="2"/>
      <c r="BW135" s="2">
        <v>8.1999999999970896</v>
      </c>
      <c r="BX135" s="2"/>
      <c r="BY135" s="2"/>
      <c r="BZ135" s="2"/>
      <c r="CA135" s="2"/>
      <c r="CB135" s="2"/>
      <c r="CC135" s="2"/>
      <c r="CD135" s="2"/>
      <c r="CE135" s="2">
        <v>1.5</v>
      </c>
      <c r="CF135" s="2">
        <v>8</v>
      </c>
      <c r="CG135" s="2"/>
      <c r="CH135" s="2"/>
      <c r="CI135" s="2"/>
      <c r="CJ135" s="2"/>
      <c r="CK135" s="2">
        <v>5.5</v>
      </c>
      <c r="CL135" s="2">
        <v>4.2</v>
      </c>
      <c r="CM135" s="2"/>
      <c r="CN135" s="2"/>
      <c r="CO135" s="2">
        <v>2.4</v>
      </c>
      <c r="CP135" s="2"/>
      <c r="CQ135" s="2">
        <v>0.1</v>
      </c>
      <c r="CR135" s="2"/>
      <c r="CS135" s="2"/>
      <c r="CT135" s="2"/>
      <c r="CU135" s="2"/>
      <c r="CV135" s="2"/>
      <c r="CW135" s="2">
        <v>0.2</v>
      </c>
      <c r="CX135" s="2"/>
      <c r="CY135" s="2">
        <v>0.1</v>
      </c>
      <c r="CZ135" s="2">
        <v>2.7</v>
      </c>
      <c r="DB135">
        <v>1969</v>
      </c>
      <c r="DC135">
        <v>15.5</v>
      </c>
      <c r="DH135">
        <v>134</v>
      </c>
    </row>
    <row r="136" spans="1:112">
      <c r="A136" s="1">
        <v>41043</v>
      </c>
      <c r="B136" s="2"/>
      <c r="C136" s="2">
        <v>0.2</v>
      </c>
      <c r="D136" s="2"/>
      <c r="E136" s="2"/>
      <c r="F136" s="2"/>
      <c r="G136" s="2"/>
      <c r="H136" s="2">
        <v>5.2</v>
      </c>
      <c r="I136" s="2"/>
      <c r="J136" s="2"/>
      <c r="K136" s="2"/>
      <c r="L136" s="2">
        <v>0.1</v>
      </c>
      <c r="M136" s="2"/>
      <c r="N136" s="2"/>
      <c r="O136" s="2"/>
      <c r="P136" s="2"/>
      <c r="Q136" s="2"/>
      <c r="R136" s="2"/>
      <c r="S136" s="2">
        <v>3.9</v>
      </c>
      <c r="T136" s="2">
        <v>0.4</v>
      </c>
      <c r="U136" s="2"/>
      <c r="V136" s="2"/>
      <c r="W136" s="2"/>
      <c r="X136" s="2">
        <v>3.8</v>
      </c>
      <c r="Y136" s="2"/>
      <c r="Z136" s="2">
        <v>2</v>
      </c>
      <c r="AA136" s="2">
        <v>0.19999999999981799</v>
      </c>
      <c r="AB136" s="2"/>
      <c r="AC136" s="2">
        <v>1</v>
      </c>
      <c r="AD136" s="2"/>
      <c r="AE136" s="2"/>
      <c r="AF136" s="2">
        <v>19.299999999988401</v>
      </c>
      <c r="AG136" s="2"/>
      <c r="AH136" s="2">
        <v>0.29999999999972699</v>
      </c>
      <c r="AI136" s="2"/>
      <c r="AJ136" s="2"/>
      <c r="AK136" s="2"/>
      <c r="AL136" s="2"/>
      <c r="AM136" s="2"/>
      <c r="AN136" s="2"/>
      <c r="AO136" s="2"/>
      <c r="AP136" s="2">
        <v>7.0999999999985501</v>
      </c>
      <c r="AQ136" s="2">
        <v>0</v>
      </c>
      <c r="AR136" s="2"/>
      <c r="AS136" s="2">
        <v>5.29999999999563</v>
      </c>
      <c r="AT136" s="2"/>
      <c r="AU136" s="2"/>
      <c r="AV136" s="2"/>
      <c r="AW136" s="2"/>
      <c r="AX136" s="2"/>
      <c r="AY136" s="2"/>
      <c r="AZ136" s="2">
        <v>22</v>
      </c>
      <c r="BA136" s="2"/>
      <c r="BB136" s="2"/>
      <c r="BC136" s="2"/>
      <c r="BD136" s="2">
        <v>2.7999999999992702</v>
      </c>
      <c r="BE136" s="2">
        <v>0.400000000000091</v>
      </c>
      <c r="BF136" s="2"/>
      <c r="BG136" s="2"/>
      <c r="BH136" s="2">
        <v>0.200000000000045</v>
      </c>
      <c r="BI136" s="2">
        <v>0.30000000000018201</v>
      </c>
      <c r="BJ136" s="2"/>
      <c r="BK136" s="2"/>
      <c r="BL136" s="2">
        <v>0</v>
      </c>
      <c r="BM136" s="2"/>
      <c r="BN136" s="2">
        <v>16.600000000005799</v>
      </c>
      <c r="BO136" s="2"/>
      <c r="BP136" s="2"/>
      <c r="BQ136" s="2">
        <v>4</v>
      </c>
      <c r="BR136" s="2">
        <v>3.5</v>
      </c>
      <c r="BS136" s="2"/>
      <c r="BT136" s="2">
        <v>2.4000000000014601</v>
      </c>
      <c r="BU136" s="2"/>
      <c r="BV136" s="2">
        <v>0</v>
      </c>
      <c r="BW136" s="2"/>
      <c r="BX136" s="2"/>
      <c r="BY136" s="2"/>
      <c r="BZ136" s="2"/>
      <c r="CA136" s="2"/>
      <c r="CB136" s="2"/>
      <c r="CC136" s="2"/>
      <c r="CD136" s="2">
        <v>0.6</v>
      </c>
      <c r="CE136" s="2">
        <v>0.3</v>
      </c>
      <c r="CF136" s="2">
        <v>6</v>
      </c>
      <c r="CG136" s="2"/>
      <c r="CH136" s="2"/>
      <c r="CI136" s="2">
        <v>25.2</v>
      </c>
      <c r="CJ136" s="2"/>
      <c r="CK136" s="2">
        <v>1</v>
      </c>
      <c r="CL136" s="2"/>
      <c r="CM136" s="2"/>
      <c r="CN136" s="2">
        <v>0.5</v>
      </c>
      <c r="CO136" s="2"/>
      <c r="CP136" s="2"/>
      <c r="CQ136" s="2">
        <v>0</v>
      </c>
      <c r="CR136" s="2"/>
      <c r="CS136" s="2"/>
      <c r="CT136" s="2"/>
      <c r="CU136" s="2">
        <v>0.2</v>
      </c>
      <c r="CV136" s="2"/>
      <c r="CW136" s="2"/>
      <c r="CX136" s="2"/>
      <c r="CY136" s="2">
        <v>0.1</v>
      </c>
      <c r="CZ136" s="2">
        <v>20.2</v>
      </c>
      <c r="DB136">
        <v>1996</v>
      </c>
      <c r="DC136">
        <v>25.2</v>
      </c>
      <c r="DH136">
        <v>135</v>
      </c>
    </row>
    <row r="137" spans="1:112">
      <c r="A137" s="1">
        <v>41044</v>
      </c>
      <c r="B137" s="2"/>
      <c r="C137" s="2"/>
      <c r="D137" s="2"/>
      <c r="E137" s="2"/>
      <c r="F137" s="2"/>
      <c r="G137" s="2">
        <v>0.4</v>
      </c>
      <c r="H137" s="2">
        <v>2</v>
      </c>
      <c r="I137" s="2"/>
      <c r="J137" s="2">
        <v>13.4</v>
      </c>
      <c r="K137" s="2"/>
      <c r="L137" s="2">
        <v>0.2</v>
      </c>
      <c r="M137" s="2"/>
      <c r="N137" s="2"/>
      <c r="O137" s="2"/>
      <c r="P137" s="2"/>
      <c r="Q137" s="2"/>
      <c r="R137" s="2"/>
      <c r="S137" s="2"/>
      <c r="T137" s="2">
        <v>0</v>
      </c>
      <c r="U137" s="2">
        <v>5.5</v>
      </c>
      <c r="V137" s="2"/>
      <c r="W137" s="2"/>
      <c r="X137" s="2"/>
      <c r="Y137" s="2"/>
      <c r="Z137" s="2">
        <v>1.29999999999927</v>
      </c>
      <c r="AA137" s="2">
        <v>10.5</v>
      </c>
      <c r="AB137" s="2"/>
      <c r="AC137" s="2"/>
      <c r="AD137" s="2"/>
      <c r="AE137" s="2"/>
      <c r="AF137" s="2">
        <v>17.099999999976699</v>
      </c>
      <c r="AG137" s="2"/>
      <c r="AH137" s="2">
        <v>0.69999999999981799</v>
      </c>
      <c r="AI137" s="2"/>
      <c r="AJ137" s="2"/>
      <c r="AK137" s="2"/>
      <c r="AL137" s="2"/>
      <c r="AM137" s="2"/>
      <c r="AN137" s="2">
        <v>0.79999999999927196</v>
      </c>
      <c r="AO137" s="2"/>
      <c r="AP137" s="2">
        <v>1.1999999999989099</v>
      </c>
      <c r="AQ137" s="2">
        <v>0.89999999999963598</v>
      </c>
      <c r="AR137" s="2">
        <v>1.39999999999964</v>
      </c>
      <c r="AS137" s="2">
        <v>3.2999999999992702</v>
      </c>
      <c r="AT137" s="2"/>
      <c r="AU137" s="2"/>
      <c r="AV137" s="2">
        <v>1.5999999999985499</v>
      </c>
      <c r="AW137" s="2"/>
      <c r="AX137" s="2"/>
      <c r="AY137" s="2"/>
      <c r="AZ137" s="2">
        <v>1.29999999999927</v>
      </c>
      <c r="BA137" s="2"/>
      <c r="BB137" s="2"/>
      <c r="BC137" s="2"/>
      <c r="BD137" s="2"/>
      <c r="BE137" s="2"/>
      <c r="BF137" s="2"/>
      <c r="BG137" s="2">
        <v>0.69999999999981799</v>
      </c>
      <c r="BH137" s="2"/>
      <c r="BI137" s="2"/>
      <c r="BJ137" s="2"/>
      <c r="BK137" s="2"/>
      <c r="BL137" s="2"/>
      <c r="BM137" s="2"/>
      <c r="BN137" s="2">
        <v>19.399999999994201</v>
      </c>
      <c r="BO137" s="2"/>
      <c r="BP137" s="2">
        <v>1.70000000000073</v>
      </c>
      <c r="BQ137" s="2">
        <v>3.5</v>
      </c>
      <c r="BR137" s="2"/>
      <c r="BS137" s="2">
        <v>0.80000000000018201</v>
      </c>
      <c r="BT137" s="2">
        <v>1.20000000000073</v>
      </c>
      <c r="BU137" s="2">
        <v>2.2999999999992702</v>
      </c>
      <c r="BV137" s="2"/>
      <c r="BW137" s="2"/>
      <c r="BX137" s="2"/>
      <c r="BY137" s="2"/>
      <c r="BZ137" s="2"/>
      <c r="CA137" s="2"/>
      <c r="CB137" s="2"/>
      <c r="CC137" s="2"/>
      <c r="CD137" s="2">
        <v>15.1</v>
      </c>
      <c r="CE137" s="2"/>
      <c r="CF137" s="2">
        <v>0.7</v>
      </c>
      <c r="CG137" s="2"/>
      <c r="CH137" s="2">
        <v>0.9</v>
      </c>
      <c r="CI137" s="2">
        <v>4.8</v>
      </c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>
        <v>0.1</v>
      </c>
      <c r="CX137" s="2"/>
      <c r="CY137" s="2">
        <v>6.4</v>
      </c>
      <c r="CZ137" s="2"/>
      <c r="DB137">
        <v>1975</v>
      </c>
      <c r="DC137">
        <v>19.399999999994201</v>
      </c>
      <c r="DH137">
        <v>136</v>
      </c>
    </row>
    <row r="138" spans="1:112">
      <c r="A138" s="1">
        <v>41045</v>
      </c>
      <c r="B138" s="2"/>
      <c r="C138" s="2"/>
      <c r="D138" s="2"/>
      <c r="E138" s="2">
        <v>1.6</v>
      </c>
      <c r="F138" s="2"/>
      <c r="G138" s="2"/>
      <c r="H138" s="2">
        <v>1.4</v>
      </c>
      <c r="I138" s="2"/>
      <c r="J138" s="2">
        <v>0.6</v>
      </c>
      <c r="K138" s="2">
        <v>1.6</v>
      </c>
      <c r="L138" s="2"/>
      <c r="M138" s="2">
        <v>0.1</v>
      </c>
      <c r="N138" s="2"/>
      <c r="O138" s="2"/>
      <c r="P138" s="2">
        <v>2.7</v>
      </c>
      <c r="Q138" s="2"/>
      <c r="R138" s="2"/>
      <c r="S138" s="2"/>
      <c r="T138" s="2"/>
      <c r="U138" s="2">
        <v>2.5</v>
      </c>
      <c r="V138" s="2"/>
      <c r="W138" s="2"/>
      <c r="X138" s="2">
        <v>27</v>
      </c>
      <c r="Y138" s="2"/>
      <c r="Z138" s="2"/>
      <c r="AA138" s="2"/>
      <c r="AB138" s="2"/>
      <c r="AC138" s="2"/>
      <c r="AD138" s="2"/>
      <c r="AE138" s="2">
        <v>2.6999999999970901</v>
      </c>
      <c r="AF138" s="2"/>
      <c r="AG138" s="2"/>
      <c r="AH138" s="2"/>
      <c r="AI138" s="2"/>
      <c r="AJ138" s="2"/>
      <c r="AK138" s="2"/>
      <c r="AL138" s="2">
        <v>0.89999999999963598</v>
      </c>
      <c r="AM138" s="2"/>
      <c r="AN138" s="2"/>
      <c r="AO138" s="2"/>
      <c r="AP138" s="2"/>
      <c r="AQ138" s="2">
        <v>1.79999999999927</v>
      </c>
      <c r="AR138" s="2"/>
      <c r="AS138" s="2"/>
      <c r="AT138" s="2"/>
      <c r="AU138" s="2">
        <v>1.6999999999989099</v>
      </c>
      <c r="AV138" s="2">
        <v>0.29999999999972699</v>
      </c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>
        <v>4</v>
      </c>
      <c r="BH138" s="2"/>
      <c r="BI138" s="2"/>
      <c r="BJ138" s="2"/>
      <c r="BK138" s="2"/>
      <c r="BL138" s="2"/>
      <c r="BM138" s="2">
        <v>7</v>
      </c>
      <c r="BN138" s="2">
        <v>0.30000000000018201</v>
      </c>
      <c r="BO138" s="2"/>
      <c r="BP138" s="2">
        <v>0.80000000000018201</v>
      </c>
      <c r="BQ138" s="2">
        <v>3.7000000000007298</v>
      </c>
      <c r="BR138" s="2">
        <v>0.100000000000023</v>
      </c>
      <c r="BS138" s="2"/>
      <c r="BT138" s="2"/>
      <c r="BU138" s="2">
        <v>16.399999999994201</v>
      </c>
      <c r="BV138" s="2">
        <v>0.1</v>
      </c>
      <c r="BW138" s="2"/>
      <c r="BX138" s="2"/>
      <c r="BY138" s="2"/>
      <c r="BZ138" s="2">
        <v>0.1</v>
      </c>
      <c r="CA138" s="2"/>
      <c r="CB138" s="2"/>
      <c r="CC138" s="2"/>
      <c r="CD138" s="2">
        <v>1.3</v>
      </c>
      <c r="CE138" s="2"/>
      <c r="CF138" s="2">
        <v>3.8</v>
      </c>
      <c r="CG138" s="2"/>
      <c r="CH138" s="2"/>
      <c r="CI138" s="2"/>
      <c r="CJ138" s="2"/>
      <c r="CK138" s="2">
        <v>3.6</v>
      </c>
      <c r="CL138" s="2">
        <v>1.5</v>
      </c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>
        <v>1.5</v>
      </c>
      <c r="CZ138" s="2"/>
      <c r="DB138">
        <v>1933</v>
      </c>
      <c r="DC138">
        <v>27</v>
      </c>
      <c r="DH138">
        <v>137</v>
      </c>
    </row>
    <row r="139" spans="1:112">
      <c r="A139" s="1">
        <v>41046</v>
      </c>
      <c r="B139" s="2"/>
      <c r="C139" s="2"/>
      <c r="D139" s="2"/>
      <c r="E139" s="2">
        <v>0.8</v>
      </c>
      <c r="F139" s="2"/>
      <c r="G139" s="2">
        <v>6.9</v>
      </c>
      <c r="H139" s="2">
        <v>0.8</v>
      </c>
      <c r="I139" s="2"/>
      <c r="J139" s="2">
        <v>15.5</v>
      </c>
      <c r="K139" s="2"/>
      <c r="L139" s="2">
        <v>0.2</v>
      </c>
      <c r="M139" s="2"/>
      <c r="N139" s="2"/>
      <c r="O139" s="2"/>
      <c r="P139" s="2"/>
      <c r="Q139" s="2"/>
      <c r="R139" s="2"/>
      <c r="S139" s="2"/>
      <c r="T139" s="2">
        <v>0.6</v>
      </c>
      <c r="U139" s="2"/>
      <c r="V139" s="2"/>
      <c r="W139" s="2">
        <v>24</v>
      </c>
      <c r="X139" s="2">
        <v>5</v>
      </c>
      <c r="Y139" s="2"/>
      <c r="Z139" s="2"/>
      <c r="AA139" s="2"/>
      <c r="AB139" s="2"/>
      <c r="AC139" s="2"/>
      <c r="AD139" s="2"/>
      <c r="AE139" s="2">
        <v>6.79999999999563</v>
      </c>
      <c r="AF139" s="2"/>
      <c r="AG139" s="2"/>
      <c r="AH139" s="2">
        <v>22.699999999982499</v>
      </c>
      <c r="AI139" s="2"/>
      <c r="AJ139" s="2"/>
      <c r="AK139" s="2"/>
      <c r="AL139" s="2"/>
      <c r="AM139" s="2"/>
      <c r="AN139" s="2"/>
      <c r="AO139" s="2"/>
      <c r="AP139" s="2">
        <v>16.299999999988401</v>
      </c>
      <c r="AQ139" s="2">
        <v>13.899999999994201</v>
      </c>
      <c r="AR139" s="2">
        <v>2.0999999999985399</v>
      </c>
      <c r="AS139" s="2"/>
      <c r="AT139" s="2"/>
      <c r="AU139" s="2"/>
      <c r="AV139" s="2"/>
      <c r="AW139" s="2"/>
      <c r="AX139" s="2"/>
      <c r="AY139" s="2"/>
      <c r="AZ139" s="2"/>
      <c r="BA139" s="2"/>
      <c r="BB139" s="2">
        <v>0.19999999999981799</v>
      </c>
      <c r="BC139" s="2"/>
      <c r="BD139" s="2"/>
      <c r="BE139" s="2">
        <v>1.29999999999927</v>
      </c>
      <c r="BF139" s="2"/>
      <c r="BG139" s="2"/>
      <c r="BH139" s="2"/>
      <c r="BI139" s="2">
        <v>0</v>
      </c>
      <c r="BJ139" s="2">
        <v>0.100000000000023</v>
      </c>
      <c r="BK139" s="2"/>
      <c r="BL139" s="2">
        <v>2.7999999999992702</v>
      </c>
      <c r="BM139" s="2">
        <v>0.200000000000045</v>
      </c>
      <c r="BN139" s="2">
        <v>0.100000000000023</v>
      </c>
      <c r="BO139" s="2"/>
      <c r="BP139" s="2"/>
      <c r="BQ139" s="2"/>
      <c r="BR139" s="2">
        <v>0.100000000000023</v>
      </c>
      <c r="BS139" s="2"/>
      <c r="BT139" s="2"/>
      <c r="BU139" s="2">
        <v>16.600000000005799</v>
      </c>
      <c r="BV139" s="2">
        <v>0.9</v>
      </c>
      <c r="BW139" s="2"/>
      <c r="BX139" s="2">
        <v>0.3</v>
      </c>
      <c r="BY139" s="2"/>
      <c r="BZ139" s="2"/>
      <c r="CA139" s="2"/>
      <c r="CB139" s="2"/>
      <c r="CC139" s="2"/>
      <c r="CD139" s="2">
        <v>0.2</v>
      </c>
      <c r="CE139" s="2"/>
      <c r="CF139" s="2"/>
      <c r="CG139" s="2"/>
      <c r="CH139" s="2"/>
      <c r="CI139" s="2"/>
      <c r="CJ139" s="2"/>
      <c r="CK139" s="2">
        <v>1.5</v>
      </c>
      <c r="CL139" s="2"/>
      <c r="CM139" s="2"/>
      <c r="CN139" s="2"/>
      <c r="CO139" s="2"/>
      <c r="CP139" s="2"/>
      <c r="CQ139" s="2"/>
      <c r="CR139" s="2"/>
      <c r="CS139" s="2"/>
      <c r="CT139" s="2">
        <v>0.5</v>
      </c>
      <c r="CU139" s="2"/>
      <c r="CV139" s="2"/>
      <c r="CW139" s="2">
        <v>1</v>
      </c>
      <c r="CX139" s="2"/>
      <c r="CY139" s="2"/>
      <c r="CZ139" s="2">
        <v>0.7</v>
      </c>
      <c r="DB139">
        <v>1932</v>
      </c>
      <c r="DC139">
        <v>24</v>
      </c>
      <c r="DH139">
        <v>138</v>
      </c>
    </row>
    <row r="140" spans="1:112">
      <c r="A140" s="1">
        <v>41047</v>
      </c>
      <c r="B140" s="2"/>
      <c r="C140" s="2"/>
      <c r="D140" s="2"/>
      <c r="E140" s="2">
        <v>0.1</v>
      </c>
      <c r="F140" s="2"/>
      <c r="G140" s="2"/>
      <c r="H140" s="2"/>
      <c r="I140" s="2">
        <v>0.4</v>
      </c>
      <c r="J140" s="2">
        <v>11.4</v>
      </c>
      <c r="K140" s="2"/>
      <c r="L140" s="2">
        <v>1.5</v>
      </c>
      <c r="M140" s="2"/>
      <c r="N140" s="2"/>
      <c r="O140" s="2"/>
      <c r="P140" s="2">
        <v>0.5</v>
      </c>
      <c r="Q140" s="2"/>
      <c r="R140" s="2"/>
      <c r="S140" s="2"/>
      <c r="T140" s="2">
        <v>3.2</v>
      </c>
      <c r="U140" s="2">
        <v>0.3</v>
      </c>
      <c r="V140" s="2"/>
      <c r="W140" s="2">
        <v>0.3</v>
      </c>
      <c r="X140" s="2"/>
      <c r="Y140" s="2">
        <v>0.19999999999981799</v>
      </c>
      <c r="Z140" s="2"/>
      <c r="AA140" s="2"/>
      <c r="AB140" s="2"/>
      <c r="AC140" s="2"/>
      <c r="AD140" s="2"/>
      <c r="AE140" s="2">
        <v>1.1999999999989099</v>
      </c>
      <c r="AF140" s="2">
        <v>0</v>
      </c>
      <c r="AG140" s="2"/>
      <c r="AH140" s="2"/>
      <c r="AI140" s="2"/>
      <c r="AJ140" s="2"/>
      <c r="AK140" s="2"/>
      <c r="AL140" s="2">
        <v>1.6999999999989099</v>
      </c>
      <c r="AM140" s="2"/>
      <c r="AN140" s="2"/>
      <c r="AO140" s="2">
        <v>1.29999999999927</v>
      </c>
      <c r="AP140" s="2">
        <v>2</v>
      </c>
      <c r="AQ140" s="2">
        <v>7.5999999999985501</v>
      </c>
      <c r="AR140" s="2">
        <v>14.299999999988399</v>
      </c>
      <c r="AS140" s="2"/>
      <c r="AT140" s="2"/>
      <c r="AU140" s="2"/>
      <c r="AV140" s="2"/>
      <c r="AW140" s="2"/>
      <c r="AX140" s="2"/>
      <c r="AY140" s="2"/>
      <c r="AZ140" s="2"/>
      <c r="BA140" s="2"/>
      <c r="BB140" s="2">
        <v>3.3999999999978199</v>
      </c>
      <c r="BC140" s="2"/>
      <c r="BD140" s="2"/>
      <c r="BE140" s="2">
        <v>2.2999999999992702</v>
      </c>
      <c r="BF140" s="2"/>
      <c r="BG140" s="2">
        <v>7.0999999999985501</v>
      </c>
      <c r="BH140" s="2"/>
      <c r="BI140" s="2">
        <v>6.5</v>
      </c>
      <c r="BJ140" s="2">
        <v>0.100000000000023</v>
      </c>
      <c r="BK140" s="2"/>
      <c r="BL140" s="2">
        <v>0.60000000000036402</v>
      </c>
      <c r="BM140" s="2"/>
      <c r="BN140" s="2">
        <v>0.200000000000045</v>
      </c>
      <c r="BO140" s="2"/>
      <c r="BP140" s="2"/>
      <c r="BQ140" s="2"/>
      <c r="BR140" s="2">
        <v>0.60000000000036402</v>
      </c>
      <c r="BS140" s="2"/>
      <c r="BT140" s="2"/>
      <c r="BU140" s="2">
        <v>8.5</v>
      </c>
      <c r="BV140" s="2"/>
      <c r="BW140" s="2"/>
      <c r="BX140" s="2"/>
      <c r="BY140" s="2"/>
      <c r="BZ140" s="2"/>
      <c r="CA140" s="2"/>
      <c r="CB140" s="2"/>
      <c r="CC140" s="2"/>
      <c r="CD140" s="2">
        <v>6.2</v>
      </c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>
        <v>3.9</v>
      </c>
      <c r="CU140" s="2"/>
      <c r="CV140" s="2"/>
      <c r="CW140" s="2"/>
      <c r="CX140" s="2">
        <v>0.1</v>
      </c>
      <c r="CY140" s="2">
        <v>24.6</v>
      </c>
      <c r="CZ140" s="2"/>
      <c r="DB140">
        <v>2012</v>
      </c>
      <c r="DC140">
        <v>24.6</v>
      </c>
      <c r="DH140">
        <v>139</v>
      </c>
    </row>
    <row r="141" spans="1:112">
      <c r="A141" s="1">
        <v>41048</v>
      </c>
      <c r="B141" s="2"/>
      <c r="C141" s="2">
        <v>0</v>
      </c>
      <c r="D141" s="2"/>
      <c r="E141" s="2"/>
      <c r="F141" s="2"/>
      <c r="G141" s="2">
        <v>0.3</v>
      </c>
      <c r="H141" s="2"/>
      <c r="I141" s="2"/>
      <c r="J141" s="2"/>
      <c r="K141" s="2">
        <v>1.2</v>
      </c>
      <c r="L141" s="2"/>
      <c r="M141" s="2"/>
      <c r="N141" s="2"/>
      <c r="O141" s="2"/>
      <c r="P141" s="2">
        <v>18.3</v>
      </c>
      <c r="Q141" s="2"/>
      <c r="R141" s="2"/>
      <c r="S141" s="2"/>
      <c r="T141" s="2"/>
      <c r="U141" s="2"/>
      <c r="V141" s="2"/>
      <c r="W141" s="2"/>
      <c r="X141" s="2">
        <v>0.5</v>
      </c>
      <c r="Y141" s="2"/>
      <c r="Z141" s="2"/>
      <c r="AA141" s="2"/>
      <c r="AB141" s="2"/>
      <c r="AC141" s="2"/>
      <c r="AD141" s="2">
        <v>1.89999999999964</v>
      </c>
      <c r="AE141" s="2">
        <v>2.5</v>
      </c>
      <c r="AF141" s="2"/>
      <c r="AG141" s="2">
        <v>1.0999999999985499</v>
      </c>
      <c r="AH141" s="2">
        <v>2.5</v>
      </c>
      <c r="AI141" s="2"/>
      <c r="AJ141" s="2"/>
      <c r="AK141" s="2"/>
      <c r="AL141" s="2"/>
      <c r="AM141" s="2"/>
      <c r="AN141" s="2"/>
      <c r="AO141" s="2"/>
      <c r="AP141" s="2"/>
      <c r="AQ141" s="2">
        <v>1.1999999999989099</v>
      </c>
      <c r="AR141" s="2"/>
      <c r="AS141" s="2">
        <v>0.29999999999972699</v>
      </c>
      <c r="AT141" s="2"/>
      <c r="AU141" s="2"/>
      <c r="AV141" s="2">
        <v>21.119999999995301</v>
      </c>
      <c r="AW141" s="2"/>
      <c r="AX141" s="2"/>
      <c r="AY141" s="2"/>
      <c r="AZ141" s="2"/>
      <c r="BA141" s="2"/>
      <c r="BB141" s="2">
        <v>3.2999999999992702</v>
      </c>
      <c r="BC141" s="2"/>
      <c r="BD141" s="2"/>
      <c r="BE141" s="2"/>
      <c r="BF141" s="2">
        <v>0.100000000000023</v>
      </c>
      <c r="BG141" s="2">
        <v>0.60000000000036402</v>
      </c>
      <c r="BH141" s="2"/>
      <c r="BI141" s="2">
        <v>0.200000000000045</v>
      </c>
      <c r="BJ141" s="2">
        <v>0.100000000000023</v>
      </c>
      <c r="BK141" s="2"/>
      <c r="BL141" s="2"/>
      <c r="BM141" s="2"/>
      <c r="BN141" s="2"/>
      <c r="BO141" s="2"/>
      <c r="BP141" s="2"/>
      <c r="BQ141" s="2"/>
      <c r="BR141" s="2">
        <v>0.80000000000018201</v>
      </c>
      <c r="BS141" s="2">
        <v>0.100000000000023</v>
      </c>
      <c r="BT141" s="2"/>
      <c r="BU141" s="2">
        <v>0.200000000000045</v>
      </c>
      <c r="BV141" s="2">
        <v>0</v>
      </c>
      <c r="BW141" s="2"/>
      <c r="BX141" s="2">
        <v>1</v>
      </c>
      <c r="BY141" s="2"/>
      <c r="BZ141" s="2"/>
      <c r="CA141" s="2"/>
      <c r="CB141" s="2"/>
      <c r="CC141" s="2">
        <v>1.4</v>
      </c>
      <c r="CD141" s="2">
        <v>15.8</v>
      </c>
      <c r="CE141" s="2"/>
      <c r="CF141" s="2">
        <v>0.5</v>
      </c>
      <c r="CG141" s="2"/>
      <c r="CH141" s="2"/>
      <c r="CI141" s="2"/>
      <c r="CJ141" s="2"/>
      <c r="CK141" s="2">
        <v>8</v>
      </c>
      <c r="CL141" s="2"/>
      <c r="CM141" s="2"/>
      <c r="CN141" s="2">
        <v>9.3000000000000007</v>
      </c>
      <c r="CO141" s="2"/>
      <c r="CP141" s="2"/>
      <c r="CQ141" s="2"/>
      <c r="CR141" s="2"/>
      <c r="CS141" s="2"/>
      <c r="CT141" s="2">
        <v>0.9</v>
      </c>
      <c r="CU141" s="2"/>
      <c r="CV141" s="2">
        <v>0.1</v>
      </c>
      <c r="CW141" s="2">
        <v>1</v>
      </c>
      <c r="CX141" s="2">
        <v>0.2</v>
      </c>
      <c r="CY141" s="2">
        <v>0.7</v>
      </c>
      <c r="CZ141" s="2"/>
      <c r="DB141">
        <v>1957</v>
      </c>
      <c r="DC141">
        <v>21.119999999995301</v>
      </c>
      <c r="DH141">
        <v>140</v>
      </c>
    </row>
    <row r="142" spans="1:112">
      <c r="A142" s="1">
        <v>41049</v>
      </c>
      <c r="B142" s="2"/>
      <c r="C142" s="2"/>
      <c r="D142" s="2"/>
      <c r="E142" s="2">
        <v>2.1</v>
      </c>
      <c r="F142" s="2">
        <v>0.2</v>
      </c>
      <c r="G142" s="2">
        <v>0.4</v>
      </c>
      <c r="H142" s="2"/>
      <c r="I142" s="2"/>
      <c r="J142" s="2">
        <v>4.8</v>
      </c>
      <c r="K142" s="2"/>
      <c r="L142" s="2"/>
      <c r="M142" s="2">
        <v>0.6</v>
      </c>
      <c r="N142" s="2"/>
      <c r="O142" s="2"/>
      <c r="P142" s="2">
        <v>37</v>
      </c>
      <c r="Q142" s="2"/>
      <c r="R142" s="2"/>
      <c r="S142" s="2"/>
      <c r="T142" s="2"/>
      <c r="U142" s="2">
        <v>3.2</v>
      </c>
      <c r="V142" s="2"/>
      <c r="W142" s="2"/>
      <c r="X142" s="2">
        <v>1</v>
      </c>
      <c r="Y142" s="2"/>
      <c r="Z142" s="2"/>
      <c r="AA142" s="2"/>
      <c r="AB142" s="2"/>
      <c r="AC142" s="2"/>
      <c r="AD142" s="2"/>
      <c r="AE142" s="2">
        <v>9.9999999999908995E-2</v>
      </c>
      <c r="AF142" s="2"/>
      <c r="AG142" s="2">
        <v>1.0999999999985499</v>
      </c>
      <c r="AH142" s="2"/>
      <c r="AI142" s="2"/>
      <c r="AJ142" s="2"/>
      <c r="AK142" s="2">
        <v>0</v>
      </c>
      <c r="AL142" s="2"/>
      <c r="AM142" s="2"/>
      <c r="AN142" s="2"/>
      <c r="AO142" s="2"/>
      <c r="AP142" s="2"/>
      <c r="AQ142" s="2"/>
      <c r="AR142" s="2">
        <v>1.5999999999985499</v>
      </c>
      <c r="AS142" s="2">
        <v>0.79999999999927196</v>
      </c>
      <c r="AT142" s="2"/>
      <c r="AU142" s="2"/>
      <c r="AV142" s="2"/>
      <c r="AW142" s="2"/>
      <c r="AX142" s="2"/>
      <c r="AY142" s="2"/>
      <c r="AZ142" s="2">
        <v>1.6999999999989099</v>
      </c>
      <c r="BA142" s="2"/>
      <c r="BB142" s="2">
        <v>2.2999999999992702</v>
      </c>
      <c r="BC142" s="2"/>
      <c r="BD142" s="2"/>
      <c r="BE142" s="2"/>
      <c r="BF142" s="2">
        <v>0.200000000000045</v>
      </c>
      <c r="BG142" s="2"/>
      <c r="BH142" s="2"/>
      <c r="BI142" s="2"/>
      <c r="BJ142" s="2"/>
      <c r="BK142" s="2"/>
      <c r="BL142" s="2"/>
      <c r="BM142" s="2">
        <v>0</v>
      </c>
      <c r="BN142" s="2">
        <v>0.30000000000018201</v>
      </c>
      <c r="BO142" s="2"/>
      <c r="BP142" s="2"/>
      <c r="BQ142" s="2"/>
      <c r="BR142" s="2">
        <v>0.100000000000023</v>
      </c>
      <c r="BS142" s="2">
        <v>0.30000000000018201</v>
      </c>
      <c r="BT142" s="2"/>
      <c r="BU142" s="2"/>
      <c r="BV142" s="2"/>
      <c r="BW142" s="2">
        <v>0.1</v>
      </c>
      <c r="BX142" s="2"/>
      <c r="BY142" s="2"/>
      <c r="BZ142" s="2"/>
      <c r="CA142" s="2"/>
      <c r="CB142" s="2"/>
      <c r="CC142" s="2">
        <v>5.3</v>
      </c>
      <c r="CD142" s="2"/>
      <c r="CE142" s="2"/>
      <c r="CF142" s="2">
        <v>4.2</v>
      </c>
      <c r="CG142" s="2"/>
      <c r="CH142" s="2"/>
      <c r="CI142" s="2"/>
      <c r="CJ142" s="2"/>
      <c r="CK142" s="2">
        <v>18</v>
      </c>
      <c r="CL142" s="2"/>
      <c r="CM142" s="2"/>
      <c r="CN142" s="2"/>
      <c r="CO142" s="2">
        <v>1.4</v>
      </c>
      <c r="CP142" s="2"/>
      <c r="CQ142" s="2"/>
      <c r="CR142" s="2"/>
      <c r="CS142" s="2"/>
      <c r="CT142" s="2">
        <v>7.3</v>
      </c>
      <c r="CU142" s="2"/>
      <c r="CV142" s="2"/>
      <c r="CW142" s="2">
        <v>0.5</v>
      </c>
      <c r="CX142" s="2"/>
      <c r="CY142" s="2">
        <v>4.3</v>
      </c>
      <c r="CZ142" s="2"/>
      <c r="DB142">
        <v>1925</v>
      </c>
      <c r="DC142">
        <v>37</v>
      </c>
      <c r="DH142">
        <v>141</v>
      </c>
    </row>
    <row r="143" spans="1:112">
      <c r="A143" s="1">
        <v>41050</v>
      </c>
      <c r="B143" s="2"/>
      <c r="C143" s="2"/>
      <c r="D143" s="2"/>
      <c r="E143" s="2"/>
      <c r="F143" s="2">
        <v>3.3</v>
      </c>
      <c r="G143" s="2"/>
      <c r="H143" s="2"/>
      <c r="I143" s="2"/>
      <c r="J143" s="2">
        <v>41.5</v>
      </c>
      <c r="K143" s="2"/>
      <c r="L143" s="2">
        <v>0.1</v>
      </c>
      <c r="M143" s="2"/>
      <c r="N143" s="2"/>
      <c r="O143" s="2"/>
      <c r="P143" s="2">
        <v>21.7</v>
      </c>
      <c r="Q143" s="2"/>
      <c r="R143" s="2"/>
      <c r="S143" s="2"/>
      <c r="T143" s="2">
        <v>0.3</v>
      </c>
      <c r="U143" s="2"/>
      <c r="V143" s="2"/>
      <c r="W143" s="2"/>
      <c r="X143" s="2">
        <v>20.100000000000001</v>
      </c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>
        <v>4</v>
      </c>
      <c r="AK143" s="2"/>
      <c r="AL143" s="2"/>
      <c r="AM143" s="2"/>
      <c r="AN143" s="2"/>
      <c r="AO143" s="2"/>
      <c r="AP143" s="2">
        <v>1</v>
      </c>
      <c r="AQ143" s="2"/>
      <c r="AR143" s="2">
        <v>0.19999999999981799</v>
      </c>
      <c r="AS143" s="2">
        <v>7.29999999999563</v>
      </c>
      <c r="AT143" s="2"/>
      <c r="AU143" s="2"/>
      <c r="AV143" s="2">
        <v>0.29999999999972699</v>
      </c>
      <c r="AW143" s="2"/>
      <c r="AX143" s="2"/>
      <c r="AY143" s="2"/>
      <c r="AZ143" s="2">
        <v>0.19999999999981799</v>
      </c>
      <c r="BA143" s="2"/>
      <c r="BB143" s="2"/>
      <c r="BC143" s="2"/>
      <c r="BD143" s="2"/>
      <c r="BE143" s="2"/>
      <c r="BF143" s="2">
        <v>12.5</v>
      </c>
      <c r="BG143" s="2"/>
      <c r="BH143" s="2"/>
      <c r="BI143" s="2">
        <v>13.600000000005799</v>
      </c>
      <c r="BJ143" s="2"/>
      <c r="BK143" s="2"/>
      <c r="BL143" s="2"/>
      <c r="BM143" s="2">
        <v>0.100000000000023</v>
      </c>
      <c r="BN143" s="2">
        <v>0.30000000000018201</v>
      </c>
      <c r="BO143" s="2"/>
      <c r="BP143" s="2"/>
      <c r="BQ143" s="2"/>
      <c r="BR143" s="2"/>
      <c r="BS143" s="2">
        <v>13.399999999994201</v>
      </c>
      <c r="BT143" s="2"/>
      <c r="BU143" s="2"/>
      <c r="BV143" s="2"/>
      <c r="BW143" s="2"/>
      <c r="BX143" s="2"/>
      <c r="BY143" s="2"/>
      <c r="BZ143" s="2">
        <v>2.7</v>
      </c>
      <c r="CA143" s="2"/>
      <c r="CB143" s="2">
        <v>0.4</v>
      </c>
      <c r="CC143" s="2"/>
      <c r="CD143" s="2"/>
      <c r="CE143" s="2"/>
      <c r="CF143" s="2">
        <v>0.8</v>
      </c>
      <c r="CG143" s="2"/>
      <c r="CH143" s="2">
        <v>0.1</v>
      </c>
      <c r="CI143" s="2"/>
      <c r="CJ143" s="2"/>
      <c r="CK143" s="2">
        <v>5.5</v>
      </c>
      <c r="CL143" s="2"/>
      <c r="CM143" s="2"/>
      <c r="CN143" s="2"/>
      <c r="CO143" s="2">
        <v>1.5</v>
      </c>
      <c r="CP143" s="2"/>
      <c r="CQ143" s="2"/>
      <c r="CR143" s="2">
        <v>8.4</v>
      </c>
      <c r="CS143" s="2"/>
      <c r="CT143" s="2">
        <v>0.3</v>
      </c>
      <c r="CU143" s="2"/>
      <c r="CV143" s="2"/>
      <c r="CW143" s="2">
        <v>0.2</v>
      </c>
      <c r="CX143" s="2"/>
      <c r="CY143" s="2"/>
      <c r="CZ143" s="2"/>
      <c r="DB143">
        <v>1919</v>
      </c>
      <c r="DC143">
        <v>41.5</v>
      </c>
      <c r="DH143">
        <v>142</v>
      </c>
    </row>
    <row r="144" spans="1:112">
      <c r="A144" s="1">
        <v>41051</v>
      </c>
      <c r="B144" s="2"/>
      <c r="C144" s="2"/>
      <c r="D144" s="2">
        <v>7.7</v>
      </c>
      <c r="E144" s="2">
        <v>2.7</v>
      </c>
      <c r="F144" s="2">
        <v>2.2999999999999998</v>
      </c>
      <c r="G144" s="2"/>
      <c r="H144" s="2">
        <v>2.7</v>
      </c>
      <c r="I144" s="2"/>
      <c r="J144" s="2">
        <v>33.4</v>
      </c>
      <c r="K144" s="2"/>
      <c r="L144" s="2"/>
      <c r="M144" s="2">
        <v>5.3</v>
      </c>
      <c r="N144" s="2"/>
      <c r="O144" s="2"/>
      <c r="P144" s="2">
        <v>12.7</v>
      </c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>
        <v>0.69999999999981799</v>
      </c>
      <c r="AJ144" s="2"/>
      <c r="AK144" s="2"/>
      <c r="AL144" s="2"/>
      <c r="AM144" s="2">
        <v>1</v>
      </c>
      <c r="AN144" s="2">
        <v>0.19999999999981799</v>
      </c>
      <c r="AO144" s="2">
        <v>9.9999999999908995E-2</v>
      </c>
      <c r="AP144" s="2">
        <v>4.5</v>
      </c>
      <c r="AQ144" s="2"/>
      <c r="AR144" s="2"/>
      <c r="AS144" s="2"/>
      <c r="AT144" s="2"/>
      <c r="AU144" s="2"/>
      <c r="AV144" s="2">
        <v>1.79999999999927</v>
      </c>
      <c r="AW144" s="2"/>
      <c r="AX144" s="2"/>
      <c r="AY144" s="2"/>
      <c r="AZ144" s="2"/>
      <c r="BA144" s="2"/>
      <c r="BB144" s="2">
        <v>9.9999999999908995E-2</v>
      </c>
      <c r="BC144" s="2"/>
      <c r="BD144" s="2"/>
      <c r="BE144" s="2"/>
      <c r="BF144" s="2">
        <v>0.5</v>
      </c>
      <c r="BG144" s="2"/>
      <c r="BH144" s="2">
        <v>0</v>
      </c>
      <c r="BI144" s="2">
        <v>1.29999999999927</v>
      </c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>
        <v>0.8</v>
      </c>
      <c r="CA144" s="2">
        <v>0.2</v>
      </c>
      <c r="CB144" s="2">
        <v>1.7</v>
      </c>
      <c r="CC144" s="2"/>
      <c r="CD144" s="2"/>
      <c r="CE144" s="2"/>
      <c r="CF144" s="2"/>
      <c r="CG144" s="2"/>
      <c r="CH144" s="2">
        <v>0.1</v>
      </c>
      <c r="CI144" s="2">
        <v>0.9</v>
      </c>
      <c r="CJ144" s="2"/>
      <c r="CK144" s="2">
        <v>7</v>
      </c>
      <c r="CL144" s="2"/>
      <c r="CM144" s="2"/>
      <c r="CN144" s="2"/>
      <c r="CO144" s="2"/>
      <c r="CP144" s="2"/>
      <c r="CQ144" s="2"/>
      <c r="CR144" s="2">
        <v>0.9</v>
      </c>
      <c r="CS144" s="2"/>
      <c r="CT144" s="2"/>
      <c r="CU144" s="2"/>
      <c r="CV144" s="2"/>
      <c r="CW144" s="2">
        <v>22</v>
      </c>
      <c r="CX144" s="2"/>
      <c r="CY144" s="2"/>
      <c r="CZ144" s="2"/>
      <c r="DB144">
        <v>1919</v>
      </c>
      <c r="DC144">
        <v>33.4</v>
      </c>
      <c r="DH144">
        <v>143</v>
      </c>
    </row>
    <row r="145" spans="1:112">
      <c r="A145" s="1">
        <v>41052</v>
      </c>
      <c r="B145" s="2"/>
      <c r="C145" s="2"/>
      <c r="D145" s="2"/>
      <c r="E145" s="2">
        <v>4.2</v>
      </c>
      <c r="F145" s="2">
        <v>1.3</v>
      </c>
      <c r="G145" s="2"/>
      <c r="H145" s="2"/>
      <c r="I145" s="2"/>
      <c r="J145" s="2"/>
      <c r="K145" s="2"/>
      <c r="L145" s="2"/>
      <c r="M145" s="2">
        <v>27.6</v>
      </c>
      <c r="N145" s="2">
        <v>0.2</v>
      </c>
      <c r="O145" s="2">
        <v>0.8</v>
      </c>
      <c r="P145" s="2"/>
      <c r="Q145" s="2"/>
      <c r="R145" s="2"/>
      <c r="S145" s="2"/>
      <c r="T145" s="2">
        <v>0.3</v>
      </c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>
        <v>0.5</v>
      </c>
      <c r="AI145" s="2">
        <v>24.099999999976699</v>
      </c>
      <c r="AJ145" s="2"/>
      <c r="AK145" s="2"/>
      <c r="AL145" s="2"/>
      <c r="AM145" s="2"/>
      <c r="AN145" s="2"/>
      <c r="AO145" s="2"/>
      <c r="AP145" s="2"/>
      <c r="AQ145" s="2">
        <v>1.6999999999989099</v>
      </c>
      <c r="AR145" s="2"/>
      <c r="AS145" s="2"/>
      <c r="AT145" s="2"/>
      <c r="AU145" s="2"/>
      <c r="AV145" s="2">
        <v>8</v>
      </c>
      <c r="AW145" s="2"/>
      <c r="AX145" s="2">
        <v>0.29999999999972699</v>
      </c>
      <c r="AY145" s="2"/>
      <c r="AZ145" s="2">
        <v>0.39999999999963598</v>
      </c>
      <c r="BA145" s="2"/>
      <c r="BB145" s="2">
        <v>1</v>
      </c>
      <c r="BC145" s="2"/>
      <c r="BD145" s="2">
        <v>1.10000000000036</v>
      </c>
      <c r="BE145" s="2"/>
      <c r="BF145" s="2"/>
      <c r="BG145" s="2"/>
      <c r="BH145" s="2"/>
      <c r="BI145" s="2">
        <v>5.4000000000014596</v>
      </c>
      <c r="BJ145" s="2">
        <v>4.5999999999985501</v>
      </c>
      <c r="BK145" s="2"/>
      <c r="BL145" s="2"/>
      <c r="BM145" s="2">
        <v>5.5999999999985501</v>
      </c>
      <c r="BN145" s="2"/>
      <c r="BO145" s="2"/>
      <c r="BP145" s="2">
        <v>0</v>
      </c>
      <c r="BQ145" s="2">
        <v>0.200000000000045</v>
      </c>
      <c r="BR145" s="2"/>
      <c r="BS145" s="2"/>
      <c r="BT145" s="2"/>
      <c r="BU145" s="2"/>
      <c r="BV145" s="2"/>
      <c r="BW145" s="2"/>
      <c r="BX145" s="2">
        <v>0</v>
      </c>
      <c r="BY145" s="2"/>
      <c r="BZ145" s="2"/>
      <c r="CA145" s="2">
        <v>22.7</v>
      </c>
      <c r="CB145" s="2">
        <v>9.3000000000000007</v>
      </c>
      <c r="CC145" s="2"/>
      <c r="CD145" s="2"/>
      <c r="CE145" s="2">
        <v>0.8</v>
      </c>
      <c r="CF145" s="2"/>
      <c r="CG145" s="2"/>
      <c r="CH145" s="2"/>
      <c r="CI145" s="2"/>
      <c r="CJ145" s="2">
        <v>17.8</v>
      </c>
      <c r="CK145" s="2">
        <v>3.5</v>
      </c>
      <c r="CL145" s="2"/>
      <c r="CM145" s="2">
        <v>4.5</v>
      </c>
      <c r="CN145" s="2"/>
      <c r="CO145" s="2"/>
      <c r="CP145" s="2"/>
      <c r="CQ145" s="2"/>
      <c r="CR145" s="2"/>
      <c r="CS145" s="2"/>
      <c r="CT145" s="2"/>
      <c r="CU145" s="2"/>
      <c r="CV145" s="2"/>
      <c r="CW145" s="2">
        <v>0.1</v>
      </c>
      <c r="CX145" s="2">
        <v>0.1</v>
      </c>
      <c r="CY145" s="2"/>
      <c r="CZ145" s="2">
        <v>0.3</v>
      </c>
      <c r="DB145">
        <v>1922</v>
      </c>
      <c r="DC145">
        <v>27.6</v>
      </c>
      <c r="DH145">
        <v>144</v>
      </c>
    </row>
    <row r="146" spans="1:112">
      <c r="A146" s="1">
        <v>41053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>
        <v>4.5999999999999996</v>
      </c>
      <c r="N146" s="2"/>
      <c r="O146" s="2"/>
      <c r="P146" s="2"/>
      <c r="Q146" s="2"/>
      <c r="R146" s="2">
        <v>22.2</v>
      </c>
      <c r="S146" s="2">
        <v>5.7</v>
      </c>
      <c r="T146" s="2">
        <v>0.6</v>
      </c>
      <c r="U146" s="2"/>
      <c r="V146" s="2">
        <v>5.0999999999999996</v>
      </c>
      <c r="W146" s="2">
        <v>0.2</v>
      </c>
      <c r="X146" s="2"/>
      <c r="Y146" s="2"/>
      <c r="Z146" s="2"/>
      <c r="AA146" s="2">
        <v>0.69999999999981799</v>
      </c>
      <c r="AB146" s="2">
        <v>0</v>
      </c>
      <c r="AC146" s="2">
        <v>0.5</v>
      </c>
      <c r="AD146" s="2"/>
      <c r="AE146" s="2"/>
      <c r="AF146" s="2">
        <v>1.5</v>
      </c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>
        <v>2</v>
      </c>
      <c r="AR146" s="2">
        <v>0.5</v>
      </c>
      <c r="AS146" s="2"/>
      <c r="AT146" s="2"/>
      <c r="AU146" s="2"/>
      <c r="AV146" s="2"/>
      <c r="AW146" s="2"/>
      <c r="AX146" s="2"/>
      <c r="AY146" s="2">
        <v>1</v>
      </c>
      <c r="AZ146" s="2"/>
      <c r="BA146" s="2"/>
      <c r="BB146" s="2">
        <v>2.1999999999970901</v>
      </c>
      <c r="BC146" s="2"/>
      <c r="BD146" s="2"/>
      <c r="BE146" s="2"/>
      <c r="BF146" s="2"/>
      <c r="BG146" s="2"/>
      <c r="BH146" s="2"/>
      <c r="BI146" s="2"/>
      <c r="BJ146" s="2">
        <v>0.100000000000023</v>
      </c>
      <c r="BK146" s="2"/>
      <c r="BL146" s="2">
        <v>1.39999999999964</v>
      </c>
      <c r="BM146" s="2">
        <v>0.100000000000023</v>
      </c>
      <c r="BN146" s="2"/>
      <c r="BO146" s="2">
        <v>1.89999999999964</v>
      </c>
      <c r="BP146" s="2">
        <v>0</v>
      </c>
      <c r="BQ146" s="2"/>
      <c r="BR146" s="2"/>
      <c r="BS146" s="2">
        <v>0.30000000000018201</v>
      </c>
      <c r="BT146" s="2"/>
      <c r="BU146" s="2"/>
      <c r="BV146" s="2"/>
      <c r="BW146" s="2">
        <v>0</v>
      </c>
      <c r="BX146" s="2"/>
      <c r="BY146" s="2">
        <v>0</v>
      </c>
      <c r="BZ146" s="2"/>
      <c r="CA146" s="2"/>
      <c r="CB146" s="2">
        <v>10.8</v>
      </c>
      <c r="CC146" s="2"/>
      <c r="CD146" s="2">
        <v>0.5</v>
      </c>
      <c r="CE146" s="2"/>
      <c r="CF146" s="2"/>
      <c r="CG146" s="2"/>
      <c r="CH146" s="2"/>
      <c r="CI146" s="2"/>
      <c r="CJ146" s="2">
        <v>0.3</v>
      </c>
      <c r="CK146" s="2"/>
      <c r="CL146" s="2"/>
      <c r="CM146" s="2">
        <v>14.5</v>
      </c>
      <c r="CN146" s="2"/>
      <c r="CO146" s="2"/>
      <c r="CP146" s="2">
        <v>1.2</v>
      </c>
      <c r="CQ146" s="2">
        <v>10.6</v>
      </c>
      <c r="CR146" s="2"/>
      <c r="CS146" s="2"/>
      <c r="CT146" s="2"/>
      <c r="CU146" s="2"/>
      <c r="CV146" s="2"/>
      <c r="CW146" s="2"/>
      <c r="CX146" s="2"/>
      <c r="CY146" s="2">
        <v>0.1</v>
      </c>
      <c r="CZ146" s="2"/>
      <c r="DB146">
        <v>1927</v>
      </c>
      <c r="DC146">
        <v>22.2</v>
      </c>
      <c r="DH146">
        <v>145</v>
      </c>
    </row>
    <row r="147" spans="1:112">
      <c r="A147" s="1">
        <v>41054</v>
      </c>
      <c r="B147" s="2"/>
      <c r="C147" s="2"/>
      <c r="D147" s="2"/>
      <c r="E147" s="2">
        <v>0.6</v>
      </c>
      <c r="F147" s="2">
        <v>0.2</v>
      </c>
      <c r="G147" s="2"/>
      <c r="H147" s="2"/>
      <c r="I147" s="2"/>
      <c r="J147" s="2"/>
      <c r="K147" s="2"/>
      <c r="L147" s="2"/>
      <c r="M147" s="2">
        <v>1.8</v>
      </c>
      <c r="N147" s="2"/>
      <c r="O147" s="2"/>
      <c r="P147" s="2"/>
      <c r="Q147" s="2">
        <v>0.1</v>
      </c>
      <c r="R147" s="2">
        <v>2.2000000000000002</v>
      </c>
      <c r="S147" s="2"/>
      <c r="T147" s="2">
        <v>3.1</v>
      </c>
      <c r="U147" s="2"/>
      <c r="V147" s="2">
        <v>4.7</v>
      </c>
      <c r="W147" s="2"/>
      <c r="X147" s="2"/>
      <c r="Y147" s="2"/>
      <c r="Z147" s="2"/>
      <c r="AA147" s="2"/>
      <c r="AB147" s="2"/>
      <c r="AC147" s="2"/>
      <c r="AD147" s="2">
        <v>0</v>
      </c>
      <c r="AE147" s="2">
        <v>5.3999999999941801</v>
      </c>
      <c r="AF147" s="2">
        <v>8</v>
      </c>
      <c r="AG147" s="2"/>
      <c r="AH147" s="2"/>
      <c r="AI147" s="2"/>
      <c r="AJ147" s="2"/>
      <c r="AK147" s="2">
        <v>0.89999999999963598</v>
      </c>
      <c r="AL147" s="2"/>
      <c r="AM147" s="2"/>
      <c r="AN147" s="2"/>
      <c r="AO147" s="2"/>
      <c r="AP147" s="2"/>
      <c r="AQ147" s="2">
        <v>0.39999999999963598</v>
      </c>
      <c r="AR147" s="2"/>
      <c r="AS147" s="2">
        <v>1.5999999999985499</v>
      </c>
      <c r="AT147" s="2"/>
      <c r="AU147" s="2">
        <v>0.39999999999963598</v>
      </c>
      <c r="AV147" s="2">
        <v>6.1999999999970896</v>
      </c>
      <c r="AW147" s="2">
        <v>0</v>
      </c>
      <c r="AX147" s="2"/>
      <c r="AY147" s="2"/>
      <c r="AZ147" s="2">
        <v>1.5999999999985499</v>
      </c>
      <c r="BA147" s="2"/>
      <c r="BB147" s="2">
        <v>0.19999999999981799</v>
      </c>
      <c r="BC147" s="2"/>
      <c r="BD147" s="2"/>
      <c r="BE147" s="2"/>
      <c r="BF147" s="2">
        <v>1.39999999999964</v>
      </c>
      <c r="BG147" s="2"/>
      <c r="BH147" s="2"/>
      <c r="BI147" s="2">
        <v>16.100000000005799</v>
      </c>
      <c r="BJ147" s="2">
        <v>0</v>
      </c>
      <c r="BK147" s="2"/>
      <c r="BL147" s="2">
        <v>0.5</v>
      </c>
      <c r="BM147" s="2"/>
      <c r="BN147" s="2"/>
      <c r="BO147" s="2">
        <v>1</v>
      </c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>
        <v>0.9</v>
      </c>
      <c r="CA147" s="2">
        <v>0.2</v>
      </c>
      <c r="CB147" s="2">
        <v>0.2</v>
      </c>
      <c r="CC147" s="2"/>
      <c r="CD147" s="2">
        <v>6.5</v>
      </c>
      <c r="CE147" s="2"/>
      <c r="CF147" s="2"/>
      <c r="CG147" s="2"/>
      <c r="CH147" s="2"/>
      <c r="CI147" s="2"/>
      <c r="CJ147" s="2">
        <v>6.4</v>
      </c>
      <c r="CK147" s="2"/>
      <c r="CL147" s="2"/>
      <c r="CM147" s="2">
        <v>15</v>
      </c>
      <c r="CN147" s="2">
        <v>0.5</v>
      </c>
      <c r="CO147" s="2"/>
      <c r="CP147" s="2"/>
      <c r="CQ147" s="2"/>
      <c r="CR147" s="2">
        <v>0</v>
      </c>
      <c r="CS147" s="2"/>
      <c r="CT147" s="2"/>
      <c r="CU147" s="2"/>
      <c r="CV147" s="2"/>
      <c r="CW147" s="2"/>
      <c r="CX147" s="2"/>
      <c r="CY147" s="2">
        <v>10.9</v>
      </c>
      <c r="CZ147" s="2"/>
      <c r="DB147">
        <v>1970</v>
      </c>
      <c r="DC147">
        <v>16.100000000005799</v>
      </c>
      <c r="DH147">
        <v>146</v>
      </c>
    </row>
    <row r="148" spans="1:112">
      <c r="A148" s="1">
        <v>41055</v>
      </c>
      <c r="B148" s="2"/>
      <c r="C148" s="2"/>
      <c r="D148" s="2">
        <v>4</v>
      </c>
      <c r="E148" s="2">
        <v>0.2</v>
      </c>
      <c r="F148" s="2"/>
      <c r="G148" s="2"/>
      <c r="H148" s="2"/>
      <c r="I148" s="2">
        <v>0.4</v>
      </c>
      <c r="J148" s="2"/>
      <c r="K148" s="2">
        <v>15.1</v>
      </c>
      <c r="L148" s="2"/>
      <c r="M148" s="2">
        <v>2</v>
      </c>
      <c r="N148" s="2"/>
      <c r="O148" s="2"/>
      <c r="P148" s="2"/>
      <c r="Q148" s="2"/>
      <c r="R148" s="2">
        <v>8.3000000000000007</v>
      </c>
      <c r="S148" s="2">
        <v>2</v>
      </c>
      <c r="T148" s="2"/>
      <c r="U148" s="2"/>
      <c r="V148" s="2">
        <v>0</v>
      </c>
      <c r="W148" s="2"/>
      <c r="X148" s="2"/>
      <c r="Y148" s="2"/>
      <c r="Z148" s="2"/>
      <c r="AA148" s="2"/>
      <c r="AB148" s="2"/>
      <c r="AC148" s="2">
        <v>0</v>
      </c>
      <c r="AD148" s="2">
        <v>6.8999999999941801</v>
      </c>
      <c r="AE148" s="2">
        <v>9.9999999999908995E-2</v>
      </c>
      <c r="AF148" s="2"/>
      <c r="AG148" s="2"/>
      <c r="AH148" s="2">
        <v>26.5</v>
      </c>
      <c r="AI148" s="2"/>
      <c r="AJ148" s="2"/>
      <c r="AK148" s="2">
        <v>2</v>
      </c>
      <c r="AL148" s="2"/>
      <c r="AM148" s="2"/>
      <c r="AN148" s="2"/>
      <c r="AO148" s="2"/>
      <c r="AP148" s="2"/>
      <c r="AQ148" s="2"/>
      <c r="AR148" s="2">
        <v>0.19999999999981799</v>
      </c>
      <c r="AS148" s="2">
        <v>9.9999999999908995E-2</v>
      </c>
      <c r="AT148" s="2"/>
      <c r="AU148" s="2"/>
      <c r="AV148" s="2"/>
      <c r="AW148" s="2">
        <v>3.0999999999985399</v>
      </c>
      <c r="AX148" s="2"/>
      <c r="AY148" s="2"/>
      <c r="AZ148" s="2">
        <v>1.5</v>
      </c>
      <c r="BA148" s="2"/>
      <c r="BB148" s="2"/>
      <c r="BC148" s="2"/>
      <c r="BD148" s="2"/>
      <c r="BE148" s="2"/>
      <c r="BF148" s="2">
        <v>2.5999999999985399</v>
      </c>
      <c r="BG148" s="2"/>
      <c r="BH148" s="2"/>
      <c r="BI148" s="2">
        <v>0.100000000000023</v>
      </c>
      <c r="BJ148" s="2">
        <v>0</v>
      </c>
      <c r="BK148" s="2"/>
      <c r="BL148" s="2">
        <v>7</v>
      </c>
      <c r="BM148" s="2">
        <v>0.5</v>
      </c>
      <c r="BN148" s="2"/>
      <c r="BO148" s="2"/>
      <c r="BP148" s="2"/>
      <c r="BQ148" s="2">
        <v>1.70000000000073</v>
      </c>
      <c r="BR148" s="2"/>
      <c r="BS148" s="2"/>
      <c r="BT148" s="2"/>
      <c r="BU148" s="2"/>
      <c r="BV148" s="2"/>
      <c r="BW148" s="2">
        <v>0.6</v>
      </c>
      <c r="BX148" s="2"/>
      <c r="BY148" s="2">
        <v>0</v>
      </c>
      <c r="BZ148" s="2"/>
      <c r="CA148" s="2">
        <v>1.7</v>
      </c>
      <c r="CB148" s="2">
        <v>3.6</v>
      </c>
      <c r="CC148" s="2"/>
      <c r="CD148" s="2">
        <v>0.1</v>
      </c>
      <c r="CE148" s="2">
        <v>5.6</v>
      </c>
      <c r="CF148" s="2"/>
      <c r="CG148" s="2"/>
      <c r="CH148" s="2"/>
      <c r="CI148" s="2"/>
      <c r="CJ148" s="2"/>
      <c r="CK148" s="2">
        <v>7</v>
      </c>
      <c r="CL148" s="2"/>
      <c r="CM148" s="2"/>
      <c r="CN148" s="2"/>
      <c r="CO148" s="2">
        <v>2.8</v>
      </c>
      <c r="CP148" s="2"/>
      <c r="CQ148" s="2"/>
      <c r="CR148" s="2">
        <v>0.5</v>
      </c>
      <c r="CS148" s="2">
        <v>0.9</v>
      </c>
      <c r="CT148" s="2">
        <v>0.5</v>
      </c>
      <c r="CU148" s="2"/>
      <c r="CV148" s="2"/>
      <c r="CW148" s="2"/>
      <c r="CX148" s="2"/>
      <c r="CY148" s="2"/>
      <c r="CZ148" s="2"/>
      <c r="DB148">
        <v>1943</v>
      </c>
      <c r="DC148">
        <v>26.5</v>
      </c>
      <c r="DH148">
        <v>147</v>
      </c>
    </row>
    <row r="149" spans="1:112">
      <c r="A149" s="1">
        <v>41056</v>
      </c>
      <c r="B149" s="2"/>
      <c r="C149" s="2"/>
      <c r="D149" s="2">
        <v>0.2</v>
      </c>
      <c r="E149" s="2"/>
      <c r="F149" s="2"/>
      <c r="G149" s="2"/>
      <c r="H149" s="2"/>
      <c r="I149" s="2"/>
      <c r="J149" s="2"/>
      <c r="K149" s="2">
        <v>0.6</v>
      </c>
      <c r="L149" s="2"/>
      <c r="M149" s="2">
        <v>14.9</v>
      </c>
      <c r="N149" s="2"/>
      <c r="O149" s="2"/>
      <c r="P149" s="2"/>
      <c r="Q149" s="2"/>
      <c r="R149" s="2"/>
      <c r="S149" s="2">
        <v>8</v>
      </c>
      <c r="T149" s="2"/>
      <c r="U149" s="2"/>
      <c r="V149" s="2"/>
      <c r="W149" s="2"/>
      <c r="X149" s="2">
        <v>7.6</v>
      </c>
      <c r="Y149" s="2"/>
      <c r="Z149" s="2"/>
      <c r="AA149" s="2">
        <v>1.0999999999985499</v>
      </c>
      <c r="AB149" s="2"/>
      <c r="AC149" s="2"/>
      <c r="AD149" s="2">
        <v>0.59999999999945397</v>
      </c>
      <c r="AE149" s="2"/>
      <c r="AF149" s="2"/>
      <c r="AG149" s="2"/>
      <c r="AH149" s="2"/>
      <c r="AI149" s="2">
        <v>10.1999999999971</v>
      </c>
      <c r="AJ149" s="2"/>
      <c r="AK149" s="2">
        <v>4.79999999999563</v>
      </c>
      <c r="AL149" s="2"/>
      <c r="AM149" s="2">
        <v>0.29999999999972699</v>
      </c>
      <c r="AN149" s="2"/>
      <c r="AO149" s="2"/>
      <c r="AP149" s="2"/>
      <c r="AQ149" s="2"/>
      <c r="AR149" s="2"/>
      <c r="AS149" s="2">
        <v>9.9999999999908995E-2</v>
      </c>
      <c r="AT149" s="2"/>
      <c r="AU149" s="2"/>
      <c r="AV149" s="2"/>
      <c r="AW149" s="2">
        <v>0.29999999999972699</v>
      </c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>
        <v>0.200000000000045</v>
      </c>
      <c r="BK149" s="2"/>
      <c r="BL149" s="2">
        <v>6.6999999999970896</v>
      </c>
      <c r="BM149" s="2"/>
      <c r="BN149" s="2"/>
      <c r="BO149" s="2"/>
      <c r="BP149" s="2"/>
      <c r="BQ149" s="2"/>
      <c r="BR149" s="2"/>
      <c r="BS149" s="2"/>
      <c r="BT149" s="2"/>
      <c r="BU149" s="2">
        <v>0.100000000000023</v>
      </c>
      <c r="BV149" s="2"/>
      <c r="BW149" s="2"/>
      <c r="BX149" s="2"/>
      <c r="BY149" s="2"/>
      <c r="BZ149" s="2"/>
      <c r="CA149" s="2"/>
      <c r="CB149" s="2">
        <v>0.4</v>
      </c>
      <c r="CC149" s="2"/>
      <c r="CD149" s="2"/>
      <c r="CE149" s="2">
        <v>27</v>
      </c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>
        <v>0.1</v>
      </c>
      <c r="CQ149" s="2"/>
      <c r="CR149" s="2"/>
      <c r="CS149" s="2"/>
      <c r="CT149" s="2"/>
      <c r="CU149" s="2"/>
      <c r="CV149" s="2"/>
      <c r="CW149" s="2"/>
      <c r="CX149" s="2"/>
      <c r="CY149" s="2">
        <v>2.5</v>
      </c>
      <c r="CZ149" s="2"/>
      <c r="DB149">
        <v>1992</v>
      </c>
      <c r="DC149">
        <v>27</v>
      </c>
      <c r="DH149">
        <v>148</v>
      </c>
    </row>
    <row r="150" spans="1:112">
      <c r="A150" s="1">
        <v>41057</v>
      </c>
      <c r="B150" s="2"/>
      <c r="C150" s="2"/>
      <c r="D150" s="2">
        <v>0.5</v>
      </c>
      <c r="E150" s="2">
        <v>0.2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>
        <v>1.5</v>
      </c>
      <c r="Q150" s="2"/>
      <c r="R150" s="2"/>
      <c r="S150" s="2">
        <v>18</v>
      </c>
      <c r="T150" s="2"/>
      <c r="U150" s="2"/>
      <c r="V150" s="2">
        <v>24.5</v>
      </c>
      <c r="W150" s="2"/>
      <c r="X150" s="2">
        <v>9.5</v>
      </c>
      <c r="Y150" s="2">
        <v>4.8999999999941801</v>
      </c>
      <c r="Z150" s="2"/>
      <c r="AA150" s="2"/>
      <c r="AB150" s="2"/>
      <c r="AC150" s="2"/>
      <c r="AD150" s="2"/>
      <c r="AE150" s="2">
        <v>1.5</v>
      </c>
      <c r="AF150" s="2"/>
      <c r="AG150" s="2"/>
      <c r="AH150" s="2"/>
      <c r="AI150" s="2">
        <v>11.399999999994201</v>
      </c>
      <c r="AJ150" s="2"/>
      <c r="AK150" s="2">
        <v>7.5</v>
      </c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>
        <v>9.9999999999908995E-2</v>
      </c>
      <c r="AX150" s="2">
        <v>1.5999999999985499</v>
      </c>
      <c r="AY150" s="2">
        <v>2.5999999999985399</v>
      </c>
      <c r="AZ150" s="2"/>
      <c r="BA150" s="2"/>
      <c r="BB150" s="2"/>
      <c r="BC150" s="2"/>
      <c r="BD150" s="2"/>
      <c r="BE150" s="2"/>
      <c r="BF150" s="2"/>
      <c r="BG150" s="2">
        <v>4.5</v>
      </c>
      <c r="BH150" s="2"/>
      <c r="BI150" s="2">
        <v>0.100000000000023</v>
      </c>
      <c r="BJ150" s="2">
        <v>0.100000000000023</v>
      </c>
      <c r="BK150" s="2"/>
      <c r="BL150" s="2">
        <v>3.5</v>
      </c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>
        <v>2.2000000000000002</v>
      </c>
      <c r="CC150" s="2"/>
      <c r="CD150" s="2">
        <v>24</v>
      </c>
      <c r="CE150" s="2">
        <v>0.2</v>
      </c>
      <c r="CF150" s="2"/>
      <c r="CG150" s="2"/>
      <c r="CH150" s="2"/>
      <c r="CI150" s="2"/>
      <c r="CJ150" s="2"/>
      <c r="CK150" s="2">
        <v>0.2</v>
      </c>
      <c r="CL150" s="2"/>
      <c r="CM150" s="2"/>
      <c r="CN150" s="2"/>
      <c r="CO150" s="2"/>
      <c r="CP150" s="2"/>
      <c r="CQ150" s="2"/>
      <c r="CR150" s="2"/>
      <c r="CS150" s="2"/>
      <c r="CT150" s="2">
        <v>2.5</v>
      </c>
      <c r="CU150" s="2"/>
      <c r="CV150" s="2"/>
      <c r="CW150" s="2">
        <v>0.1</v>
      </c>
      <c r="CX150" s="2">
        <v>0.9</v>
      </c>
      <c r="CY150" s="2">
        <v>3.2</v>
      </c>
      <c r="CZ150" s="2"/>
      <c r="DB150">
        <v>1931</v>
      </c>
      <c r="DC150">
        <v>24.5</v>
      </c>
      <c r="DH150">
        <v>149</v>
      </c>
    </row>
    <row r="151" spans="1:112">
      <c r="A151" s="1">
        <v>41058</v>
      </c>
      <c r="B151" s="2"/>
      <c r="C151" s="2"/>
      <c r="D151" s="2">
        <v>4.9000000000000004</v>
      </c>
      <c r="E151" s="2"/>
      <c r="F151" s="2"/>
      <c r="G151" s="2">
        <v>4</v>
      </c>
      <c r="H151" s="2"/>
      <c r="I151" s="2"/>
      <c r="J151" s="2"/>
      <c r="K151" s="2"/>
      <c r="L151" s="2"/>
      <c r="M151" s="2">
        <v>0.4</v>
      </c>
      <c r="N151" s="2"/>
      <c r="O151" s="2"/>
      <c r="P151" s="2">
        <v>8.6999999999999993</v>
      </c>
      <c r="Q151" s="2"/>
      <c r="R151" s="2"/>
      <c r="S151" s="2">
        <v>10.1</v>
      </c>
      <c r="T151" s="2">
        <v>0.4</v>
      </c>
      <c r="U151" s="2"/>
      <c r="V151" s="2"/>
      <c r="W151" s="2"/>
      <c r="X151" s="2">
        <v>0.9</v>
      </c>
      <c r="Y151" s="2">
        <v>5.8999999999941801</v>
      </c>
      <c r="Z151" s="2"/>
      <c r="AA151" s="2"/>
      <c r="AB151" s="2"/>
      <c r="AC151" s="2"/>
      <c r="AD151" s="2">
        <v>0.19999999999981799</v>
      </c>
      <c r="AE151" s="2"/>
      <c r="AF151" s="2"/>
      <c r="AG151" s="2"/>
      <c r="AH151" s="2"/>
      <c r="AI151" s="2">
        <v>18.699999999982499</v>
      </c>
      <c r="AJ151" s="2"/>
      <c r="AK151" s="2">
        <v>18.399999999994201</v>
      </c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>
        <v>0.5</v>
      </c>
      <c r="AX151" s="2"/>
      <c r="AY151" s="2">
        <v>5.3999999999941801</v>
      </c>
      <c r="AZ151" s="2">
        <v>0.59999999999945397</v>
      </c>
      <c r="BA151" s="2"/>
      <c r="BB151" s="2"/>
      <c r="BC151" s="2"/>
      <c r="BD151" s="2"/>
      <c r="BE151" s="2"/>
      <c r="BF151" s="2">
        <v>4.4000000000014596</v>
      </c>
      <c r="BG151" s="2">
        <v>1.20000000000073</v>
      </c>
      <c r="BH151" s="2"/>
      <c r="BI151" s="2">
        <v>0</v>
      </c>
      <c r="BJ151" s="2">
        <v>3</v>
      </c>
      <c r="BK151" s="2">
        <v>1.20000000000073</v>
      </c>
      <c r="BL151" s="2">
        <v>0.69999999999981799</v>
      </c>
      <c r="BM151" s="2"/>
      <c r="BN151" s="2">
        <v>0</v>
      </c>
      <c r="BO151" s="2"/>
      <c r="BP151" s="2"/>
      <c r="BQ151" s="2"/>
      <c r="BR151" s="2"/>
      <c r="BS151" s="2"/>
      <c r="BT151" s="2"/>
      <c r="BU151" s="2"/>
      <c r="BV151" s="2">
        <v>4.0999999999999996</v>
      </c>
      <c r="BW151" s="2"/>
      <c r="BX151" s="2"/>
      <c r="BY151" s="2"/>
      <c r="BZ151" s="2"/>
      <c r="CA151" s="2"/>
      <c r="CB151" s="2">
        <v>0.1</v>
      </c>
      <c r="CC151" s="2"/>
      <c r="CD151" s="2">
        <v>8</v>
      </c>
      <c r="CE151" s="2"/>
      <c r="CF151" s="2"/>
      <c r="CG151" s="2"/>
      <c r="CH151" s="2"/>
      <c r="CI151" s="2">
        <v>3.5</v>
      </c>
      <c r="CJ151" s="2">
        <v>1.8</v>
      </c>
      <c r="CK151" s="2"/>
      <c r="CL151" s="2"/>
      <c r="CM151" s="2"/>
      <c r="CN151" s="2">
        <v>6</v>
      </c>
      <c r="CO151" s="2">
        <v>4.8</v>
      </c>
      <c r="CP151" s="2">
        <v>0</v>
      </c>
      <c r="CQ151" s="2">
        <v>0</v>
      </c>
      <c r="CR151" s="2"/>
      <c r="CS151" s="2"/>
      <c r="CT151" s="2"/>
      <c r="CU151" s="2"/>
      <c r="CV151" s="2"/>
      <c r="CW151" s="2"/>
      <c r="CX151" s="2"/>
      <c r="CY151" s="2">
        <v>0.5</v>
      </c>
      <c r="CZ151" s="2"/>
      <c r="DB151">
        <v>1944</v>
      </c>
      <c r="DC151">
        <v>18.699999999982499</v>
      </c>
      <c r="DH151">
        <v>150</v>
      </c>
    </row>
    <row r="152" spans="1:112">
      <c r="A152" s="1">
        <v>41059</v>
      </c>
      <c r="B152" s="2"/>
      <c r="C152" s="2"/>
      <c r="D152" s="2">
        <v>0.6</v>
      </c>
      <c r="E152" s="2">
        <v>0.5</v>
      </c>
      <c r="F152" s="2">
        <v>1</v>
      </c>
      <c r="G152" s="2">
        <v>1.9</v>
      </c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>
        <v>6.4</v>
      </c>
      <c r="T152" s="2">
        <v>2</v>
      </c>
      <c r="U152" s="2"/>
      <c r="V152" s="2"/>
      <c r="W152" s="2"/>
      <c r="X152" s="2">
        <v>1.5</v>
      </c>
      <c r="Y152" s="2">
        <v>0.19999999999981799</v>
      </c>
      <c r="Z152" s="2"/>
      <c r="AA152" s="2"/>
      <c r="AB152" s="2">
        <v>2.0999999999985399</v>
      </c>
      <c r="AC152" s="2"/>
      <c r="AD152" s="2"/>
      <c r="AE152" s="2"/>
      <c r="AF152" s="2"/>
      <c r="AG152" s="2"/>
      <c r="AH152" s="2">
        <v>5.5</v>
      </c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>
        <v>3.2999999999992702</v>
      </c>
      <c r="AZ152" s="2">
        <v>4.6999999999970896</v>
      </c>
      <c r="BA152" s="2"/>
      <c r="BB152" s="2"/>
      <c r="BC152" s="2"/>
      <c r="BD152" s="2"/>
      <c r="BE152" s="2"/>
      <c r="BF152" s="2"/>
      <c r="BG152" s="2"/>
      <c r="BH152" s="2"/>
      <c r="BI152" s="2">
        <v>0.100000000000023</v>
      </c>
      <c r="BJ152" s="2">
        <v>2.0999999999985399</v>
      </c>
      <c r="BK152" s="2">
        <v>1.29999999999927</v>
      </c>
      <c r="BL152" s="2">
        <v>0.100000000000023</v>
      </c>
      <c r="BM152" s="2">
        <v>0.100000000000023</v>
      </c>
      <c r="BN152" s="2"/>
      <c r="BO152" s="2"/>
      <c r="BP152" s="2"/>
      <c r="BQ152" s="2">
        <v>0</v>
      </c>
      <c r="BR152" s="2"/>
      <c r="BS152" s="2"/>
      <c r="BT152" s="2"/>
      <c r="BU152" s="2">
        <v>0.400000000000091</v>
      </c>
      <c r="BV152" s="2">
        <v>0.6</v>
      </c>
      <c r="BW152" s="2"/>
      <c r="BX152" s="2"/>
      <c r="BY152" s="2"/>
      <c r="BZ152" s="2">
        <v>5.5</v>
      </c>
      <c r="CA152" s="2">
        <v>1.5</v>
      </c>
      <c r="CB152" s="2">
        <v>0.3</v>
      </c>
      <c r="CC152" s="2">
        <v>2.4</v>
      </c>
      <c r="CD152" s="2">
        <v>0.2</v>
      </c>
      <c r="CE152" s="2">
        <v>0.3</v>
      </c>
      <c r="CF152" s="2"/>
      <c r="CG152" s="2"/>
      <c r="CH152" s="2"/>
      <c r="CI152" s="2">
        <v>3</v>
      </c>
      <c r="CJ152" s="2">
        <v>1.2</v>
      </c>
      <c r="CK152" s="2"/>
      <c r="CL152" s="2"/>
      <c r="CM152" s="2"/>
      <c r="CN152" s="2">
        <v>0.5</v>
      </c>
      <c r="CO152" s="2">
        <v>5.7</v>
      </c>
      <c r="CP152" s="2"/>
      <c r="CQ152" s="2">
        <v>1.5</v>
      </c>
      <c r="CR152" s="2"/>
      <c r="CS152" s="2"/>
      <c r="CT152" s="2"/>
      <c r="CU152" s="2"/>
      <c r="CV152" s="2"/>
      <c r="CW152" s="2"/>
      <c r="CX152" s="2"/>
      <c r="CY152" s="2"/>
      <c r="CZ152" s="2"/>
      <c r="DB152">
        <v>1928</v>
      </c>
      <c r="DC152">
        <v>6.4</v>
      </c>
      <c r="DH152">
        <v>151</v>
      </c>
    </row>
    <row r="153" spans="1:112">
      <c r="A153" s="1">
        <v>41060</v>
      </c>
      <c r="B153" s="2"/>
      <c r="C153" s="2"/>
      <c r="D153" s="2"/>
      <c r="E153" s="2">
        <v>0.7</v>
      </c>
      <c r="F153" s="2">
        <v>0.4</v>
      </c>
      <c r="G153" s="2">
        <v>10.1</v>
      </c>
      <c r="H153" s="2"/>
      <c r="I153" s="2"/>
      <c r="J153" s="2">
        <v>14</v>
      </c>
      <c r="K153" s="2"/>
      <c r="L153" s="2">
        <v>8.9</v>
      </c>
      <c r="M153" s="2">
        <v>1.8</v>
      </c>
      <c r="N153" s="2"/>
      <c r="O153" s="2"/>
      <c r="P153" s="2">
        <v>0.7</v>
      </c>
      <c r="Q153" s="2"/>
      <c r="R153" s="2"/>
      <c r="S153" s="2"/>
      <c r="T153" s="2"/>
      <c r="U153" s="2"/>
      <c r="V153" s="2"/>
      <c r="W153" s="2"/>
      <c r="X153" s="2">
        <v>0.2</v>
      </c>
      <c r="Y153" s="2"/>
      <c r="Z153" s="2"/>
      <c r="AA153" s="2"/>
      <c r="AB153" s="2"/>
      <c r="AC153" s="2"/>
      <c r="AD153" s="2"/>
      <c r="AE153" s="2"/>
      <c r="AF153" s="2"/>
      <c r="AG153" s="2"/>
      <c r="AH153" s="2">
        <v>6.1999999999970896</v>
      </c>
      <c r="AI153" s="2"/>
      <c r="AJ153" s="2"/>
      <c r="AK153" s="2"/>
      <c r="AL153" s="2"/>
      <c r="AM153" s="2">
        <v>9.6999999999970896</v>
      </c>
      <c r="AN153" s="2"/>
      <c r="AO153" s="2"/>
      <c r="AP153" s="2"/>
      <c r="AQ153" s="2"/>
      <c r="AR153" s="2">
        <v>13.1999999999971</v>
      </c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>
        <v>0</v>
      </c>
      <c r="BJ153" s="2">
        <v>0</v>
      </c>
      <c r="BK153" s="2"/>
      <c r="BL153" s="2">
        <v>3.4000000000014601</v>
      </c>
      <c r="BM153" s="2"/>
      <c r="BN153" s="2"/>
      <c r="BO153" s="2"/>
      <c r="BP153" s="2"/>
      <c r="BQ153" s="2">
        <v>0.30000000000018201</v>
      </c>
      <c r="BR153" s="2"/>
      <c r="BS153" s="2"/>
      <c r="BT153" s="2"/>
      <c r="BU153" s="2"/>
      <c r="BV153" s="2">
        <v>2.7</v>
      </c>
      <c r="BW153" s="2">
        <v>0.2</v>
      </c>
      <c r="BX153" s="2"/>
      <c r="BY153" s="2"/>
      <c r="BZ153" s="2">
        <v>4.4000000000000004</v>
      </c>
      <c r="CA153" s="2"/>
      <c r="CB153" s="2"/>
      <c r="CC153" s="2">
        <v>15.6</v>
      </c>
      <c r="CD153" s="2"/>
      <c r="CE153" s="2"/>
      <c r="CF153" s="2"/>
      <c r="CG153" s="2">
        <v>1.2</v>
      </c>
      <c r="CH153" s="2"/>
      <c r="CI153" s="2"/>
      <c r="CJ153" s="2">
        <v>2.4</v>
      </c>
      <c r="CK153" s="2"/>
      <c r="CL153" s="2"/>
      <c r="CM153" s="2"/>
      <c r="CN153" s="2"/>
      <c r="CO153" s="2">
        <v>0.5</v>
      </c>
      <c r="CP153" s="2"/>
      <c r="CQ153" s="2">
        <v>15.8</v>
      </c>
      <c r="CR153" s="2"/>
      <c r="CS153" s="2"/>
      <c r="CT153" s="2">
        <v>0.2</v>
      </c>
      <c r="CU153" s="2"/>
      <c r="CV153" s="2"/>
      <c r="CW153" s="2"/>
      <c r="CX153" s="2"/>
      <c r="CY153" s="2"/>
      <c r="CZ153" s="2"/>
      <c r="DB153">
        <v>2004</v>
      </c>
      <c r="DC153">
        <v>15.8</v>
      </c>
      <c r="DH153">
        <v>152</v>
      </c>
    </row>
    <row r="154" spans="1:112">
      <c r="A154" s="1">
        <v>41061</v>
      </c>
      <c r="B154" s="2"/>
      <c r="C154" s="2"/>
      <c r="D154" s="2"/>
      <c r="E154" s="2">
        <v>5.9</v>
      </c>
      <c r="F154" s="2">
        <v>0.1</v>
      </c>
      <c r="G154" s="2">
        <v>0.2</v>
      </c>
      <c r="H154" s="2"/>
      <c r="I154" s="2"/>
      <c r="J154" s="2"/>
      <c r="K154" s="2"/>
      <c r="L154" s="2">
        <v>0.1</v>
      </c>
      <c r="M154" s="2"/>
      <c r="N154" s="2"/>
      <c r="O154" s="2"/>
      <c r="P154" s="2"/>
      <c r="Q154" s="2"/>
      <c r="R154" s="2"/>
      <c r="S154" s="2"/>
      <c r="T154" s="2"/>
      <c r="U154" s="2">
        <v>0</v>
      </c>
      <c r="V154" s="2"/>
      <c r="W154" s="2"/>
      <c r="X154" s="2"/>
      <c r="Y154" s="2"/>
      <c r="Z154" s="2"/>
      <c r="AA154" s="2"/>
      <c r="AB154" s="2"/>
      <c r="AC154" s="2"/>
      <c r="AD154" s="2">
        <v>4.2999999999956398</v>
      </c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>
        <v>0.59999999999945397</v>
      </c>
      <c r="AQ154" s="2"/>
      <c r="AR154" s="2">
        <v>8.3999999999941792</v>
      </c>
      <c r="AS154" s="2"/>
      <c r="AT154" s="2"/>
      <c r="AU154" s="2">
        <v>2</v>
      </c>
      <c r="AV154" s="2"/>
      <c r="AW154" s="2">
        <v>0.69999999999981799</v>
      </c>
      <c r="AX154" s="2"/>
      <c r="AY154" s="2"/>
      <c r="AZ154" s="2"/>
      <c r="BA154" s="2"/>
      <c r="BB154" s="2"/>
      <c r="BC154" s="2"/>
      <c r="BD154" s="2"/>
      <c r="BE154" s="2"/>
      <c r="BF154" s="2">
        <v>1.29999999999927</v>
      </c>
      <c r="BG154" s="2"/>
      <c r="BH154" s="2"/>
      <c r="BI154" s="2">
        <v>5.1999999999970896</v>
      </c>
      <c r="BJ154" s="2">
        <v>0.100000000000023</v>
      </c>
      <c r="BK154" s="2">
        <v>0</v>
      </c>
      <c r="BL154" s="2">
        <v>0.100000000000023</v>
      </c>
      <c r="BM154" s="2"/>
      <c r="BN154" s="2"/>
      <c r="BO154" s="2">
        <v>9</v>
      </c>
      <c r="BP154" s="2"/>
      <c r="BQ154" s="2">
        <v>0</v>
      </c>
      <c r="BR154" s="2">
        <v>0.5</v>
      </c>
      <c r="BS154" s="2">
        <v>0.30000000000018201</v>
      </c>
      <c r="BT154" s="2"/>
      <c r="BU154" s="2">
        <v>0.80000000000018201</v>
      </c>
      <c r="BV154" s="2"/>
      <c r="BW154" s="2">
        <v>10.6999999999971</v>
      </c>
      <c r="BX154" s="2"/>
      <c r="BY154" s="2"/>
      <c r="BZ154" s="2">
        <v>0.2</v>
      </c>
      <c r="CA154" s="2">
        <v>0</v>
      </c>
      <c r="CB154" s="2">
        <v>3.1</v>
      </c>
      <c r="CC154" s="2">
        <v>48</v>
      </c>
      <c r="CD154" s="2"/>
      <c r="CE154" s="2">
        <v>0.4</v>
      </c>
      <c r="CF154" s="2">
        <v>1.6</v>
      </c>
      <c r="CG154" s="2"/>
      <c r="CH154" s="2"/>
      <c r="CI154" s="2"/>
      <c r="CJ154" s="2"/>
      <c r="CK154" s="2"/>
      <c r="CL154" s="2">
        <v>4.4000000000000004</v>
      </c>
      <c r="CM154" s="2">
        <v>14.5</v>
      </c>
      <c r="CN154" s="2"/>
      <c r="CO154" s="2">
        <v>1.2</v>
      </c>
      <c r="CP154" s="2"/>
      <c r="CQ154" s="2">
        <v>0.1</v>
      </c>
      <c r="CR154" s="2">
        <v>3.7</v>
      </c>
      <c r="CS154" s="2"/>
      <c r="CT154" s="2"/>
      <c r="CU154" s="2"/>
      <c r="CV154" s="2"/>
      <c r="CW154" s="2"/>
      <c r="CX154" s="2"/>
      <c r="CY154" s="2"/>
      <c r="CZ154" s="2">
        <v>1</v>
      </c>
      <c r="DB154">
        <v>1990</v>
      </c>
      <c r="DC154">
        <v>48</v>
      </c>
      <c r="DH154">
        <v>153</v>
      </c>
    </row>
    <row r="155" spans="1:112">
      <c r="A155" s="1">
        <v>41062</v>
      </c>
      <c r="B155" s="2"/>
      <c r="C155" s="2"/>
      <c r="D155" s="2"/>
      <c r="E155" s="2">
        <v>13.6</v>
      </c>
      <c r="F155" s="2"/>
      <c r="G155" s="2"/>
      <c r="H155" s="2"/>
      <c r="I155" s="2">
        <v>5.6</v>
      </c>
      <c r="J155" s="2"/>
      <c r="K155" s="2"/>
      <c r="L155" s="2"/>
      <c r="M155" s="2"/>
      <c r="N155" s="2"/>
      <c r="O155" s="2"/>
      <c r="P155" s="2">
        <v>0.4</v>
      </c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>
        <v>4.1999999999970896</v>
      </c>
      <c r="AE155" s="2"/>
      <c r="AF155" s="2"/>
      <c r="AG155" s="2"/>
      <c r="AH155" s="2"/>
      <c r="AI155" s="2"/>
      <c r="AJ155" s="2"/>
      <c r="AK155" s="2"/>
      <c r="AL155" s="2"/>
      <c r="AM155" s="2">
        <v>5.5</v>
      </c>
      <c r="AN155" s="2"/>
      <c r="AO155" s="2"/>
      <c r="AP155" s="2"/>
      <c r="AQ155" s="2"/>
      <c r="AR155" s="2"/>
      <c r="AS155" s="2"/>
      <c r="AT155" s="2">
        <v>1.39999999999964</v>
      </c>
      <c r="AU155" s="2">
        <v>5.1999999999970896</v>
      </c>
      <c r="AV155" s="2">
        <v>0.5</v>
      </c>
      <c r="AW155" s="2"/>
      <c r="AX155" s="2"/>
      <c r="AY155" s="2"/>
      <c r="AZ155" s="2"/>
      <c r="BA155" s="2"/>
      <c r="BB155" s="2"/>
      <c r="BC155" s="2"/>
      <c r="BD155" s="2"/>
      <c r="BE155" s="2">
        <v>0.30000000000018201</v>
      </c>
      <c r="BF155" s="2">
        <v>8.1999999999970896</v>
      </c>
      <c r="BG155" s="2"/>
      <c r="BH155" s="2"/>
      <c r="BI155" s="2">
        <v>2.2000000000007298</v>
      </c>
      <c r="BJ155" s="2">
        <v>10.1999999999971</v>
      </c>
      <c r="BK155" s="2"/>
      <c r="BL155" s="2"/>
      <c r="BM155" s="2"/>
      <c r="BN155" s="2"/>
      <c r="BO155" s="2"/>
      <c r="BP155" s="2"/>
      <c r="BQ155" s="2"/>
      <c r="BR155" s="2"/>
      <c r="BS155" s="2">
        <v>2.4000000000014601</v>
      </c>
      <c r="BT155" s="2"/>
      <c r="BU155" s="2">
        <v>0.100000000000023</v>
      </c>
      <c r="BV155" s="2">
        <v>12.8</v>
      </c>
      <c r="BW155" s="2">
        <v>1.89999999999964</v>
      </c>
      <c r="BX155" s="2">
        <v>1.9</v>
      </c>
      <c r="BY155" s="2">
        <v>3.6</v>
      </c>
      <c r="BZ155" s="2"/>
      <c r="CA155" s="2">
        <v>2.2000000000000002</v>
      </c>
      <c r="CB155" s="2">
        <v>2.2999999999999998</v>
      </c>
      <c r="CC155" s="2">
        <v>5.4</v>
      </c>
      <c r="CD155" s="2"/>
      <c r="CE155" s="2"/>
      <c r="CF155" s="2"/>
      <c r="CG155" s="2"/>
      <c r="CH155" s="2"/>
      <c r="CI155" s="2"/>
      <c r="CJ155" s="2"/>
      <c r="CK155" s="2"/>
      <c r="CL155" s="2">
        <v>24</v>
      </c>
      <c r="CM155" s="2">
        <v>5.2</v>
      </c>
      <c r="CN155" s="2"/>
      <c r="CO155" s="2"/>
      <c r="CP155" s="2"/>
      <c r="CQ155" s="2">
        <v>0.1</v>
      </c>
      <c r="CR155" s="2"/>
      <c r="CS155" s="2"/>
      <c r="CT155" s="2"/>
      <c r="CU155" s="2"/>
      <c r="CV155" s="2"/>
      <c r="CW155" s="2"/>
      <c r="CX155" s="2"/>
      <c r="CY155" s="2"/>
      <c r="CZ155" s="2">
        <v>2.2999999999999998</v>
      </c>
      <c r="DB155">
        <v>1999</v>
      </c>
      <c r="DC155">
        <v>24</v>
      </c>
      <c r="DH155">
        <v>154</v>
      </c>
    </row>
    <row r="156" spans="1:112">
      <c r="A156" s="1">
        <v>41063</v>
      </c>
      <c r="B156" s="2"/>
      <c r="C156" s="2"/>
      <c r="D156" s="2"/>
      <c r="E156" s="2"/>
      <c r="F156" s="2"/>
      <c r="G156" s="2">
        <v>1.9</v>
      </c>
      <c r="H156" s="2"/>
      <c r="I156" s="2"/>
      <c r="J156" s="2">
        <v>10.3</v>
      </c>
      <c r="K156" s="2"/>
      <c r="L156" s="2"/>
      <c r="M156" s="2"/>
      <c r="N156" s="2"/>
      <c r="O156" s="2">
        <v>2.6</v>
      </c>
      <c r="P156" s="2"/>
      <c r="Q156" s="2"/>
      <c r="R156" s="2"/>
      <c r="S156" s="2">
        <v>5.5</v>
      </c>
      <c r="T156" s="2"/>
      <c r="U156" s="2"/>
      <c r="V156" s="2"/>
      <c r="W156" s="2"/>
      <c r="X156" s="2"/>
      <c r="Y156" s="2"/>
      <c r="Z156" s="2"/>
      <c r="AA156" s="2"/>
      <c r="AB156" s="2">
        <v>2</v>
      </c>
      <c r="AC156" s="2"/>
      <c r="AD156" s="2">
        <v>6.1999999999970896</v>
      </c>
      <c r="AE156" s="2"/>
      <c r="AF156" s="2"/>
      <c r="AG156" s="2"/>
      <c r="AH156" s="2">
        <v>0.79999999999927196</v>
      </c>
      <c r="AI156" s="2"/>
      <c r="AJ156" s="2"/>
      <c r="AK156" s="2"/>
      <c r="AL156" s="2"/>
      <c r="AM156" s="2"/>
      <c r="AN156" s="2">
        <v>9.2999999999883602</v>
      </c>
      <c r="AO156" s="2"/>
      <c r="AP156" s="2"/>
      <c r="AQ156" s="2"/>
      <c r="AR156" s="2"/>
      <c r="AS156" s="2"/>
      <c r="AT156" s="2"/>
      <c r="AU156" s="2">
        <v>8.3999999999941792</v>
      </c>
      <c r="AV156" s="2"/>
      <c r="AW156" s="2"/>
      <c r="AX156" s="2"/>
      <c r="AY156" s="2"/>
      <c r="AZ156" s="2">
        <v>1.39999999999964</v>
      </c>
      <c r="BA156" s="2"/>
      <c r="BB156" s="2"/>
      <c r="BC156" s="2"/>
      <c r="BD156" s="2"/>
      <c r="BE156" s="2">
        <v>2.9000000000014601</v>
      </c>
      <c r="BF156" s="2"/>
      <c r="BG156" s="2"/>
      <c r="BH156" s="2"/>
      <c r="BI156" s="2">
        <v>2.0999999999985399</v>
      </c>
      <c r="BJ156" s="2">
        <v>8.5</v>
      </c>
      <c r="BK156" s="2"/>
      <c r="BL156" s="2">
        <v>0</v>
      </c>
      <c r="BM156" s="2">
        <v>0.100000000000023</v>
      </c>
      <c r="BN156" s="2"/>
      <c r="BO156" s="2"/>
      <c r="BP156" s="2"/>
      <c r="BQ156" s="2"/>
      <c r="BR156" s="2"/>
      <c r="BS156" s="2">
        <v>5.1999999999970896</v>
      </c>
      <c r="BT156" s="2"/>
      <c r="BU156" s="2">
        <v>0</v>
      </c>
      <c r="BV156" s="2">
        <v>1.9</v>
      </c>
      <c r="BW156" s="2"/>
      <c r="BX156" s="2">
        <v>0.3</v>
      </c>
      <c r="BY156" s="2">
        <v>0.2</v>
      </c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>
        <v>11.5</v>
      </c>
      <c r="CK156" s="2"/>
      <c r="CL156" s="2"/>
      <c r="CM156" s="2">
        <v>0.1</v>
      </c>
      <c r="CN156" s="2"/>
      <c r="CO156" s="2">
        <v>0.9</v>
      </c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B156">
        <v>1997</v>
      </c>
      <c r="DC156">
        <v>11.5</v>
      </c>
      <c r="DH156">
        <v>155</v>
      </c>
    </row>
    <row r="157" spans="1:112">
      <c r="A157" s="1">
        <v>41064</v>
      </c>
      <c r="B157" s="2"/>
      <c r="C157" s="2"/>
      <c r="D157" s="2"/>
      <c r="E157" s="2">
        <v>2</v>
      </c>
      <c r="F157" s="2"/>
      <c r="G157" s="2"/>
      <c r="H157" s="2"/>
      <c r="I157" s="2"/>
      <c r="J157" s="2">
        <v>1.2</v>
      </c>
      <c r="K157" s="2"/>
      <c r="L157" s="2"/>
      <c r="M157" s="2"/>
      <c r="N157" s="2"/>
      <c r="O157" s="2">
        <v>2.6</v>
      </c>
      <c r="P157" s="2"/>
      <c r="Q157" s="2"/>
      <c r="R157" s="2"/>
      <c r="S157" s="2"/>
      <c r="T157" s="2"/>
      <c r="U157" s="2">
        <v>3.7</v>
      </c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>
        <v>13.099999999991301</v>
      </c>
      <c r="AG157" s="2"/>
      <c r="AH157" s="2"/>
      <c r="AI157" s="2"/>
      <c r="AJ157" s="2"/>
      <c r="AK157" s="2"/>
      <c r="AL157" s="2"/>
      <c r="AM157" s="2"/>
      <c r="AN157" s="2">
        <v>5.79999999999563</v>
      </c>
      <c r="AO157" s="2"/>
      <c r="AP157" s="2"/>
      <c r="AQ157" s="2"/>
      <c r="AR157" s="2"/>
      <c r="AS157" s="2"/>
      <c r="AT157" s="2"/>
      <c r="AU157" s="2"/>
      <c r="AV157" s="2"/>
      <c r="AW157" s="2"/>
      <c r="AX157" s="2">
        <v>2.7999999999992702</v>
      </c>
      <c r="AY157" s="2"/>
      <c r="AZ157" s="2">
        <v>1.1999999999989099</v>
      </c>
      <c r="BA157" s="2"/>
      <c r="BB157" s="2"/>
      <c r="BC157" s="2"/>
      <c r="BD157" s="2"/>
      <c r="BE157" s="2">
        <v>3.9000000000014601</v>
      </c>
      <c r="BF157" s="2"/>
      <c r="BG157" s="2">
        <v>1.20000000000073</v>
      </c>
      <c r="BH157" s="2">
        <v>0</v>
      </c>
      <c r="BI157" s="2"/>
      <c r="BJ157" s="2">
        <v>0.100000000000023</v>
      </c>
      <c r="BK157" s="2"/>
      <c r="BL157" s="2"/>
      <c r="BM157" s="2">
        <v>1.60000000000036</v>
      </c>
      <c r="BN157" s="2">
        <v>0.200000000000045</v>
      </c>
      <c r="BO157" s="2"/>
      <c r="BP157" s="2">
        <v>12.8000000000029</v>
      </c>
      <c r="BQ157" s="2"/>
      <c r="BR157" s="2"/>
      <c r="BS157" s="2">
        <v>0.69999999999981799</v>
      </c>
      <c r="BT157" s="2"/>
      <c r="BU157" s="2"/>
      <c r="BV157" s="2"/>
      <c r="BW157" s="2"/>
      <c r="BX157" s="2"/>
      <c r="BY157" s="2">
        <v>9.3000000000000007</v>
      </c>
      <c r="BZ157" s="2"/>
      <c r="CA157" s="2"/>
      <c r="CB157" s="2"/>
      <c r="CC157" s="2">
        <v>2.2000000000000002</v>
      </c>
      <c r="CD157" s="2">
        <v>5.5</v>
      </c>
      <c r="CE157" s="2"/>
      <c r="CF157" s="2"/>
      <c r="CG157" s="2"/>
      <c r="CH157" s="2"/>
      <c r="CI157" s="2"/>
      <c r="CJ157" s="2">
        <v>1.5</v>
      </c>
      <c r="CK157" s="2"/>
      <c r="CL157" s="2">
        <v>8.5</v>
      </c>
      <c r="CM157" s="2"/>
      <c r="CN157" s="2">
        <v>1.7</v>
      </c>
      <c r="CO157" s="2">
        <v>5.0999999999999996</v>
      </c>
      <c r="CP157" s="2"/>
      <c r="CQ157" s="2">
        <v>1</v>
      </c>
      <c r="CR157" s="2"/>
      <c r="CS157" s="2"/>
      <c r="CT157" s="2"/>
      <c r="CU157" s="2"/>
      <c r="CV157" s="2">
        <v>3.7</v>
      </c>
      <c r="CW157" s="2"/>
      <c r="CX157" s="2"/>
      <c r="CY157" s="2"/>
      <c r="CZ157" s="2">
        <v>1.6</v>
      </c>
      <c r="DB157">
        <v>1941</v>
      </c>
      <c r="DC157">
        <v>13.099999999991301</v>
      </c>
      <c r="DH157">
        <v>156</v>
      </c>
    </row>
    <row r="158" spans="1:112">
      <c r="A158" s="1">
        <v>41065</v>
      </c>
      <c r="B158" s="2"/>
      <c r="C158" s="2"/>
      <c r="D158" s="2"/>
      <c r="E158" s="2"/>
      <c r="F158" s="2">
        <v>0.2</v>
      </c>
      <c r="G158" s="2">
        <v>1</v>
      </c>
      <c r="H158" s="2"/>
      <c r="I158" s="2"/>
      <c r="J158" s="2">
        <v>24.5</v>
      </c>
      <c r="K158" s="2">
        <v>0.1</v>
      </c>
      <c r="L158" s="2"/>
      <c r="M158" s="2"/>
      <c r="N158" s="2"/>
      <c r="O158" s="2"/>
      <c r="P158" s="2">
        <v>10.7</v>
      </c>
      <c r="Q158" s="2"/>
      <c r="R158" s="2"/>
      <c r="S158" s="2"/>
      <c r="T158" s="2">
        <v>0</v>
      </c>
      <c r="U158" s="2">
        <v>0</v>
      </c>
      <c r="V158" s="2">
        <v>17.100000000000001</v>
      </c>
      <c r="W158" s="2"/>
      <c r="X158" s="2"/>
      <c r="Y158" s="2"/>
      <c r="Z158" s="2"/>
      <c r="AA158" s="2"/>
      <c r="AB158" s="2"/>
      <c r="AC158" s="2"/>
      <c r="AD158" s="2">
        <v>0.29999999999972699</v>
      </c>
      <c r="AE158" s="2">
        <v>2.1999999999970901</v>
      </c>
      <c r="AF158" s="2"/>
      <c r="AG158" s="2"/>
      <c r="AH158" s="2"/>
      <c r="AI158" s="2"/>
      <c r="AJ158" s="2"/>
      <c r="AK158" s="2"/>
      <c r="AL158" s="2"/>
      <c r="AM158" s="2">
        <v>5.5999999999985501</v>
      </c>
      <c r="AN158" s="2">
        <v>6.79999999999563</v>
      </c>
      <c r="AO158" s="2"/>
      <c r="AP158" s="2"/>
      <c r="AQ158" s="2">
        <v>1.39999999999964</v>
      </c>
      <c r="AR158" s="2"/>
      <c r="AS158" s="2"/>
      <c r="AT158" s="2"/>
      <c r="AU158" s="2"/>
      <c r="AV158" s="2"/>
      <c r="AW158" s="2"/>
      <c r="AX158" s="2">
        <v>1.79999999999927</v>
      </c>
      <c r="AY158" s="2"/>
      <c r="AZ158" s="2"/>
      <c r="BA158" s="2">
        <v>0.89999999999963598</v>
      </c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>
        <v>0.100000000000023</v>
      </c>
      <c r="BM158" s="2"/>
      <c r="BN158" s="2">
        <v>0.80000000000018201</v>
      </c>
      <c r="BO158" s="2"/>
      <c r="BP158" s="2">
        <v>2.5</v>
      </c>
      <c r="BQ158" s="2"/>
      <c r="BR158" s="2"/>
      <c r="BS158" s="2">
        <v>0.30000000000018201</v>
      </c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>
        <v>0.4</v>
      </c>
      <c r="CE158" s="2"/>
      <c r="CF158" s="2"/>
      <c r="CG158" s="2"/>
      <c r="CH158" s="2"/>
      <c r="CI158" s="2"/>
      <c r="CJ158" s="2"/>
      <c r="CK158" s="2"/>
      <c r="CL158" s="2">
        <v>0.3</v>
      </c>
      <c r="CM158" s="2"/>
      <c r="CN158" s="2"/>
      <c r="CO158" s="2">
        <v>11.3</v>
      </c>
      <c r="CP158" s="2"/>
      <c r="CQ158" s="2">
        <v>6.1</v>
      </c>
      <c r="CR158" s="2"/>
      <c r="CS158" s="2"/>
      <c r="CT158" s="2">
        <v>2.1</v>
      </c>
      <c r="CU158" s="2"/>
      <c r="CV158" s="2">
        <v>0.7</v>
      </c>
      <c r="CW158" s="2">
        <v>2.2000000000000002</v>
      </c>
      <c r="CX158" s="2"/>
      <c r="CY158" s="2">
        <v>0.1</v>
      </c>
      <c r="CZ158" s="2"/>
      <c r="DB158">
        <v>1919</v>
      </c>
      <c r="DC158">
        <v>24.5</v>
      </c>
      <c r="DH158">
        <v>157</v>
      </c>
    </row>
    <row r="159" spans="1:112">
      <c r="A159" s="1">
        <v>41066</v>
      </c>
      <c r="B159" s="2"/>
      <c r="C159" s="2"/>
      <c r="D159" s="2"/>
      <c r="E159" s="2">
        <v>0.2</v>
      </c>
      <c r="F159" s="2">
        <v>0.1</v>
      </c>
      <c r="G159" s="2"/>
      <c r="H159" s="2"/>
      <c r="I159" s="2"/>
      <c r="J159" s="2">
        <v>0.3</v>
      </c>
      <c r="K159" s="2"/>
      <c r="L159" s="2">
        <v>0.1</v>
      </c>
      <c r="M159" s="2"/>
      <c r="N159" s="2"/>
      <c r="O159" s="2"/>
      <c r="P159" s="2">
        <v>5.5</v>
      </c>
      <c r="Q159" s="2"/>
      <c r="R159" s="2"/>
      <c r="S159" s="2"/>
      <c r="T159" s="2"/>
      <c r="U159" s="2"/>
      <c r="V159" s="2">
        <v>0.5</v>
      </c>
      <c r="W159" s="2"/>
      <c r="X159" s="2"/>
      <c r="Y159" s="2"/>
      <c r="Z159" s="2"/>
      <c r="AA159" s="2"/>
      <c r="AB159" s="2"/>
      <c r="AC159" s="2"/>
      <c r="AD159" s="2">
        <v>3</v>
      </c>
      <c r="AE159" s="2">
        <v>29.699999999982499</v>
      </c>
      <c r="AF159" s="2"/>
      <c r="AG159" s="2"/>
      <c r="AH159" s="2">
        <v>2.6999999999970901</v>
      </c>
      <c r="AI159" s="2"/>
      <c r="AJ159" s="2"/>
      <c r="AK159" s="2"/>
      <c r="AL159" s="2"/>
      <c r="AM159" s="2"/>
      <c r="AN159" s="2">
        <v>14.599999999991301</v>
      </c>
      <c r="AO159" s="2"/>
      <c r="AP159" s="2"/>
      <c r="AQ159" s="2"/>
      <c r="AR159" s="2"/>
      <c r="AS159" s="2"/>
      <c r="AT159" s="2"/>
      <c r="AU159" s="2"/>
      <c r="AV159" s="2"/>
      <c r="AW159" s="2">
        <v>9.1999999999970896</v>
      </c>
      <c r="AX159" s="2">
        <v>25.5</v>
      </c>
      <c r="AY159" s="2"/>
      <c r="AZ159" s="2"/>
      <c r="BA159" s="2">
        <v>15.899999999994201</v>
      </c>
      <c r="BB159" s="2"/>
      <c r="BC159" s="2"/>
      <c r="BD159" s="2"/>
      <c r="BE159" s="2"/>
      <c r="BF159" s="2"/>
      <c r="BG159" s="2"/>
      <c r="BH159" s="2"/>
      <c r="BI159" s="2"/>
      <c r="BJ159" s="2">
        <v>0.100000000000023</v>
      </c>
      <c r="BK159" s="2"/>
      <c r="BL159" s="2">
        <v>0.100000000000023</v>
      </c>
      <c r="BM159" s="2"/>
      <c r="BN159" s="2">
        <v>33.5</v>
      </c>
      <c r="BO159" s="2"/>
      <c r="BP159" s="2"/>
      <c r="BQ159" s="2"/>
      <c r="BR159" s="2"/>
      <c r="BS159" s="2">
        <v>6.5999999999985501</v>
      </c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>
        <v>4</v>
      </c>
      <c r="CK159" s="2"/>
      <c r="CL159" s="2"/>
      <c r="CM159" s="2">
        <v>0</v>
      </c>
      <c r="CN159" s="2"/>
      <c r="CO159" s="2"/>
      <c r="CP159" s="2"/>
      <c r="CQ159" s="2"/>
      <c r="CR159" s="2"/>
      <c r="CS159" s="2"/>
      <c r="CT159" s="2">
        <v>13.5</v>
      </c>
      <c r="CU159" s="2">
        <v>5.7</v>
      </c>
      <c r="CV159" s="2"/>
      <c r="CW159" s="2">
        <v>26.9</v>
      </c>
      <c r="CX159" s="2"/>
      <c r="CY159" s="2">
        <v>1.7</v>
      </c>
      <c r="CZ159" s="2"/>
      <c r="DB159">
        <v>1975</v>
      </c>
      <c r="DC159">
        <v>33.5</v>
      </c>
      <c r="DH159">
        <v>158</v>
      </c>
    </row>
    <row r="160" spans="1:112">
      <c r="A160" s="1">
        <v>41067</v>
      </c>
      <c r="B160" s="2"/>
      <c r="C160" s="2"/>
      <c r="D160" s="2"/>
      <c r="E160" s="2">
        <v>15.2</v>
      </c>
      <c r="F160" s="2">
        <v>0.2</v>
      </c>
      <c r="G160" s="2"/>
      <c r="H160" s="2"/>
      <c r="I160" s="2">
        <v>0.6</v>
      </c>
      <c r="J160" s="2"/>
      <c r="K160" s="2"/>
      <c r="L160" s="2">
        <v>25.2</v>
      </c>
      <c r="M160" s="2"/>
      <c r="N160" s="2"/>
      <c r="O160" s="2">
        <v>0.5</v>
      </c>
      <c r="P160" s="2">
        <v>2.9</v>
      </c>
      <c r="Q160" s="2"/>
      <c r="R160" s="2"/>
      <c r="S160" s="2"/>
      <c r="T160" s="2">
        <v>0.2</v>
      </c>
      <c r="U160" s="2"/>
      <c r="V160" s="2"/>
      <c r="W160" s="2"/>
      <c r="X160" s="2"/>
      <c r="Y160" s="2"/>
      <c r="Z160" s="2"/>
      <c r="AA160" s="2">
        <v>4.5</v>
      </c>
      <c r="AB160" s="2"/>
      <c r="AC160" s="2"/>
      <c r="AD160" s="2">
        <v>20.299999999988401</v>
      </c>
      <c r="AE160" s="2">
        <v>13.599999999991301</v>
      </c>
      <c r="AF160" s="2"/>
      <c r="AG160" s="2"/>
      <c r="AH160" s="2">
        <v>2.7999999999992702</v>
      </c>
      <c r="AI160" s="2">
        <v>0</v>
      </c>
      <c r="AJ160" s="2"/>
      <c r="AK160" s="2"/>
      <c r="AL160" s="2"/>
      <c r="AM160" s="2"/>
      <c r="AN160" s="2">
        <v>6.79999999999563</v>
      </c>
      <c r="AO160" s="2"/>
      <c r="AP160" s="2"/>
      <c r="AQ160" s="2"/>
      <c r="AR160" s="2"/>
      <c r="AS160" s="2"/>
      <c r="AT160" s="2"/>
      <c r="AU160" s="2"/>
      <c r="AV160" s="2"/>
      <c r="AW160" s="2">
        <v>8</v>
      </c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>
        <v>2</v>
      </c>
      <c r="BO160" s="2">
        <v>8.1999999999970896</v>
      </c>
      <c r="BP160" s="2"/>
      <c r="BQ160" s="2"/>
      <c r="BR160" s="2"/>
      <c r="BS160" s="2">
        <v>2.4000000000014601</v>
      </c>
      <c r="BT160" s="2"/>
      <c r="BU160" s="2"/>
      <c r="BV160" s="2">
        <v>35</v>
      </c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>
        <v>21</v>
      </c>
      <c r="CH160" s="2"/>
      <c r="CI160" s="2"/>
      <c r="CJ160" s="2">
        <v>5.9</v>
      </c>
      <c r="CK160" s="2">
        <v>4.5</v>
      </c>
      <c r="CL160" s="2"/>
      <c r="CM160" s="2"/>
      <c r="CN160" s="2"/>
      <c r="CO160" s="2"/>
      <c r="CP160" s="2"/>
      <c r="CQ160" s="2">
        <v>1.9</v>
      </c>
      <c r="CR160" s="2"/>
      <c r="CS160" s="2"/>
      <c r="CT160" s="2">
        <v>9.3000000000000007</v>
      </c>
      <c r="CU160" s="2">
        <v>0.3</v>
      </c>
      <c r="CV160" s="2"/>
      <c r="CW160" s="2">
        <v>46</v>
      </c>
      <c r="CX160" s="2"/>
      <c r="CY160" s="2"/>
      <c r="CZ160" s="2"/>
      <c r="DB160">
        <v>2010</v>
      </c>
      <c r="DC160">
        <v>46</v>
      </c>
      <c r="DH160">
        <v>159</v>
      </c>
    </row>
    <row r="161" spans="1:112">
      <c r="A161" s="1">
        <v>41068</v>
      </c>
      <c r="B161" s="2"/>
      <c r="C161" s="2">
        <v>0.5</v>
      </c>
      <c r="D161" s="2"/>
      <c r="E161" s="2">
        <v>14.5</v>
      </c>
      <c r="F161" s="2"/>
      <c r="G161" s="2"/>
      <c r="H161" s="2"/>
      <c r="I161" s="2">
        <v>0.3</v>
      </c>
      <c r="J161" s="2">
        <v>31.8</v>
      </c>
      <c r="K161" s="2"/>
      <c r="L161" s="2">
        <v>0.1</v>
      </c>
      <c r="M161" s="2"/>
      <c r="N161" s="2">
        <v>5.3</v>
      </c>
      <c r="O161" s="2">
        <v>2.8</v>
      </c>
      <c r="P161" s="2">
        <v>1.2</v>
      </c>
      <c r="Q161" s="2">
        <v>2.7</v>
      </c>
      <c r="R161" s="2"/>
      <c r="S161" s="2"/>
      <c r="T161" s="2"/>
      <c r="U161" s="2"/>
      <c r="V161" s="2"/>
      <c r="W161" s="2"/>
      <c r="X161" s="2">
        <v>0.5</v>
      </c>
      <c r="Y161" s="2"/>
      <c r="Z161" s="2"/>
      <c r="AA161" s="2">
        <v>0.69999999999981799</v>
      </c>
      <c r="AB161" s="2"/>
      <c r="AC161" s="2"/>
      <c r="AD161" s="2">
        <v>5.0999999999985501</v>
      </c>
      <c r="AE161" s="2"/>
      <c r="AF161" s="2">
        <v>0.29999999999972699</v>
      </c>
      <c r="AG161" s="2"/>
      <c r="AH161" s="2">
        <v>4.3999999999941801</v>
      </c>
      <c r="AI161" s="2"/>
      <c r="AJ161" s="2"/>
      <c r="AK161" s="2"/>
      <c r="AL161" s="2">
        <v>2.5</v>
      </c>
      <c r="AM161" s="2"/>
      <c r="AN161" s="2">
        <v>12.799999999988399</v>
      </c>
      <c r="AO161" s="2">
        <v>0.39999999999963598</v>
      </c>
      <c r="AP161" s="2"/>
      <c r="AQ161" s="2"/>
      <c r="AR161" s="2"/>
      <c r="AS161" s="2"/>
      <c r="AT161" s="2"/>
      <c r="AU161" s="2">
        <v>0.19999999999981799</v>
      </c>
      <c r="AV161" s="2"/>
      <c r="AW161" s="2"/>
      <c r="AX161" s="2"/>
      <c r="AY161" s="2"/>
      <c r="AZ161" s="2"/>
      <c r="BA161" s="2"/>
      <c r="BB161" s="2">
        <v>0.19999999999981799</v>
      </c>
      <c r="BC161" s="2"/>
      <c r="BD161" s="2"/>
      <c r="BE161" s="2"/>
      <c r="BF161" s="2"/>
      <c r="BG161" s="2"/>
      <c r="BH161" s="2"/>
      <c r="BI161" s="2">
        <v>0.100000000000023</v>
      </c>
      <c r="BJ161" s="2">
        <v>0</v>
      </c>
      <c r="BK161" s="2"/>
      <c r="BL161" s="2">
        <v>0.100000000000023</v>
      </c>
      <c r="BM161" s="2">
        <v>0.100000000000023</v>
      </c>
      <c r="BN161" s="2">
        <v>0.100000000000023</v>
      </c>
      <c r="BO161" s="2">
        <v>2.4000000000014601</v>
      </c>
      <c r="BP161" s="2"/>
      <c r="BQ161" s="2"/>
      <c r="BR161" s="2"/>
      <c r="BS161" s="2">
        <v>0</v>
      </c>
      <c r="BT161" s="2"/>
      <c r="BU161" s="2"/>
      <c r="BV161" s="2">
        <v>2.9</v>
      </c>
      <c r="BW161" s="2"/>
      <c r="BX161" s="2"/>
      <c r="BY161" s="2">
        <v>4.5999999999999996</v>
      </c>
      <c r="BZ161" s="2"/>
      <c r="CA161" s="2"/>
      <c r="CB161" s="2">
        <v>0.6</v>
      </c>
      <c r="CC161" s="2"/>
      <c r="CD161" s="2"/>
      <c r="CE161" s="2">
        <v>0.8</v>
      </c>
      <c r="CF161" s="2"/>
      <c r="CG161" s="2">
        <v>32.5</v>
      </c>
      <c r="CH161" s="2">
        <v>0</v>
      </c>
      <c r="CI161" s="2"/>
      <c r="CJ161" s="2">
        <v>18</v>
      </c>
      <c r="CK161" s="2">
        <v>1</v>
      </c>
      <c r="CL161" s="2"/>
      <c r="CM161" s="2"/>
      <c r="CN161" s="2"/>
      <c r="CO161" s="2"/>
      <c r="CP161" s="2"/>
      <c r="CQ161" s="2"/>
      <c r="CR161" s="2"/>
      <c r="CS161" s="2">
        <v>0.2</v>
      </c>
      <c r="CT161" s="2"/>
      <c r="CU161" s="2">
        <v>0.2</v>
      </c>
      <c r="CV161" s="2"/>
      <c r="CW161" s="2">
        <v>34.200000000000003</v>
      </c>
      <c r="CX161" s="2"/>
      <c r="CY161" s="2"/>
      <c r="CZ161" s="2"/>
      <c r="DB161">
        <v>2010</v>
      </c>
      <c r="DC161">
        <v>34.200000000000003</v>
      </c>
      <c r="DH161">
        <v>160</v>
      </c>
    </row>
    <row r="162" spans="1:112">
      <c r="A162" s="1">
        <v>41069</v>
      </c>
      <c r="B162" s="2"/>
      <c r="C162" s="2"/>
      <c r="D162" s="2"/>
      <c r="E162" s="2">
        <v>6.8</v>
      </c>
      <c r="F162" s="2"/>
      <c r="G162" s="2"/>
      <c r="H162" s="2">
        <v>4</v>
      </c>
      <c r="I162" s="2"/>
      <c r="J162" s="2"/>
      <c r="K162" s="2"/>
      <c r="L162" s="2"/>
      <c r="M162" s="2"/>
      <c r="N162" s="2">
        <v>0.3</v>
      </c>
      <c r="O162" s="2"/>
      <c r="P162" s="2"/>
      <c r="Q162" s="2"/>
      <c r="R162" s="2"/>
      <c r="S162" s="2"/>
      <c r="T162" s="2"/>
      <c r="U162" s="2"/>
      <c r="V162" s="2"/>
      <c r="W162" s="2"/>
      <c r="X162" s="2">
        <v>3.9</v>
      </c>
      <c r="Y162" s="2"/>
      <c r="Z162" s="2"/>
      <c r="AA162" s="2">
        <v>0.39999999999963598</v>
      </c>
      <c r="AB162" s="2"/>
      <c r="AC162" s="2"/>
      <c r="AD162" s="2"/>
      <c r="AE162" s="2">
        <v>5</v>
      </c>
      <c r="AF162" s="2">
        <v>2.1999999999970901</v>
      </c>
      <c r="AG162" s="2"/>
      <c r="AH162" s="2"/>
      <c r="AI162" s="2"/>
      <c r="AJ162" s="2"/>
      <c r="AK162" s="2"/>
      <c r="AL162" s="2"/>
      <c r="AM162" s="2"/>
      <c r="AN162" s="2"/>
      <c r="AO162" s="2">
        <v>2</v>
      </c>
      <c r="AP162" s="2"/>
      <c r="AQ162" s="2"/>
      <c r="AR162" s="2">
        <v>0.19999999999981799</v>
      </c>
      <c r="AS162" s="2"/>
      <c r="AT162" s="2"/>
      <c r="AU162" s="2"/>
      <c r="AV162" s="2"/>
      <c r="AW162" s="2">
        <v>1.39999999999964</v>
      </c>
      <c r="AX162" s="2">
        <v>8.2999999999883602</v>
      </c>
      <c r="AY162" s="2"/>
      <c r="AZ162" s="2">
        <v>3.5</v>
      </c>
      <c r="BA162" s="2"/>
      <c r="BB162" s="2"/>
      <c r="BC162" s="2"/>
      <c r="BD162" s="2"/>
      <c r="BE162" s="2"/>
      <c r="BF162" s="2"/>
      <c r="BG162" s="2"/>
      <c r="BH162" s="2"/>
      <c r="BI162" s="2">
        <v>0.200000000000045</v>
      </c>
      <c r="BJ162" s="2">
        <v>4.5</v>
      </c>
      <c r="BK162" s="2">
        <v>0.100000000000023</v>
      </c>
      <c r="BL162" s="2"/>
      <c r="BM162" s="2"/>
      <c r="BN162" s="2">
        <v>0</v>
      </c>
      <c r="BO162" s="2">
        <v>0.100000000000023</v>
      </c>
      <c r="BP162" s="2"/>
      <c r="BQ162" s="2"/>
      <c r="BR162" s="2"/>
      <c r="BS162" s="2"/>
      <c r="BT162" s="2"/>
      <c r="BU162" s="2">
        <v>0.30000000000018201</v>
      </c>
      <c r="BV162" s="2"/>
      <c r="BW162" s="2"/>
      <c r="BX162" s="2"/>
      <c r="BY162" s="2"/>
      <c r="BZ162" s="2"/>
      <c r="CA162" s="2"/>
      <c r="CB162" s="2"/>
      <c r="CC162" s="2"/>
      <c r="CD162" s="2">
        <v>2.2000000000000002</v>
      </c>
      <c r="CE162" s="2"/>
      <c r="CF162" s="2"/>
      <c r="CG162" s="2">
        <v>4.5999999999999996</v>
      </c>
      <c r="CH162" s="2">
        <v>0.3</v>
      </c>
      <c r="CI162" s="2"/>
      <c r="CJ162" s="2">
        <v>0.8</v>
      </c>
      <c r="CK162" s="2"/>
      <c r="CL162" s="2">
        <v>0.6</v>
      </c>
      <c r="CM162" s="2"/>
      <c r="CN162" s="2"/>
      <c r="CO162" s="2"/>
      <c r="CP162" s="2"/>
      <c r="CQ162" s="2"/>
      <c r="CR162" s="2"/>
      <c r="CS162" s="2">
        <v>30.9</v>
      </c>
      <c r="CT162" s="2"/>
      <c r="CU162" s="2"/>
      <c r="CV162" s="2"/>
      <c r="CW162" s="2"/>
      <c r="CX162" s="2"/>
      <c r="CY162" s="2"/>
      <c r="CZ162" s="2"/>
      <c r="DB162">
        <v>2006</v>
      </c>
      <c r="DC162">
        <v>30.9</v>
      </c>
      <c r="DH162">
        <v>161</v>
      </c>
    </row>
    <row r="163" spans="1:112">
      <c r="A163" s="1">
        <v>41070</v>
      </c>
      <c r="B163" s="2"/>
      <c r="C163" s="2"/>
      <c r="D163" s="2"/>
      <c r="E163" s="2">
        <v>3.8</v>
      </c>
      <c r="F163" s="2"/>
      <c r="G163" s="2"/>
      <c r="H163" s="2"/>
      <c r="I163" s="2">
        <v>0.7</v>
      </c>
      <c r="J163" s="2"/>
      <c r="K163" s="2"/>
      <c r="L163" s="2"/>
      <c r="M163" s="2"/>
      <c r="N163" s="2">
        <v>0.3</v>
      </c>
      <c r="O163" s="2">
        <v>6.2</v>
      </c>
      <c r="P163" s="2">
        <v>0.5</v>
      </c>
      <c r="Q163" s="2">
        <v>3.4</v>
      </c>
      <c r="R163" s="2"/>
      <c r="S163" s="2"/>
      <c r="T163" s="2"/>
      <c r="U163" s="2"/>
      <c r="V163" s="2"/>
      <c r="W163" s="2">
        <v>49</v>
      </c>
      <c r="X163" s="2"/>
      <c r="Y163" s="2"/>
      <c r="Z163" s="2"/>
      <c r="AA163" s="2">
        <v>6</v>
      </c>
      <c r="AB163" s="2"/>
      <c r="AC163" s="2"/>
      <c r="AD163" s="2">
        <v>0.69999999999981799</v>
      </c>
      <c r="AE163" s="2">
        <v>1</v>
      </c>
      <c r="AF163" s="2"/>
      <c r="AG163" s="2"/>
      <c r="AH163" s="2"/>
      <c r="AI163" s="2"/>
      <c r="AJ163" s="2">
        <v>1</v>
      </c>
      <c r="AK163" s="2"/>
      <c r="AL163" s="2"/>
      <c r="AM163" s="2">
        <v>7.29999999999563</v>
      </c>
      <c r="AN163" s="2">
        <v>0.59999999999945397</v>
      </c>
      <c r="AO163" s="2">
        <v>3.5</v>
      </c>
      <c r="AP163" s="2">
        <v>1.0999999999985499</v>
      </c>
      <c r="AQ163" s="2"/>
      <c r="AR163" s="2"/>
      <c r="AS163" s="2"/>
      <c r="AT163" s="2"/>
      <c r="AU163" s="2"/>
      <c r="AV163" s="2"/>
      <c r="AW163" s="2"/>
      <c r="AX163" s="2">
        <v>9.5</v>
      </c>
      <c r="AY163" s="2"/>
      <c r="AZ163" s="2"/>
      <c r="BA163" s="2">
        <v>5.3999999999941801</v>
      </c>
      <c r="BB163" s="2"/>
      <c r="BC163" s="2">
        <v>0.5</v>
      </c>
      <c r="BD163" s="2"/>
      <c r="BE163" s="2"/>
      <c r="BF163" s="2"/>
      <c r="BG163" s="2"/>
      <c r="BH163" s="2"/>
      <c r="BI163" s="2">
        <v>0.100000000000023</v>
      </c>
      <c r="BJ163" s="2">
        <v>7.3000000000029104</v>
      </c>
      <c r="BK163" s="2">
        <v>0</v>
      </c>
      <c r="BL163" s="2"/>
      <c r="BM163" s="2"/>
      <c r="BN163" s="2"/>
      <c r="BO163" s="2">
        <v>0.200000000000045</v>
      </c>
      <c r="BP163" s="2"/>
      <c r="BQ163" s="2"/>
      <c r="BR163" s="2"/>
      <c r="BS163" s="2"/>
      <c r="BT163" s="2"/>
      <c r="BU163" s="2"/>
      <c r="BV163" s="2"/>
      <c r="BW163" s="2"/>
      <c r="BX163" s="2"/>
      <c r="BY163" s="2">
        <v>0.1</v>
      </c>
      <c r="BZ163" s="2"/>
      <c r="CA163" s="2"/>
      <c r="CB163" s="2"/>
      <c r="CC163" s="2"/>
      <c r="CD163" s="2">
        <v>0.2</v>
      </c>
      <c r="CE163" s="2"/>
      <c r="CF163" s="2"/>
      <c r="CG163" s="2"/>
      <c r="CH163" s="2"/>
      <c r="CI163" s="2"/>
      <c r="CJ163" s="2">
        <v>3.1</v>
      </c>
      <c r="CK163" s="2"/>
      <c r="CL163" s="2">
        <v>11.2</v>
      </c>
      <c r="CM163" s="2"/>
      <c r="CN163" s="2"/>
      <c r="CO163" s="2">
        <v>1.3</v>
      </c>
      <c r="CP163" s="2"/>
      <c r="CQ163" s="2"/>
      <c r="CR163" s="2">
        <v>5.3</v>
      </c>
      <c r="CS163" s="2"/>
      <c r="CT163" s="2">
        <v>0.2</v>
      </c>
      <c r="CU163" s="2"/>
      <c r="CV163" s="2"/>
      <c r="CW163" s="2"/>
      <c r="CX163" s="2">
        <v>0.1</v>
      </c>
      <c r="CY163" s="2"/>
      <c r="CZ163" s="2"/>
      <c r="DB163">
        <v>1932</v>
      </c>
      <c r="DC163">
        <v>49</v>
      </c>
      <c r="DH163">
        <v>162</v>
      </c>
    </row>
    <row r="164" spans="1:112">
      <c r="A164" s="1">
        <v>41071</v>
      </c>
      <c r="B164" s="2"/>
      <c r="C164" s="2">
        <v>0</v>
      </c>
      <c r="D164" s="2">
        <v>3.8</v>
      </c>
      <c r="E164" s="2"/>
      <c r="F164" s="2"/>
      <c r="G164" s="2"/>
      <c r="H164" s="2"/>
      <c r="I164" s="2"/>
      <c r="J164" s="2"/>
      <c r="K164" s="2"/>
      <c r="L164" s="2"/>
      <c r="M164" s="2"/>
      <c r="N164" s="2">
        <v>34.700000000000003</v>
      </c>
      <c r="O164" s="2">
        <v>21.2</v>
      </c>
      <c r="P164" s="2">
        <v>5.7</v>
      </c>
      <c r="Q164" s="2"/>
      <c r="R164" s="2"/>
      <c r="S164" s="2"/>
      <c r="T164" s="2">
        <v>0.2</v>
      </c>
      <c r="U164" s="2"/>
      <c r="V164" s="2"/>
      <c r="W164" s="2">
        <v>2.2000000000000002</v>
      </c>
      <c r="X164" s="2"/>
      <c r="Y164" s="2"/>
      <c r="Z164" s="2"/>
      <c r="AA164" s="2">
        <v>2.5999999999985399</v>
      </c>
      <c r="AB164" s="2"/>
      <c r="AC164" s="2"/>
      <c r="AD164" s="2">
        <v>9.9999999999908995E-2</v>
      </c>
      <c r="AE164" s="2">
        <v>0.3</v>
      </c>
      <c r="AF164" s="2"/>
      <c r="AG164" s="2"/>
      <c r="AH164" s="2"/>
      <c r="AI164" s="2"/>
      <c r="AJ164" s="2"/>
      <c r="AK164" s="2"/>
      <c r="AL164" s="2"/>
      <c r="AM164" s="2">
        <v>2.6999999999970901</v>
      </c>
      <c r="AN164" s="2"/>
      <c r="AO164" s="2"/>
      <c r="AP164" s="2"/>
      <c r="AQ164" s="2"/>
      <c r="AR164" s="2">
        <v>9.9999999999908995E-2</v>
      </c>
      <c r="AS164" s="2"/>
      <c r="AT164" s="2"/>
      <c r="AU164" s="2"/>
      <c r="AV164" s="2"/>
      <c r="AW164" s="2"/>
      <c r="AX164" s="2"/>
      <c r="AY164" s="2">
        <v>0.19999999999981799</v>
      </c>
      <c r="AZ164" s="2">
        <v>0.59999999999945397</v>
      </c>
      <c r="BA164" s="2">
        <v>4.6999999999970896</v>
      </c>
      <c r="BB164" s="2"/>
      <c r="BC164" s="2">
        <v>3.2999999999992702</v>
      </c>
      <c r="BD164" s="2"/>
      <c r="BE164" s="2"/>
      <c r="BF164" s="2"/>
      <c r="BG164" s="2"/>
      <c r="BH164" s="2"/>
      <c r="BI164" s="2"/>
      <c r="BJ164" s="2"/>
      <c r="BK164" s="2"/>
      <c r="BL164" s="2">
        <v>6.5999999999985501</v>
      </c>
      <c r="BM164" s="2"/>
      <c r="BN164" s="2"/>
      <c r="BO164" s="2"/>
      <c r="BP164" s="2"/>
      <c r="BQ164" s="2"/>
      <c r="BR164" s="2"/>
      <c r="BS164" s="2">
        <v>0</v>
      </c>
      <c r="BT164" s="2"/>
      <c r="BU164" s="2"/>
      <c r="BV164" s="2"/>
      <c r="BW164" s="2"/>
      <c r="BX164" s="2"/>
      <c r="BY164" s="2">
        <v>48.6</v>
      </c>
      <c r="BZ164" s="2"/>
      <c r="CA164" s="2"/>
      <c r="CB164" s="2">
        <v>0.7</v>
      </c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>
        <v>4.3</v>
      </c>
      <c r="CP164" s="2"/>
      <c r="CQ164" s="2"/>
      <c r="CR164" s="2">
        <v>7.3</v>
      </c>
      <c r="CS164" s="2"/>
      <c r="CT164" s="2"/>
      <c r="CU164" s="2"/>
      <c r="CV164" s="2"/>
      <c r="CW164" s="2"/>
      <c r="CX164" s="2">
        <v>2.7</v>
      </c>
      <c r="CY164" s="2"/>
      <c r="CZ164" s="2">
        <v>0.1</v>
      </c>
      <c r="DB164">
        <v>1986</v>
      </c>
      <c r="DC164">
        <v>48.6</v>
      </c>
      <c r="DH164">
        <v>163</v>
      </c>
    </row>
    <row r="165" spans="1:112">
      <c r="A165" s="1">
        <v>41072</v>
      </c>
      <c r="B165" s="2"/>
      <c r="C165" s="2"/>
      <c r="D165" s="2"/>
      <c r="E165" s="2">
        <v>12.9</v>
      </c>
      <c r="F165" s="2"/>
      <c r="G165" s="2"/>
      <c r="H165" s="2"/>
      <c r="I165" s="2"/>
      <c r="J165" s="2">
        <v>2.2000000000000002</v>
      </c>
      <c r="K165" s="2">
        <v>9.3000000000000007</v>
      </c>
      <c r="L165" s="2">
        <v>3.9</v>
      </c>
      <c r="M165" s="2"/>
      <c r="N165" s="2">
        <v>6.5</v>
      </c>
      <c r="O165" s="2">
        <v>16.2</v>
      </c>
      <c r="P165" s="2">
        <v>2.2999999999999998</v>
      </c>
      <c r="Q165" s="2"/>
      <c r="R165" s="2"/>
      <c r="S165" s="2"/>
      <c r="T165" s="2">
        <v>1.9</v>
      </c>
      <c r="U165" s="2"/>
      <c r="V165" s="2"/>
      <c r="W165" s="2"/>
      <c r="X165" s="2"/>
      <c r="Y165" s="2">
        <v>0.29999999999972699</v>
      </c>
      <c r="Z165" s="2"/>
      <c r="AA165" s="2"/>
      <c r="AB165" s="2"/>
      <c r="AC165" s="2"/>
      <c r="AD165" s="2"/>
      <c r="AE165" s="2"/>
      <c r="AF165" s="2">
        <v>0.29999999999972699</v>
      </c>
      <c r="AG165" s="2"/>
      <c r="AH165" s="2"/>
      <c r="AI165" s="2"/>
      <c r="AJ165" s="2"/>
      <c r="AK165" s="2"/>
      <c r="AL165" s="2"/>
      <c r="AM165" s="2"/>
      <c r="AN165" s="2"/>
      <c r="AO165" s="2"/>
      <c r="AP165" s="2">
        <v>17.199999999982499</v>
      </c>
      <c r="AQ165" s="2"/>
      <c r="AR165" s="2">
        <v>9.9999999999908995E-2</v>
      </c>
      <c r="AS165" s="2">
        <v>0.19999999999981799</v>
      </c>
      <c r="AT165" s="2">
        <v>4.8999999999941801</v>
      </c>
      <c r="AU165" s="2"/>
      <c r="AV165" s="2"/>
      <c r="AW165" s="2"/>
      <c r="AX165" s="2">
        <v>10.6999999999971</v>
      </c>
      <c r="AY165" s="2">
        <v>13.099999999991301</v>
      </c>
      <c r="AZ165" s="2">
        <v>25.599999999976699</v>
      </c>
      <c r="BA165" s="2">
        <v>4.0999999999985501</v>
      </c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>
        <v>1.79999999999927</v>
      </c>
      <c r="BQ165" s="2"/>
      <c r="BR165" s="2"/>
      <c r="BS165" s="2"/>
      <c r="BT165" s="2">
        <v>0</v>
      </c>
      <c r="BU165" s="2"/>
      <c r="BV165" s="2">
        <v>0</v>
      </c>
      <c r="BW165" s="2">
        <v>2.2999999999992702</v>
      </c>
      <c r="BX165" s="2">
        <v>2.2000000000000002</v>
      </c>
      <c r="BY165" s="2">
        <v>2.2000000000000002</v>
      </c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>
        <v>0.4</v>
      </c>
      <c r="CP165" s="2"/>
      <c r="CQ165" s="2"/>
      <c r="CR165" s="2"/>
      <c r="CS165" s="2">
        <v>7.2</v>
      </c>
      <c r="CT165" s="2"/>
      <c r="CU165" s="2"/>
      <c r="CV165" s="2"/>
      <c r="CW165" s="2"/>
      <c r="CX165" s="2">
        <v>0.2</v>
      </c>
      <c r="CY165" s="2"/>
      <c r="CZ165" s="2">
        <v>8.1</v>
      </c>
      <c r="DB165">
        <v>1961</v>
      </c>
      <c r="DC165">
        <v>25.599999999976699</v>
      </c>
      <c r="DH165">
        <v>164</v>
      </c>
    </row>
    <row r="166" spans="1:112">
      <c r="A166" s="1">
        <v>41073</v>
      </c>
      <c r="B166" s="2"/>
      <c r="C166" s="2"/>
      <c r="D166" s="2"/>
      <c r="E166" s="2">
        <v>0.2</v>
      </c>
      <c r="F166" s="2"/>
      <c r="G166" s="2"/>
      <c r="H166" s="2"/>
      <c r="I166" s="2"/>
      <c r="J166" s="2"/>
      <c r="K166" s="2">
        <v>26.8</v>
      </c>
      <c r="L166" s="2"/>
      <c r="M166" s="2"/>
      <c r="N166" s="2"/>
      <c r="O166" s="2">
        <v>0.7</v>
      </c>
      <c r="P166" s="2"/>
      <c r="Q166" s="2"/>
      <c r="R166" s="2"/>
      <c r="S166" s="2"/>
      <c r="T166" s="2"/>
      <c r="U166" s="2">
        <v>0</v>
      </c>
      <c r="V166" s="2"/>
      <c r="W166" s="2">
        <v>3</v>
      </c>
      <c r="X166" s="2"/>
      <c r="Y166" s="2"/>
      <c r="Z166" s="2"/>
      <c r="AA166" s="2">
        <v>5.5</v>
      </c>
      <c r="AB166" s="2"/>
      <c r="AC166" s="2"/>
      <c r="AD166" s="2"/>
      <c r="AE166" s="2">
        <v>0.19999999999981799</v>
      </c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>
        <v>24</v>
      </c>
      <c r="AQ166" s="2"/>
      <c r="AR166" s="2">
        <v>0.19999999999981799</v>
      </c>
      <c r="AS166" s="2">
        <v>1.1999999999989099</v>
      </c>
      <c r="AT166" s="2"/>
      <c r="AU166" s="2"/>
      <c r="AV166" s="2"/>
      <c r="AW166" s="2"/>
      <c r="AX166" s="2"/>
      <c r="AY166" s="2">
        <v>5</v>
      </c>
      <c r="AZ166" s="2">
        <v>0.29999999999972699</v>
      </c>
      <c r="BA166" s="2"/>
      <c r="BB166" s="2"/>
      <c r="BC166" s="2"/>
      <c r="BD166" s="2"/>
      <c r="BE166" s="2"/>
      <c r="BF166" s="2"/>
      <c r="BG166" s="2">
        <v>0.100000000000023</v>
      </c>
      <c r="BH166" s="2"/>
      <c r="BI166" s="2">
        <v>0.100000000000023</v>
      </c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>
        <v>0</v>
      </c>
      <c r="BW166" s="2">
        <v>0.29999999999972699</v>
      </c>
      <c r="BX166" s="2"/>
      <c r="BY166" s="2"/>
      <c r="BZ166" s="2"/>
      <c r="CA166" s="2">
        <v>3.7</v>
      </c>
      <c r="CB166" s="2"/>
      <c r="CC166" s="2"/>
      <c r="CD166" s="2"/>
      <c r="CE166" s="2"/>
      <c r="CF166" s="2"/>
      <c r="CG166" s="2"/>
      <c r="CH166" s="2">
        <v>0</v>
      </c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>
        <v>16.2</v>
      </c>
      <c r="CT166" s="2"/>
      <c r="CU166" s="2"/>
      <c r="CV166" s="2"/>
      <c r="CW166" s="2"/>
      <c r="CX166" s="2">
        <v>1</v>
      </c>
      <c r="CY166" s="2"/>
      <c r="CZ166" s="2">
        <v>0.4</v>
      </c>
      <c r="DB166">
        <v>1920</v>
      </c>
      <c r="DC166">
        <v>26.8</v>
      </c>
      <c r="DH166">
        <v>165</v>
      </c>
    </row>
    <row r="167" spans="1:112">
      <c r="A167" s="1">
        <v>41074</v>
      </c>
      <c r="B167" s="2"/>
      <c r="C167" s="2"/>
      <c r="D167" s="2">
        <v>11.4</v>
      </c>
      <c r="E167" s="2">
        <v>0.2</v>
      </c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>
        <v>0.7</v>
      </c>
      <c r="V167" s="2"/>
      <c r="W167" s="2"/>
      <c r="X167" s="2"/>
      <c r="Y167" s="2"/>
      <c r="Z167" s="2"/>
      <c r="AA167" s="2">
        <v>11.799999999988399</v>
      </c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>
        <v>0.39999999999963598</v>
      </c>
      <c r="AN167" s="2"/>
      <c r="AO167" s="2"/>
      <c r="AP167" s="2"/>
      <c r="AQ167" s="2"/>
      <c r="AR167" s="2"/>
      <c r="AS167" s="2">
        <v>6.3999999999941801</v>
      </c>
      <c r="AT167" s="2"/>
      <c r="AU167" s="2"/>
      <c r="AV167" s="2"/>
      <c r="AW167" s="2"/>
      <c r="AX167" s="2"/>
      <c r="AY167" s="2">
        <v>0.39999999999963598</v>
      </c>
      <c r="AZ167" s="2"/>
      <c r="BA167" s="2">
        <v>2.2999999999992702</v>
      </c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>
        <v>0.30000000000018201</v>
      </c>
      <c r="BN167" s="2"/>
      <c r="BO167" s="2">
        <v>1.39999999999964</v>
      </c>
      <c r="BP167" s="2">
        <v>0</v>
      </c>
      <c r="BQ167" s="2"/>
      <c r="BR167" s="2"/>
      <c r="BS167" s="2"/>
      <c r="BT167" s="2">
        <v>27.399999999994201</v>
      </c>
      <c r="BU167" s="2">
        <v>0.400000000000091</v>
      </c>
      <c r="BV167" s="2">
        <v>2.6</v>
      </c>
      <c r="BW167" s="2"/>
      <c r="BX167" s="2"/>
      <c r="BY167" s="2"/>
      <c r="BZ167" s="2"/>
      <c r="CA167" s="2">
        <v>5.2</v>
      </c>
      <c r="CB167" s="2"/>
      <c r="CC167" s="2">
        <v>0.8</v>
      </c>
      <c r="CD167" s="2"/>
      <c r="CE167" s="2">
        <v>1.2</v>
      </c>
      <c r="CF167" s="2"/>
      <c r="CG167" s="2"/>
      <c r="CH167" s="2">
        <v>0.2</v>
      </c>
      <c r="CI167" s="2">
        <v>12.3</v>
      </c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>
        <v>9.1</v>
      </c>
      <c r="CY167" s="2"/>
      <c r="CZ167" s="2">
        <v>18.5</v>
      </c>
      <c r="DB167">
        <v>1981</v>
      </c>
      <c r="DC167">
        <v>27.399999999994201</v>
      </c>
      <c r="DH167">
        <v>166</v>
      </c>
    </row>
    <row r="168" spans="1:112">
      <c r="A168" s="1">
        <v>41075</v>
      </c>
      <c r="B168" s="2"/>
      <c r="C168" s="2"/>
      <c r="D168" s="2">
        <v>3</v>
      </c>
      <c r="E168" s="2">
        <v>0.1</v>
      </c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>
        <v>0</v>
      </c>
      <c r="V168" s="2"/>
      <c r="W168" s="2"/>
      <c r="X168" s="2"/>
      <c r="Y168" s="2">
        <v>1.39999999999964</v>
      </c>
      <c r="Z168" s="2"/>
      <c r="AA168" s="2">
        <v>7.3999999999941801</v>
      </c>
      <c r="AB168" s="2"/>
      <c r="AC168" s="2"/>
      <c r="AD168" s="2"/>
      <c r="AE168" s="2"/>
      <c r="AF168" s="2"/>
      <c r="AG168" s="2"/>
      <c r="AH168" s="2"/>
      <c r="AI168" s="2"/>
      <c r="AJ168" s="2">
        <v>2</v>
      </c>
      <c r="AK168" s="2"/>
      <c r="AL168" s="2"/>
      <c r="AM168" s="2"/>
      <c r="AN168" s="2"/>
      <c r="AO168" s="2"/>
      <c r="AP168" s="2"/>
      <c r="AQ168" s="2"/>
      <c r="AR168" s="2"/>
      <c r="AS168" s="2"/>
      <c r="AT168" s="2">
        <v>3.5999999999985399</v>
      </c>
      <c r="AU168" s="2"/>
      <c r="AV168" s="2"/>
      <c r="AW168" s="2">
        <v>1.6999999999989099</v>
      </c>
      <c r="AX168" s="2"/>
      <c r="AY168" s="2"/>
      <c r="AZ168" s="2"/>
      <c r="BA168" s="2"/>
      <c r="BB168" s="2"/>
      <c r="BC168" s="2"/>
      <c r="BD168" s="2"/>
      <c r="BE168" s="2"/>
      <c r="BF168" s="2"/>
      <c r="BG168" s="2">
        <v>6.3000000000029104</v>
      </c>
      <c r="BH168" s="2"/>
      <c r="BI168" s="2"/>
      <c r="BJ168" s="2"/>
      <c r="BK168" s="2"/>
      <c r="BL168" s="2">
        <v>6.5999999999985501</v>
      </c>
      <c r="BM168" s="2"/>
      <c r="BN168" s="2"/>
      <c r="BO168" s="2"/>
      <c r="BP168" s="2"/>
      <c r="BQ168" s="2"/>
      <c r="BR168" s="2"/>
      <c r="BS168" s="2"/>
      <c r="BT168" s="2">
        <v>2.5</v>
      </c>
      <c r="BU168" s="2"/>
      <c r="BV168" s="2">
        <v>0.3</v>
      </c>
      <c r="BW168" s="2"/>
      <c r="BX168" s="2"/>
      <c r="BY168" s="2"/>
      <c r="BZ168" s="2"/>
      <c r="CA168" s="2"/>
      <c r="CB168" s="2">
        <v>5.5</v>
      </c>
      <c r="CC168" s="2"/>
      <c r="CD168" s="2"/>
      <c r="CE168" s="2">
        <v>10.6</v>
      </c>
      <c r="CF168" s="2">
        <v>0.5</v>
      </c>
      <c r="CG168" s="2">
        <v>32.4</v>
      </c>
      <c r="CH168" s="2"/>
      <c r="CI168" s="2"/>
      <c r="CJ168" s="2"/>
      <c r="CK168" s="2"/>
      <c r="CL168" s="2"/>
      <c r="CM168" s="2"/>
      <c r="CN168" s="2">
        <v>2.5</v>
      </c>
      <c r="CO168" s="2"/>
      <c r="CP168" s="2"/>
      <c r="CQ168" s="2"/>
      <c r="CR168" s="2"/>
      <c r="CS168" s="2">
        <v>0.1</v>
      </c>
      <c r="CT168" s="2"/>
      <c r="CU168" s="2"/>
      <c r="CV168" s="2"/>
      <c r="CW168" s="2"/>
      <c r="CX168" s="2"/>
      <c r="CY168" s="2"/>
      <c r="CZ168" s="2">
        <v>6.5</v>
      </c>
      <c r="DB168">
        <v>1994</v>
      </c>
      <c r="DC168">
        <v>32.4</v>
      </c>
      <c r="DH168">
        <v>167</v>
      </c>
    </row>
    <row r="169" spans="1:112">
      <c r="A169" s="1">
        <v>41076</v>
      </c>
      <c r="B169" s="2"/>
      <c r="C169" s="2"/>
      <c r="D169" s="2">
        <v>4</v>
      </c>
      <c r="E169" s="2"/>
      <c r="F169" s="2">
        <v>4</v>
      </c>
      <c r="G169" s="2"/>
      <c r="H169" s="2"/>
      <c r="I169" s="2"/>
      <c r="J169" s="2">
        <v>0.2</v>
      </c>
      <c r="K169" s="2"/>
      <c r="L169" s="2">
        <v>0.1</v>
      </c>
      <c r="M169" s="2"/>
      <c r="N169" s="2"/>
      <c r="O169" s="2">
        <v>2</v>
      </c>
      <c r="P169" s="2"/>
      <c r="Q169" s="2"/>
      <c r="R169" s="2"/>
      <c r="S169" s="2"/>
      <c r="T169" s="2"/>
      <c r="U169" s="2"/>
      <c r="V169" s="2"/>
      <c r="W169" s="2"/>
      <c r="X169" s="2">
        <v>0.2</v>
      </c>
      <c r="Y169" s="2">
        <v>7.5</v>
      </c>
      <c r="Z169" s="2"/>
      <c r="AA169" s="2"/>
      <c r="AB169" s="2"/>
      <c r="AC169" s="2">
        <v>28</v>
      </c>
      <c r="AD169" s="2"/>
      <c r="AE169" s="2"/>
      <c r="AF169" s="2"/>
      <c r="AG169" s="2"/>
      <c r="AH169" s="2"/>
      <c r="AI169" s="2"/>
      <c r="AJ169" s="2"/>
      <c r="AK169" s="2"/>
      <c r="AL169" s="2"/>
      <c r="AM169" s="2">
        <v>17</v>
      </c>
      <c r="AN169" s="2"/>
      <c r="AO169" s="2"/>
      <c r="AP169" s="2"/>
      <c r="AQ169" s="2"/>
      <c r="AR169" s="2"/>
      <c r="AS169" s="2">
        <v>0.5</v>
      </c>
      <c r="AT169" s="2">
        <v>3.7999999999992702</v>
      </c>
      <c r="AU169" s="2"/>
      <c r="AV169" s="2"/>
      <c r="AW169" s="2">
        <v>1.0999999999985499</v>
      </c>
      <c r="AX169" s="2"/>
      <c r="AY169" s="2"/>
      <c r="AZ169" s="2"/>
      <c r="BA169" s="2"/>
      <c r="BB169" s="2"/>
      <c r="BC169" s="2"/>
      <c r="BD169" s="2"/>
      <c r="BE169" s="2"/>
      <c r="BF169" s="2">
        <v>0.30000000000018201</v>
      </c>
      <c r="BG169" s="2">
        <v>0.400000000000091</v>
      </c>
      <c r="BH169" s="2">
        <v>9.3000000000029104</v>
      </c>
      <c r="BI169" s="2">
        <v>0.100000000000023</v>
      </c>
      <c r="BJ169" s="2"/>
      <c r="BK169" s="2"/>
      <c r="BL169" s="2"/>
      <c r="BM169" s="2">
        <v>0</v>
      </c>
      <c r="BN169" s="2"/>
      <c r="BO169" s="2"/>
      <c r="BP169" s="2"/>
      <c r="BQ169" s="2"/>
      <c r="BR169" s="2"/>
      <c r="BS169" s="2">
        <v>2.5</v>
      </c>
      <c r="BT169" s="2">
        <v>0</v>
      </c>
      <c r="BU169" s="2"/>
      <c r="BV169" s="2">
        <v>4.4000000000000004</v>
      </c>
      <c r="BW169" s="2"/>
      <c r="BX169" s="2"/>
      <c r="BY169" s="2"/>
      <c r="BZ169" s="2"/>
      <c r="CA169" s="2"/>
      <c r="CB169" s="2"/>
      <c r="CC169" s="2"/>
      <c r="CD169" s="2"/>
      <c r="CE169" s="2">
        <v>11</v>
      </c>
      <c r="CF169" s="2"/>
      <c r="CG169" s="2"/>
      <c r="CH169" s="2"/>
      <c r="CI169" s="2">
        <v>1.5</v>
      </c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>
        <v>2.7</v>
      </c>
      <c r="CY169" s="2"/>
      <c r="CZ169" s="2"/>
      <c r="DB169">
        <v>1938</v>
      </c>
      <c r="DC169">
        <v>28</v>
      </c>
      <c r="DH169">
        <v>168</v>
      </c>
    </row>
    <row r="170" spans="1:112">
      <c r="A170" s="1">
        <v>41077</v>
      </c>
      <c r="B170" s="2"/>
      <c r="C170" s="2"/>
      <c r="D170" s="2"/>
      <c r="E170" s="2">
        <v>1.6</v>
      </c>
      <c r="F170" s="2">
        <v>0.1</v>
      </c>
      <c r="G170" s="2"/>
      <c r="H170" s="2"/>
      <c r="I170" s="2"/>
      <c r="J170" s="2"/>
      <c r="K170" s="2"/>
      <c r="L170" s="2">
        <v>0.9</v>
      </c>
      <c r="M170" s="2"/>
      <c r="N170" s="2"/>
      <c r="O170" s="2">
        <v>2.7</v>
      </c>
      <c r="P170" s="2"/>
      <c r="Q170" s="2"/>
      <c r="R170" s="2"/>
      <c r="S170" s="2"/>
      <c r="T170" s="2"/>
      <c r="U170" s="2">
        <v>12.9</v>
      </c>
      <c r="V170" s="2"/>
      <c r="W170" s="2">
        <v>0.6</v>
      </c>
      <c r="X170" s="2"/>
      <c r="Y170" s="2"/>
      <c r="Z170" s="2"/>
      <c r="AA170" s="2"/>
      <c r="AB170" s="2"/>
      <c r="AC170" s="2"/>
      <c r="AD170" s="2"/>
      <c r="AE170" s="2"/>
      <c r="AF170" s="2">
        <v>0.29999999999972699</v>
      </c>
      <c r="AG170" s="2"/>
      <c r="AH170" s="2"/>
      <c r="AI170" s="2"/>
      <c r="AJ170" s="2"/>
      <c r="AK170" s="2">
        <v>0.19999999999981799</v>
      </c>
      <c r="AL170" s="2"/>
      <c r="AM170" s="2"/>
      <c r="AN170" s="2"/>
      <c r="AO170" s="2"/>
      <c r="AP170" s="2"/>
      <c r="AQ170" s="2"/>
      <c r="AR170" s="2">
        <v>1.79999999999927</v>
      </c>
      <c r="AS170" s="2"/>
      <c r="AT170" s="2">
        <v>5.8999999999941801</v>
      </c>
      <c r="AU170" s="2"/>
      <c r="AV170" s="2"/>
      <c r="AW170" s="2"/>
      <c r="AX170" s="2"/>
      <c r="AY170" s="2"/>
      <c r="AZ170" s="2"/>
      <c r="BA170" s="2"/>
      <c r="BB170" s="2">
        <v>0.19999999999981799</v>
      </c>
      <c r="BC170" s="2"/>
      <c r="BD170" s="2"/>
      <c r="BE170" s="2"/>
      <c r="BF170" s="2"/>
      <c r="BG170" s="2">
        <v>6.3000000000029104</v>
      </c>
      <c r="BH170" s="2">
        <v>6.9000000000014596</v>
      </c>
      <c r="BI170" s="2"/>
      <c r="BJ170" s="2"/>
      <c r="BK170" s="2"/>
      <c r="BL170" s="2"/>
      <c r="BM170" s="2">
        <v>0.100000000000023</v>
      </c>
      <c r="BN170" s="2">
        <v>0.100000000000023</v>
      </c>
      <c r="BO170" s="2"/>
      <c r="BP170" s="2"/>
      <c r="BQ170" s="2"/>
      <c r="BR170" s="2"/>
      <c r="BS170" s="2"/>
      <c r="BT170" s="2"/>
      <c r="BU170" s="2">
        <v>0.200000000000045</v>
      </c>
      <c r="BV170" s="2">
        <v>5.7</v>
      </c>
      <c r="BW170" s="2"/>
      <c r="BX170" s="2">
        <v>1</v>
      </c>
      <c r="BY170" s="2"/>
      <c r="BZ170" s="2"/>
      <c r="CA170" s="2"/>
      <c r="CB170" s="2">
        <v>0.3</v>
      </c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>
        <v>0.5</v>
      </c>
      <c r="CN170" s="2"/>
      <c r="CO170" s="2"/>
      <c r="CP170" s="2">
        <v>2</v>
      </c>
      <c r="CQ170" s="2"/>
      <c r="CR170" s="2"/>
      <c r="CS170" s="2"/>
      <c r="CT170" s="2"/>
      <c r="CU170" s="2"/>
      <c r="CV170" s="2">
        <v>0.1</v>
      </c>
      <c r="CW170" s="2"/>
      <c r="CX170" s="2"/>
      <c r="CY170" s="2"/>
      <c r="CZ170" s="2"/>
      <c r="DB170">
        <v>1930</v>
      </c>
      <c r="DC170">
        <v>12.9</v>
      </c>
      <c r="DH170">
        <v>169</v>
      </c>
    </row>
    <row r="171" spans="1:112">
      <c r="A171" s="1">
        <v>41078</v>
      </c>
      <c r="B171" s="2"/>
      <c r="C171" s="2"/>
      <c r="D171" s="2"/>
      <c r="E171" s="2">
        <v>0.2</v>
      </c>
      <c r="F171" s="2"/>
      <c r="G171" s="2"/>
      <c r="H171" s="2">
        <v>28.2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>
        <v>0.5</v>
      </c>
      <c r="Z171" s="2"/>
      <c r="AA171" s="2"/>
      <c r="AB171" s="2"/>
      <c r="AC171" s="2"/>
      <c r="AD171" s="2">
        <v>8.2999999999883602</v>
      </c>
      <c r="AE171" s="2"/>
      <c r="AF171" s="2">
        <v>5.8999999999941801</v>
      </c>
      <c r="AG171" s="2"/>
      <c r="AH171" s="2"/>
      <c r="AI171" s="2"/>
      <c r="AJ171" s="2"/>
      <c r="AK171" s="2">
        <v>1</v>
      </c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>
        <v>0.5</v>
      </c>
      <c r="AZ171" s="2"/>
      <c r="BA171" s="2"/>
      <c r="BB171" s="2">
        <v>6.8999999999941801</v>
      </c>
      <c r="BC171" s="2"/>
      <c r="BD171" s="2">
        <v>2.5999999999985399</v>
      </c>
      <c r="BE171" s="2"/>
      <c r="BF171" s="2"/>
      <c r="BG171" s="2"/>
      <c r="BH171" s="2">
        <v>0.100000000000023</v>
      </c>
      <c r="BI171" s="2"/>
      <c r="BJ171" s="2"/>
      <c r="BK171" s="2">
        <v>1.89999999999964</v>
      </c>
      <c r="BL171" s="2">
        <v>0.100000000000023</v>
      </c>
      <c r="BM171" s="2"/>
      <c r="BN171" s="2"/>
      <c r="BO171" s="2">
        <v>0</v>
      </c>
      <c r="BP171" s="2"/>
      <c r="BQ171" s="2"/>
      <c r="BR171" s="2"/>
      <c r="BS171" s="2"/>
      <c r="BT171" s="2"/>
      <c r="BU171" s="2"/>
      <c r="BV171" s="2">
        <v>0.5</v>
      </c>
      <c r="BW171" s="2"/>
      <c r="BX171" s="2">
        <v>0.9</v>
      </c>
      <c r="BY171" s="2"/>
      <c r="BZ171" s="2">
        <v>57</v>
      </c>
      <c r="CA171" s="2"/>
      <c r="CB171" s="2">
        <v>9.1</v>
      </c>
      <c r="CC171" s="2">
        <v>9.1</v>
      </c>
      <c r="CD171" s="2"/>
      <c r="CE171" s="2">
        <v>0.4</v>
      </c>
      <c r="CF171" s="2">
        <v>2.1</v>
      </c>
      <c r="CG171" s="2"/>
      <c r="CH171" s="2"/>
      <c r="CI171" s="2"/>
      <c r="CJ171" s="2"/>
      <c r="CK171" s="2"/>
      <c r="CL171" s="2"/>
      <c r="CM171" s="2">
        <v>6</v>
      </c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B171">
        <v>1987</v>
      </c>
      <c r="DC171">
        <v>57</v>
      </c>
      <c r="DH171">
        <v>170</v>
      </c>
    </row>
    <row r="172" spans="1:112">
      <c r="A172" s="1">
        <v>41079</v>
      </c>
      <c r="B172" s="2"/>
      <c r="C172" s="2"/>
      <c r="D172" s="2"/>
      <c r="E172" s="2">
        <v>1</v>
      </c>
      <c r="F172" s="2"/>
      <c r="G172" s="2"/>
      <c r="H172" s="2">
        <v>3.7</v>
      </c>
      <c r="I172" s="2"/>
      <c r="J172" s="2"/>
      <c r="K172" s="2"/>
      <c r="L172" s="2">
        <v>0.5</v>
      </c>
      <c r="M172" s="2"/>
      <c r="N172" s="2"/>
      <c r="O172" s="2">
        <v>5.7</v>
      </c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>
        <v>0.1</v>
      </c>
      <c r="AE172" s="2"/>
      <c r="AF172" s="2">
        <v>0.29999999999972699</v>
      </c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>
        <v>0.200000000000045</v>
      </c>
      <c r="BJ172" s="2">
        <v>3.5999999999985399</v>
      </c>
      <c r="BK172" s="2">
        <v>2.0999999999985399</v>
      </c>
      <c r="BL172" s="2">
        <v>0.400000000000091</v>
      </c>
      <c r="BM172" s="2"/>
      <c r="BN172" s="2"/>
      <c r="BO172" s="2"/>
      <c r="BP172" s="2"/>
      <c r="BQ172" s="2">
        <v>2.2999999999992702</v>
      </c>
      <c r="BR172" s="2"/>
      <c r="BS172" s="2"/>
      <c r="BT172" s="2"/>
      <c r="BU172" s="2"/>
      <c r="BV172" s="2"/>
      <c r="BW172" s="2"/>
      <c r="BX172" s="2"/>
      <c r="BY172" s="2"/>
      <c r="BZ172" s="2">
        <v>1</v>
      </c>
      <c r="CA172" s="2">
        <v>4.8</v>
      </c>
      <c r="CB172" s="2">
        <v>1.4</v>
      </c>
      <c r="CC172" s="2"/>
      <c r="CD172" s="2"/>
      <c r="CE172" s="2">
        <v>1.1000000000000001</v>
      </c>
      <c r="CF172" s="2">
        <v>30.5</v>
      </c>
      <c r="CG172" s="2"/>
      <c r="CH172" s="2"/>
      <c r="CI172" s="2"/>
      <c r="CJ172" s="2"/>
      <c r="CK172" s="2"/>
      <c r="CL172" s="2"/>
      <c r="CM172" s="2">
        <v>0.3</v>
      </c>
      <c r="CN172" s="2"/>
      <c r="CO172" s="2"/>
      <c r="CP172" s="2"/>
      <c r="CQ172" s="2"/>
      <c r="CR172" s="2">
        <v>0.3</v>
      </c>
      <c r="CS172" s="2"/>
      <c r="CT172" s="2"/>
      <c r="CU172" s="2">
        <v>0.1</v>
      </c>
      <c r="CV172" s="2"/>
      <c r="CW172" s="2"/>
      <c r="CX172" s="2"/>
      <c r="CY172" s="2"/>
      <c r="CZ172" s="2"/>
      <c r="DB172">
        <v>1993</v>
      </c>
      <c r="DC172">
        <v>30.5</v>
      </c>
      <c r="DH172">
        <v>171</v>
      </c>
    </row>
    <row r="173" spans="1:112">
      <c r="A173" s="1">
        <v>41080</v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>
        <v>91</v>
      </c>
      <c r="P173" s="2">
        <v>4.3</v>
      </c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>
        <v>5.5999999999985501</v>
      </c>
      <c r="AE173" s="2"/>
      <c r="AF173" s="2">
        <v>6.6999999999970896</v>
      </c>
      <c r="AG173" s="2"/>
      <c r="AH173" s="2">
        <v>46.099999999976703</v>
      </c>
      <c r="AI173" s="2"/>
      <c r="AJ173" s="2"/>
      <c r="AK173" s="2"/>
      <c r="AL173" s="2">
        <v>2.7999999999992702</v>
      </c>
      <c r="AM173" s="2"/>
      <c r="AN173" s="2">
        <v>13.599999999991301</v>
      </c>
      <c r="AO173" s="2">
        <v>4.6999999999970896</v>
      </c>
      <c r="AP173" s="2"/>
      <c r="AQ173" s="2"/>
      <c r="AR173" s="2">
        <v>0.5</v>
      </c>
      <c r="AS173" s="2"/>
      <c r="AT173" s="2"/>
      <c r="AU173" s="2"/>
      <c r="AV173" s="2"/>
      <c r="AW173" s="2"/>
      <c r="AX173" s="2"/>
      <c r="AY173" s="2"/>
      <c r="AZ173" s="2">
        <v>19</v>
      </c>
      <c r="BA173" s="2"/>
      <c r="BB173" s="2"/>
      <c r="BC173" s="2"/>
      <c r="BD173" s="2"/>
      <c r="BE173" s="2"/>
      <c r="BF173" s="2"/>
      <c r="BG173" s="2"/>
      <c r="BH173" s="2"/>
      <c r="BI173" s="2">
        <v>0.89999999999963598</v>
      </c>
      <c r="BJ173" s="2">
        <v>0.60000000000036402</v>
      </c>
      <c r="BK173" s="2">
        <v>6</v>
      </c>
      <c r="BL173" s="2">
        <v>12</v>
      </c>
      <c r="BM173" s="2">
        <v>8.3000000000029104</v>
      </c>
      <c r="BN173" s="2"/>
      <c r="BO173" s="2"/>
      <c r="BP173" s="2">
        <v>8.8999999999941792</v>
      </c>
      <c r="BQ173" s="2"/>
      <c r="BR173" s="2"/>
      <c r="BS173" s="2">
        <v>0</v>
      </c>
      <c r="BT173" s="2">
        <v>0.400000000000091</v>
      </c>
      <c r="BU173" s="2">
        <v>1.5</v>
      </c>
      <c r="BV173" s="2"/>
      <c r="BW173" s="2"/>
      <c r="BX173" s="2"/>
      <c r="BY173" s="2"/>
      <c r="BZ173" s="2"/>
      <c r="CA173" s="2">
        <v>0.3</v>
      </c>
      <c r="CB173" s="2"/>
      <c r="CC173" s="2"/>
      <c r="CD173" s="2"/>
      <c r="CE173" s="2"/>
      <c r="CF173" s="2"/>
      <c r="CG173" s="2"/>
      <c r="CH173" s="2">
        <v>3</v>
      </c>
      <c r="CI173" s="2"/>
      <c r="CJ173" s="2"/>
      <c r="CK173" s="2"/>
      <c r="CL173" s="2"/>
      <c r="CM173" s="2"/>
      <c r="CN173" s="2">
        <v>1</v>
      </c>
      <c r="CO173" s="2"/>
      <c r="CP173" s="2"/>
      <c r="CQ173" s="2"/>
      <c r="CR173" s="2">
        <v>0.1</v>
      </c>
      <c r="CS173" s="2"/>
      <c r="CT173" s="2"/>
      <c r="CU173" s="2"/>
      <c r="CV173" s="2"/>
      <c r="CW173" s="2">
        <v>5.7</v>
      </c>
      <c r="CX173" s="2"/>
      <c r="CY173" s="2"/>
      <c r="CZ173" s="2"/>
      <c r="DB173">
        <v>1924</v>
      </c>
      <c r="DC173">
        <v>91</v>
      </c>
      <c r="DH173">
        <v>172</v>
      </c>
    </row>
    <row r="174" spans="1:112">
      <c r="A174" s="1">
        <v>41081</v>
      </c>
      <c r="B174" s="2"/>
      <c r="C174" s="2"/>
      <c r="D174" s="2"/>
      <c r="E174" s="2">
        <v>0.2</v>
      </c>
      <c r="F174" s="2"/>
      <c r="G174" s="2"/>
      <c r="H174" s="2"/>
      <c r="I174" s="2"/>
      <c r="J174" s="2"/>
      <c r="K174" s="2">
        <v>0.3</v>
      </c>
      <c r="L174" s="2"/>
      <c r="M174" s="2">
        <v>10.199999999999999</v>
      </c>
      <c r="N174" s="2"/>
      <c r="O174" s="2"/>
      <c r="P174" s="2"/>
      <c r="Q174" s="2"/>
      <c r="R174" s="2"/>
      <c r="S174" s="2"/>
      <c r="T174" s="2"/>
      <c r="U174" s="2">
        <v>1.7</v>
      </c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>
        <v>18.299999999988401</v>
      </c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>
        <v>7.3000000000029104</v>
      </c>
      <c r="BG174" s="2">
        <v>0.100000000000023</v>
      </c>
      <c r="BH174" s="2">
        <v>0.30000000000018201</v>
      </c>
      <c r="BI174" s="2">
        <v>0.100000000000023</v>
      </c>
      <c r="BJ174" s="2"/>
      <c r="BK174" s="2">
        <v>8</v>
      </c>
      <c r="BL174" s="2"/>
      <c r="BM174" s="2"/>
      <c r="BN174" s="2">
        <v>0.80000000000018201</v>
      </c>
      <c r="BO174" s="2"/>
      <c r="BP174" s="2">
        <v>0.200000000000045</v>
      </c>
      <c r="BQ174" s="2"/>
      <c r="BR174" s="2">
        <v>3</v>
      </c>
      <c r="BS174" s="2"/>
      <c r="BT174" s="2">
        <v>2.9000000000014601</v>
      </c>
      <c r="BU174" s="2">
        <v>0.4</v>
      </c>
      <c r="BV174" s="2"/>
      <c r="BW174" s="2"/>
      <c r="BX174" s="2">
        <v>0.1</v>
      </c>
      <c r="BY174" s="2"/>
      <c r="BZ174" s="2">
        <v>0</v>
      </c>
      <c r="CA174" s="2">
        <v>36</v>
      </c>
      <c r="CB174" s="2"/>
      <c r="CC174" s="2"/>
      <c r="CD174" s="2">
        <v>0.4</v>
      </c>
      <c r="CE174" s="2">
        <v>7.5</v>
      </c>
      <c r="CF174" s="2"/>
      <c r="CG174" s="2"/>
      <c r="CH174" s="2"/>
      <c r="CI174" s="2"/>
      <c r="CJ174" s="2"/>
      <c r="CK174" s="2">
        <v>3.5</v>
      </c>
      <c r="CL174" s="2"/>
      <c r="CM174" s="2"/>
      <c r="CN174" s="2"/>
      <c r="CO174" s="2"/>
      <c r="CP174" s="2"/>
      <c r="CQ174" s="2"/>
      <c r="CR174" s="2"/>
      <c r="CS174" s="2"/>
      <c r="CT174" s="2"/>
      <c r="CU174" s="2">
        <v>0.3</v>
      </c>
      <c r="CV174" s="2"/>
      <c r="CW174" s="2"/>
      <c r="CX174" s="2"/>
      <c r="CY174" s="2"/>
      <c r="CZ174" s="2"/>
      <c r="DB174">
        <v>1988</v>
      </c>
      <c r="DC174">
        <v>36</v>
      </c>
      <c r="DH174">
        <v>173</v>
      </c>
    </row>
    <row r="175" spans="1:112">
      <c r="A175" s="1">
        <v>41082</v>
      </c>
      <c r="B175" s="2"/>
      <c r="C175" s="2">
        <v>3.2</v>
      </c>
      <c r="D175" s="2"/>
      <c r="E175" s="2">
        <v>0.2</v>
      </c>
      <c r="F175" s="2"/>
      <c r="G175" s="2"/>
      <c r="H175" s="2"/>
      <c r="I175" s="2">
        <v>5.9</v>
      </c>
      <c r="J175" s="2"/>
      <c r="K175" s="2"/>
      <c r="L175" s="2">
        <v>15.7</v>
      </c>
      <c r="M175" s="2">
        <v>3.1</v>
      </c>
      <c r="N175" s="2"/>
      <c r="O175" s="2"/>
      <c r="P175" s="2"/>
      <c r="Q175" s="2">
        <v>0.3</v>
      </c>
      <c r="R175" s="2"/>
      <c r="S175" s="2">
        <v>7.3</v>
      </c>
      <c r="T175" s="2"/>
      <c r="U175" s="2"/>
      <c r="V175" s="2"/>
      <c r="W175" s="2"/>
      <c r="X175" s="2"/>
      <c r="Y175" s="2"/>
      <c r="Z175" s="2">
        <v>0.19999999999981799</v>
      </c>
      <c r="AA175" s="2"/>
      <c r="AB175" s="2"/>
      <c r="AC175" s="2"/>
      <c r="AD175" s="2">
        <v>2.6999999999970901</v>
      </c>
      <c r="AE175" s="2"/>
      <c r="AF175" s="2"/>
      <c r="AG175" s="2"/>
      <c r="AH175" s="2">
        <v>0.39999999999963598</v>
      </c>
      <c r="AI175" s="2"/>
      <c r="AJ175" s="2"/>
      <c r="AK175" s="2"/>
      <c r="AL175" s="2"/>
      <c r="AM175" s="2"/>
      <c r="AN175" s="2">
        <v>0.89999999999963598</v>
      </c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>
        <v>7.6999999999970896</v>
      </c>
      <c r="AZ175" s="2"/>
      <c r="BA175" s="2"/>
      <c r="BB175" s="2"/>
      <c r="BC175" s="2"/>
      <c r="BD175" s="2"/>
      <c r="BE175" s="2"/>
      <c r="BF175" s="2">
        <v>7</v>
      </c>
      <c r="BG175" s="2"/>
      <c r="BH175" s="2">
        <v>10.6999999999971</v>
      </c>
      <c r="BI175" s="2"/>
      <c r="BJ175" s="2"/>
      <c r="BK175" s="2"/>
      <c r="BL175" s="2"/>
      <c r="BM175" s="2">
        <v>0.100000000000023</v>
      </c>
      <c r="BN175" s="2">
        <v>7.5</v>
      </c>
      <c r="BO175" s="2"/>
      <c r="BP175" s="2"/>
      <c r="BQ175" s="2"/>
      <c r="BR175" s="2"/>
      <c r="BS175" s="2"/>
      <c r="BT175" s="2">
        <v>0.89999999999963598</v>
      </c>
      <c r="BU175" s="2"/>
      <c r="BV175" s="2"/>
      <c r="BW175" s="2"/>
      <c r="BX175" s="2"/>
      <c r="BY175" s="2"/>
      <c r="BZ175" s="2">
        <v>0.7</v>
      </c>
      <c r="CA175" s="2">
        <v>0.4</v>
      </c>
      <c r="CB175" s="2">
        <v>0.1</v>
      </c>
      <c r="CC175" s="2"/>
      <c r="CD175" s="2"/>
      <c r="CE175" s="2"/>
      <c r="CF175" s="2"/>
      <c r="CG175" s="2"/>
      <c r="CH175" s="2"/>
      <c r="CI175" s="2"/>
      <c r="CJ175" s="2"/>
      <c r="CK175" s="2"/>
      <c r="CL175" s="2">
        <v>1.3</v>
      </c>
      <c r="CM175" s="2"/>
      <c r="CN175" s="2"/>
      <c r="CO175" s="2"/>
      <c r="CP175" s="2"/>
      <c r="CQ175" s="2">
        <v>2.4</v>
      </c>
      <c r="CR175" s="2"/>
      <c r="CS175" s="2"/>
      <c r="CT175" s="2"/>
      <c r="CU175" s="2"/>
      <c r="CV175" s="2"/>
      <c r="CW175" s="2">
        <v>15.6</v>
      </c>
      <c r="CX175" s="2"/>
      <c r="CY175" s="2"/>
      <c r="CZ175" s="2"/>
      <c r="DB175">
        <v>1921</v>
      </c>
      <c r="DC175">
        <v>15.7</v>
      </c>
      <c r="DH175">
        <v>174</v>
      </c>
    </row>
    <row r="176" spans="1:112">
      <c r="A176" s="1">
        <v>41083</v>
      </c>
      <c r="B176" s="2"/>
      <c r="C176" s="2"/>
      <c r="D176" s="2"/>
      <c r="E176" s="2">
        <v>0.5</v>
      </c>
      <c r="F176" s="2"/>
      <c r="G176" s="2"/>
      <c r="H176" s="2"/>
      <c r="I176" s="2">
        <v>4.4000000000000004</v>
      </c>
      <c r="J176" s="2"/>
      <c r="K176" s="2"/>
      <c r="L176" s="2"/>
      <c r="M176" s="2">
        <v>0.2</v>
      </c>
      <c r="N176" s="2"/>
      <c r="O176" s="2"/>
      <c r="P176" s="2"/>
      <c r="Q176" s="2">
        <v>1.7</v>
      </c>
      <c r="R176" s="2"/>
      <c r="S176" s="2"/>
      <c r="T176" s="2"/>
      <c r="U176" s="2"/>
      <c r="V176" s="2"/>
      <c r="W176" s="2"/>
      <c r="X176" s="2"/>
      <c r="Y176" s="2"/>
      <c r="Z176" s="2"/>
      <c r="AA176" s="2">
        <v>7.8999999999941801</v>
      </c>
      <c r="AB176" s="2"/>
      <c r="AC176" s="2"/>
      <c r="AD176" s="2">
        <v>0</v>
      </c>
      <c r="AE176" s="2"/>
      <c r="AF176" s="2"/>
      <c r="AG176" s="2">
        <v>3.2999999999992702</v>
      </c>
      <c r="AH176" s="2"/>
      <c r="AI176" s="2"/>
      <c r="AJ176" s="2">
        <v>9.9999999999908995E-2</v>
      </c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>
        <v>10.5</v>
      </c>
      <c r="AZ176" s="2"/>
      <c r="BA176" s="2"/>
      <c r="BB176" s="2"/>
      <c r="BC176" s="2"/>
      <c r="BD176" s="2"/>
      <c r="BE176" s="2"/>
      <c r="BF176" s="2">
        <v>0.5</v>
      </c>
      <c r="BG176" s="2"/>
      <c r="BH176" s="2">
        <v>1.70000000000073</v>
      </c>
      <c r="BI176" s="2"/>
      <c r="BJ176" s="2"/>
      <c r="BK176" s="2"/>
      <c r="BL176" s="2"/>
      <c r="BM176" s="2">
        <v>0</v>
      </c>
      <c r="BN176" s="2">
        <v>0.80000000000018201</v>
      </c>
      <c r="BO176" s="2"/>
      <c r="BP176" s="2"/>
      <c r="BQ176" s="2"/>
      <c r="BR176" s="2">
        <v>0.1</v>
      </c>
      <c r="BS176" s="2"/>
      <c r="BT176" s="2">
        <v>0.5</v>
      </c>
      <c r="BU176" s="2"/>
      <c r="BV176" s="2"/>
      <c r="BW176" s="2">
        <v>6</v>
      </c>
      <c r="BX176" s="2"/>
      <c r="BY176" s="2"/>
      <c r="BZ176" s="2">
        <v>0.4</v>
      </c>
      <c r="CA176" s="2"/>
      <c r="CB176" s="2"/>
      <c r="CC176" s="2"/>
      <c r="CD176" s="2">
        <v>0.1</v>
      </c>
      <c r="CE176" s="2"/>
      <c r="CF176" s="2"/>
      <c r="CG176" s="2"/>
      <c r="CH176" s="2"/>
      <c r="CI176" s="2"/>
      <c r="CJ176" s="2"/>
      <c r="CK176" s="2"/>
      <c r="CL176" s="2">
        <v>1</v>
      </c>
      <c r="CM176" s="2"/>
      <c r="CN176" s="2"/>
      <c r="CO176" s="2"/>
      <c r="CP176" s="2"/>
      <c r="CQ176" s="2">
        <v>8.8000000000000007</v>
      </c>
      <c r="CR176" s="2">
        <v>3.8</v>
      </c>
      <c r="CS176" s="2"/>
      <c r="CT176" s="2"/>
      <c r="CU176" s="2"/>
      <c r="CV176" s="2"/>
      <c r="CW176" s="2">
        <v>31.6</v>
      </c>
      <c r="CX176" s="2"/>
      <c r="CY176" s="2"/>
      <c r="CZ176" s="2"/>
      <c r="DB176">
        <v>2010</v>
      </c>
      <c r="DC176">
        <v>31.6</v>
      </c>
      <c r="DH176">
        <v>175</v>
      </c>
    </row>
    <row r="177" spans="1:112">
      <c r="A177" s="1">
        <v>41084</v>
      </c>
      <c r="B177" s="2"/>
      <c r="C177" s="2"/>
      <c r="D177" s="2"/>
      <c r="E177" s="2">
        <v>0.5</v>
      </c>
      <c r="F177" s="2"/>
      <c r="G177" s="2"/>
      <c r="H177" s="2"/>
      <c r="I177" s="2"/>
      <c r="J177" s="2"/>
      <c r="K177" s="2"/>
      <c r="L177" s="2"/>
      <c r="M177" s="2">
        <v>0.1</v>
      </c>
      <c r="N177" s="2">
        <v>6.9</v>
      </c>
      <c r="O177" s="2"/>
      <c r="P177" s="2"/>
      <c r="Q177" s="2">
        <v>0.5</v>
      </c>
      <c r="R177" s="2"/>
      <c r="S177" s="2"/>
      <c r="T177" s="2"/>
      <c r="U177" s="2"/>
      <c r="V177" s="2"/>
      <c r="W177" s="2"/>
      <c r="X177" s="2"/>
      <c r="Y177" s="2"/>
      <c r="Z177" s="2">
        <v>1.5</v>
      </c>
      <c r="AA177" s="2"/>
      <c r="AB177" s="2"/>
      <c r="AC177" s="2"/>
      <c r="AD177" s="2">
        <v>2.0999999999985399</v>
      </c>
      <c r="AE177" s="2"/>
      <c r="AF177" s="2"/>
      <c r="AG177" s="2">
        <v>3.5</v>
      </c>
      <c r="AH177" s="2"/>
      <c r="AI177" s="2"/>
      <c r="AJ177" s="2"/>
      <c r="AK177" s="2"/>
      <c r="AL177" s="2"/>
      <c r="AM177" s="2">
        <v>22.599999999976699</v>
      </c>
      <c r="AN177" s="2"/>
      <c r="AO177" s="2"/>
      <c r="AP177" s="2"/>
      <c r="AQ177" s="2"/>
      <c r="AR177" s="2"/>
      <c r="AS177" s="2"/>
      <c r="AT177" s="2"/>
      <c r="AU177" s="2">
        <v>1.89999999999964</v>
      </c>
      <c r="AV177" s="2"/>
      <c r="AW177" s="2"/>
      <c r="AX177" s="2"/>
      <c r="AY177" s="2">
        <v>25.5</v>
      </c>
      <c r="AZ177" s="2"/>
      <c r="BA177" s="2"/>
      <c r="BB177" s="2"/>
      <c r="BC177" s="2">
        <v>0.200000000000045</v>
      </c>
      <c r="BD177" s="2"/>
      <c r="BE177" s="2"/>
      <c r="BF177" s="2"/>
      <c r="BG177" s="2"/>
      <c r="BH177" s="2"/>
      <c r="BI177" s="2"/>
      <c r="BJ177" s="2">
        <v>0</v>
      </c>
      <c r="BK177" s="2"/>
      <c r="BL177" s="2"/>
      <c r="BM177" s="2"/>
      <c r="BN177" s="2"/>
      <c r="BO177" s="2"/>
      <c r="BP177" s="2">
        <v>0</v>
      </c>
      <c r="BQ177" s="2"/>
      <c r="BR177" s="2">
        <v>0.1</v>
      </c>
      <c r="BS177" s="2"/>
      <c r="BT177" s="2"/>
      <c r="BU177" s="2"/>
      <c r="BV177" s="2">
        <v>0</v>
      </c>
      <c r="BW177" s="2"/>
      <c r="BX177" s="2">
        <v>7</v>
      </c>
      <c r="BY177" s="2"/>
      <c r="BZ177" s="2">
        <v>0.1</v>
      </c>
      <c r="CA177" s="2">
        <v>14.8</v>
      </c>
      <c r="CB177" s="2"/>
      <c r="CC177" s="2">
        <v>1.1000000000000001</v>
      </c>
      <c r="CD177" s="2"/>
      <c r="CE177" s="2"/>
      <c r="CF177" s="2"/>
      <c r="CG177" s="2"/>
      <c r="CH177" s="2">
        <v>0.1</v>
      </c>
      <c r="CI177" s="2"/>
      <c r="CJ177" s="2"/>
      <c r="CK177" s="2"/>
      <c r="CL177" s="2">
        <v>11</v>
      </c>
      <c r="CM177" s="2"/>
      <c r="CN177" s="2"/>
      <c r="CO177" s="2"/>
      <c r="CP177" s="2"/>
      <c r="CQ177" s="2"/>
      <c r="CR177" s="2">
        <v>2.4</v>
      </c>
      <c r="CS177" s="2"/>
      <c r="CT177" s="2"/>
      <c r="CU177" s="2"/>
      <c r="CV177" s="2"/>
      <c r="CW177" s="2">
        <v>4.5</v>
      </c>
      <c r="CX177" s="2"/>
      <c r="CY177" s="2"/>
      <c r="CZ177" s="2"/>
      <c r="DB177">
        <v>1960</v>
      </c>
      <c r="DC177">
        <v>25.5</v>
      </c>
      <c r="DH177">
        <v>176</v>
      </c>
    </row>
    <row r="178" spans="1:112">
      <c r="A178" s="1">
        <v>41085</v>
      </c>
      <c r="B178" s="2"/>
      <c r="C178" s="2"/>
      <c r="D178" s="2">
        <v>0.5</v>
      </c>
      <c r="E178" s="2">
        <v>0.3</v>
      </c>
      <c r="F178" s="2"/>
      <c r="G178" s="2"/>
      <c r="H178" s="2"/>
      <c r="I178" s="2"/>
      <c r="J178" s="2"/>
      <c r="K178" s="2">
        <v>6.4</v>
      </c>
      <c r="L178" s="2"/>
      <c r="M178" s="2">
        <v>0.4</v>
      </c>
      <c r="N178" s="2">
        <v>0.1</v>
      </c>
      <c r="O178" s="2"/>
      <c r="P178" s="2"/>
      <c r="Q178" s="2">
        <v>5</v>
      </c>
      <c r="R178" s="2"/>
      <c r="S178" s="2"/>
      <c r="T178" s="2"/>
      <c r="U178" s="2"/>
      <c r="V178" s="2"/>
      <c r="W178" s="2"/>
      <c r="X178" s="2"/>
      <c r="Y178" s="2"/>
      <c r="Z178" s="2">
        <v>6</v>
      </c>
      <c r="AA178" s="2"/>
      <c r="AB178" s="2"/>
      <c r="AC178" s="2"/>
      <c r="AD178" s="2"/>
      <c r="AE178" s="2"/>
      <c r="AF178" s="2"/>
      <c r="AG178" s="2">
        <v>9.9999999999908995E-2</v>
      </c>
      <c r="AH178" s="2"/>
      <c r="AI178" s="2">
        <v>0.29999999999972699</v>
      </c>
      <c r="AJ178" s="2">
        <v>0.59999999999945397</v>
      </c>
      <c r="AK178" s="2"/>
      <c r="AL178" s="2"/>
      <c r="AM178" s="2">
        <v>0.29999999999972699</v>
      </c>
      <c r="AN178" s="2"/>
      <c r="AO178" s="2"/>
      <c r="AP178" s="2"/>
      <c r="AQ178" s="2">
        <v>14.8</v>
      </c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>
        <v>8.8000000000029104</v>
      </c>
      <c r="BH178" s="2"/>
      <c r="BI178" s="2"/>
      <c r="BJ178" s="2"/>
      <c r="BK178" s="2"/>
      <c r="BL178" s="2"/>
      <c r="BM178" s="2">
        <v>6.8000000000029104</v>
      </c>
      <c r="BN178" s="2"/>
      <c r="BO178" s="2"/>
      <c r="BP178" s="2"/>
      <c r="BQ178" s="2"/>
      <c r="BR178" s="2">
        <v>10</v>
      </c>
      <c r="BS178" s="2"/>
      <c r="BT178" s="2"/>
      <c r="BU178" s="2"/>
      <c r="BV178" s="2"/>
      <c r="BW178" s="2">
        <v>0.5</v>
      </c>
      <c r="BX178" s="2">
        <v>0</v>
      </c>
      <c r="BY178" s="2"/>
      <c r="BZ178" s="2"/>
      <c r="CA178" s="2"/>
      <c r="CB178" s="2"/>
      <c r="CC178" s="2">
        <v>0.3</v>
      </c>
      <c r="CD178" s="2"/>
      <c r="CE178" s="2"/>
      <c r="CF178" s="2"/>
      <c r="CG178" s="2"/>
      <c r="CH178" s="2"/>
      <c r="CI178" s="2"/>
      <c r="CJ178" s="2"/>
      <c r="CK178" s="2"/>
      <c r="CL178" s="2">
        <v>8</v>
      </c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>
        <v>4.5</v>
      </c>
      <c r="CX178" s="2">
        <v>3.5</v>
      </c>
      <c r="CY178" s="2"/>
      <c r="CZ178" s="2"/>
      <c r="DB178">
        <v>1952</v>
      </c>
      <c r="DC178">
        <v>14.8</v>
      </c>
      <c r="DH178">
        <v>177</v>
      </c>
    </row>
    <row r="179" spans="1:112">
      <c r="A179" s="1">
        <v>41086</v>
      </c>
      <c r="B179" s="2"/>
      <c r="C179" s="2"/>
      <c r="D179" s="2"/>
      <c r="E179" s="2"/>
      <c r="F179" s="2"/>
      <c r="G179" s="2"/>
      <c r="H179" s="2">
        <v>1.3</v>
      </c>
      <c r="I179" s="2"/>
      <c r="J179" s="2"/>
      <c r="K179" s="2"/>
      <c r="L179" s="2"/>
      <c r="M179" s="2">
        <v>0.1</v>
      </c>
      <c r="N179" s="2"/>
      <c r="O179" s="2">
        <v>7.5</v>
      </c>
      <c r="P179" s="2"/>
      <c r="Q179" s="2">
        <v>2.4</v>
      </c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>
        <v>3.5999999999985399</v>
      </c>
      <c r="AM179" s="2"/>
      <c r="AN179" s="2"/>
      <c r="AO179" s="2"/>
      <c r="AP179" s="2"/>
      <c r="AQ179" s="2">
        <v>6.6999999999970896</v>
      </c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>
        <v>6.1999999999970896</v>
      </c>
      <c r="BH179" s="2">
        <v>0.100000000000023</v>
      </c>
      <c r="BI179" s="2"/>
      <c r="BJ179" s="2"/>
      <c r="BK179" s="2"/>
      <c r="BL179" s="2">
        <v>6.8000000000029104</v>
      </c>
      <c r="BM179" s="2"/>
      <c r="BN179" s="2"/>
      <c r="BO179" s="2"/>
      <c r="BP179" s="2">
        <v>0.30000000000018201</v>
      </c>
      <c r="BQ179" s="2"/>
      <c r="BR179" s="2"/>
      <c r="BS179" s="2"/>
      <c r="BT179" s="2"/>
      <c r="BU179" s="2"/>
      <c r="BV179" s="2"/>
      <c r="BW179" s="2">
        <v>0.19999999999981799</v>
      </c>
      <c r="BX179" s="2">
        <v>3</v>
      </c>
      <c r="BY179" s="2">
        <v>1.6</v>
      </c>
      <c r="BZ179" s="2"/>
      <c r="CA179" s="2"/>
      <c r="CB179" s="2"/>
      <c r="CC179" s="2"/>
      <c r="CD179" s="2"/>
      <c r="CE179" s="2">
        <v>21.5</v>
      </c>
      <c r="CF179" s="2"/>
      <c r="CG179" s="2"/>
      <c r="CH179" s="2">
        <v>8.5</v>
      </c>
      <c r="CI179" s="2"/>
      <c r="CJ179" s="2">
        <v>5.2</v>
      </c>
      <c r="CK179" s="2"/>
      <c r="CL179" s="2">
        <v>0.5</v>
      </c>
      <c r="CM179" s="2"/>
      <c r="CN179" s="2"/>
      <c r="CO179" s="2">
        <v>1.5</v>
      </c>
      <c r="CP179" s="2"/>
      <c r="CQ179" s="2">
        <v>1</v>
      </c>
      <c r="CR179" s="2"/>
      <c r="CS179" s="2"/>
      <c r="CT179" s="2"/>
      <c r="CU179" s="2"/>
      <c r="CV179" s="2"/>
      <c r="CW179" s="2"/>
      <c r="CX179" s="2">
        <v>1.5</v>
      </c>
      <c r="CY179" s="2">
        <v>17.7</v>
      </c>
      <c r="CZ179" s="2"/>
      <c r="DB179">
        <v>1992</v>
      </c>
      <c r="DC179">
        <v>21.5</v>
      </c>
      <c r="DH179">
        <v>178</v>
      </c>
    </row>
    <row r="180" spans="1:112">
      <c r="A180" s="1">
        <v>41087</v>
      </c>
      <c r="B180" s="2"/>
      <c r="C180" s="2"/>
      <c r="D180" s="2"/>
      <c r="E180" s="2">
        <v>2.4</v>
      </c>
      <c r="F180" s="2">
        <v>9.5</v>
      </c>
      <c r="G180" s="2"/>
      <c r="H180" s="2">
        <v>1.8</v>
      </c>
      <c r="I180" s="2"/>
      <c r="J180" s="2"/>
      <c r="K180" s="2"/>
      <c r="L180" s="2"/>
      <c r="M180" s="2">
        <v>0.2</v>
      </c>
      <c r="N180" s="2"/>
      <c r="O180" s="2"/>
      <c r="P180" s="2"/>
      <c r="Q180" s="2"/>
      <c r="R180" s="2"/>
      <c r="S180" s="2"/>
      <c r="T180" s="2"/>
      <c r="U180" s="2"/>
      <c r="V180" s="2">
        <v>20</v>
      </c>
      <c r="W180" s="2"/>
      <c r="X180" s="2">
        <v>0.3</v>
      </c>
      <c r="Y180" s="2"/>
      <c r="Z180" s="2"/>
      <c r="AA180" s="2"/>
      <c r="AB180" s="2"/>
      <c r="AC180" s="2"/>
      <c r="AD180" s="2"/>
      <c r="AE180" s="2">
        <v>40.399999999965097</v>
      </c>
      <c r="AF180" s="2"/>
      <c r="AG180" s="2"/>
      <c r="AH180" s="2"/>
      <c r="AI180" s="2"/>
      <c r="AJ180" s="2"/>
      <c r="AK180" s="2"/>
      <c r="AL180" s="2"/>
      <c r="AM180" s="2">
        <v>2.5</v>
      </c>
      <c r="AN180" s="2">
        <v>2.2999999999992702</v>
      </c>
      <c r="AO180" s="2"/>
      <c r="AP180" s="2"/>
      <c r="AQ180" s="2">
        <v>10.599999999991301</v>
      </c>
      <c r="AR180" s="2"/>
      <c r="AS180" s="2"/>
      <c r="AT180" s="2"/>
      <c r="AU180" s="2">
        <v>7.0999999999985501</v>
      </c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>
        <v>0.100000000000023</v>
      </c>
      <c r="BH180" s="2">
        <v>24.399999999994201</v>
      </c>
      <c r="BI180" s="2"/>
      <c r="BJ180" s="2"/>
      <c r="BK180" s="2"/>
      <c r="BL180" s="2"/>
      <c r="BM180" s="2"/>
      <c r="BN180" s="2"/>
      <c r="BO180" s="2"/>
      <c r="BP180" s="2">
        <v>8.6999999999970896</v>
      </c>
      <c r="BQ180" s="2"/>
      <c r="BR180" s="2"/>
      <c r="BS180" s="2"/>
      <c r="BT180" s="2"/>
      <c r="BU180" s="2"/>
      <c r="BV180" s="2"/>
      <c r="BW180" s="2"/>
      <c r="BX180" s="2"/>
      <c r="BY180" s="2">
        <v>0.5</v>
      </c>
      <c r="BZ180" s="2"/>
      <c r="CA180" s="2"/>
      <c r="CB180" s="2"/>
      <c r="CC180" s="2"/>
      <c r="CD180" s="2"/>
      <c r="CE180" s="2">
        <v>3.5</v>
      </c>
      <c r="CF180" s="2"/>
      <c r="CG180" s="2"/>
      <c r="CH180" s="2">
        <v>5.6</v>
      </c>
      <c r="CI180" s="2"/>
      <c r="CJ180" s="2">
        <v>2.7</v>
      </c>
      <c r="CK180" s="2">
        <v>0.1</v>
      </c>
      <c r="CL180" s="2"/>
      <c r="CM180" s="2"/>
      <c r="CN180" s="2"/>
      <c r="CO180" s="2"/>
      <c r="CP180" s="2"/>
      <c r="CQ180" s="2">
        <v>0.6</v>
      </c>
      <c r="CR180" s="2"/>
      <c r="CS180" s="2"/>
      <c r="CT180" s="2"/>
      <c r="CU180" s="2"/>
      <c r="CV180" s="2"/>
      <c r="CW180" s="2"/>
      <c r="CX180" s="2">
        <v>0.9</v>
      </c>
      <c r="CY180" s="2">
        <v>0.6</v>
      </c>
      <c r="CZ180" s="2"/>
      <c r="DB180">
        <v>1940</v>
      </c>
      <c r="DC180">
        <v>40.399999999965097</v>
      </c>
      <c r="DH180">
        <v>179</v>
      </c>
    </row>
    <row r="181" spans="1:112">
      <c r="A181" s="1">
        <v>41088</v>
      </c>
      <c r="B181" s="2"/>
      <c r="C181" s="2"/>
      <c r="D181" s="2"/>
      <c r="E181" s="2"/>
      <c r="F181" s="2">
        <v>0.2</v>
      </c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>
        <v>35</v>
      </c>
      <c r="W181" s="2"/>
      <c r="X181" s="2"/>
      <c r="Y181" s="2"/>
      <c r="Z181" s="2"/>
      <c r="AA181" s="2">
        <v>2.5</v>
      </c>
      <c r="AB181" s="2"/>
      <c r="AC181" s="2"/>
      <c r="AD181" s="2"/>
      <c r="AE181" s="2">
        <v>2.8999999999978199</v>
      </c>
      <c r="AF181" s="2"/>
      <c r="AG181" s="2"/>
      <c r="AH181" s="2">
        <v>9.9999999999908995E-2</v>
      </c>
      <c r="AI181" s="2"/>
      <c r="AJ181" s="2"/>
      <c r="AK181" s="2"/>
      <c r="AL181" s="2"/>
      <c r="AM181" s="2">
        <v>0.5</v>
      </c>
      <c r="AN181" s="2">
        <v>1.1999999999989099</v>
      </c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>
        <v>0.60000000000036402</v>
      </c>
      <c r="BE181" s="2"/>
      <c r="BF181" s="2"/>
      <c r="BG181" s="2"/>
      <c r="BH181" s="2">
        <v>0.100000000000023</v>
      </c>
      <c r="BI181" s="2">
        <v>0.100000000000023</v>
      </c>
      <c r="BJ181" s="2"/>
      <c r="BK181" s="2">
        <v>2</v>
      </c>
      <c r="BL181" s="2">
        <v>0.100000000000023</v>
      </c>
      <c r="BM181" s="2"/>
      <c r="BN181" s="2"/>
      <c r="BO181" s="2"/>
      <c r="BP181" s="2">
        <v>0.100000000000023</v>
      </c>
      <c r="BQ181" s="2"/>
      <c r="BR181" s="2"/>
      <c r="BS181" s="2"/>
      <c r="BT181" s="2"/>
      <c r="BU181" s="2"/>
      <c r="BV181" s="2"/>
      <c r="BW181" s="2"/>
      <c r="BX181" s="2"/>
      <c r="BY181" s="2">
        <v>0.5</v>
      </c>
      <c r="BZ181" s="2"/>
      <c r="CA181" s="2"/>
      <c r="CB181" s="2"/>
      <c r="CC181" s="2"/>
      <c r="CD181" s="2"/>
      <c r="CE181" s="2">
        <v>2</v>
      </c>
      <c r="CF181" s="2"/>
      <c r="CG181" s="2"/>
      <c r="CH181" s="2">
        <v>3.6</v>
      </c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>
        <v>1</v>
      </c>
      <c r="CW181" s="2"/>
      <c r="CX181" s="2"/>
      <c r="CY181" s="2"/>
      <c r="CZ181" s="2">
        <v>0.3</v>
      </c>
      <c r="DB181">
        <v>1931</v>
      </c>
      <c r="DC181">
        <v>35</v>
      </c>
      <c r="DH181">
        <v>180</v>
      </c>
    </row>
    <row r="182" spans="1:112">
      <c r="A182" s="1">
        <v>41089</v>
      </c>
      <c r="B182" s="2"/>
      <c r="C182" s="2"/>
      <c r="D182" s="2">
        <v>1.7</v>
      </c>
      <c r="E182" s="2"/>
      <c r="F182" s="2">
        <v>0.3</v>
      </c>
      <c r="G182" s="2"/>
      <c r="H182" s="2">
        <v>3.9</v>
      </c>
      <c r="I182" s="2"/>
      <c r="J182" s="2"/>
      <c r="K182" s="2"/>
      <c r="L182" s="2"/>
      <c r="M182" s="2"/>
      <c r="N182" s="2"/>
      <c r="O182" s="2"/>
      <c r="P182" s="2">
        <v>31</v>
      </c>
      <c r="Q182" s="2"/>
      <c r="R182" s="2"/>
      <c r="S182" s="2"/>
      <c r="T182" s="2">
        <v>6.3</v>
      </c>
      <c r="U182" s="2"/>
      <c r="V182" s="2">
        <v>4.7</v>
      </c>
      <c r="W182" s="2"/>
      <c r="X182" s="2"/>
      <c r="Y182" s="2"/>
      <c r="Z182" s="2">
        <v>6.79999999999563</v>
      </c>
      <c r="AA182" s="2"/>
      <c r="AB182" s="2"/>
      <c r="AC182" s="2"/>
      <c r="AD182" s="2"/>
      <c r="AE182" s="2"/>
      <c r="AF182" s="2"/>
      <c r="AG182" s="2"/>
      <c r="AH182" s="2"/>
      <c r="AI182" s="2">
        <v>0</v>
      </c>
      <c r="AJ182" s="2"/>
      <c r="AK182" s="2"/>
      <c r="AL182" s="2"/>
      <c r="AM182" s="2"/>
      <c r="AN182" s="2">
        <v>6.0999999999985501</v>
      </c>
      <c r="AO182" s="2"/>
      <c r="AP182" s="2"/>
      <c r="AQ182" s="2"/>
      <c r="AR182" s="2">
        <v>28.599999999976699</v>
      </c>
      <c r="AS182" s="2"/>
      <c r="AT182" s="2"/>
      <c r="AU182" s="2"/>
      <c r="AV182" s="2">
        <v>2.5</v>
      </c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>
        <v>0.100000000000023</v>
      </c>
      <c r="BJ182" s="2">
        <v>0</v>
      </c>
      <c r="BK182" s="2"/>
      <c r="BL182" s="2">
        <v>0.100000000000023</v>
      </c>
      <c r="BM182" s="2"/>
      <c r="BN182" s="2"/>
      <c r="BO182" s="2"/>
      <c r="BP182" s="2"/>
      <c r="BQ182" s="2">
        <v>1.10000000000036</v>
      </c>
      <c r="BR182" s="2"/>
      <c r="BS182" s="2"/>
      <c r="BT182" s="2"/>
      <c r="BU182" s="2"/>
      <c r="BV182" s="2"/>
      <c r="BW182" s="2">
        <v>0</v>
      </c>
      <c r="BX182" s="2"/>
      <c r="BY182" s="2">
        <v>0.2</v>
      </c>
      <c r="BZ182" s="2"/>
      <c r="CA182" s="2"/>
      <c r="CB182" s="2"/>
      <c r="CC182" s="2"/>
      <c r="CD182" s="2"/>
      <c r="CE182" s="2">
        <v>1.3</v>
      </c>
      <c r="CF182" s="2">
        <v>0.1</v>
      </c>
      <c r="CG182" s="2"/>
      <c r="CH182" s="2">
        <v>1.4</v>
      </c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>
        <v>0.1</v>
      </c>
      <c r="CV182" s="2"/>
      <c r="CW182" s="2">
        <v>0.4</v>
      </c>
      <c r="CX182" s="2"/>
      <c r="CY182" s="2"/>
      <c r="CZ182" s="2">
        <v>1.7</v>
      </c>
      <c r="DB182">
        <v>1925</v>
      </c>
      <c r="DC182">
        <v>31</v>
      </c>
      <c r="DH182">
        <v>181</v>
      </c>
    </row>
    <row r="183" spans="1:112">
      <c r="A183" s="1">
        <v>41090</v>
      </c>
      <c r="B183" s="2"/>
      <c r="C183" s="2"/>
      <c r="D183" s="2"/>
      <c r="E183" s="2">
        <v>0.5</v>
      </c>
      <c r="F183" s="2">
        <v>4.4000000000000004</v>
      </c>
      <c r="G183" s="2"/>
      <c r="H183" s="2"/>
      <c r="I183" s="2"/>
      <c r="J183" s="2"/>
      <c r="K183" s="2">
        <v>0.2</v>
      </c>
      <c r="L183" s="2"/>
      <c r="M183" s="2"/>
      <c r="N183" s="2"/>
      <c r="O183" s="2"/>
      <c r="P183" s="2">
        <v>2.7</v>
      </c>
      <c r="Q183" s="2">
        <v>0.5</v>
      </c>
      <c r="R183" s="2"/>
      <c r="S183" s="2"/>
      <c r="T183" s="2">
        <v>4.0999999999999996</v>
      </c>
      <c r="U183" s="2"/>
      <c r="V183" s="2"/>
      <c r="W183" s="2"/>
      <c r="X183" s="2">
        <v>1.3</v>
      </c>
      <c r="Y183" s="2"/>
      <c r="Z183" s="2">
        <v>1.29999999999927</v>
      </c>
      <c r="AA183" s="2"/>
      <c r="AB183" s="2"/>
      <c r="AC183" s="2"/>
      <c r="AD183" s="2"/>
      <c r="AE183" s="2">
        <v>0</v>
      </c>
      <c r="AF183" s="2"/>
      <c r="AG183" s="2">
        <v>26.599999999976699</v>
      </c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>
        <v>9.9999999999908995E-2</v>
      </c>
      <c r="AW183" s="2"/>
      <c r="AX183" s="2"/>
      <c r="AY183" s="2"/>
      <c r="AZ183" s="2">
        <v>3.5999999999985399</v>
      </c>
      <c r="BA183" s="2"/>
      <c r="BB183" s="2"/>
      <c r="BC183" s="2"/>
      <c r="BD183" s="2"/>
      <c r="BE183" s="2"/>
      <c r="BF183" s="2"/>
      <c r="BG183" s="2"/>
      <c r="BH183" s="2"/>
      <c r="BI183" s="2">
        <v>0</v>
      </c>
      <c r="BJ183" s="2"/>
      <c r="BK183" s="2"/>
      <c r="BL183" s="2"/>
      <c r="BM183" s="2"/>
      <c r="BN183" s="2"/>
      <c r="BO183" s="2"/>
      <c r="BP183" s="2"/>
      <c r="BQ183" s="2">
        <v>2.2999999999992702</v>
      </c>
      <c r="BR183" s="2"/>
      <c r="BS183" s="2"/>
      <c r="BT183" s="2"/>
      <c r="BU183" s="2"/>
      <c r="BV183" s="2">
        <v>0</v>
      </c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>
        <v>0.4</v>
      </c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>
        <v>7.9</v>
      </c>
      <c r="CX183" s="2"/>
      <c r="CY183" s="2"/>
      <c r="CZ183" s="2"/>
      <c r="DB183">
        <v>1942</v>
      </c>
      <c r="DC183">
        <v>26.599999999976699</v>
      </c>
      <c r="DH183">
        <v>182</v>
      </c>
    </row>
    <row r="184" spans="1:112">
      <c r="A184" s="1">
        <v>41091</v>
      </c>
      <c r="B184" s="2"/>
      <c r="C184" s="2"/>
      <c r="D184" s="2"/>
      <c r="E184" s="2">
        <v>4.8</v>
      </c>
      <c r="F184" s="2"/>
      <c r="G184" s="2"/>
      <c r="H184" s="2"/>
      <c r="I184" s="2">
        <v>0.4</v>
      </c>
      <c r="J184" s="2"/>
      <c r="K184" s="2"/>
      <c r="L184" s="2"/>
      <c r="M184" s="2"/>
      <c r="N184" s="2"/>
      <c r="O184" s="2"/>
      <c r="P184" s="2">
        <v>2</v>
      </c>
      <c r="Q184" s="2">
        <v>7.5</v>
      </c>
      <c r="R184" s="2"/>
      <c r="S184" s="2"/>
      <c r="T184" s="2"/>
      <c r="U184" s="2"/>
      <c r="V184" s="2"/>
      <c r="W184" s="2"/>
      <c r="X184" s="2">
        <v>3</v>
      </c>
      <c r="Y184" s="2"/>
      <c r="Z184" s="2"/>
      <c r="AA184" s="2"/>
      <c r="AB184" s="2"/>
      <c r="AC184" s="2"/>
      <c r="AD184" s="2"/>
      <c r="AE184" s="2">
        <v>11</v>
      </c>
      <c r="AF184" s="2"/>
      <c r="AG184" s="2">
        <v>11.1999999999971</v>
      </c>
      <c r="AH184" s="2"/>
      <c r="AI184" s="2"/>
      <c r="AJ184" s="2"/>
      <c r="AK184" s="2"/>
      <c r="AL184" s="2"/>
      <c r="AM184" s="2"/>
      <c r="AN184" s="2"/>
      <c r="AO184" s="2"/>
      <c r="AP184" s="2"/>
      <c r="AQ184" s="2">
        <v>0.29999999999972699</v>
      </c>
      <c r="AR184" s="2"/>
      <c r="AS184" s="2"/>
      <c r="AT184" s="2">
        <v>2.3999999999978199</v>
      </c>
      <c r="AU184" s="2"/>
      <c r="AV184" s="2"/>
      <c r="AW184" s="2"/>
      <c r="AX184" s="2"/>
      <c r="AY184" s="2"/>
      <c r="AZ184" s="2"/>
      <c r="BA184" s="2"/>
      <c r="BB184" s="2"/>
      <c r="BC184" s="2">
        <v>5.6999999999970896</v>
      </c>
      <c r="BD184" s="2"/>
      <c r="BE184" s="2">
        <v>0.69999999999981799</v>
      </c>
      <c r="BF184" s="2"/>
      <c r="BG184" s="2"/>
      <c r="BH184" s="2"/>
      <c r="BI184" s="2">
        <v>0.100000000000023</v>
      </c>
      <c r="BJ184" s="2">
        <v>1.5</v>
      </c>
      <c r="BK184" s="2">
        <v>2.7000000000007298</v>
      </c>
      <c r="BL184" s="2"/>
      <c r="BM184" s="2"/>
      <c r="BN184" s="2"/>
      <c r="BO184" s="2"/>
      <c r="BP184" s="2">
        <v>3</v>
      </c>
      <c r="BQ184" s="2"/>
      <c r="BR184" s="2"/>
      <c r="BS184" s="2"/>
      <c r="BT184" s="2">
        <v>30.700000000011599</v>
      </c>
      <c r="BU184" s="2"/>
      <c r="BV184" s="2"/>
      <c r="BW184" s="2"/>
      <c r="BX184" s="2"/>
      <c r="BY184" s="2"/>
      <c r="BZ184" s="2"/>
      <c r="CA184" s="2"/>
      <c r="CB184" s="2"/>
      <c r="CC184" s="2"/>
      <c r="CD184" s="2">
        <v>1</v>
      </c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>
        <v>4.3</v>
      </c>
      <c r="CP184" s="2"/>
      <c r="CQ184" s="2"/>
      <c r="CR184" s="2"/>
      <c r="CS184" s="2"/>
      <c r="CT184" s="2"/>
      <c r="CU184" s="2"/>
      <c r="CV184" s="2"/>
      <c r="CW184" s="2"/>
      <c r="CX184" s="2">
        <v>13</v>
      </c>
      <c r="CY184" s="2"/>
      <c r="CZ184" s="2">
        <v>0.3</v>
      </c>
      <c r="DB184">
        <v>1981</v>
      </c>
      <c r="DC184">
        <v>30.700000000011599</v>
      </c>
      <c r="DH184">
        <v>183</v>
      </c>
    </row>
    <row r="185" spans="1:112">
      <c r="A185" s="1">
        <v>41092</v>
      </c>
      <c r="B185" s="2"/>
      <c r="C185" s="2"/>
      <c r="D185" s="2">
        <v>0.6</v>
      </c>
      <c r="E185" s="2">
        <v>0.3</v>
      </c>
      <c r="F185" s="2">
        <v>3.1</v>
      </c>
      <c r="G185" s="2"/>
      <c r="H185" s="2"/>
      <c r="I185" s="2"/>
      <c r="J185" s="2"/>
      <c r="K185" s="2"/>
      <c r="L185" s="2">
        <v>0.1</v>
      </c>
      <c r="M185" s="2">
        <v>0.2</v>
      </c>
      <c r="N185" s="2"/>
      <c r="O185" s="2"/>
      <c r="P185" s="2"/>
      <c r="Q185" s="2">
        <v>11.6</v>
      </c>
      <c r="R185" s="2"/>
      <c r="S185" s="2"/>
      <c r="T185" s="2"/>
      <c r="U185" s="2"/>
      <c r="V185" s="2"/>
      <c r="W185" s="2"/>
      <c r="X185" s="2">
        <v>11.5</v>
      </c>
      <c r="Y185" s="2"/>
      <c r="Z185" s="2"/>
      <c r="AA185" s="2"/>
      <c r="AB185" s="2"/>
      <c r="AC185" s="2"/>
      <c r="AD185" s="2"/>
      <c r="AE185" s="2">
        <v>2.7999999999992702</v>
      </c>
      <c r="AF185" s="2"/>
      <c r="AG185" s="2"/>
      <c r="AH185" s="2"/>
      <c r="AI185" s="2">
        <v>0</v>
      </c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>
        <v>24.5</v>
      </c>
      <c r="AU185" s="2"/>
      <c r="AV185" s="2"/>
      <c r="AW185" s="2"/>
      <c r="AX185" s="2">
        <v>16.599999999976699</v>
      </c>
      <c r="AY185" s="2"/>
      <c r="AZ185" s="2"/>
      <c r="BA185" s="2">
        <v>9.0999999999912706</v>
      </c>
      <c r="BB185" s="2">
        <v>0.5</v>
      </c>
      <c r="BC185" s="2"/>
      <c r="BD185" s="2"/>
      <c r="BE185" s="2"/>
      <c r="BF185" s="2"/>
      <c r="BG185" s="2"/>
      <c r="BH185" s="2">
        <v>12.100000000005799</v>
      </c>
      <c r="BI185" s="2">
        <v>0</v>
      </c>
      <c r="BJ185" s="2"/>
      <c r="BK185" s="2">
        <v>2.0999999999985399</v>
      </c>
      <c r="BL185" s="2"/>
      <c r="BM185" s="2"/>
      <c r="BN185" s="2"/>
      <c r="BO185" s="2"/>
      <c r="BP185" s="2">
        <v>23.100000000005799</v>
      </c>
      <c r="BQ185" s="2"/>
      <c r="BR185" s="2"/>
      <c r="BS185" s="2"/>
      <c r="BT185" s="2">
        <v>6</v>
      </c>
      <c r="BU185" s="2">
        <v>2.2999999999992702</v>
      </c>
      <c r="BV185" s="2"/>
      <c r="BW185" s="2"/>
      <c r="BX185" s="2"/>
      <c r="BY185" s="2"/>
      <c r="BZ185" s="2"/>
      <c r="CA185" s="2"/>
      <c r="CB185" s="2"/>
      <c r="CC185" s="2"/>
      <c r="CD185" s="2"/>
      <c r="CE185" s="2">
        <v>20.7</v>
      </c>
      <c r="CF185" s="2"/>
      <c r="CG185" s="2"/>
      <c r="CH185" s="2"/>
      <c r="CI185" s="2"/>
      <c r="CJ185" s="2"/>
      <c r="CK185" s="2"/>
      <c r="CL185" s="2"/>
      <c r="CM185" s="2"/>
      <c r="CN185" s="2"/>
      <c r="CO185" s="2">
        <v>14</v>
      </c>
      <c r="CP185" s="2"/>
      <c r="CQ185" s="2"/>
      <c r="CR185" s="2"/>
      <c r="CS185" s="2">
        <v>1.4</v>
      </c>
      <c r="CT185" s="2"/>
      <c r="CU185" s="2"/>
      <c r="CV185" s="2"/>
      <c r="CW185" s="2"/>
      <c r="CX185" s="2"/>
      <c r="CY185" s="2"/>
      <c r="CZ185" s="2"/>
      <c r="DB185">
        <v>1955</v>
      </c>
      <c r="DC185">
        <v>24.5</v>
      </c>
      <c r="DH185">
        <v>184</v>
      </c>
    </row>
    <row r="186" spans="1:112">
      <c r="A186" s="1">
        <v>41093</v>
      </c>
      <c r="B186" s="2"/>
      <c r="C186" s="2"/>
      <c r="D186" s="2"/>
      <c r="E186" s="2">
        <v>0.8</v>
      </c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>
        <v>11.8</v>
      </c>
      <c r="R186" s="2"/>
      <c r="S186" s="2"/>
      <c r="T186" s="2"/>
      <c r="U186" s="2"/>
      <c r="V186" s="2"/>
      <c r="W186" s="2"/>
      <c r="X186" s="2">
        <v>3</v>
      </c>
      <c r="Y186" s="2"/>
      <c r="Z186" s="2"/>
      <c r="AA186" s="2"/>
      <c r="AB186" s="2">
        <v>2.5999999999985399</v>
      </c>
      <c r="AC186" s="2"/>
      <c r="AD186" s="2"/>
      <c r="AE186" s="2">
        <v>0.29999999999972699</v>
      </c>
      <c r="AF186" s="2">
        <v>0.39999999999963598</v>
      </c>
      <c r="AG186" s="2"/>
      <c r="AH186" s="2"/>
      <c r="AI186" s="2"/>
      <c r="AJ186" s="2"/>
      <c r="AK186" s="2"/>
      <c r="AL186" s="2"/>
      <c r="AM186" s="2"/>
      <c r="AN186" s="2"/>
      <c r="AO186" s="2"/>
      <c r="AP186" s="2">
        <v>0.39999999999963598</v>
      </c>
      <c r="AQ186" s="2"/>
      <c r="AR186" s="2"/>
      <c r="AS186" s="2"/>
      <c r="AT186" s="2"/>
      <c r="AU186" s="2"/>
      <c r="AV186" s="2"/>
      <c r="AW186" s="2"/>
      <c r="AX186" s="2">
        <v>21.399999999994201</v>
      </c>
      <c r="AY186" s="2">
        <v>8.6999999999970896</v>
      </c>
      <c r="AZ186" s="2"/>
      <c r="BA186" s="2">
        <v>25.799999999988401</v>
      </c>
      <c r="BB186" s="2">
        <v>5</v>
      </c>
      <c r="BC186" s="2"/>
      <c r="BD186" s="2"/>
      <c r="BE186" s="2"/>
      <c r="BF186" s="2"/>
      <c r="BG186" s="2"/>
      <c r="BH186" s="2"/>
      <c r="BI186" s="2"/>
      <c r="BJ186" s="2"/>
      <c r="BK186" s="2">
        <v>3</v>
      </c>
      <c r="BL186" s="2"/>
      <c r="BM186" s="2"/>
      <c r="BN186" s="2">
        <v>0</v>
      </c>
      <c r="BO186" s="2"/>
      <c r="BP186" s="2">
        <v>71.5</v>
      </c>
      <c r="BQ186" s="2"/>
      <c r="BR186" s="2"/>
      <c r="BS186" s="2"/>
      <c r="BT186" s="2"/>
      <c r="BU186" s="2">
        <v>0</v>
      </c>
      <c r="BV186" s="2"/>
      <c r="BW186" s="2"/>
      <c r="BX186" s="2">
        <v>47.3</v>
      </c>
      <c r="BY186" s="2"/>
      <c r="BZ186" s="2"/>
      <c r="CA186" s="2"/>
      <c r="CB186" s="2">
        <v>0.1</v>
      </c>
      <c r="CC186" s="2"/>
      <c r="CD186" s="2"/>
      <c r="CE186" s="2"/>
      <c r="CF186" s="2"/>
      <c r="CG186" s="2"/>
      <c r="CH186" s="2"/>
      <c r="CI186" s="2"/>
      <c r="CJ186" s="2"/>
      <c r="CK186" s="2">
        <v>7</v>
      </c>
      <c r="CL186" s="2"/>
      <c r="CM186" s="2"/>
      <c r="CN186" s="2">
        <v>12.3</v>
      </c>
      <c r="CO186" s="2"/>
      <c r="CP186" s="2"/>
      <c r="CQ186" s="2"/>
      <c r="CR186" s="2">
        <v>2.4</v>
      </c>
      <c r="CS186" s="2"/>
      <c r="CT186" s="2"/>
      <c r="CU186" s="2"/>
      <c r="CV186" s="2"/>
      <c r="CW186" s="2"/>
      <c r="CX186" s="2">
        <v>0.3</v>
      </c>
      <c r="CY186" s="2"/>
      <c r="CZ186" s="2"/>
      <c r="DB186">
        <v>1977</v>
      </c>
      <c r="DC186">
        <v>71.5</v>
      </c>
      <c r="DH186">
        <v>185</v>
      </c>
    </row>
    <row r="187" spans="1:112">
      <c r="A187" s="1">
        <v>41094</v>
      </c>
      <c r="B187" s="2"/>
      <c r="C187" s="2"/>
      <c r="D187" s="2"/>
      <c r="E187" s="2"/>
      <c r="F187" s="2"/>
      <c r="G187" s="2"/>
      <c r="H187" s="2">
        <v>0.8</v>
      </c>
      <c r="I187" s="2"/>
      <c r="J187" s="2"/>
      <c r="K187" s="2"/>
      <c r="L187" s="2"/>
      <c r="M187" s="2"/>
      <c r="N187" s="2"/>
      <c r="O187" s="2"/>
      <c r="P187" s="2"/>
      <c r="Q187" s="2">
        <v>33.200000000000003</v>
      </c>
      <c r="R187" s="2"/>
      <c r="S187" s="2"/>
      <c r="T187" s="2"/>
      <c r="U187" s="2"/>
      <c r="V187" s="2"/>
      <c r="W187" s="2"/>
      <c r="X187" s="2"/>
      <c r="Y187" s="2">
        <v>20</v>
      </c>
      <c r="Z187" s="2"/>
      <c r="AA187" s="2"/>
      <c r="AB187" s="2">
        <v>2.7999999999992702</v>
      </c>
      <c r="AC187" s="2"/>
      <c r="AD187" s="2">
        <v>2</v>
      </c>
      <c r="AE187" s="2"/>
      <c r="AF187" s="2">
        <v>11.6999999999971</v>
      </c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>
        <v>9.1999999999970896</v>
      </c>
      <c r="AY187" s="2">
        <v>5.5</v>
      </c>
      <c r="AZ187" s="2"/>
      <c r="BA187" s="2"/>
      <c r="BB187" s="2">
        <v>5.5999999999985501</v>
      </c>
      <c r="BC187" s="2"/>
      <c r="BD187" s="2"/>
      <c r="BE187" s="2"/>
      <c r="BF187" s="2"/>
      <c r="BG187" s="2">
        <v>1.89999999999964</v>
      </c>
      <c r="BH187" s="2"/>
      <c r="BI187" s="2"/>
      <c r="BJ187" s="2"/>
      <c r="BK187" s="2">
        <v>0.69999999999981799</v>
      </c>
      <c r="BL187" s="2"/>
      <c r="BM187" s="2"/>
      <c r="BN187" s="2">
        <v>0</v>
      </c>
      <c r="BO187" s="2"/>
      <c r="BP187" s="2"/>
      <c r="BQ187" s="2"/>
      <c r="BR187" s="2"/>
      <c r="BS187" s="2">
        <v>6.4000000000014596</v>
      </c>
      <c r="BT187" s="2"/>
      <c r="BU187" s="2">
        <v>0.100000000000023</v>
      </c>
      <c r="BV187" s="2"/>
      <c r="BW187" s="2"/>
      <c r="BX187" s="2">
        <v>0.1</v>
      </c>
      <c r="BY187" s="2"/>
      <c r="BZ187" s="2"/>
      <c r="CA187" s="2"/>
      <c r="CB187" s="2"/>
      <c r="CC187" s="2"/>
      <c r="CD187" s="2">
        <v>9.9</v>
      </c>
      <c r="CE187" s="2"/>
      <c r="CF187" s="2"/>
      <c r="CG187" s="2"/>
      <c r="CH187" s="2"/>
      <c r="CI187" s="2"/>
      <c r="CJ187" s="2"/>
      <c r="CK187" s="2">
        <v>21.9</v>
      </c>
      <c r="CL187" s="2"/>
      <c r="CM187" s="2"/>
      <c r="CN187" s="2"/>
      <c r="CO187" s="2"/>
      <c r="CP187" s="2"/>
      <c r="CQ187" s="2"/>
      <c r="CR187" s="2">
        <v>24.1</v>
      </c>
      <c r="CS187" s="2"/>
      <c r="CT187" s="2"/>
      <c r="CU187" s="2"/>
      <c r="CV187" s="2"/>
      <c r="CW187" s="2"/>
      <c r="CX187" s="2"/>
      <c r="CY187" s="2"/>
      <c r="CZ187" s="2"/>
      <c r="DB187">
        <v>1926</v>
      </c>
      <c r="DC187">
        <v>33.200000000000003</v>
      </c>
      <c r="DH187">
        <v>186</v>
      </c>
    </row>
    <row r="188" spans="1:112">
      <c r="A188" s="1">
        <v>41095</v>
      </c>
      <c r="B188" s="2"/>
      <c r="C188" s="2">
        <v>4.4000000000000004</v>
      </c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>
        <v>6.5</v>
      </c>
      <c r="R188" s="2"/>
      <c r="S188" s="2"/>
      <c r="T188" s="2"/>
      <c r="U188" s="2"/>
      <c r="V188" s="2"/>
      <c r="W188" s="2"/>
      <c r="X188" s="2">
        <v>12</v>
      </c>
      <c r="Y188" s="2"/>
      <c r="Z188" s="2"/>
      <c r="AA188" s="2">
        <v>33.799999999999997</v>
      </c>
      <c r="AB188" s="2"/>
      <c r="AC188" s="2">
        <v>3</v>
      </c>
      <c r="AD188" s="2">
        <v>10.6999999999971</v>
      </c>
      <c r="AE188" s="2"/>
      <c r="AF188" s="2">
        <v>13.799999999988399</v>
      </c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>
        <v>7.6999999999970896</v>
      </c>
      <c r="AY188" s="2">
        <v>0.5</v>
      </c>
      <c r="AZ188" s="2"/>
      <c r="BA188" s="2"/>
      <c r="BB188" s="2"/>
      <c r="BC188" s="2"/>
      <c r="BD188" s="2"/>
      <c r="BE188" s="2"/>
      <c r="BF188" s="2"/>
      <c r="BG188" s="2">
        <v>0.100000000000023</v>
      </c>
      <c r="BH188" s="2"/>
      <c r="BI188" s="2"/>
      <c r="BJ188" s="2"/>
      <c r="BK188" s="2"/>
      <c r="BL188" s="2"/>
      <c r="BM188" s="2">
        <v>0.100000000000023</v>
      </c>
      <c r="BN188" s="2"/>
      <c r="BO188" s="2"/>
      <c r="BP188" s="2"/>
      <c r="BQ188" s="2"/>
      <c r="BR188" s="2"/>
      <c r="BS188" s="2">
        <v>0.30000000000018201</v>
      </c>
      <c r="BT188" s="2">
        <v>1.5</v>
      </c>
      <c r="BU188" s="2">
        <v>0.200000000000045</v>
      </c>
      <c r="BV188" s="2"/>
      <c r="BW188" s="2"/>
      <c r="BX188" s="2"/>
      <c r="BY188" s="2"/>
      <c r="BZ188" s="2">
        <v>0.5</v>
      </c>
      <c r="CA188" s="2"/>
      <c r="CB188" s="2"/>
      <c r="CC188" s="2"/>
      <c r="CD188" s="2">
        <v>4.8</v>
      </c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>
        <v>4.9000000000000004</v>
      </c>
      <c r="CQ188" s="2"/>
      <c r="CR188" s="2"/>
      <c r="CS188" s="2"/>
      <c r="CT188" s="2"/>
      <c r="CU188" s="2">
        <v>1.2</v>
      </c>
      <c r="CV188" s="2"/>
      <c r="CW188" s="2"/>
      <c r="CX188" s="2"/>
      <c r="CY188" s="2">
        <v>1</v>
      </c>
      <c r="CZ188" s="2"/>
      <c r="DB188">
        <v>1936</v>
      </c>
      <c r="DC188">
        <v>33.799999999999997</v>
      </c>
      <c r="DH188">
        <v>187</v>
      </c>
    </row>
    <row r="189" spans="1:112">
      <c r="A189" s="1">
        <v>41096</v>
      </c>
      <c r="B189" s="2"/>
      <c r="C189" s="2">
        <v>3.8</v>
      </c>
      <c r="D189" s="2"/>
      <c r="E189" s="2"/>
      <c r="F189" s="2"/>
      <c r="G189" s="2"/>
      <c r="H189" s="2"/>
      <c r="I189" s="2">
        <v>25.4</v>
      </c>
      <c r="J189" s="2"/>
      <c r="K189" s="2"/>
      <c r="L189" s="2"/>
      <c r="M189" s="2"/>
      <c r="N189" s="2">
        <v>3.9</v>
      </c>
      <c r="O189" s="2"/>
      <c r="P189" s="2"/>
      <c r="Q189" s="2"/>
      <c r="R189" s="2">
        <v>13</v>
      </c>
      <c r="S189" s="2"/>
      <c r="T189" s="2"/>
      <c r="U189" s="2"/>
      <c r="V189" s="2"/>
      <c r="W189" s="2"/>
      <c r="X189" s="2"/>
      <c r="Y189" s="2"/>
      <c r="Z189" s="2"/>
      <c r="AA189" s="2">
        <v>11.299999999988399</v>
      </c>
      <c r="AB189" s="2"/>
      <c r="AC189" s="2"/>
      <c r="AD189" s="2"/>
      <c r="AE189" s="2"/>
      <c r="AF189" s="2">
        <v>27.699999999982499</v>
      </c>
      <c r="AG189" s="2"/>
      <c r="AH189" s="2"/>
      <c r="AI189" s="2">
        <v>7.5999999999985501</v>
      </c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>
        <v>3.0999999999985399</v>
      </c>
      <c r="BJ189" s="2"/>
      <c r="BK189" s="2">
        <v>12.5</v>
      </c>
      <c r="BL189" s="2">
        <v>0.100000000000023</v>
      </c>
      <c r="BM189" s="2">
        <v>0.100000000000023</v>
      </c>
      <c r="BN189" s="2"/>
      <c r="BO189" s="2"/>
      <c r="BP189" s="2"/>
      <c r="BQ189" s="2"/>
      <c r="BR189" s="2">
        <v>28</v>
      </c>
      <c r="BS189" s="2"/>
      <c r="BT189" s="2">
        <v>0.100000000000023</v>
      </c>
      <c r="BU189" s="2"/>
      <c r="BV189" s="2">
        <v>0</v>
      </c>
      <c r="BW189" s="2">
        <v>0.29999999999972699</v>
      </c>
      <c r="BX189" s="2"/>
      <c r="BY189" s="2"/>
      <c r="BZ189" s="2">
        <v>100.5</v>
      </c>
      <c r="CA189" s="2"/>
      <c r="CB189" s="2">
        <v>1.8</v>
      </c>
      <c r="CC189" s="2"/>
      <c r="CD189" s="2">
        <v>45</v>
      </c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>
        <v>2.7</v>
      </c>
      <c r="CU189" s="2"/>
      <c r="CV189" s="2"/>
      <c r="CW189" s="2"/>
      <c r="CX189" s="2"/>
      <c r="CY189" s="2"/>
      <c r="CZ189" s="2"/>
      <c r="DB189">
        <v>1987</v>
      </c>
      <c r="DC189">
        <v>100.5</v>
      </c>
      <c r="DH189">
        <v>188</v>
      </c>
    </row>
    <row r="190" spans="1:112">
      <c r="A190" s="1">
        <v>41097</v>
      </c>
      <c r="B190" s="2"/>
      <c r="C190" s="2"/>
      <c r="D190" s="2"/>
      <c r="E190" s="2">
        <v>0.2</v>
      </c>
      <c r="F190" s="2"/>
      <c r="G190" s="2"/>
      <c r="H190" s="2"/>
      <c r="I190" s="2"/>
      <c r="J190" s="2">
        <v>3.4</v>
      </c>
      <c r="K190" s="2"/>
      <c r="L190" s="2">
        <v>1.4</v>
      </c>
      <c r="M190" s="2"/>
      <c r="N190" s="2">
        <v>9.3000000000000007</v>
      </c>
      <c r="O190" s="2"/>
      <c r="P190" s="2">
        <v>1</v>
      </c>
      <c r="Q190" s="2"/>
      <c r="R190" s="2"/>
      <c r="S190" s="2"/>
      <c r="T190" s="2"/>
      <c r="U190" s="2">
        <v>2.2000000000000002</v>
      </c>
      <c r="V190" s="2"/>
      <c r="W190" s="2"/>
      <c r="X190" s="2"/>
      <c r="Y190" s="2"/>
      <c r="Z190" s="2">
        <v>1</v>
      </c>
      <c r="AA190" s="2">
        <v>1.1999999999989099</v>
      </c>
      <c r="AB190" s="2"/>
      <c r="AC190" s="2"/>
      <c r="AD190" s="2"/>
      <c r="AE190" s="2"/>
      <c r="AF190" s="2">
        <v>5.5999999999985501</v>
      </c>
      <c r="AG190" s="2"/>
      <c r="AH190" s="2"/>
      <c r="AI190" s="2">
        <v>0.19999999999981799</v>
      </c>
      <c r="AJ190" s="2"/>
      <c r="AK190" s="2"/>
      <c r="AL190" s="2"/>
      <c r="AM190" s="2">
        <v>1.0999999999985499</v>
      </c>
      <c r="AN190" s="2"/>
      <c r="AO190" s="2"/>
      <c r="AP190" s="2"/>
      <c r="AQ190" s="2"/>
      <c r="AR190" s="2">
        <v>9.9999999999908995E-2</v>
      </c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>
        <v>0.200000000000045</v>
      </c>
      <c r="BJ190" s="2">
        <v>0</v>
      </c>
      <c r="BK190" s="2">
        <v>0.100000000000023</v>
      </c>
      <c r="BL190" s="2"/>
      <c r="BM190" s="2"/>
      <c r="BN190" s="2">
        <v>2</v>
      </c>
      <c r="BO190" s="2"/>
      <c r="BP190" s="2"/>
      <c r="BQ190" s="2"/>
      <c r="BR190" s="2"/>
      <c r="BS190" s="2"/>
      <c r="BT190" s="2">
        <v>14.3000000000029</v>
      </c>
      <c r="BU190" s="2">
        <v>16.100000000005799</v>
      </c>
      <c r="BV190" s="2"/>
      <c r="BW190" s="2"/>
      <c r="BX190" s="2">
        <v>0</v>
      </c>
      <c r="BY190" s="2"/>
      <c r="BZ190" s="2">
        <v>0.3</v>
      </c>
      <c r="CA190" s="2"/>
      <c r="CB190" s="2">
        <v>1.4</v>
      </c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>
        <v>0.1</v>
      </c>
      <c r="CV190" s="2"/>
      <c r="CW190" s="2"/>
      <c r="CX190" s="2"/>
      <c r="CY190" s="2"/>
      <c r="CZ190" s="2"/>
      <c r="DB190">
        <v>1982</v>
      </c>
      <c r="DC190">
        <v>16.100000000005799</v>
      </c>
      <c r="DH190">
        <v>189</v>
      </c>
    </row>
    <row r="191" spans="1:112">
      <c r="A191" s="1">
        <v>41098</v>
      </c>
      <c r="B191" s="2"/>
      <c r="C191" s="2"/>
      <c r="D191" s="2"/>
      <c r="E191" s="2">
        <v>0.4</v>
      </c>
      <c r="F191" s="2"/>
      <c r="G191" s="2"/>
      <c r="H191" s="2"/>
      <c r="I191" s="2">
        <v>41.7</v>
      </c>
      <c r="J191" s="2"/>
      <c r="K191" s="2"/>
      <c r="L191" s="2"/>
      <c r="M191" s="2"/>
      <c r="N191" s="2">
        <v>0.1</v>
      </c>
      <c r="O191" s="2">
        <v>5.7</v>
      </c>
      <c r="P191" s="2"/>
      <c r="Q191" s="2">
        <v>0.6</v>
      </c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>
        <v>3.7999999999992702</v>
      </c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>
        <v>0.29999999999972699</v>
      </c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>
        <v>0.30000000000018201</v>
      </c>
      <c r="BJ191" s="2"/>
      <c r="BK191" s="2">
        <v>2.2999999999992702</v>
      </c>
      <c r="BL191" s="2"/>
      <c r="BM191" s="2">
        <v>4.4000000000014596</v>
      </c>
      <c r="BN191" s="2"/>
      <c r="BO191" s="2"/>
      <c r="BP191" s="2"/>
      <c r="BQ191" s="2"/>
      <c r="BR191" s="2">
        <v>0.5</v>
      </c>
      <c r="BS191" s="2"/>
      <c r="BT191" s="2">
        <v>0.80000000000018201</v>
      </c>
      <c r="BU191" s="2">
        <v>20.600000000005799</v>
      </c>
      <c r="BV191" s="2"/>
      <c r="BW191" s="2">
        <v>5.79999999999563</v>
      </c>
      <c r="BX191" s="2"/>
      <c r="BY191" s="2">
        <v>2.9</v>
      </c>
      <c r="BZ191" s="2"/>
      <c r="CA191" s="2"/>
      <c r="CB191" s="2"/>
      <c r="CC191" s="2"/>
      <c r="CD191" s="2"/>
      <c r="CE191" s="2"/>
      <c r="CF191" s="2">
        <v>2.4</v>
      </c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>
        <v>6</v>
      </c>
      <c r="CX191" s="2"/>
      <c r="CY191" s="2"/>
      <c r="CZ191" s="2"/>
      <c r="DB191">
        <v>1918</v>
      </c>
      <c r="DC191">
        <v>41.7</v>
      </c>
      <c r="DH191">
        <v>190</v>
      </c>
    </row>
    <row r="192" spans="1:112">
      <c r="A192" s="1">
        <v>41099</v>
      </c>
      <c r="B192" s="2"/>
      <c r="C192" s="2"/>
      <c r="D192" s="2"/>
      <c r="E192" s="2">
        <v>0.3</v>
      </c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>
        <v>20</v>
      </c>
      <c r="R192" s="2"/>
      <c r="S192" s="2"/>
      <c r="T192" s="2"/>
      <c r="U192" s="2"/>
      <c r="V192" s="2"/>
      <c r="W192" s="2"/>
      <c r="X192" s="2">
        <v>17.7</v>
      </c>
      <c r="Y192" s="2">
        <v>31.5</v>
      </c>
      <c r="Z192" s="2">
        <v>4.5</v>
      </c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>
        <v>17.5</v>
      </c>
      <c r="AP192" s="2"/>
      <c r="AQ192" s="2"/>
      <c r="AR192" s="2"/>
      <c r="AS192" s="2"/>
      <c r="AT192" s="2"/>
      <c r="AU192" s="2"/>
      <c r="AV192" s="2"/>
      <c r="AW192" s="2">
        <v>5.3999999999941801</v>
      </c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>
        <v>0.100000000000023</v>
      </c>
      <c r="BJ192" s="2">
        <v>0</v>
      </c>
      <c r="BK192" s="2">
        <v>3.5999999999985399</v>
      </c>
      <c r="BL192" s="2"/>
      <c r="BM192" s="2"/>
      <c r="BN192" s="2">
        <v>1.79999999999927</v>
      </c>
      <c r="BO192" s="2">
        <v>0</v>
      </c>
      <c r="BP192" s="2"/>
      <c r="BQ192" s="2">
        <v>0</v>
      </c>
      <c r="BR192" s="2">
        <v>16.299999999988401</v>
      </c>
      <c r="BS192" s="2"/>
      <c r="BT192" s="2"/>
      <c r="BU192" s="2"/>
      <c r="BV192" s="2"/>
      <c r="BW192" s="2"/>
      <c r="BX192" s="2"/>
      <c r="BY192" s="2"/>
      <c r="BZ192" s="2"/>
      <c r="CA192" s="2">
        <v>0.2</v>
      </c>
      <c r="CB192" s="2"/>
      <c r="CC192" s="2">
        <v>0.2</v>
      </c>
      <c r="CD192" s="2"/>
      <c r="CE192" s="2">
        <v>1.4</v>
      </c>
      <c r="CF192" s="2"/>
      <c r="CG192" s="2"/>
      <c r="CH192" s="2">
        <v>67.5</v>
      </c>
      <c r="CI192" s="2"/>
      <c r="CJ192" s="2"/>
      <c r="CK192" s="2">
        <v>8.5</v>
      </c>
      <c r="CL192" s="2"/>
      <c r="CM192" s="2"/>
      <c r="CN192" s="2"/>
      <c r="CO192" s="2">
        <v>0.1</v>
      </c>
      <c r="CP192" s="2"/>
      <c r="CQ192" s="2"/>
      <c r="CR192" s="2"/>
      <c r="CS192" s="2"/>
      <c r="CT192" s="2"/>
      <c r="CU192" s="2"/>
      <c r="CV192" s="2">
        <v>0.1</v>
      </c>
      <c r="CW192" s="2">
        <v>22.1</v>
      </c>
      <c r="CX192" s="2"/>
      <c r="CY192" s="2"/>
      <c r="CZ192" s="2"/>
      <c r="DB192">
        <v>1995</v>
      </c>
      <c r="DC192">
        <v>67.5</v>
      </c>
      <c r="DH192">
        <v>191</v>
      </c>
    </row>
    <row r="193" spans="1:112">
      <c r="A193" s="1">
        <v>41100</v>
      </c>
      <c r="B193" s="2"/>
      <c r="C193" s="2"/>
      <c r="D193" s="2"/>
      <c r="E193" s="2"/>
      <c r="F193" s="2"/>
      <c r="G193" s="2"/>
      <c r="H193" s="2"/>
      <c r="I193" s="2"/>
      <c r="J193" s="2"/>
      <c r="K193" s="2">
        <v>4.2</v>
      </c>
      <c r="L193" s="2"/>
      <c r="M193" s="2">
        <v>0.2</v>
      </c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>
        <v>14.7</v>
      </c>
      <c r="Y193" s="2">
        <v>0.19999999999981799</v>
      </c>
      <c r="Z193" s="2">
        <v>2.1999999999970901</v>
      </c>
      <c r="AA193" s="2"/>
      <c r="AB193" s="2"/>
      <c r="AC193" s="2"/>
      <c r="AD193" s="2"/>
      <c r="AE193" s="2"/>
      <c r="AF193" s="2"/>
      <c r="AG193" s="2"/>
      <c r="AH193" s="2">
        <v>4.1999999999970896</v>
      </c>
      <c r="AI193" s="2"/>
      <c r="AJ193" s="2"/>
      <c r="AK193" s="2"/>
      <c r="AL193" s="2"/>
      <c r="AM193" s="2"/>
      <c r="AN193" s="2">
        <v>11.599999999991301</v>
      </c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>
        <v>0.19999999999981799</v>
      </c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>
        <v>0</v>
      </c>
      <c r="BK193" s="2">
        <v>22.299999999988401</v>
      </c>
      <c r="BL193" s="2"/>
      <c r="BM193" s="2"/>
      <c r="BN193" s="2">
        <v>8.6000000000058208</v>
      </c>
      <c r="BO193" s="2">
        <v>2.0999999999985399</v>
      </c>
      <c r="BP193" s="2"/>
      <c r="BQ193" s="2"/>
      <c r="BR193" s="2">
        <v>0.5</v>
      </c>
      <c r="BS193" s="2"/>
      <c r="BT193" s="2"/>
      <c r="BU193" s="2"/>
      <c r="BV193" s="2"/>
      <c r="BW193" s="2"/>
      <c r="BX193" s="2"/>
      <c r="BY193" s="2"/>
      <c r="BZ193" s="2"/>
      <c r="CA193" s="2">
        <v>2.6</v>
      </c>
      <c r="CB193" s="2"/>
      <c r="CC193" s="2"/>
      <c r="CD193" s="2"/>
      <c r="CE193" s="2"/>
      <c r="CF193" s="2"/>
      <c r="CG193" s="2"/>
      <c r="CH193" s="2">
        <v>20</v>
      </c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>
        <v>16.2</v>
      </c>
      <c r="CX193" s="2"/>
      <c r="CY193" s="2"/>
      <c r="CZ193" s="2">
        <v>0.1</v>
      </c>
      <c r="DB193">
        <v>1972</v>
      </c>
      <c r="DC193">
        <v>22.299999999988401</v>
      </c>
      <c r="DH193">
        <v>192</v>
      </c>
    </row>
    <row r="194" spans="1:112">
      <c r="A194" s="1">
        <v>41101</v>
      </c>
      <c r="B194" s="2"/>
      <c r="C194" s="2"/>
      <c r="D194" s="2"/>
      <c r="E194" s="2">
        <v>0.2</v>
      </c>
      <c r="F194" s="2"/>
      <c r="G194" s="2"/>
      <c r="H194" s="2"/>
      <c r="I194" s="2"/>
      <c r="J194" s="2"/>
      <c r="K194" s="2"/>
      <c r="L194" s="2"/>
      <c r="M194" s="2"/>
      <c r="N194" s="2"/>
      <c r="O194" s="2">
        <v>0.2</v>
      </c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>
        <v>0.5</v>
      </c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>
        <v>59</v>
      </c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>
        <v>0.19999999999981799</v>
      </c>
      <c r="AZ194" s="2">
        <v>0.29999999999972699</v>
      </c>
      <c r="BA194" s="2"/>
      <c r="BB194" s="2"/>
      <c r="BC194" s="2"/>
      <c r="BD194" s="2">
        <v>6.8000000000029104</v>
      </c>
      <c r="BE194" s="2"/>
      <c r="BF194" s="2"/>
      <c r="BG194" s="2"/>
      <c r="BH194" s="2"/>
      <c r="BI194" s="2">
        <v>0</v>
      </c>
      <c r="BJ194" s="2">
        <v>0</v>
      </c>
      <c r="BK194" s="2"/>
      <c r="BL194" s="2"/>
      <c r="BM194" s="2"/>
      <c r="BN194" s="2"/>
      <c r="BO194" s="2">
        <v>0</v>
      </c>
      <c r="BP194" s="2"/>
      <c r="BQ194" s="2"/>
      <c r="BR194" s="2">
        <v>0.80000000000018201</v>
      </c>
      <c r="BS194" s="2"/>
      <c r="BT194" s="2"/>
      <c r="BU194" s="2"/>
      <c r="BV194" s="2"/>
      <c r="BW194" s="2"/>
      <c r="BX194" s="2"/>
      <c r="BY194" s="2"/>
      <c r="BZ194" s="2"/>
      <c r="CA194" s="2">
        <v>7.5</v>
      </c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B194">
        <v>1949</v>
      </c>
      <c r="DC194">
        <v>59</v>
      </c>
      <c r="DH194">
        <v>193</v>
      </c>
    </row>
    <row r="195" spans="1:112">
      <c r="A195" s="1">
        <v>41102</v>
      </c>
      <c r="B195" s="2"/>
      <c r="C195" s="2"/>
      <c r="D195" s="2"/>
      <c r="E195" s="2">
        <v>45.5</v>
      </c>
      <c r="F195" s="2"/>
      <c r="G195" s="2"/>
      <c r="H195" s="2"/>
      <c r="I195" s="2">
        <v>0.2</v>
      </c>
      <c r="J195" s="2"/>
      <c r="K195" s="2">
        <v>7.4</v>
      </c>
      <c r="L195" s="2"/>
      <c r="M195" s="2">
        <v>0.3</v>
      </c>
      <c r="N195" s="2"/>
      <c r="O195" s="2"/>
      <c r="P195" s="2">
        <v>11</v>
      </c>
      <c r="Q195" s="2"/>
      <c r="R195" s="2"/>
      <c r="S195" s="2"/>
      <c r="T195" s="2"/>
      <c r="U195" s="2"/>
      <c r="V195" s="2"/>
      <c r="W195" s="2"/>
      <c r="X195" s="2"/>
      <c r="Y195" s="2">
        <v>0.79999999999927196</v>
      </c>
      <c r="Z195" s="2">
        <v>17.399999999994201</v>
      </c>
      <c r="AA195" s="2"/>
      <c r="AB195" s="2">
        <v>1.89999999999964</v>
      </c>
      <c r="AC195" s="2"/>
      <c r="AD195" s="2"/>
      <c r="AE195" s="2"/>
      <c r="AF195" s="2"/>
      <c r="AG195" s="2"/>
      <c r="AH195" s="2">
        <v>11.799999999988399</v>
      </c>
      <c r="AI195" s="2"/>
      <c r="AJ195" s="2"/>
      <c r="AK195" s="2">
        <v>2.5</v>
      </c>
      <c r="AL195" s="2"/>
      <c r="AM195" s="2"/>
      <c r="AN195" s="2">
        <v>3.5</v>
      </c>
      <c r="AO195" s="2"/>
      <c r="AP195" s="2"/>
      <c r="AQ195" s="2"/>
      <c r="AR195" s="2"/>
      <c r="AS195" s="2"/>
      <c r="AT195" s="2"/>
      <c r="AU195" s="2"/>
      <c r="AV195" s="2">
        <v>0.39999999999963598</v>
      </c>
      <c r="AW195" s="2"/>
      <c r="AX195" s="2"/>
      <c r="AY195" s="2"/>
      <c r="AZ195" s="2"/>
      <c r="BA195" s="2"/>
      <c r="BB195" s="2"/>
      <c r="BC195" s="2"/>
      <c r="BD195" s="2">
        <v>15.5</v>
      </c>
      <c r="BE195" s="2"/>
      <c r="BF195" s="2">
        <v>1.5</v>
      </c>
      <c r="BG195" s="2"/>
      <c r="BH195" s="2"/>
      <c r="BI195" s="2">
        <v>0.200000000000045</v>
      </c>
      <c r="BJ195" s="2"/>
      <c r="BK195" s="2"/>
      <c r="BL195" s="2"/>
      <c r="BM195" s="2"/>
      <c r="BN195" s="2"/>
      <c r="BO195" s="2"/>
      <c r="BP195" s="2">
        <v>1.5</v>
      </c>
      <c r="BQ195" s="2"/>
      <c r="BR195" s="2">
        <v>0.30000000000018201</v>
      </c>
      <c r="BS195" s="2"/>
      <c r="BT195" s="2"/>
      <c r="BU195" s="2"/>
      <c r="BV195" s="2">
        <v>0</v>
      </c>
      <c r="BW195" s="2"/>
      <c r="BX195" s="2"/>
      <c r="BY195" s="2"/>
      <c r="BZ195" s="2"/>
      <c r="CA195" s="2">
        <v>0.1</v>
      </c>
      <c r="CB195" s="2"/>
      <c r="CC195" s="2"/>
      <c r="CD195" s="2"/>
      <c r="CE195" s="2"/>
      <c r="CF195" s="2"/>
      <c r="CG195" s="2"/>
      <c r="CH195" s="2">
        <v>0.4</v>
      </c>
      <c r="CI195" s="2"/>
      <c r="CJ195" s="2">
        <v>1.4</v>
      </c>
      <c r="CK195" s="2"/>
      <c r="CL195" s="2"/>
      <c r="CM195" s="2"/>
      <c r="CN195" s="2"/>
      <c r="CO195" s="2"/>
      <c r="CP195" s="2"/>
      <c r="CQ195" s="2"/>
      <c r="CR195" s="2">
        <v>0</v>
      </c>
      <c r="CS195" s="2"/>
      <c r="CT195" s="2"/>
      <c r="CU195" s="2"/>
      <c r="CV195" s="2"/>
      <c r="CW195" s="2"/>
      <c r="CX195" s="2"/>
      <c r="CY195" s="2"/>
      <c r="CZ195" s="2"/>
      <c r="DB195">
        <v>1914</v>
      </c>
      <c r="DC195">
        <v>45.5</v>
      </c>
      <c r="DH195">
        <v>194</v>
      </c>
    </row>
    <row r="196" spans="1:112">
      <c r="A196" s="1">
        <v>41103</v>
      </c>
      <c r="B196" s="2"/>
      <c r="C196" s="2"/>
      <c r="D196" s="2">
        <v>0.9</v>
      </c>
      <c r="E196" s="2">
        <v>0.2</v>
      </c>
      <c r="F196" s="2"/>
      <c r="G196" s="2"/>
      <c r="H196" s="2"/>
      <c r="I196" s="2"/>
      <c r="J196" s="2">
        <v>1.7</v>
      </c>
      <c r="K196" s="2">
        <v>3.4</v>
      </c>
      <c r="L196" s="2"/>
      <c r="M196" s="2"/>
      <c r="N196" s="2"/>
      <c r="O196" s="2"/>
      <c r="P196" s="2">
        <v>30.9</v>
      </c>
      <c r="Q196" s="2"/>
      <c r="R196" s="2">
        <v>8.3000000000000007</v>
      </c>
      <c r="S196" s="2"/>
      <c r="T196" s="2">
        <v>3.8</v>
      </c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>
        <v>17.599999999976699</v>
      </c>
      <c r="AJ196" s="2"/>
      <c r="AK196" s="2"/>
      <c r="AL196" s="2"/>
      <c r="AM196" s="2"/>
      <c r="AN196" s="2">
        <v>14.5</v>
      </c>
      <c r="AO196" s="2"/>
      <c r="AP196" s="2"/>
      <c r="AQ196" s="2"/>
      <c r="AR196" s="2"/>
      <c r="AS196" s="2"/>
      <c r="AT196" s="2"/>
      <c r="AU196" s="2"/>
      <c r="AV196" s="2"/>
      <c r="AW196" s="2"/>
      <c r="AX196" s="2">
        <v>0.5</v>
      </c>
      <c r="AY196" s="2"/>
      <c r="AZ196" s="2"/>
      <c r="BA196" s="2"/>
      <c r="BB196" s="2"/>
      <c r="BC196" s="2"/>
      <c r="BD196" s="2">
        <v>2.0999999999985399</v>
      </c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>
        <v>3.5</v>
      </c>
      <c r="CG196" s="2"/>
      <c r="CH196" s="2"/>
      <c r="CI196" s="2"/>
      <c r="CJ196" s="2">
        <v>0.4</v>
      </c>
      <c r="CK196" s="2"/>
      <c r="CL196" s="2"/>
      <c r="CM196" s="2"/>
      <c r="CN196" s="2"/>
      <c r="CO196" s="2"/>
      <c r="CP196" s="2"/>
      <c r="CQ196" s="2">
        <v>22.4</v>
      </c>
      <c r="CR196" s="2"/>
      <c r="CS196" s="2"/>
      <c r="CT196" s="2">
        <v>9.1999999999999993</v>
      </c>
      <c r="CU196" s="2"/>
      <c r="CV196" s="2">
        <v>16.600000000000001</v>
      </c>
      <c r="CW196" s="2"/>
      <c r="CX196" s="2"/>
      <c r="CY196" s="2"/>
      <c r="CZ196" s="2"/>
      <c r="DB196">
        <v>1925</v>
      </c>
      <c r="DC196">
        <v>30.9</v>
      </c>
      <c r="DH196">
        <v>195</v>
      </c>
    </row>
    <row r="197" spans="1:112">
      <c r="A197" s="1">
        <v>41104</v>
      </c>
      <c r="B197" s="2"/>
      <c r="C197" s="2"/>
      <c r="D197" s="2"/>
      <c r="E197" s="2">
        <v>0.3</v>
      </c>
      <c r="F197" s="2"/>
      <c r="G197" s="2"/>
      <c r="H197" s="2"/>
      <c r="I197" s="2"/>
      <c r="J197" s="2"/>
      <c r="K197" s="2"/>
      <c r="L197" s="2"/>
      <c r="M197" s="2">
        <v>0.4</v>
      </c>
      <c r="N197" s="2"/>
      <c r="O197" s="2"/>
      <c r="P197" s="2"/>
      <c r="Q197" s="2"/>
      <c r="R197" s="2"/>
      <c r="S197" s="2"/>
      <c r="T197" s="2">
        <v>0.3</v>
      </c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>
        <v>1.5</v>
      </c>
      <c r="AJ197" s="2">
        <v>5.8999999999941801</v>
      </c>
      <c r="AK197" s="2"/>
      <c r="AL197" s="2">
        <v>7.1999999999970896</v>
      </c>
      <c r="AM197" s="2"/>
      <c r="AN197" s="2">
        <v>3.5</v>
      </c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>
        <v>9.6999999999970896</v>
      </c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>
        <v>1</v>
      </c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>
        <v>1</v>
      </c>
      <c r="CG197" s="2">
        <v>4</v>
      </c>
      <c r="CH197" s="2"/>
      <c r="CI197" s="2"/>
      <c r="CJ197" s="2">
        <v>3.9</v>
      </c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B197">
        <v>1965</v>
      </c>
      <c r="DC197">
        <v>9.6999999999970896</v>
      </c>
      <c r="DH197">
        <v>196</v>
      </c>
    </row>
    <row r="198" spans="1:112">
      <c r="A198" s="1">
        <v>41105</v>
      </c>
      <c r="B198" s="2"/>
      <c r="C198" s="2"/>
      <c r="D198" s="2">
        <v>1.9</v>
      </c>
      <c r="E198" s="2">
        <v>0.1</v>
      </c>
      <c r="F198" s="2">
        <v>0.2</v>
      </c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>
        <v>3.3999999999978199</v>
      </c>
      <c r="AC198" s="2">
        <v>3.7999999999992702</v>
      </c>
      <c r="AD198" s="2"/>
      <c r="AE198" s="2"/>
      <c r="AF198" s="2"/>
      <c r="AG198" s="2"/>
      <c r="AH198" s="2"/>
      <c r="AI198" s="2"/>
      <c r="AJ198" s="2">
        <v>27</v>
      </c>
      <c r="AK198" s="2"/>
      <c r="AL198" s="2">
        <v>0.59999999999945397</v>
      </c>
      <c r="AM198" s="2"/>
      <c r="AN198" s="2"/>
      <c r="AO198" s="2"/>
      <c r="AP198" s="2">
        <v>3.8999999999978199</v>
      </c>
      <c r="AQ198" s="2"/>
      <c r="AR198" s="2"/>
      <c r="AS198" s="2">
        <v>4.0999999999985501</v>
      </c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>
        <v>0.100000000000023</v>
      </c>
      <c r="BJ198" s="2">
        <v>0.100000000000023</v>
      </c>
      <c r="BK198" s="2">
        <v>0.100000000000023</v>
      </c>
      <c r="BL198" s="2"/>
      <c r="BM198" s="2">
        <v>0.100000000000023</v>
      </c>
      <c r="BN198" s="2"/>
      <c r="BO198" s="2"/>
      <c r="BP198" s="2"/>
      <c r="BQ198" s="2"/>
      <c r="BR198" s="2"/>
      <c r="BS198" s="2"/>
      <c r="BT198" s="2"/>
      <c r="BU198" s="2">
        <v>0</v>
      </c>
      <c r="BV198" s="2"/>
      <c r="BW198" s="2"/>
      <c r="BX198" s="2"/>
      <c r="BY198" s="2"/>
      <c r="BZ198" s="2"/>
      <c r="CA198" s="2"/>
      <c r="CB198" s="2"/>
      <c r="CC198" s="2"/>
      <c r="CD198" s="2"/>
      <c r="CE198" s="2">
        <v>2.5</v>
      </c>
      <c r="CF198" s="2"/>
      <c r="CG198" s="2">
        <v>6.7</v>
      </c>
      <c r="CH198" s="2"/>
      <c r="CI198" s="2"/>
      <c r="CJ198" s="2"/>
      <c r="CK198" s="2"/>
      <c r="CL198" s="2">
        <v>0.8</v>
      </c>
      <c r="CM198" s="2"/>
      <c r="CN198" s="2"/>
      <c r="CO198" s="2"/>
      <c r="CP198" s="2"/>
      <c r="CQ198" s="2">
        <v>0</v>
      </c>
      <c r="CR198" s="2"/>
      <c r="CS198" s="2"/>
      <c r="CT198" s="2"/>
      <c r="CU198" s="2"/>
      <c r="CV198" s="2">
        <v>19.8</v>
      </c>
      <c r="CW198" s="2">
        <v>0.1</v>
      </c>
      <c r="CX198" s="2"/>
      <c r="CY198" s="2"/>
      <c r="CZ198" s="2">
        <v>1.3</v>
      </c>
      <c r="DB198">
        <v>1945</v>
      </c>
      <c r="DC198">
        <v>27</v>
      </c>
      <c r="DH198">
        <v>197</v>
      </c>
    </row>
    <row r="199" spans="1:112">
      <c r="A199" s="1">
        <v>41106</v>
      </c>
      <c r="B199" s="2"/>
      <c r="C199" s="2"/>
      <c r="D199" s="2"/>
      <c r="E199" s="2"/>
      <c r="F199" s="2"/>
      <c r="G199" s="2"/>
      <c r="H199" s="2"/>
      <c r="I199" s="2"/>
      <c r="J199" s="2">
        <v>1.7</v>
      </c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>
        <v>0.100000000000023</v>
      </c>
      <c r="BK199" s="2">
        <v>0.30000000000018201</v>
      </c>
      <c r="BL199" s="2"/>
      <c r="BM199" s="2"/>
      <c r="BN199" s="2"/>
      <c r="BO199" s="2"/>
      <c r="BP199" s="2"/>
      <c r="BQ199" s="2"/>
      <c r="BR199" s="2"/>
      <c r="BS199" s="2"/>
      <c r="BT199" s="2"/>
      <c r="BU199" s="2">
        <v>0.200000000000045</v>
      </c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>
        <v>20.7</v>
      </c>
      <c r="CK199" s="2"/>
      <c r="CL199" s="2">
        <v>11</v>
      </c>
      <c r="CM199" s="2"/>
      <c r="CN199" s="2"/>
      <c r="CO199" s="2"/>
      <c r="CP199" s="2"/>
      <c r="CQ199" s="2">
        <v>3.4</v>
      </c>
      <c r="CR199" s="2"/>
      <c r="CS199" s="2"/>
      <c r="CT199" s="2"/>
      <c r="CU199" s="2">
        <v>9.4</v>
      </c>
      <c r="CV199" s="2"/>
      <c r="CW199" s="2"/>
      <c r="CX199" s="2"/>
      <c r="CY199" s="2"/>
      <c r="CZ199" s="2">
        <v>0.1</v>
      </c>
      <c r="DB199">
        <v>1997</v>
      </c>
      <c r="DC199">
        <v>20.7</v>
      </c>
      <c r="DH199">
        <v>198</v>
      </c>
    </row>
    <row r="200" spans="1:112">
      <c r="A200" s="1">
        <v>41107</v>
      </c>
      <c r="B200" s="2"/>
      <c r="C200" s="2"/>
      <c r="D200" s="2"/>
      <c r="E200" s="2">
        <v>1.3</v>
      </c>
      <c r="F200" s="2"/>
      <c r="G200" s="2"/>
      <c r="H200" s="2"/>
      <c r="I200" s="2"/>
      <c r="J200" s="2">
        <v>3.7</v>
      </c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>
        <v>0</v>
      </c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>
        <v>5.29999999999563</v>
      </c>
      <c r="BC200" s="2"/>
      <c r="BD200" s="2"/>
      <c r="BE200" s="2"/>
      <c r="BF200" s="2"/>
      <c r="BG200" s="2"/>
      <c r="BH200" s="2"/>
      <c r="BI200" s="2"/>
      <c r="BJ200" s="2"/>
      <c r="BK200" s="2">
        <v>0.60000000000036402</v>
      </c>
      <c r="BL200" s="2"/>
      <c r="BM200" s="2"/>
      <c r="BN200" s="2"/>
      <c r="BO200" s="2">
        <v>1.10000000000036</v>
      </c>
      <c r="BP200" s="2"/>
      <c r="BQ200" s="2">
        <v>0.30000000000018201</v>
      </c>
      <c r="BR200" s="2"/>
      <c r="BS200" s="2"/>
      <c r="BT200" s="2">
        <v>0</v>
      </c>
      <c r="BU200" s="2">
        <v>13.600000000005799</v>
      </c>
      <c r="BV200" s="2">
        <v>0.1</v>
      </c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>
        <v>5.3</v>
      </c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>
        <v>0.1</v>
      </c>
      <c r="DB200">
        <v>1982</v>
      </c>
      <c r="DC200">
        <v>13.600000000005799</v>
      </c>
      <c r="DH200">
        <v>199</v>
      </c>
    </row>
    <row r="201" spans="1:112">
      <c r="A201" s="1">
        <v>41108</v>
      </c>
      <c r="B201" s="2"/>
      <c r="C201" s="2">
        <v>5.2</v>
      </c>
      <c r="D201" s="2"/>
      <c r="E201" s="2"/>
      <c r="F201" s="2">
        <v>0.3</v>
      </c>
      <c r="G201" s="2"/>
      <c r="H201" s="2"/>
      <c r="I201" s="2"/>
      <c r="J201" s="2">
        <v>2.6</v>
      </c>
      <c r="K201" s="2"/>
      <c r="L201" s="2"/>
      <c r="M201" s="2"/>
      <c r="N201" s="2"/>
      <c r="O201" s="2"/>
      <c r="P201" s="2"/>
      <c r="Q201" s="2">
        <v>6</v>
      </c>
      <c r="R201" s="2"/>
      <c r="S201" s="2"/>
      <c r="T201" s="2"/>
      <c r="U201" s="2"/>
      <c r="V201" s="2">
        <v>2.5</v>
      </c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>
        <v>0.29999999999972699</v>
      </c>
      <c r="AN201" s="2"/>
      <c r="AO201" s="2"/>
      <c r="AP201" s="2"/>
      <c r="AQ201" s="2"/>
      <c r="AR201" s="2"/>
      <c r="AS201" s="2"/>
      <c r="AT201" s="2"/>
      <c r="AU201" s="2">
        <v>6</v>
      </c>
      <c r="AV201" s="2"/>
      <c r="AW201" s="2"/>
      <c r="AX201" s="2"/>
      <c r="AY201" s="2"/>
      <c r="AZ201" s="2"/>
      <c r="BA201" s="2"/>
      <c r="BB201" s="2"/>
      <c r="BC201" s="2">
        <v>2.2000000000007298</v>
      </c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>
        <v>4.3000000000029104</v>
      </c>
      <c r="BP201" s="2"/>
      <c r="BQ201" s="2"/>
      <c r="BR201" s="2"/>
      <c r="BS201" s="2"/>
      <c r="BT201" s="2"/>
      <c r="BU201" s="2"/>
      <c r="BV201" s="2">
        <v>0</v>
      </c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B201">
        <v>1926</v>
      </c>
      <c r="DC201">
        <v>6</v>
      </c>
      <c r="DH201">
        <v>200</v>
      </c>
    </row>
    <row r="202" spans="1:112">
      <c r="A202" s="1">
        <v>41109</v>
      </c>
      <c r="B202" s="2"/>
      <c r="C202" s="2"/>
      <c r="D202" s="2">
        <v>1.7</v>
      </c>
      <c r="E202" s="2">
        <v>9.1999999999999993</v>
      </c>
      <c r="F202" s="2"/>
      <c r="G202" s="2"/>
      <c r="H202" s="2"/>
      <c r="I202" s="2"/>
      <c r="J202" s="2"/>
      <c r="K202" s="2"/>
      <c r="L202" s="2">
        <v>0.1</v>
      </c>
      <c r="M202" s="2"/>
      <c r="N202" s="2"/>
      <c r="O202" s="2"/>
      <c r="P202" s="2"/>
      <c r="Q202" s="2">
        <v>0.2</v>
      </c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>
        <v>0.19999999999981799</v>
      </c>
      <c r="AN202" s="2"/>
      <c r="AO202" s="2"/>
      <c r="AP202" s="2"/>
      <c r="AQ202" s="2"/>
      <c r="AR202" s="2"/>
      <c r="AS202" s="2"/>
      <c r="AT202" s="2"/>
      <c r="AU202" s="2">
        <v>0.69999999999981799</v>
      </c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>
        <v>0.100000000000023</v>
      </c>
      <c r="BM202" s="2"/>
      <c r="BN202" s="2"/>
      <c r="BO202" s="2"/>
      <c r="BP202" s="2"/>
      <c r="BQ202" s="2"/>
      <c r="BR202" s="2"/>
      <c r="BS202" s="2"/>
      <c r="BT202" s="2"/>
      <c r="BU202" s="2">
        <v>0</v>
      </c>
      <c r="BV202" s="2"/>
      <c r="BW202" s="2"/>
      <c r="BX202" s="2"/>
      <c r="BY202" s="2"/>
      <c r="BZ202" s="2"/>
      <c r="CA202" s="2"/>
      <c r="CB202" s="2"/>
      <c r="CC202" s="2"/>
      <c r="CD202" s="2"/>
      <c r="CE202" s="2">
        <v>6.4</v>
      </c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B202">
        <v>1914</v>
      </c>
      <c r="DC202">
        <v>9.1999999999999993</v>
      </c>
      <c r="DH202">
        <v>201</v>
      </c>
    </row>
    <row r="203" spans="1:112">
      <c r="A203" s="1">
        <v>41110</v>
      </c>
      <c r="B203" s="2"/>
      <c r="C203" s="2"/>
      <c r="D203" s="2"/>
      <c r="E203" s="2">
        <v>0.2</v>
      </c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>
        <v>46</v>
      </c>
      <c r="S203" s="2"/>
      <c r="T203" s="2"/>
      <c r="U203" s="2"/>
      <c r="V203" s="2"/>
      <c r="W203" s="2"/>
      <c r="X203" s="2">
        <v>0</v>
      </c>
      <c r="Y203" s="2"/>
      <c r="Z203" s="2">
        <v>0.1</v>
      </c>
      <c r="AA203" s="2"/>
      <c r="AB203" s="2"/>
      <c r="AC203" s="2">
        <v>9.5</v>
      </c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>
        <v>6.0999999999985501</v>
      </c>
      <c r="AO203" s="2"/>
      <c r="AP203" s="2">
        <v>165.79999999981399</v>
      </c>
      <c r="AQ203" s="2">
        <v>0.5</v>
      </c>
      <c r="AR203" s="2"/>
      <c r="AS203" s="2">
        <v>0.59999999999945397</v>
      </c>
      <c r="AT203" s="2"/>
      <c r="AU203" s="2"/>
      <c r="AV203" s="2"/>
      <c r="AW203" s="2"/>
      <c r="AX203" s="2"/>
      <c r="AY203" s="2"/>
      <c r="AZ203" s="2"/>
      <c r="BA203" s="2">
        <v>3.6999999999970901</v>
      </c>
      <c r="BB203" s="2"/>
      <c r="BC203" s="2"/>
      <c r="BD203" s="2"/>
      <c r="BE203" s="2"/>
      <c r="BF203" s="2">
        <v>2.4000000000014601</v>
      </c>
      <c r="BG203" s="2"/>
      <c r="BH203" s="2"/>
      <c r="BI203" s="2"/>
      <c r="BJ203" s="2">
        <v>0.200000000000045</v>
      </c>
      <c r="BK203" s="2">
        <v>0</v>
      </c>
      <c r="BL203" s="2"/>
      <c r="BM203" s="2"/>
      <c r="BN203" s="2"/>
      <c r="BO203" s="2"/>
      <c r="BP203" s="2"/>
      <c r="BQ203" s="2"/>
      <c r="BR203" s="2"/>
      <c r="BS203" s="2"/>
      <c r="BT203" s="2"/>
      <c r="BU203" s="2">
        <v>0</v>
      </c>
      <c r="BV203" s="2"/>
      <c r="BW203" s="2"/>
      <c r="BX203" s="2"/>
      <c r="BY203" s="2"/>
      <c r="BZ203" s="2"/>
      <c r="CA203" s="2"/>
      <c r="CB203" s="2"/>
      <c r="CC203" s="2"/>
      <c r="CD203" s="2"/>
      <c r="CE203" s="2">
        <v>0.1</v>
      </c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>
        <v>1.4</v>
      </c>
      <c r="CX203" s="2"/>
      <c r="CY203" s="2"/>
      <c r="CZ203" s="2"/>
      <c r="DB203">
        <v>1951</v>
      </c>
      <c r="DC203">
        <v>165.79999999981399</v>
      </c>
      <c r="DH203">
        <v>202</v>
      </c>
    </row>
    <row r="204" spans="1:112">
      <c r="A204" s="1">
        <v>41111</v>
      </c>
      <c r="B204" s="2"/>
      <c r="C204" s="2"/>
      <c r="D204" s="2"/>
      <c r="E204" s="2">
        <v>0.1</v>
      </c>
      <c r="F204" s="2"/>
      <c r="G204" s="2"/>
      <c r="H204" s="2"/>
      <c r="I204" s="2"/>
      <c r="J204" s="2"/>
      <c r="K204" s="2"/>
      <c r="L204" s="2"/>
      <c r="M204" s="2"/>
      <c r="N204" s="2">
        <v>1.2</v>
      </c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>
        <v>14.8</v>
      </c>
      <c r="AD204" s="2"/>
      <c r="AE204" s="2"/>
      <c r="AF204" s="2"/>
      <c r="AG204" s="2"/>
      <c r="AH204" s="2"/>
      <c r="AI204" s="2"/>
      <c r="AJ204" s="2">
        <v>32.899999999965097</v>
      </c>
      <c r="AK204" s="2"/>
      <c r="AL204" s="2"/>
      <c r="AM204" s="2"/>
      <c r="AN204" s="2"/>
      <c r="AO204" s="2"/>
      <c r="AP204" s="2"/>
      <c r="AQ204" s="2">
        <v>0.39999999999963598</v>
      </c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>
        <v>9.5</v>
      </c>
      <c r="BN204" s="2"/>
      <c r="BO204" s="2"/>
      <c r="BP204" s="2"/>
      <c r="BQ204" s="2"/>
      <c r="BR204" s="2"/>
      <c r="BS204" s="2"/>
      <c r="BT204" s="2"/>
      <c r="BU204" s="2">
        <v>0</v>
      </c>
      <c r="BV204" s="2">
        <v>5.6</v>
      </c>
      <c r="BW204" s="2"/>
      <c r="BX204" s="2"/>
      <c r="BY204" s="2"/>
      <c r="BZ204" s="2"/>
      <c r="CA204" s="2"/>
      <c r="CB204" s="2"/>
      <c r="CC204" s="2">
        <v>0.4</v>
      </c>
      <c r="CD204" s="2"/>
      <c r="CE204" s="2"/>
      <c r="CF204" s="2"/>
      <c r="CG204" s="2"/>
      <c r="CH204" s="2">
        <v>0.9</v>
      </c>
      <c r="CI204" s="2"/>
      <c r="CJ204" s="2"/>
      <c r="CK204" s="2"/>
      <c r="CL204" s="2"/>
      <c r="CM204" s="2">
        <v>1</v>
      </c>
      <c r="CN204" s="2"/>
      <c r="CO204" s="2"/>
      <c r="CP204" s="2"/>
      <c r="CQ204" s="2"/>
      <c r="CR204" s="2"/>
      <c r="CS204" s="2"/>
      <c r="CT204" s="2"/>
      <c r="CU204" s="2"/>
      <c r="CV204" s="2"/>
      <c r="CW204" s="2">
        <v>26.6</v>
      </c>
      <c r="CX204" s="2">
        <v>0.4</v>
      </c>
      <c r="CY204" s="2"/>
      <c r="CZ204" s="2"/>
      <c r="DB204">
        <v>1945</v>
      </c>
      <c r="DC204">
        <v>32.899999999965097</v>
      </c>
      <c r="DH204">
        <v>203</v>
      </c>
    </row>
    <row r="205" spans="1:112">
      <c r="A205" s="1">
        <v>41112</v>
      </c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>
        <v>18.8</v>
      </c>
      <c r="O205" s="2"/>
      <c r="P205" s="2"/>
      <c r="Q205" s="2"/>
      <c r="R205" s="2"/>
      <c r="S205" s="2"/>
      <c r="T205" s="2"/>
      <c r="U205" s="2"/>
      <c r="V205" s="2"/>
      <c r="W205" s="2"/>
      <c r="X205" s="2">
        <v>7.2</v>
      </c>
      <c r="Y205" s="2"/>
      <c r="Z205" s="2"/>
      <c r="AA205" s="2"/>
      <c r="AB205" s="2"/>
      <c r="AC205" s="2"/>
      <c r="AD205" s="2"/>
      <c r="AE205" s="2">
        <v>2.6999999999970901</v>
      </c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>
        <v>0.59999999999945397</v>
      </c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>
        <v>0.100000000000023</v>
      </c>
      <c r="BJ205" s="2"/>
      <c r="BK205" s="2"/>
      <c r="BL205" s="2">
        <v>0.100000000000023</v>
      </c>
      <c r="BM205" s="2">
        <v>0</v>
      </c>
      <c r="BN205" s="2"/>
      <c r="BO205" s="2"/>
      <c r="BP205" s="2"/>
      <c r="BQ205" s="2">
        <v>4.0999999999985501</v>
      </c>
      <c r="BR205" s="2"/>
      <c r="BS205" s="2"/>
      <c r="BT205" s="2"/>
      <c r="BU205" s="2">
        <v>0</v>
      </c>
      <c r="BV205" s="2">
        <v>11</v>
      </c>
      <c r="BW205" s="2"/>
      <c r="BX205" s="2">
        <v>0</v>
      </c>
      <c r="BY205" s="2"/>
      <c r="BZ205" s="2"/>
      <c r="CA205" s="2"/>
      <c r="CB205" s="2"/>
      <c r="CC205" s="2"/>
      <c r="CD205" s="2"/>
      <c r="CE205" s="2">
        <v>0.1</v>
      </c>
      <c r="CF205" s="2"/>
      <c r="CG205" s="2"/>
      <c r="CH205" s="2"/>
      <c r="CI205" s="2"/>
      <c r="CJ205" s="2"/>
      <c r="CK205" s="2"/>
      <c r="CL205" s="2"/>
      <c r="CM205" s="2">
        <v>6.5</v>
      </c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B205">
        <v>1923</v>
      </c>
      <c r="DC205">
        <v>18.8</v>
      </c>
      <c r="DH205">
        <v>204</v>
      </c>
    </row>
    <row r="206" spans="1:112">
      <c r="A206" s="1">
        <v>41113</v>
      </c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>
        <v>6</v>
      </c>
      <c r="R206" s="2"/>
      <c r="S206" s="2"/>
      <c r="T206" s="2"/>
      <c r="U206" s="2"/>
      <c r="V206" s="2"/>
      <c r="W206" s="2"/>
      <c r="X206" s="2">
        <v>0.3</v>
      </c>
      <c r="Y206" s="2"/>
      <c r="Z206" s="2"/>
      <c r="AA206" s="2"/>
      <c r="AB206" s="2"/>
      <c r="AC206" s="2"/>
      <c r="AD206" s="2"/>
      <c r="AE206" s="2"/>
      <c r="AF206" s="2"/>
      <c r="AG206" s="2">
        <v>0</v>
      </c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>
        <v>0.5</v>
      </c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>
        <v>0</v>
      </c>
      <c r="BK206" s="2"/>
      <c r="BL206" s="2"/>
      <c r="BM206" s="2"/>
      <c r="BN206" s="2"/>
      <c r="BO206" s="2"/>
      <c r="BP206" s="2"/>
      <c r="BQ206" s="2"/>
      <c r="BR206" s="2"/>
      <c r="BS206" s="2">
        <v>0.100000000000023</v>
      </c>
      <c r="BT206" s="2"/>
      <c r="BU206" s="2">
        <v>0</v>
      </c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B206">
        <v>1926</v>
      </c>
      <c r="DC206">
        <v>6</v>
      </c>
      <c r="DH206">
        <v>205</v>
      </c>
    </row>
    <row r="207" spans="1:112">
      <c r="A207" s="1">
        <v>41114</v>
      </c>
      <c r="B207" s="2"/>
      <c r="C207" s="2">
        <v>0.4</v>
      </c>
      <c r="D207" s="2"/>
      <c r="E207" s="2"/>
      <c r="F207" s="2">
        <v>0.2</v>
      </c>
      <c r="G207" s="2"/>
      <c r="H207" s="2"/>
      <c r="I207" s="2">
        <v>0.8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>
        <v>17.299999999988401</v>
      </c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>
        <v>12.5</v>
      </c>
      <c r="AR207" s="2"/>
      <c r="AS207" s="2"/>
      <c r="AT207" s="2"/>
      <c r="AU207" s="2">
        <v>1.0999999999985499</v>
      </c>
      <c r="AV207" s="2">
        <v>2.1999999999970901</v>
      </c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>
        <v>23.700000000011599</v>
      </c>
      <c r="BN207" s="2"/>
      <c r="BO207" s="2">
        <v>0.200000000000045</v>
      </c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>
        <v>2</v>
      </c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B207">
        <v>1974</v>
      </c>
      <c r="DC207">
        <v>23.700000000011599</v>
      </c>
      <c r="DH207">
        <v>206</v>
      </c>
    </row>
    <row r="208" spans="1:112">
      <c r="A208" s="1">
        <v>41115</v>
      </c>
      <c r="B208" s="2"/>
      <c r="C208" s="2">
        <v>13.8</v>
      </c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>
        <v>0</v>
      </c>
      <c r="W208" s="2">
        <v>0</v>
      </c>
      <c r="X208" s="2"/>
      <c r="Y208" s="2"/>
      <c r="Z208" s="2"/>
      <c r="AA208" s="2">
        <v>48.899999999965097</v>
      </c>
      <c r="AB208" s="2"/>
      <c r="AC208" s="2"/>
      <c r="AD208" s="2"/>
      <c r="AE208" s="2"/>
      <c r="AF208" s="2"/>
      <c r="AG208" s="2"/>
      <c r="AH208" s="2"/>
      <c r="AI208" s="2">
        <v>1.5</v>
      </c>
      <c r="AJ208" s="2"/>
      <c r="AK208" s="2">
        <v>1.39999999999964</v>
      </c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>
        <v>0</v>
      </c>
      <c r="BL208" s="2"/>
      <c r="BM208" s="2">
        <v>0.100000000000023</v>
      </c>
      <c r="BN208" s="2"/>
      <c r="BO208" s="2">
        <v>11.5</v>
      </c>
      <c r="BP208" s="2"/>
      <c r="BQ208" s="2"/>
      <c r="BR208" s="2">
        <v>0</v>
      </c>
      <c r="BS208" s="2"/>
      <c r="BT208" s="2"/>
      <c r="BU208" s="2">
        <v>0</v>
      </c>
      <c r="BV208" s="2"/>
      <c r="BW208" s="2">
        <v>4.8999999999941801</v>
      </c>
      <c r="BX208" s="2"/>
      <c r="BY208" s="2"/>
      <c r="BZ208" s="2"/>
      <c r="CA208" s="2"/>
      <c r="CB208" s="2"/>
      <c r="CC208" s="2"/>
      <c r="CD208" s="2"/>
      <c r="CE208" s="2">
        <v>0.2</v>
      </c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>
        <v>3.4</v>
      </c>
      <c r="CS208" s="2"/>
      <c r="CT208" s="2"/>
      <c r="CU208" s="2"/>
      <c r="CV208" s="2"/>
      <c r="CW208" s="2"/>
      <c r="CX208" s="2"/>
      <c r="CY208" s="2"/>
      <c r="CZ208" s="2"/>
      <c r="DB208">
        <v>1936</v>
      </c>
      <c r="DC208">
        <v>48.899999999965097</v>
      </c>
      <c r="DH208">
        <v>207</v>
      </c>
    </row>
    <row r="209" spans="1:112">
      <c r="A209" s="1">
        <v>41116</v>
      </c>
      <c r="B209" s="2"/>
      <c r="C209" s="2">
        <v>0.6</v>
      </c>
      <c r="D209" s="2">
        <v>8.6999999999999993</v>
      </c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>
        <v>0</v>
      </c>
      <c r="U209" s="2"/>
      <c r="V209" s="2"/>
      <c r="W209" s="2"/>
      <c r="X209" s="2">
        <v>0.2</v>
      </c>
      <c r="Y209" s="2">
        <v>2.5</v>
      </c>
      <c r="Z209" s="2"/>
      <c r="AA209" s="2">
        <v>22.5</v>
      </c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>
        <v>4.3000000000029104</v>
      </c>
      <c r="BD209" s="2"/>
      <c r="BE209" s="2"/>
      <c r="BF209" s="2"/>
      <c r="BG209" s="2"/>
      <c r="BH209" s="2">
        <v>13.5</v>
      </c>
      <c r="BI209" s="2"/>
      <c r="BJ209" s="2"/>
      <c r="BK209" s="2">
        <v>0</v>
      </c>
      <c r="BL209" s="2"/>
      <c r="BM209" s="2">
        <v>0</v>
      </c>
      <c r="BN209" s="2"/>
      <c r="BO209" s="2">
        <v>0.80000000000018201</v>
      </c>
      <c r="BP209" s="2"/>
      <c r="BQ209" s="2"/>
      <c r="BR209" s="2">
        <v>5.5999999999985501</v>
      </c>
      <c r="BS209" s="2"/>
      <c r="BT209" s="2"/>
      <c r="BU209" s="2">
        <v>0</v>
      </c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>
        <v>33.6</v>
      </c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>
        <v>1.5</v>
      </c>
      <c r="CV209" s="2">
        <v>0.1</v>
      </c>
      <c r="CW209" s="2">
        <v>3.9</v>
      </c>
      <c r="CX209" s="2"/>
      <c r="CY209" s="2"/>
      <c r="CZ209" s="2"/>
      <c r="DB209">
        <v>1997</v>
      </c>
      <c r="DC209">
        <v>33.6</v>
      </c>
      <c r="DH209">
        <v>208</v>
      </c>
    </row>
    <row r="210" spans="1:112">
      <c r="A210" s="1">
        <v>41117</v>
      </c>
      <c r="B210" s="2"/>
      <c r="C210" s="2">
        <v>1.2</v>
      </c>
      <c r="D210" s="2">
        <v>6.3</v>
      </c>
      <c r="E210" s="2">
        <v>0.3</v>
      </c>
      <c r="F210" s="2"/>
      <c r="G210" s="2"/>
      <c r="H210" s="2"/>
      <c r="I210" s="2"/>
      <c r="J210" s="2">
        <v>21.1</v>
      </c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>
        <v>5.6999999999970896</v>
      </c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>
        <v>0.100000000000023</v>
      </c>
      <c r="BI210" s="2">
        <v>0</v>
      </c>
      <c r="BJ210" s="2"/>
      <c r="BK210" s="2"/>
      <c r="BL210" s="2">
        <v>12.600000000005799</v>
      </c>
      <c r="BM210" s="2">
        <v>4.0999999999985501</v>
      </c>
      <c r="BN210" s="2"/>
      <c r="BO210" s="2"/>
      <c r="BP210" s="2"/>
      <c r="BQ210" s="2"/>
      <c r="BR210" s="2"/>
      <c r="BS210" s="2">
        <v>3.7999999999992702</v>
      </c>
      <c r="BT210" s="2"/>
      <c r="BU210" s="2"/>
      <c r="BV210" s="2">
        <v>2.2999999999999998</v>
      </c>
      <c r="BW210" s="2">
        <v>3.0999999999985399</v>
      </c>
      <c r="BX210" s="2"/>
      <c r="BY210" s="2"/>
      <c r="BZ210" s="2"/>
      <c r="CA210" s="2">
        <v>22.2</v>
      </c>
      <c r="CB210" s="2"/>
      <c r="CC210" s="2"/>
      <c r="CD210" s="2"/>
      <c r="CE210" s="2">
        <v>14.8</v>
      </c>
      <c r="CF210" s="2"/>
      <c r="CG210" s="2"/>
      <c r="CH210" s="2"/>
      <c r="CI210" s="2"/>
      <c r="CJ210" s="2"/>
      <c r="CK210" s="2"/>
      <c r="CL210" s="2">
        <v>0.4</v>
      </c>
      <c r="CM210" s="2"/>
      <c r="CN210" s="2"/>
      <c r="CO210" s="2">
        <v>1.8</v>
      </c>
      <c r="CP210" s="2">
        <v>0.1</v>
      </c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B210">
        <v>1988</v>
      </c>
      <c r="DC210">
        <v>22.2</v>
      </c>
      <c r="DH210">
        <v>209</v>
      </c>
    </row>
    <row r="211" spans="1:112">
      <c r="A211" s="1">
        <v>41118</v>
      </c>
      <c r="B211" s="2"/>
      <c r="C211" s="2"/>
      <c r="D211" s="2">
        <v>0.8</v>
      </c>
      <c r="E211" s="2">
        <v>0.2</v>
      </c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>
        <v>0.2</v>
      </c>
      <c r="AD211" s="2"/>
      <c r="AE211" s="2">
        <v>9.9999999999908995E-2</v>
      </c>
      <c r="AF211" s="2"/>
      <c r="AG211" s="2"/>
      <c r="AH211" s="2"/>
      <c r="AI211" s="2"/>
      <c r="AJ211" s="2"/>
      <c r="AK211" s="2"/>
      <c r="AL211" s="2">
        <v>8.5</v>
      </c>
      <c r="AM211" s="2"/>
      <c r="AN211" s="2"/>
      <c r="AO211" s="2"/>
      <c r="AP211" s="2">
        <v>1.0999999999985499</v>
      </c>
      <c r="AQ211" s="2"/>
      <c r="AR211" s="2"/>
      <c r="AS211" s="2"/>
      <c r="AT211" s="2">
        <v>6.6999999999970896</v>
      </c>
      <c r="AU211" s="2"/>
      <c r="AV211" s="2"/>
      <c r="AW211" s="2"/>
      <c r="AX211" s="2">
        <v>1.6999999999989099</v>
      </c>
      <c r="AY211" s="2"/>
      <c r="AZ211" s="2"/>
      <c r="BA211" s="2"/>
      <c r="BB211" s="2"/>
      <c r="BC211" s="2"/>
      <c r="BD211" s="2">
        <v>12.5</v>
      </c>
      <c r="BE211" s="2"/>
      <c r="BF211" s="2"/>
      <c r="BG211" s="2"/>
      <c r="BH211" s="2"/>
      <c r="BI211" s="2"/>
      <c r="BJ211" s="2"/>
      <c r="BK211" s="2">
        <v>5.9000000000014596</v>
      </c>
      <c r="BL211" s="2"/>
      <c r="BM211" s="2"/>
      <c r="BN211" s="2">
        <v>0</v>
      </c>
      <c r="BO211" s="2"/>
      <c r="BP211" s="2">
        <v>0</v>
      </c>
      <c r="BQ211" s="2"/>
      <c r="BR211" s="2"/>
      <c r="BS211" s="2"/>
      <c r="BT211" s="2"/>
      <c r="BU211" s="2"/>
      <c r="BV211" s="2"/>
      <c r="BW211" s="2">
        <v>18.199999999982499</v>
      </c>
      <c r="BX211" s="2"/>
      <c r="BY211" s="2"/>
      <c r="BZ211" s="2">
        <v>0.3</v>
      </c>
      <c r="CA211" s="2"/>
      <c r="CB211" s="2"/>
      <c r="CC211" s="2">
        <v>4.5</v>
      </c>
      <c r="CD211" s="2">
        <v>1.4</v>
      </c>
      <c r="CE211" s="2">
        <v>13.8</v>
      </c>
      <c r="CF211" s="2"/>
      <c r="CG211" s="2"/>
      <c r="CH211" s="2"/>
      <c r="CI211" s="2"/>
      <c r="CJ211" s="2">
        <v>13.2</v>
      </c>
      <c r="CK211" s="2"/>
      <c r="CL211" s="2"/>
      <c r="CM211" s="2"/>
      <c r="CN211" s="2"/>
      <c r="CO211" s="2">
        <v>0.6</v>
      </c>
      <c r="CP211" s="2"/>
      <c r="CQ211" s="2"/>
      <c r="CR211" s="2"/>
      <c r="CS211" s="2"/>
      <c r="CT211" s="2"/>
      <c r="CU211" s="2">
        <v>37.299999999999997</v>
      </c>
      <c r="CV211" s="2"/>
      <c r="CW211" s="2">
        <v>9.4</v>
      </c>
      <c r="CX211" s="2"/>
      <c r="CY211" s="2"/>
      <c r="CZ211" s="2"/>
      <c r="DB211">
        <v>2008</v>
      </c>
      <c r="DC211">
        <v>37.299999999999997</v>
      </c>
      <c r="DH211">
        <v>210</v>
      </c>
    </row>
    <row r="212" spans="1:112">
      <c r="A212" s="1">
        <v>41119</v>
      </c>
      <c r="B212" s="2"/>
      <c r="C212" s="2"/>
      <c r="D212" s="2"/>
      <c r="E212" s="2"/>
      <c r="F212" s="2"/>
      <c r="G212" s="2">
        <v>1.6</v>
      </c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>
        <v>22.699999999982499</v>
      </c>
      <c r="AI212" s="2"/>
      <c r="AJ212" s="2"/>
      <c r="AK212" s="2"/>
      <c r="AL212" s="2">
        <v>2.5999999999985399</v>
      </c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>
        <v>8.6000000000058208</v>
      </c>
      <c r="BL212" s="2"/>
      <c r="BM212" s="2"/>
      <c r="BN212" s="2"/>
      <c r="BO212" s="2">
        <v>0.5</v>
      </c>
      <c r="BP212" s="2"/>
      <c r="BQ212" s="2"/>
      <c r="BR212" s="2">
        <v>6.5999999999985501</v>
      </c>
      <c r="BS212" s="2"/>
      <c r="BT212" s="2"/>
      <c r="BU212" s="2">
        <v>7.8000000000029104</v>
      </c>
      <c r="BV212" s="2">
        <v>5.7</v>
      </c>
      <c r="BW212" s="2"/>
      <c r="BX212" s="2"/>
      <c r="BY212" s="2"/>
      <c r="BZ212" s="2"/>
      <c r="CA212" s="2"/>
      <c r="CB212" s="2"/>
      <c r="CC212" s="2"/>
      <c r="CD212" s="2"/>
      <c r="CE212" s="2">
        <v>5.7</v>
      </c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>
        <v>11.5</v>
      </c>
      <c r="CV212" s="2"/>
      <c r="CW212" s="2"/>
      <c r="CX212" s="2">
        <v>0.1</v>
      </c>
      <c r="CY212" s="2"/>
      <c r="CZ212" s="2"/>
      <c r="DB212">
        <v>1943</v>
      </c>
      <c r="DC212">
        <v>22.699999999982499</v>
      </c>
      <c r="DH212">
        <v>211</v>
      </c>
    </row>
    <row r="213" spans="1:112">
      <c r="A213" s="1">
        <v>41120</v>
      </c>
      <c r="B213" s="2"/>
      <c r="C213" s="2"/>
      <c r="D213" s="2"/>
      <c r="E213" s="2"/>
      <c r="F213" s="2"/>
      <c r="G213" s="2">
        <v>0.9</v>
      </c>
      <c r="H213" s="2"/>
      <c r="I213" s="2"/>
      <c r="J213" s="2"/>
      <c r="K213" s="2"/>
      <c r="L213" s="2"/>
      <c r="M213" s="2">
        <v>27.1</v>
      </c>
      <c r="N213" s="2"/>
      <c r="O213" s="2"/>
      <c r="P213" s="2"/>
      <c r="Q213" s="2">
        <v>0.4</v>
      </c>
      <c r="R213" s="2"/>
      <c r="S213" s="2"/>
      <c r="T213" s="2"/>
      <c r="U213" s="2"/>
      <c r="V213" s="2"/>
      <c r="W213" s="2">
        <v>0.4</v>
      </c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>
        <v>1.6999999999989099</v>
      </c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>
        <v>22.899999999994201</v>
      </c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>
        <v>0</v>
      </c>
      <c r="BI213" s="2">
        <v>0.60000000000036402</v>
      </c>
      <c r="BJ213" s="2"/>
      <c r="BK213" s="2">
        <v>0</v>
      </c>
      <c r="BL213" s="2"/>
      <c r="BM213" s="2"/>
      <c r="BN213" s="2"/>
      <c r="BO213" s="2">
        <v>23.299999999988401</v>
      </c>
      <c r="BP213" s="2"/>
      <c r="BQ213" s="2">
        <v>0.5</v>
      </c>
      <c r="BR213" s="2">
        <v>27.399999999994201</v>
      </c>
      <c r="BS213" s="2">
        <v>0.30000000000018201</v>
      </c>
      <c r="BT213" s="2">
        <v>4.4000000000014596</v>
      </c>
      <c r="BU213" s="2"/>
      <c r="BV213" s="2">
        <v>0.7</v>
      </c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>
        <v>4.4000000000000004</v>
      </c>
      <c r="CH213" s="2"/>
      <c r="CI213" s="2"/>
      <c r="CJ213" s="2"/>
      <c r="CK213" s="2"/>
      <c r="CL213" s="2">
        <v>17.5</v>
      </c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B213">
        <v>1979</v>
      </c>
      <c r="DC213">
        <v>27.399999999994201</v>
      </c>
      <c r="DH213">
        <v>212</v>
      </c>
    </row>
    <row r="214" spans="1:112">
      <c r="A214" s="1">
        <v>41121</v>
      </c>
      <c r="B214" s="2"/>
      <c r="C214" s="2"/>
      <c r="D214" s="2">
        <v>6.8</v>
      </c>
      <c r="E214" s="2">
        <v>0.5</v>
      </c>
      <c r="F214" s="2">
        <v>0.2</v>
      </c>
      <c r="G214" s="2"/>
      <c r="H214" s="2"/>
      <c r="I214" s="2"/>
      <c r="J214" s="2"/>
      <c r="K214" s="2">
        <v>5.5</v>
      </c>
      <c r="L214" s="2"/>
      <c r="M214" s="2">
        <v>35.1</v>
      </c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>
        <v>3.2999999999992702</v>
      </c>
      <c r="AF214" s="2"/>
      <c r="AG214" s="2"/>
      <c r="AH214" s="2"/>
      <c r="AI214" s="2"/>
      <c r="AJ214" s="2">
        <v>2.1999999999970901</v>
      </c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>
        <v>1.29999999999927</v>
      </c>
      <c r="AZ214" s="2"/>
      <c r="BA214" s="2"/>
      <c r="BB214" s="2"/>
      <c r="BC214" s="2"/>
      <c r="BD214" s="2"/>
      <c r="BE214" s="2"/>
      <c r="BF214" s="2"/>
      <c r="BG214" s="2"/>
      <c r="BH214" s="2"/>
      <c r="BI214" s="2">
        <v>0</v>
      </c>
      <c r="BJ214" s="2"/>
      <c r="BK214" s="2"/>
      <c r="BL214" s="2">
        <v>0.200000000000045</v>
      </c>
      <c r="BM214" s="2">
        <v>0.100000000000023</v>
      </c>
      <c r="BN214" s="2"/>
      <c r="BO214" s="2">
        <v>3.5999999999985399</v>
      </c>
      <c r="BP214" s="2"/>
      <c r="BQ214" s="2">
        <v>0.69999999999981799</v>
      </c>
      <c r="BR214" s="2"/>
      <c r="BS214" s="2">
        <v>3.9000000000014601</v>
      </c>
      <c r="BT214" s="2">
        <v>0.100000000000023</v>
      </c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>
        <v>13.7</v>
      </c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>
        <v>0.8</v>
      </c>
      <c r="CW214" s="2"/>
      <c r="CX214" s="2"/>
      <c r="CY214" s="2">
        <v>0.2</v>
      </c>
      <c r="CZ214" s="2">
        <v>0.2</v>
      </c>
      <c r="DB214">
        <v>1922</v>
      </c>
      <c r="DC214">
        <v>35.1</v>
      </c>
      <c r="DH214">
        <v>213</v>
      </c>
    </row>
    <row r="215" spans="1:112">
      <c r="A215" s="1">
        <v>41122</v>
      </c>
      <c r="B215" s="2"/>
      <c r="C215" s="2"/>
      <c r="D215" s="2">
        <v>0.6</v>
      </c>
      <c r="E215" s="2">
        <v>29.9</v>
      </c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>
        <v>0.29999999999972699</v>
      </c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>
        <v>0</v>
      </c>
      <c r="BM215" s="2"/>
      <c r="BN215" s="2">
        <v>0.80000000000018201</v>
      </c>
      <c r="BO215" s="2"/>
      <c r="BP215" s="2"/>
      <c r="BQ215" s="2">
        <v>2</v>
      </c>
      <c r="BR215" s="2"/>
      <c r="BS215" s="2">
        <v>7.6999999999970896</v>
      </c>
      <c r="BT215" s="2"/>
      <c r="BU215" s="2">
        <v>4.1999999999970896</v>
      </c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>
        <v>5.2</v>
      </c>
      <c r="CN215" s="2"/>
      <c r="CO215" s="2"/>
      <c r="CP215" s="2"/>
      <c r="CQ215" s="2"/>
      <c r="CR215" s="2"/>
      <c r="CS215" s="2"/>
      <c r="CT215" s="2">
        <v>6.8</v>
      </c>
      <c r="CU215" s="2"/>
      <c r="CV215" s="2">
        <v>1.8</v>
      </c>
      <c r="CW215" s="2"/>
      <c r="CX215" s="2"/>
      <c r="CY215" s="2">
        <v>3.3</v>
      </c>
      <c r="CZ215" s="2">
        <v>4.8</v>
      </c>
      <c r="DB215">
        <v>1914</v>
      </c>
      <c r="DC215">
        <v>29.9</v>
      </c>
      <c r="DH215">
        <v>214</v>
      </c>
    </row>
    <row r="216" spans="1:112">
      <c r="A216" s="1">
        <v>41123</v>
      </c>
      <c r="B216" s="2"/>
      <c r="C216" s="2"/>
      <c r="D216" s="2"/>
      <c r="E216" s="2">
        <v>82.1</v>
      </c>
      <c r="F216" s="2"/>
      <c r="G216" s="2"/>
      <c r="H216" s="2"/>
      <c r="I216" s="2"/>
      <c r="J216" s="2"/>
      <c r="K216" s="2"/>
      <c r="L216" s="2"/>
      <c r="M216" s="2">
        <v>0.3</v>
      </c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>
        <v>1</v>
      </c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>
        <v>0</v>
      </c>
      <c r="BJ216" s="2"/>
      <c r="BK216" s="2">
        <v>0.100000000000023</v>
      </c>
      <c r="BL216" s="2">
        <v>3.2999999999992702</v>
      </c>
      <c r="BM216" s="2"/>
      <c r="BN216" s="2"/>
      <c r="BO216" s="2">
        <v>0.100000000000023</v>
      </c>
      <c r="BP216" s="2"/>
      <c r="BQ216" s="2">
        <v>8.8000000000029104</v>
      </c>
      <c r="BR216" s="2"/>
      <c r="BS216" s="2"/>
      <c r="BT216" s="2"/>
      <c r="BU216" s="2">
        <v>4.3000000000029104</v>
      </c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>
        <v>6.5</v>
      </c>
      <c r="CH216" s="2"/>
      <c r="CI216" s="2"/>
      <c r="CJ216" s="2"/>
      <c r="CK216" s="2"/>
      <c r="CL216" s="2"/>
      <c r="CM216" s="2"/>
      <c r="CN216" s="2">
        <v>0.7</v>
      </c>
      <c r="CO216" s="2">
        <v>1.1000000000000001</v>
      </c>
      <c r="CP216" s="2"/>
      <c r="CQ216" s="2"/>
      <c r="CR216" s="2"/>
      <c r="CS216" s="2"/>
      <c r="CT216" s="2">
        <v>0.8</v>
      </c>
      <c r="CU216" s="2"/>
      <c r="CV216" s="2"/>
      <c r="CW216" s="2"/>
      <c r="CX216" s="2"/>
      <c r="CY216" s="2">
        <v>0.4</v>
      </c>
      <c r="CZ216" s="2"/>
      <c r="DB216">
        <v>1914</v>
      </c>
      <c r="DC216">
        <v>82.1</v>
      </c>
      <c r="DH216">
        <v>215</v>
      </c>
    </row>
    <row r="217" spans="1:112">
      <c r="A217" s="1">
        <v>41124</v>
      </c>
      <c r="B217" s="2"/>
      <c r="C217" s="2"/>
      <c r="D217" s="2"/>
      <c r="E217" s="2"/>
      <c r="F217" s="2"/>
      <c r="G217" s="2"/>
      <c r="H217" s="2"/>
      <c r="I217" s="2"/>
      <c r="J217" s="2">
        <v>3.5</v>
      </c>
      <c r="K217" s="2"/>
      <c r="L217" s="2"/>
      <c r="M217" s="2"/>
      <c r="N217" s="2"/>
      <c r="O217" s="2">
        <v>24.5</v>
      </c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>
        <v>22</v>
      </c>
      <c r="AC217" s="2"/>
      <c r="AD217" s="2"/>
      <c r="AE217" s="2">
        <v>0.19999999999981799</v>
      </c>
      <c r="AF217" s="2"/>
      <c r="AG217" s="2"/>
      <c r="AH217" s="2"/>
      <c r="AI217" s="2"/>
      <c r="AJ217" s="2">
        <v>9.5</v>
      </c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>
        <v>2.7999999999992702</v>
      </c>
      <c r="BD217" s="2"/>
      <c r="BE217" s="2"/>
      <c r="BF217" s="2"/>
      <c r="BG217" s="2">
        <v>1</v>
      </c>
      <c r="BH217" s="2"/>
      <c r="BI217" s="2"/>
      <c r="BJ217" s="2">
        <v>0</v>
      </c>
      <c r="BK217" s="2"/>
      <c r="BL217" s="2"/>
      <c r="BM217" s="2">
        <v>0</v>
      </c>
      <c r="BN217" s="2"/>
      <c r="BO217" s="2">
        <v>1.5</v>
      </c>
      <c r="BP217" s="2"/>
      <c r="BQ217" s="2">
        <v>0.100000000000023</v>
      </c>
      <c r="BR217" s="2"/>
      <c r="BS217" s="2"/>
      <c r="BT217" s="2"/>
      <c r="BU217" s="2"/>
      <c r="BV217" s="2"/>
      <c r="BW217" s="2">
        <v>1.89999999999964</v>
      </c>
      <c r="BX217" s="2">
        <v>0.1</v>
      </c>
      <c r="BY217" s="2"/>
      <c r="BZ217" s="2"/>
      <c r="CA217" s="2"/>
      <c r="CB217" s="2">
        <v>6.8</v>
      </c>
      <c r="CC217" s="2"/>
      <c r="CD217" s="2"/>
      <c r="CE217" s="2"/>
      <c r="CF217" s="2"/>
      <c r="CG217" s="2"/>
      <c r="CH217" s="2"/>
      <c r="CI217" s="2"/>
      <c r="CJ217" s="2">
        <v>6.8</v>
      </c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>
        <v>0.4</v>
      </c>
      <c r="CZ217" s="2"/>
      <c r="DB217">
        <v>1924</v>
      </c>
      <c r="DC217">
        <v>24.5</v>
      </c>
      <c r="DH217">
        <v>216</v>
      </c>
    </row>
    <row r="218" spans="1:112">
      <c r="A218" s="1">
        <v>41125</v>
      </c>
      <c r="B218" s="2"/>
      <c r="C218" s="2"/>
      <c r="D218" s="2">
        <v>2.1</v>
      </c>
      <c r="E218" s="2"/>
      <c r="F218" s="2"/>
      <c r="G218" s="2"/>
      <c r="H218" s="2"/>
      <c r="I218" s="2"/>
      <c r="J218" s="2"/>
      <c r="K218" s="2"/>
      <c r="L218" s="2"/>
      <c r="M218" s="2">
        <v>0.1</v>
      </c>
      <c r="N218" s="2"/>
      <c r="O218" s="2"/>
      <c r="P218" s="2"/>
      <c r="Q218" s="2"/>
      <c r="R218" s="2">
        <v>3.7</v>
      </c>
      <c r="S218" s="2"/>
      <c r="T218" s="2"/>
      <c r="U218" s="2"/>
      <c r="V218" s="2">
        <v>0</v>
      </c>
      <c r="W218" s="2"/>
      <c r="X218" s="2"/>
      <c r="Y218" s="2"/>
      <c r="Z218" s="2"/>
      <c r="AA218" s="2"/>
      <c r="AB218" s="2">
        <v>0.69999999999981799</v>
      </c>
      <c r="AC218" s="2"/>
      <c r="AD218" s="2"/>
      <c r="AE218" s="2">
        <v>3</v>
      </c>
      <c r="AF218" s="2"/>
      <c r="AG218" s="2"/>
      <c r="AH218" s="2"/>
      <c r="AI218" s="2"/>
      <c r="AJ218" s="2">
        <v>3.0999999999985399</v>
      </c>
      <c r="AK218" s="2"/>
      <c r="AL218" s="2"/>
      <c r="AM218" s="2"/>
      <c r="AN218" s="2"/>
      <c r="AO218" s="2"/>
      <c r="AP218" s="2"/>
      <c r="AQ218" s="2">
        <v>2.0999999999985399</v>
      </c>
      <c r="AR218" s="2"/>
      <c r="AS218" s="2"/>
      <c r="AT218" s="2">
        <v>13.899999999994201</v>
      </c>
      <c r="AU218" s="2"/>
      <c r="AV218" s="2"/>
      <c r="AW218" s="2"/>
      <c r="AX218" s="2">
        <v>4.2999999999956398</v>
      </c>
      <c r="AY218" s="2"/>
      <c r="AZ218" s="2"/>
      <c r="BA218" s="2"/>
      <c r="BB218" s="2"/>
      <c r="BC218" s="2"/>
      <c r="BD218" s="2"/>
      <c r="BE218" s="2"/>
      <c r="BF218" s="2"/>
      <c r="BG218" s="2">
        <v>0.400000000000091</v>
      </c>
      <c r="BH218" s="2"/>
      <c r="BI218" s="2">
        <v>0</v>
      </c>
      <c r="BJ218" s="2"/>
      <c r="BK218" s="2"/>
      <c r="BL218" s="2"/>
      <c r="BM218" s="2"/>
      <c r="BN218" s="2"/>
      <c r="BO218" s="2">
        <v>0.100000000000023</v>
      </c>
      <c r="BP218" s="2"/>
      <c r="BQ218" s="2"/>
      <c r="BR218" s="2"/>
      <c r="BS218" s="2"/>
      <c r="BT218" s="2"/>
      <c r="BU218" s="2"/>
      <c r="BV218" s="2"/>
      <c r="BW218" s="2">
        <v>11.8</v>
      </c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>
        <v>12.2</v>
      </c>
      <c r="CI218" s="2"/>
      <c r="CJ218" s="2"/>
      <c r="CK218" s="2"/>
      <c r="CL218" s="2"/>
      <c r="CM218" s="2"/>
      <c r="CN218" s="2"/>
      <c r="CO218" s="2"/>
      <c r="CP218" s="2"/>
      <c r="CQ218" s="2">
        <v>0.3</v>
      </c>
      <c r="CR218" s="2"/>
      <c r="CS218" s="2"/>
      <c r="CT218" s="2">
        <v>0</v>
      </c>
      <c r="CU218" s="2"/>
      <c r="CV218" s="2"/>
      <c r="CW218" s="2"/>
      <c r="CX218" s="2"/>
      <c r="CY218" s="2">
        <v>0.1</v>
      </c>
      <c r="CZ218" s="2"/>
      <c r="DB218">
        <v>1955</v>
      </c>
      <c r="DC218">
        <v>13.899999999994201</v>
      </c>
      <c r="DH218">
        <v>217</v>
      </c>
    </row>
    <row r="219" spans="1:112">
      <c r="A219" s="1">
        <v>41126</v>
      </c>
      <c r="B219" s="2"/>
      <c r="C219" s="2"/>
      <c r="D219" s="2">
        <v>15.7</v>
      </c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>
        <v>6.5</v>
      </c>
      <c r="AC219" s="2"/>
      <c r="AD219" s="2"/>
      <c r="AE219" s="2"/>
      <c r="AF219" s="2"/>
      <c r="AG219" s="2"/>
      <c r="AH219" s="2"/>
      <c r="AI219" s="2">
        <v>1.39999999999964</v>
      </c>
      <c r="AJ219" s="2">
        <v>35</v>
      </c>
      <c r="AK219" s="2"/>
      <c r="AL219" s="2"/>
      <c r="AM219" s="2"/>
      <c r="AN219" s="2"/>
      <c r="AO219" s="2"/>
      <c r="AP219" s="2"/>
      <c r="AQ219" s="2"/>
      <c r="AR219" s="2"/>
      <c r="AS219" s="2"/>
      <c r="AT219" s="2">
        <v>7.1999999999970896</v>
      </c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>
        <v>0.100000000000023</v>
      </c>
      <c r="BJ219" s="2">
        <v>0</v>
      </c>
      <c r="BK219" s="2">
        <v>16.799999999988401</v>
      </c>
      <c r="BL219" s="2"/>
      <c r="BM219" s="2">
        <v>0.100000000000023</v>
      </c>
      <c r="BN219" s="2">
        <v>10.3000000000029</v>
      </c>
      <c r="BO219" s="2"/>
      <c r="BP219" s="2"/>
      <c r="BQ219" s="2"/>
      <c r="BR219" s="2">
        <v>0.200000000000045</v>
      </c>
      <c r="BS219" s="2"/>
      <c r="BT219" s="2">
        <v>0.100000000000023</v>
      </c>
      <c r="BU219" s="2"/>
      <c r="BV219" s="2"/>
      <c r="BW219" s="2"/>
      <c r="BX219" s="2"/>
      <c r="BY219" s="2"/>
      <c r="BZ219" s="2"/>
      <c r="CA219" s="2"/>
      <c r="CB219" s="2"/>
      <c r="CC219" s="2">
        <v>0.7</v>
      </c>
      <c r="CD219" s="2"/>
      <c r="CE219" s="2"/>
      <c r="CF219" s="2"/>
      <c r="CG219" s="2">
        <v>0.2</v>
      </c>
      <c r="CH219" s="2"/>
      <c r="CI219" s="2"/>
      <c r="CJ219" s="2"/>
      <c r="CK219" s="2"/>
      <c r="CL219" s="2"/>
      <c r="CM219" s="2"/>
      <c r="CN219" s="2"/>
      <c r="CO219" s="2">
        <v>1.4</v>
      </c>
      <c r="CP219" s="2">
        <v>0</v>
      </c>
      <c r="CQ219" s="2"/>
      <c r="CR219" s="2"/>
      <c r="CS219" s="2"/>
      <c r="CT219" s="2">
        <v>0.1</v>
      </c>
      <c r="CU219" s="2"/>
      <c r="CV219" s="2"/>
      <c r="CW219" s="2">
        <v>0.1</v>
      </c>
      <c r="CX219" s="2"/>
      <c r="CY219" s="2"/>
      <c r="CZ219" s="2"/>
      <c r="DB219">
        <v>1945</v>
      </c>
      <c r="DC219">
        <v>35</v>
      </c>
      <c r="DH219">
        <v>218</v>
      </c>
    </row>
    <row r="220" spans="1:112">
      <c r="A220" s="1">
        <v>41127</v>
      </c>
      <c r="B220" s="2"/>
      <c r="C220" s="2"/>
      <c r="D220" s="2"/>
      <c r="E220" s="2"/>
      <c r="F220" s="2"/>
      <c r="G220" s="2">
        <v>0.4</v>
      </c>
      <c r="H220" s="2"/>
      <c r="I220" s="2"/>
      <c r="J220" s="2"/>
      <c r="K220" s="2"/>
      <c r="L220" s="2"/>
      <c r="M220" s="2"/>
      <c r="N220" s="2"/>
      <c r="O220" s="2">
        <v>32.700000000000003</v>
      </c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>
        <v>10</v>
      </c>
      <c r="AD220" s="2"/>
      <c r="AE220" s="2"/>
      <c r="AF220" s="2">
        <v>0</v>
      </c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>
        <v>15.899999999994201</v>
      </c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>
        <v>0.100000000000023</v>
      </c>
      <c r="BJ220" s="2">
        <v>0</v>
      </c>
      <c r="BK220" s="2"/>
      <c r="BL220" s="2">
        <v>0</v>
      </c>
      <c r="BM220" s="2"/>
      <c r="BN220" s="2"/>
      <c r="BO220" s="2">
        <v>4.4000000000014596</v>
      </c>
      <c r="BP220" s="2"/>
      <c r="BQ220" s="2"/>
      <c r="BR220" s="2"/>
      <c r="BS220" s="2"/>
      <c r="BT220" s="2">
        <v>1.79999999999927</v>
      </c>
      <c r="BU220" s="2">
        <v>0.69999999999981799</v>
      </c>
      <c r="BV220" s="2">
        <v>3.5999999999985399</v>
      </c>
      <c r="BW220" s="2"/>
      <c r="BX220" s="2"/>
      <c r="BY220" s="2"/>
      <c r="BZ220" s="2"/>
      <c r="CA220" s="2"/>
      <c r="CB220" s="2"/>
      <c r="CC220" s="2">
        <v>0.5</v>
      </c>
      <c r="CD220" s="2"/>
      <c r="CE220" s="2"/>
      <c r="CF220" s="2"/>
      <c r="CG220" s="2"/>
      <c r="CH220" s="2">
        <v>0.7</v>
      </c>
      <c r="CI220" s="2"/>
      <c r="CJ220" s="2"/>
      <c r="CK220" s="2"/>
      <c r="CL220" s="2"/>
      <c r="CM220" s="2"/>
      <c r="CN220" s="2"/>
      <c r="CO220" s="2"/>
      <c r="CP220" s="2"/>
      <c r="CQ220" s="2"/>
      <c r="CR220" s="2">
        <v>6.9</v>
      </c>
      <c r="CS220" s="2"/>
      <c r="CT220" s="2"/>
      <c r="CU220" s="2"/>
      <c r="CV220" s="2">
        <v>1.8</v>
      </c>
      <c r="CW220" s="2"/>
      <c r="CX220" s="2"/>
      <c r="CY220" s="2"/>
      <c r="CZ220" s="2"/>
      <c r="DB220">
        <v>1924</v>
      </c>
      <c r="DC220">
        <v>32.700000000000003</v>
      </c>
      <c r="DH220">
        <v>219</v>
      </c>
    </row>
    <row r="221" spans="1:112">
      <c r="A221" s="1">
        <v>41128</v>
      </c>
      <c r="B221" s="2">
        <v>2.5</v>
      </c>
      <c r="C221" s="2"/>
      <c r="D221" s="2"/>
      <c r="E221" s="2">
        <v>0.4</v>
      </c>
      <c r="F221" s="2">
        <v>0.4</v>
      </c>
      <c r="G221" s="2">
        <v>1.6</v>
      </c>
      <c r="H221" s="2"/>
      <c r="I221" s="2"/>
      <c r="J221" s="2"/>
      <c r="K221" s="2"/>
      <c r="L221" s="2">
        <v>0.2</v>
      </c>
      <c r="M221" s="2"/>
      <c r="N221" s="2"/>
      <c r="O221" s="2">
        <v>18.7</v>
      </c>
      <c r="P221" s="2">
        <v>1.6</v>
      </c>
      <c r="Q221" s="2"/>
      <c r="R221" s="2"/>
      <c r="S221" s="2"/>
      <c r="T221" s="2"/>
      <c r="U221" s="2"/>
      <c r="V221" s="2"/>
      <c r="W221" s="2"/>
      <c r="X221" s="2">
        <v>0.4</v>
      </c>
      <c r="Y221" s="2"/>
      <c r="Z221" s="2"/>
      <c r="AA221" s="2"/>
      <c r="AB221" s="2"/>
      <c r="AC221" s="2"/>
      <c r="AD221" s="2"/>
      <c r="AE221" s="2"/>
      <c r="AF221" s="2">
        <v>0</v>
      </c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>
        <v>6.29999999999563</v>
      </c>
      <c r="AU221" s="2"/>
      <c r="AV221" s="2"/>
      <c r="AW221" s="2"/>
      <c r="AX221" s="2">
        <v>0.59999999999945397</v>
      </c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>
        <v>0</v>
      </c>
      <c r="BJ221" s="2">
        <v>0.100000000000023</v>
      </c>
      <c r="BK221" s="2"/>
      <c r="BL221" s="2">
        <v>1.60000000000036</v>
      </c>
      <c r="BM221" s="2">
        <v>0.100000000000023</v>
      </c>
      <c r="BN221" s="2">
        <v>6.5</v>
      </c>
      <c r="BO221" s="2">
        <v>0.400000000000091</v>
      </c>
      <c r="BP221" s="2"/>
      <c r="BQ221" s="2"/>
      <c r="BR221" s="2">
        <v>0.60000000000036402</v>
      </c>
      <c r="BS221" s="2"/>
      <c r="BT221" s="2"/>
      <c r="BU221" s="2"/>
      <c r="BV221" s="2">
        <v>0</v>
      </c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>
        <v>23.7</v>
      </c>
      <c r="CP221" s="2"/>
      <c r="CQ221" s="2"/>
      <c r="CR221" s="2">
        <v>2.4</v>
      </c>
      <c r="CS221" s="2"/>
      <c r="CT221" s="2"/>
      <c r="CU221" s="2"/>
      <c r="CV221" s="2">
        <v>1.8</v>
      </c>
      <c r="CW221" s="2"/>
      <c r="CX221" s="2"/>
      <c r="CY221" s="2"/>
      <c r="CZ221" s="2"/>
      <c r="DB221">
        <v>2002</v>
      </c>
      <c r="DC221">
        <v>23.7</v>
      </c>
      <c r="DH221">
        <v>220</v>
      </c>
    </row>
    <row r="222" spans="1:112">
      <c r="A222" s="1">
        <v>41129</v>
      </c>
      <c r="B222" s="2">
        <v>6.1</v>
      </c>
      <c r="C222" s="2"/>
      <c r="D222" s="2"/>
      <c r="E222" s="2"/>
      <c r="F222" s="2">
        <v>0.2</v>
      </c>
      <c r="G222" s="2"/>
      <c r="H222" s="2"/>
      <c r="I222" s="2"/>
      <c r="J222" s="2">
        <v>8.1</v>
      </c>
      <c r="K222" s="2"/>
      <c r="L222" s="2"/>
      <c r="M222" s="2"/>
      <c r="N222" s="2"/>
      <c r="O222" s="2">
        <v>88.7</v>
      </c>
      <c r="P222" s="2">
        <v>26.6</v>
      </c>
      <c r="Q222" s="2"/>
      <c r="R222" s="2"/>
      <c r="S222" s="2">
        <v>0.6</v>
      </c>
      <c r="T222" s="2"/>
      <c r="U222" s="2"/>
      <c r="V222" s="2"/>
      <c r="W222" s="2"/>
      <c r="X222" s="2">
        <v>5.3</v>
      </c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>
        <v>0.59999999999945397</v>
      </c>
      <c r="BA222" s="2"/>
      <c r="BB222" s="2"/>
      <c r="BC222" s="2"/>
      <c r="BD222" s="2"/>
      <c r="BE222" s="2"/>
      <c r="BF222" s="2"/>
      <c r="BG222" s="2"/>
      <c r="BH222" s="2"/>
      <c r="BI222" s="2"/>
      <c r="BJ222" s="2">
        <v>0.200000000000045</v>
      </c>
      <c r="BK222" s="2"/>
      <c r="BL222" s="2">
        <v>2.5999999999985399</v>
      </c>
      <c r="BM222" s="2"/>
      <c r="BN222" s="2">
        <v>20.299999999988401</v>
      </c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>
        <v>0.2</v>
      </c>
      <c r="CT222" s="2"/>
      <c r="CU222" s="2"/>
      <c r="CV222" s="2">
        <v>0.1</v>
      </c>
      <c r="CW222" s="2">
        <v>6</v>
      </c>
      <c r="CX222" s="2"/>
      <c r="CY222" s="2"/>
      <c r="CZ222" s="2"/>
      <c r="DB222">
        <v>1924</v>
      </c>
      <c r="DC222">
        <v>88.7</v>
      </c>
      <c r="DH222">
        <v>221</v>
      </c>
    </row>
    <row r="223" spans="1:112">
      <c r="A223" s="1">
        <v>41130</v>
      </c>
      <c r="B223" s="2"/>
      <c r="C223" s="2"/>
      <c r="D223" s="2"/>
      <c r="E223" s="2"/>
      <c r="F223" s="2"/>
      <c r="G223" s="2">
        <v>5.6</v>
      </c>
      <c r="H223" s="2"/>
      <c r="I223" s="2"/>
      <c r="J223" s="2">
        <v>3.2</v>
      </c>
      <c r="K223" s="2"/>
      <c r="L223" s="2"/>
      <c r="M223" s="2"/>
      <c r="N223" s="2"/>
      <c r="O223" s="2">
        <v>0.7</v>
      </c>
      <c r="P223" s="2">
        <v>0.6</v>
      </c>
      <c r="Q223" s="2"/>
      <c r="R223" s="2"/>
      <c r="S223" s="2"/>
      <c r="T223" s="2"/>
      <c r="U223" s="2"/>
      <c r="V223" s="2"/>
      <c r="W223" s="2">
        <v>0</v>
      </c>
      <c r="X223" s="2"/>
      <c r="Y223" s="2"/>
      <c r="Z223" s="2">
        <v>8.7999999999883602</v>
      </c>
      <c r="AA223" s="2">
        <v>4.0999999999985501</v>
      </c>
      <c r="AB223" s="2">
        <v>1.29999999999927</v>
      </c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>
        <v>5.8999999999941801</v>
      </c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>
        <v>0.30000000000018201</v>
      </c>
      <c r="BK223" s="2"/>
      <c r="BL223" s="2">
        <v>0.100000000000023</v>
      </c>
      <c r="BM223" s="2"/>
      <c r="BN223" s="2">
        <v>0.100000000000023</v>
      </c>
      <c r="BO223" s="2">
        <v>0</v>
      </c>
      <c r="BP223" s="2">
        <v>0.400000000000091</v>
      </c>
      <c r="BQ223" s="2"/>
      <c r="BR223" s="2"/>
      <c r="BS223" s="2">
        <v>1.89999999999964</v>
      </c>
      <c r="BT223" s="2"/>
      <c r="BU223" s="2"/>
      <c r="BV223" s="2">
        <v>2.5</v>
      </c>
      <c r="BW223" s="2"/>
      <c r="BX223" s="2"/>
      <c r="BY223" s="2"/>
      <c r="BZ223" s="2"/>
      <c r="CA223" s="2"/>
      <c r="CB223" s="2"/>
      <c r="CC223" s="2"/>
      <c r="CD223" s="2">
        <v>0.1</v>
      </c>
      <c r="CE223" s="2"/>
      <c r="CF223" s="2"/>
      <c r="CG223" s="2"/>
      <c r="CH223" s="2"/>
      <c r="CI223" s="2">
        <v>5.2</v>
      </c>
      <c r="CJ223" s="2">
        <v>0.3</v>
      </c>
      <c r="CK223" s="2"/>
      <c r="CL223" s="2"/>
      <c r="CM223" s="2"/>
      <c r="CN223" s="2"/>
      <c r="CO223" s="2">
        <v>3.6</v>
      </c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B223">
        <v>1935</v>
      </c>
      <c r="DC223">
        <v>8.7999999999883602</v>
      </c>
      <c r="DH223">
        <v>222</v>
      </c>
    </row>
    <row r="224" spans="1:112">
      <c r="A224" s="1">
        <v>41131</v>
      </c>
      <c r="B224" s="2"/>
      <c r="C224" s="2"/>
      <c r="D224" s="2"/>
      <c r="E224" s="2"/>
      <c r="F224" s="2"/>
      <c r="G224" s="2">
        <v>1.4</v>
      </c>
      <c r="H224" s="2"/>
      <c r="I224" s="2"/>
      <c r="J224" s="2"/>
      <c r="K224" s="2"/>
      <c r="L224" s="2"/>
      <c r="M224" s="2">
        <v>0.1</v>
      </c>
      <c r="N224" s="2">
        <v>0.7</v>
      </c>
      <c r="O224" s="2">
        <v>0.7</v>
      </c>
      <c r="P224" s="2">
        <v>2.2999999999999998</v>
      </c>
      <c r="Q224" s="2">
        <v>2.7</v>
      </c>
      <c r="R224" s="2"/>
      <c r="S224" s="2"/>
      <c r="T224" s="2"/>
      <c r="U224" s="2">
        <v>22.5</v>
      </c>
      <c r="V224" s="2"/>
      <c r="W224" s="2"/>
      <c r="X224" s="2"/>
      <c r="Y224" s="2"/>
      <c r="Z224" s="2"/>
      <c r="AA224" s="2">
        <v>12.399999999994201</v>
      </c>
      <c r="AB224" s="2">
        <v>0.19999999999981799</v>
      </c>
      <c r="AC224" s="2"/>
      <c r="AD224" s="2"/>
      <c r="AE224" s="2"/>
      <c r="AF224" s="2">
        <v>0</v>
      </c>
      <c r="AG224" s="2"/>
      <c r="AH224" s="2"/>
      <c r="AI224" s="2"/>
      <c r="AJ224" s="2"/>
      <c r="AK224" s="2"/>
      <c r="AL224" s="2">
        <v>1.39999999999964</v>
      </c>
      <c r="AM224" s="2"/>
      <c r="AN224" s="2"/>
      <c r="AO224" s="2"/>
      <c r="AP224" s="2"/>
      <c r="AQ224" s="2"/>
      <c r="AR224" s="2"/>
      <c r="AS224" s="2"/>
      <c r="AT224" s="2">
        <v>2.0999999999985399</v>
      </c>
      <c r="AU224" s="2"/>
      <c r="AV224" s="2"/>
      <c r="AW224" s="2">
        <v>7.1999999999970896</v>
      </c>
      <c r="AX224" s="2"/>
      <c r="AY224" s="2"/>
      <c r="AZ224" s="2"/>
      <c r="BA224" s="2"/>
      <c r="BB224" s="2"/>
      <c r="BC224" s="2"/>
      <c r="BD224" s="2"/>
      <c r="BE224" s="2">
        <v>0.200000000000045</v>
      </c>
      <c r="BF224" s="2"/>
      <c r="BG224" s="2"/>
      <c r="BH224" s="2"/>
      <c r="BI224" s="2"/>
      <c r="BJ224" s="2">
        <v>1.39999999999964</v>
      </c>
      <c r="BK224" s="2"/>
      <c r="BL224" s="2"/>
      <c r="BM224" s="2"/>
      <c r="BN224" s="2">
        <v>30.899999999994201</v>
      </c>
      <c r="BO224" s="2"/>
      <c r="BP224" s="2"/>
      <c r="BQ224" s="2"/>
      <c r="BR224" s="2"/>
      <c r="BS224" s="2">
        <v>0.5</v>
      </c>
      <c r="BT224" s="2"/>
      <c r="BU224" s="2"/>
      <c r="BV224" s="2">
        <v>0</v>
      </c>
      <c r="BW224" s="2"/>
      <c r="BX224" s="2"/>
      <c r="BY224" s="2"/>
      <c r="BZ224" s="2"/>
      <c r="CA224" s="2"/>
      <c r="CB224" s="2"/>
      <c r="CC224" s="2"/>
      <c r="CD224" s="2"/>
      <c r="CE224" s="2"/>
      <c r="CF224" s="2">
        <v>3.5</v>
      </c>
      <c r="CG224" s="2"/>
      <c r="CH224" s="2">
        <v>4.3</v>
      </c>
      <c r="CI224" s="2">
        <v>0.9</v>
      </c>
      <c r="CJ224" s="2">
        <v>28</v>
      </c>
      <c r="CK224" s="2"/>
      <c r="CL224" s="2"/>
      <c r="CM224" s="2"/>
      <c r="CN224" s="2"/>
      <c r="CO224" s="2"/>
      <c r="CP224" s="2"/>
      <c r="CQ224" s="2">
        <v>29.7</v>
      </c>
      <c r="CR224" s="2"/>
      <c r="CS224" s="2"/>
      <c r="CT224" s="2"/>
      <c r="CU224" s="2"/>
      <c r="CV224" s="2"/>
      <c r="CW224" s="2"/>
      <c r="CX224" s="2">
        <v>0.6</v>
      </c>
      <c r="CY224" s="2"/>
      <c r="CZ224" s="2"/>
      <c r="DB224">
        <v>1975</v>
      </c>
      <c r="DC224">
        <v>30.899999999994201</v>
      </c>
      <c r="DH224">
        <v>223</v>
      </c>
    </row>
    <row r="225" spans="1:112">
      <c r="A225" s="1">
        <v>41132</v>
      </c>
      <c r="B225" s="2">
        <v>5.5</v>
      </c>
      <c r="C225" s="2"/>
      <c r="D225" s="2"/>
      <c r="E225" s="2">
        <v>2.2000000000000002</v>
      </c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>
        <v>1.5</v>
      </c>
      <c r="Q225" s="2">
        <v>10.8</v>
      </c>
      <c r="R225" s="2"/>
      <c r="S225" s="2"/>
      <c r="T225" s="2"/>
      <c r="U225" s="2">
        <v>2.1</v>
      </c>
      <c r="V225" s="2"/>
      <c r="W225" s="2"/>
      <c r="X225" s="2"/>
      <c r="Y225" s="2"/>
      <c r="Z225" s="2"/>
      <c r="AA225" s="2"/>
      <c r="AB225" s="2"/>
      <c r="AC225" s="2"/>
      <c r="AD225" s="2">
        <v>0.29999999999972699</v>
      </c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>
        <v>23.399999999994201</v>
      </c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>
        <v>6.5999999999985501</v>
      </c>
      <c r="BD225" s="2"/>
      <c r="BE225" s="2">
        <v>7.3000000000029104</v>
      </c>
      <c r="BF225" s="2"/>
      <c r="BG225" s="2"/>
      <c r="BH225" s="2"/>
      <c r="BI225" s="2"/>
      <c r="BJ225" s="2">
        <v>0.200000000000045</v>
      </c>
      <c r="BK225" s="2">
        <v>0</v>
      </c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>
        <v>0</v>
      </c>
      <c r="BW225" s="2"/>
      <c r="BX225" s="2"/>
      <c r="BY225" s="2"/>
      <c r="BZ225" s="2"/>
      <c r="CA225" s="2"/>
      <c r="CB225" s="2"/>
      <c r="CC225" s="2">
        <v>77.5</v>
      </c>
      <c r="CD225" s="2"/>
      <c r="CE225" s="2"/>
      <c r="CF225" s="2">
        <v>0.3</v>
      </c>
      <c r="CG225" s="2"/>
      <c r="CH225" s="2"/>
      <c r="CI225" s="2"/>
      <c r="CJ225" s="2">
        <v>46</v>
      </c>
      <c r="CK225" s="2"/>
      <c r="CL225" s="2"/>
      <c r="CM225" s="2">
        <v>4.2</v>
      </c>
      <c r="CN225" s="2"/>
      <c r="CO225" s="2"/>
      <c r="CP225" s="2"/>
      <c r="CQ225" s="2">
        <v>23.5</v>
      </c>
      <c r="CR225" s="2"/>
      <c r="CS225" s="2"/>
      <c r="CT225" s="2"/>
      <c r="CU225" s="2"/>
      <c r="CV225" s="2"/>
      <c r="CW225" s="2"/>
      <c r="CX225" s="2">
        <v>13.3</v>
      </c>
      <c r="CY225" s="2">
        <v>1.4</v>
      </c>
      <c r="CZ225" s="2"/>
      <c r="DB225">
        <v>1990</v>
      </c>
      <c r="DC225">
        <v>77.5</v>
      </c>
      <c r="DH225">
        <v>224</v>
      </c>
    </row>
    <row r="226" spans="1:112">
      <c r="A226" s="1">
        <v>41133</v>
      </c>
      <c r="B226" s="2"/>
      <c r="C226" s="2"/>
      <c r="D226" s="2"/>
      <c r="E226" s="2"/>
      <c r="F226" s="2"/>
      <c r="G226" s="2"/>
      <c r="H226" s="2"/>
      <c r="I226" s="2">
        <v>24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>
        <v>6.5999999999985501</v>
      </c>
      <c r="AE226" s="2"/>
      <c r="AF226" s="2"/>
      <c r="AG226" s="2">
        <v>1.5999999999985499</v>
      </c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>
        <v>38.900000000023297</v>
      </c>
      <c r="BD226" s="2"/>
      <c r="BE226" s="2"/>
      <c r="BF226" s="2"/>
      <c r="BG226" s="2"/>
      <c r="BH226" s="2"/>
      <c r="BI226" s="2"/>
      <c r="BJ226" s="2">
        <v>0.100000000000023</v>
      </c>
      <c r="BK226" s="2">
        <v>0.100000000000023</v>
      </c>
      <c r="BL226" s="2"/>
      <c r="BM226" s="2">
        <v>3.7999999999992702</v>
      </c>
      <c r="BN226" s="2">
        <v>0</v>
      </c>
      <c r="BO226" s="2"/>
      <c r="BP226" s="2"/>
      <c r="BQ226" s="2">
        <v>18.100000000005799</v>
      </c>
      <c r="BR226" s="2">
        <v>1.10000000000036</v>
      </c>
      <c r="BS226" s="2"/>
      <c r="BT226" s="2"/>
      <c r="BU226" s="2"/>
      <c r="BV226" s="2">
        <v>0</v>
      </c>
      <c r="BW226" s="2"/>
      <c r="BX226" s="2"/>
      <c r="BY226" s="2"/>
      <c r="BZ226" s="2"/>
      <c r="CA226" s="2"/>
      <c r="CB226" s="2"/>
      <c r="CC226" s="2">
        <v>1.3</v>
      </c>
      <c r="CD226" s="2"/>
      <c r="CE226" s="2"/>
      <c r="CF226" s="2">
        <v>0.4</v>
      </c>
      <c r="CG226" s="2"/>
      <c r="CH226" s="2"/>
      <c r="CI226" s="2"/>
      <c r="CJ226" s="2">
        <v>6.6</v>
      </c>
      <c r="CK226" s="2"/>
      <c r="CL226" s="2"/>
      <c r="CM226" s="2">
        <v>0.1</v>
      </c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>
        <v>0.1</v>
      </c>
      <c r="CY226" s="2">
        <v>20.7</v>
      </c>
      <c r="CZ226" s="2"/>
      <c r="DB226">
        <v>1964</v>
      </c>
      <c r="DC226">
        <v>38.900000000023297</v>
      </c>
      <c r="DH226">
        <v>225</v>
      </c>
    </row>
    <row r="227" spans="1:112">
      <c r="A227" s="1">
        <v>41134</v>
      </c>
      <c r="B227" s="2"/>
      <c r="C227" s="2"/>
      <c r="D227" s="2"/>
      <c r="E227" s="2"/>
      <c r="F227" s="2"/>
      <c r="G227" s="2"/>
      <c r="H227" s="2"/>
      <c r="I227" s="2"/>
      <c r="J227" s="2">
        <v>11.6</v>
      </c>
      <c r="K227" s="2"/>
      <c r="L227" s="2"/>
      <c r="M227" s="2"/>
      <c r="N227" s="2">
        <v>0.2</v>
      </c>
      <c r="O227" s="2"/>
      <c r="P227" s="2"/>
      <c r="Q227" s="2"/>
      <c r="R227" s="2"/>
      <c r="S227" s="2"/>
      <c r="T227" s="2"/>
      <c r="U227" s="2"/>
      <c r="V227" s="2">
        <v>0</v>
      </c>
      <c r="W227" s="2"/>
      <c r="X227" s="2"/>
      <c r="Y227" s="2"/>
      <c r="Z227" s="2">
        <v>0.19999999999981799</v>
      </c>
      <c r="AA227" s="2"/>
      <c r="AB227" s="2"/>
      <c r="AC227" s="2"/>
      <c r="AD227" s="2">
        <v>49.5</v>
      </c>
      <c r="AE227" s="2"/>
      <c r="AF227" s="2"/>
      <c r="AG227" s="2">
        <v>3.3999999999978199</v>
      </c>
      <c r="AH227" s="2"/>
      <c r="AI227" s="2"/>
      <c r="AJ227" s="2"/>
      <c r="AK227" s="2"/>
      <c r="AL227" s="2">
        <v>1.39999999999964</v>
      </c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>
        <v>14.6999999999971</v>
      </c>
      <c r="BH227" s="2">
        <v>0.100000000000023</v>
      </c>
      <c r="BI227" s="2"/>
      <c r="BJ227" s="2"/>
      <c r="BK227" s="2"/>
      <c r="BL227" s="2"/>
      <c r="BM227" s="2">
        <v>18</v>
      </c>
      <c r="BN227" s="2">
        <v>0.30000000000018201</v>
      </c>
      <c r="BO227" s="2"/>
      <c r="BP227" s="2">
        <v>0.200000000000045</v>
      </c>
      <c r="BQ227" s="2">
        <v>4.4000000000014596</v>
      </c>
      <c r="BR227" s="2">
        <v>0.100000000000023</v>
      </c>
      <c r="BS227" s="2"/>
      <c r="BT227" s="2"/>
      <c r="BU227" s="2"/>
      <c r="BV227" s="2">
        <v>0</v>
      </c>
      <c r="BW227" s="2">
        <v>0.9</v>
      </c>
      <c r="BX227" s="2"/>
      <c r="BY227" s="2"/>
      <c r="BZ227" s="2">
        <v>14.2</v>
      </c>
      <c r="CA227" s="2"/>
      <c r="CB227" s="2">
        <v>2.2000000000000002</v>
      </c>
      <c r="CC227" s="2"/>
      <c r="CD227" s="2"/>
      <c r="CE227" s="2"/>
      <c r="CF227" s="2"/>
      <c r="CG227" s="2"/>
      <c r="CH227" s="2"/>
      <c r="CI227" s="2"/>
      <c r="CJ227" s="2">
        <v>25.5</v>
      </c>
      <c r="CK227" s="2"/>
      <c r="CL227" s="2"/>
      <c r="CM227" s="2"/>
      <c r="CN227" s="2">
        <v>21</v>
      </c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B227">
        <v>1939</v>
      </c>
      <c r="DC227">
        <v>49.5</v>
      </c>
      <c r="DH227">
        <v>226</v>
      </c>
    </row>
    <row r="228" spans="1:112">
      <c r="A228" s="1">
        <v>41135</v>
      </c>
      <c r="B228" s="2">
        <v>3.5</v>
      </c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>
        <v>0</v>
      </c>
      <c r="Y228" s="2"/>
      <c r="Z228" s="2"/>
      <c r="AA228" s="2"/>
      <c r="AB228" s="2"/>
      <c r="AC228" s="2"/>
      <c r="AD228" s="2">
        <v>0.89999999999963598</v>
      </c>
      <c r="AE228" s="2"/>
      <c r="AF228" s="2"/>
      <c r="AG228" s="2"/>
      <c r="AH228" s="2"/>
      <c r="AI228" s="2"/>
      <c r="AJ228" s="2"/>
      <c r="AK228" s="2"/>
      <c r="AL228" s="2">
        <v>1.89999999999964</v>
      </c>
      <c r="AM228" s="2"/>
      <c r="AN228" s="2"/>
      <c r="AO228" s="2"/>
      <c r="AP228" s="2"/>
      <c r="AQ228" s="2"/>
      <c r="AR228" s="2">
        <v>2.6999999999970901</v>
      </c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>
        <v>0.200000000000045</v>
      </c>
      <c r="BI228" s="2"/>
      <c r="BJ228" s="2"/>
      <c r="BK228" s="2"/>
      <c r="BL228" s="2"/>
      <c r="BM228" s="2">
        <v>84</v>
      </c>
      <c r="BN228" s="2">
        <v>27.200000000011599</v>
      </c>
      <c r="BO228" s="2"/>
      <c r="BP228" s="2">
        <v>0.100000000000023</v>
      </c>
      <c r="BQ228" s="2"/>
      <c r="BR228" s="2"/>
      <c r="BS228" s="2"/>
      <c r="BT228" s="2"/>
      <c r="BU228" s="2"/>
      <c r="BV228" s="2">
        <v>4.3</v>
      </c>
      <c r="BW228" s="2"/>
      <c r="BX228" s="2"/>
      <c r="BY228" s="2"/>
      <c r="BZ228" s="2">
        <v>0.1</v>
      </c>
      <c r="CA228" s="2"/>
      <c r="CB228" s="2"/>
      <c r="CC228" s="2"/>
      <c r="CD228" s="2">
        <v>0.3</v>
      </c>
      <c r="CE228" s="2"/>
      <c r="CF228" s="2"/>
      <c r="CG228" s="2"/>
      <c r="CH228" s="2"/>
      <c r="CI228" s="2"/>
      <c r="CJ228" s="2">
        <v>5.5</v>
      </c>
      <c r="CK228" s="2"/>
      <c r="CL228" s="2"/>
      <c r="CM228" s="2"/>
      <c r="CN228" s="2">
        <v>0.9</v>
      </c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B228">
        <v>1974</v>
      </c>
      <c r="DC228">
        <v>84</v>
      </c>
      <c r="DH228">
        <v>227</v>
      </c>
    </row>
    <row r="229" spans="1:112">
      <c r="A229" s="1">
        <v>41136</v>
      </c>
      <c r="B229" s="2"/>
      <c r="C229" s="2"/>
      <c r="D229" s="2"/>
      <c r="E229" s="2">
        <v>0.2</v>
      </c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>
        <v>0.19999999999981799</v>
      </c>
      <c r="AJ229" s="2">
        <v>0.59999999999945397</v>
      </c>
      <c r="AK229" s="2"/>
      <c r="AL229" s="2">
        <v>1.0999999999985499</v>
      </c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>
        <v>0.400000000000091</v>
      </c>
      <c r="BE229" s="2"/>
      <c r="BF229" s="2"/>
      <c r="BG229" s="2"/>
      <c r="BH229" s="2"/>
      <c r="BI229" s="2"/>
      <c r="BJ229" s="2">
        <v>0</v>
      </c>
      <c r="BK229" s="2">
        <v>0.100000000000023</v>
      </c>
      <c r="BL229" s="2">
        <v>0.80000000000018201</v>
      </c>
      <c r="BM229" s="2">
        <v>1.5</v>
      </c>
      <c r="BN229" s="2"/>
      <c r="BO229" s="2"/>
      <c r="BP229" s="2">
        <v>2.7999999999992702</v>
      </c>
      <c r="BQ229" s="2">
        <v>0.200000000000045</v>
      </c>
      <c r="BR229" s="2"/>
      <c r="BS229" s="2"/>
      <c r="BT229" s="2">
        <v>2.7999999999992702</v>
      </c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>
        <v>0.6</v>
      </c>
      <c r="CR229" s="2">
        <v>0.8</v>
      </c>
      <c r="CS229" s="2"/>
      <c r="CT229" s="2"/>
      <c r="CU229" s="2"/>
      <c r="CV229" s="2"/>
      <c r="CW229" s="2"/>
      <c r="CX229" s="2"/>
      <c r="CY229" s="2"/>
      <c r="CZ229" s="2"/>
      <c r="DB229">
        <v>1977</v>
      </c>
      <c r="DC229">
        <v>2.7999999999992702</v>
      </c>
      <c r="DH229">
        <v>228</v>
      </c>
    </row>
    <row r="230" spans="1:112">
      <c r="A230" s="1">
        <v>41137</v>
      </c>
      <c r="B230" s="2"/>
      <c r="C230" s="2"/>
      <c r="D230" s="2"/>
      <c r="E230" s="2">
        <v>0.2</v>
      </c>
      <c r="F230" s="2"/>
      <c r="G230" s="2"/>
      <c r="H230" s="2"/>
      <c r="I230" s="2">
        <v>0.7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>
        <v>0</v>
      </c>
      <c r="X230" s="2"/>
      <c r="Y230" s="2">
        <v>0.5</v>
      </c>
      <c r="Z230" s="2"/>
      <c r="AA230" s="2">
        <v>0.59999999999945397</v>
      </c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>
        <v>3.2999999999992702</v>
      </c>
      <c r="BF230" s="2"/>
      <c r="BG230" s="2">
        <v>0.100000000000023</v>
      </c>
      <c r="BH230" s="2"/>
      <c r="BI230" s="2">
        <v>0</v>
      </c>
      <c r="BJ230" s="2">
        <v>0.100000000000023</v>
      </c>
      <c r="BK230" s="2">
        <v>0.100000000000023</v>
      </c>
      <c r="BL230" s="2">
        <v>13.5</v>
      </c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>
        <v>4.5</v>
      </c>
      <c r="CA230" s="2"/>
      <c r="CB230" s="2"/>
      <c r="CC230" s="2"/>
      <c r="CD230" s="2"/>
      <c r="CE230" s="2"/>
      <c r="CF230" s="2"/>
      <c r="CG230" s="2"/>
      <c r="CH230" s="2">
        <v>0.7</v>
      </c>
      <c r="CI230" s="2"/>
      <c r="CJ230" s="2">
        <v>0.1</v>
      </c>
      <c r="CK230" s="2"/>
      <c r="CL230" s="2"/>
      <c r="CM230" s="2"/>
      <c r="CN230" s="2"/>
      <c r="CO230" s="2">
        <v>0.1</v>
      </c>
      <c r="CP230" s="2"/>
      <c r="CQ230" s="2">
        <v>41.6</v>
      </c>
      <c r="CR230" s="2"/>
      <c r="CS230" s="2"/>
      <c r="CT230" s="2"/>
      <c r="CU230" s="2"/>
      <c r="CV230" s="2"/>
      <c r="CW230" s="2"/>
      <c r="CX230" s="2"/>
      <c r="CY230" s="2"/>
      <c r="CZ230" s="2"/>
      <c r="DB230">
        <v>2004</v>
      </c>
      <c r="DC230">
        <v>41.6</v>
      </c>
      <c r="DH230">
        <v>229</v>
      </c>
    </row>
    <row r="231" spans="1:112">
      <c r="A231" s="1">
        <v>41138</v>
      </c>
      <c r="B231" s="2"/>
      <c r="C231" s="2"/>
      <c r="D231" s="2"/>
      <c r="E231" s="2"/>
      <c r="F231" s="2"/>
      <c r="G231" s="2"/>
      <c r="H231" s="2"/>
      <c r="I231" s="2">
        <v>2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>
        <v>0.6</v>
      </c>
      <c r="V231" s="2"/>
      <c r="W231" s="2"/>
      <c r="X231" s="2"/>
      <c r="Y231" s="2">
        <v>1.89999999999964</v>
      </c>
      <c r="Z231" s="2"/>
      <c r="AA231" s="2">
        <v>1.1999999999989099</v>
      </c>
      <c r="AB231" s="2"/>
      <c r="AC231" s="2">
        <v>14.5</v>
      </c>
      <c r="AD231" s="2"/>
      <c r="AE231" s="2"/>
      <c r="AF231" s="2"/>
      <c r="AG231" s="2"/>
      <c r="AH231" s="2"/>
      <c r="AI231" s="2">
        <v>0.19999999999981799</v>
      </c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>
        <v>4</v>
      </c>
      <c r="AU231" s="2"/>
      <c r="AV231" s="2"/>
      <c r="AW231" s="2"/>
      <c r="AX231" s="2"/>
      <c r="AY231" s="2"/>
      <c r="AZ231" s="2">
        <v>0.29999999999972699</v>
      </c>
      <c r="BA231" s="2"/>
      <c r="BB231" s="2"/>
      <c r="BC231" s="2"/>
      <c r="BD231" s="2"/>
      <c r="BE231" s="2"/>
      <c r="BF231" s="2"/>
      <c r="BG231" s="2"/>
      <c r="BH231" s="2"/>
      <c r="BI231" s="2"/>
      <c r="BJ231" s="2">
        <v>0</v>
      </c>
      <c r="BK231" s="2"/>
      <c r="BL231" s="2"/>
      <c r="BM231" s="2">
        <v>0</v>
      </c>
      <c r="BN231" s="2"/>
      <c r="BO231" s="2"/>
      <c r="BP231" s="2">
        <v>0.100000000000023</v>
      </c>
      <c r="BQ231" s="2">
        <v>0.100000000000023</v>
      </c>
      <c r="BR231" s="2">
        <v>4.5999999999985501</v>
      </c>
      <c r="BS231" s="2"/>
      <c r="BT231" s="2"/>
      <c r="BU231" s="2"/>
      <c r="BV231" s="2"/>
      <c r="BW231" s="2"/>
      <c r="BX231" s="2">
        <v>0</v>
      </c>
      <c r="BY231" s="2"/>
      <c r="BZ231" s="2">
        <v>15.6</v>
      </c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>
        <v>56.3</v>
      </c>
      <c r="CP231" s="2"/>
      <c r="CQ231" s="2">
        <v>0.7</v>
      </c>
      <c r="CR231" s="2"/>
      <c r="CS231" s="2"/>
      <c r="CT231" s="2"/>
      <c r="CU231" s="2"/>
      <c r="CV231" s="2"/>
      <c r="CW231" s="2"/>
      <c r="CX231" s="2"/>
      <c r="CY231" s="2"/>
      <c r="CZ231" s="2"/>
      <c r="DB231">
        <v>2002</v>
      </c>
      <c r="DC231">
        <v>56.3</v>
      </c>
      <c r="DH231">
        <v>230</v>
      </c>
    </row>
    <row r="232" spans="1:112">
      <c r="A232" s="1">
        <v>41139</v>
      </c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>
        <v>2.2000000000000002</v>
      </c>
      <c r="P232" s="2"/>
      <c r="Q232" s="2"/>
      <c r="R232" s="2"/>
      <c r="S232" s="2"/>
      <c r="T232" s="2"/>
      <c r="U232" s="2"/>
      <c r="V232" s="2"/>
      <c r="W232" s="2"/>
      <c r="X232" s="2"/>
      <c r="Y232" s="2">
        <v>3.7999999999992702</v>
      </c>
      <c r="Z232" s="2"/>
      <c r="AA232" s="2"/>
      <c r="AB232" s="2"/>
      <c r="AC232" s="2"/>
      <c r="AD232" s="2"/>
      <c r="AE232" s="2">
        <v>1</v>
      </c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>
        <v>12.399999999994201</v>
      </c>
      <c r="AT232" s="2">
        <v>11.5</v>
      </c>
      <c r="AU232" s="2"/>
      <c r="AV232" s="2"/>
      <c r="AW232" s="2"/>
      <c r="AX232" s="2"/>
      <c r="AY232" s="2"/>
      <c r="AZ232" s="2">
        <v>0.39999999999963598</v>
      </c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>
        <v>0</v>
      </c>
      <c r="BN232" s="2"/>
      <c r="BO232" s="2"/>
      <c r="BP232" s="2"/>
      <c r="BQ232" s="2"/>
      <c r="BR232" s="2">
        <v>1.39999999999964</v>
      </c>
      <c r="BS232" s="2">
        <v>43.799999999988401</v>
      </c>
      <c r="BT232" s="2"/>
      <c r="BU232" s="2"/>
      <c r="BV232" s="2"/>
      <c r="BW232" s="2">
        <v>0.2</v>
      </c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>
        <v>0</v>
      </c>
      <c r="CK232" s="2"/>
      <c r="CL232" s="2"/>
      <c r="CM232" s="2"/>
      <c r="CN232" s="2"/>
      <c r="CO232" s="2">
        <v>7.4</v>
      </c>
      <c r="CP232" s="2"/>
      <c r="CQ232" s="2"/>
      <c r="CR232" s="2"/>
      <c r="CS232" s="2"/>
      <c r="CT232" s="2"/>
      <c r="CU232" s="2"/>
      <c r="CV232" s="2"/>
      <c r="CW232" s="2"/>
      <c r="CX232" s="2"/>
      <c r="CY232" s="2">
        <v>0.1</v>
      </c>
      <c r="CZ232" s="2"/>
      <c r="DB232">
        <v>1980</v>
      </c>
      <c r="DC232">
        <v>43.799999999988401</v>
      </c>
      <c r="DH232">
        <v>231</v>
      </c>
    </row>
    <row r="233" spans="1:112">
      <c r="A233" s="1">
        <v>41140</v>
      </c>
      <c r="B233" s="2"/>
      <c r="C233" s="2"/>
      <c r="D233" s="2"/>
      <c r="E233" s="2"/>
      <c r="F233" s="2">
        <v>0.2</v>
      </c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>
        <v>0.79999999999927196</v>
      </c>
      <c r="AA233" s="2"/>
      <c r="AB233" s="2"/>
      <c r="AC233" s="2"/>
      <c r="AD233" s="2"/>
      <c r="AE233" s="2"/>
      <c r="AF233" s="2"/>
      <c r="AG233" s="2">
        <v>13.5</v>
      </c>
      <c r="AH233" s="2"/>
      <c r="AI233" s="2"/>
      <c r="AJ233" s="2"/>
      <c r="AK233" s="2"/>
      <c r="AL233" s="2"/>
      <c r="AM233" s="2"/>
      <c r="AN233" s="2">
        <v>11.6999999999971</v>
      </c>
      <c r="AO233" s="2"/>
      <c r="AP233" s="2">
        <v>0.39999999999963598</v>
      </c>
      <c r="AQ233" s="2"/>
      <c r="AR233" s="2"/>
      <c r="AS233" s="2"/>
      <c r="AT233" s="2">
        <v>18.5</v>
      </c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>
        <v>26.5</v>
      </c>
      <c r="BH233" s="2"/>
      <c r="BI233" s="2"/>
      <c r="BJ233" s="2">
        <v>0.100000000000023</v>
      </c>
      <c r="BK233" s="2"/>
      <c r="BL233" s="2">
        <v>0.5</v>
      </c>
      <c r="BM233" s="2">
        <v>2.0999999999985399</v>
      </c>
      <c r="BN233" s="2"/>
      <c r="BO233" s="2"/>
      <c r="BP233" s="2"/>
      <c r="BQ233" s="2"/>
      <c r="BR233" s="2"/>
      <c r="BS233" s="2"/>
      <c r="BT233" s="2">
        <v>47</v>
      </c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>
        <v>2.7</v>
      </c>
      <c r="CJ233" s="2"/>
      <c r="CK233" s="2"/>
      <c r="CL233" s="2"/>
      <c r="CM233" s="2"/>
      <c r="CN233" s="2">
        <v>17.3</v>
      </c>
      <c r="CO233" s="2">
        <v>20.3</v>
      </c>
      <c r="CP233" s="2"/>
      <c r="CQ233" s="2"/>
      <c r="CR233" s="2">
        <v>0</v>
      </c>
      <c r="CS233" s="2"/>
      <c r="CT233" s="2"/>
      <c r="CU233" s="2"/>
      <c r="CV233" s="2"/>
      <c r="CW233" s="2"/>
      <c r="CX233" s="2"/>
      <c r="CY233" s="2"/>
      <c r="CZ233" s="2"/>
      <c r="DB233">
        <v>1981</v>
      </c>
      <c r="DC233">
        <v>47</v>
      </c>
      <c r="DH233">
        <v>232</v>
      </c>
    </row>
    <row r="234" spans="1:112">
      <c r="A234" s="1">
        <v>41141</v>
      </c>
      <c r="B234" s="2"/>
      <c r="C234" s="2"/>
      <c r="D234" s="2"/>
      <c r="E234" s="2"/>
      <c r="F234" s="2"/>
      <c r="G234" s="2">
        <v>15.5</v>
      </c>
      <c r="H234" s="2"/>
      <c r="I234" s="2">
        <v>8</v>
      </c>
      <c r="J234" s="2"/>
      <c r="K234" s="2"/>
      <c r="L234" s="2"/>
      <c r="M234" s="2">
        <v>4.4000000000000004</v>
      </c>
      <c r="N234" s="2">
        <v>7.5</v>
      </c>
      <c r="O234" s="2"/>
      <c r="P234" s="2">
        <v>0.3</v>
      </c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>
        <v>2.3999999999978199</v>
      </c>
      <c r="AE234" s="2"/>
      <c r="AF234" s="2"/>
      <c r="AG234" s="2">
        <v>1.79999999999927</v>
      </c>
      <c r="AH234" s="2"/>
      <c r="AI234" s="2"/>
      <c r="AJ234" s="2"/>
      <c r="AK234" s="2"/>
      <c r="AL234" s="2"/>
      <c r="AM234" s="2"/>
      <c r="AN234" s="2"/>
      <c r="AO234" s="2"/>
      <c r="AP234" s="2">
        <v>31.199999999982499</v>
      </c>
      <c r="AQ234" s="2"/>
      <c r="AR234" s="2"/>
      <c r="AS234" s="2"/>
      <c r="AT234" s="2"/>
      <c r="AU234" s="2"/>
      <c r="AV234" s="2"/>
      <c r="AW234" s="2"/>
      <c r="AX234" s="2"/>
      <c r="AY234" s="2">
        <v>0.9</v>
      </c>
      <c r="AZ234" s="2"/>
      <c r="BA234" s="2"/>
      <c r="BB234" s="2"/>
      <c r="BC234" s="2"/>
      <c r="BD234" s="2">
        <v>1.60000000000036</v>
      </c>
      <c r="BE234" s="2"/>
      <c r="BF234" s="2"/>
      <c r="BG234" s="2">
        <v>5.1999999999970896</v>
      </c>
      <c r="BH234" s="2"/>
      <c r="BI234" s="2"/>
      <c r="BJ234" s="2"/>
      <c r="BK234" s="2"/>
      <c r="BL234" s="2"/>
      <c r="BM234" s="2"/>
      <c r="BN234" s="2"/>
      <c r="BO234" s="2">
        <v>0</v>
      </c>
      <c r="BP234" s="2"/>
      <c r="BQ234" s="2">
        <v>4.4000000000014596</v>
      </c>
      <c r="BR234" s="2"/>
      <c r="BS234" s="2"/>
      <c r="BT234" s="2"/>
      <c r="BU234" s="2"/>
      <c r="BV234" s="2"/>
      <c r="BW234" s="2">
        <v>0.19999999999981799</v>
      </c>
      <c r="BX234" s="2"/>
      <c r="BY234" s="2"/>
      <c r="BZ234" s="2">
        <v>10.6</v>
      </c>
      <c r="CA234" s="2"/>
      <c r="CB234" s="2"/>
      <c r="CC234" s="2"/>
      <c r="CD234" s="2">
        <v>0.1</v>
      </c>
      <c r="CE234" s="2"/>
      <c r="CF234" s="2"/>
      <c r="CG234" s="2"/>
      <c r="CH234" s="2"/>
      <c r="CI234" s="2">
        <v>0.7</v>
      </c>
      <c r="CJ234" s="2"/>
      <c r="CK234" s="2"/>
      <c r="CL234" s="2"/>
      <c r="CM234" s="2"/>
      <c r="CN234" s="2">
        <v>5</v>
      </c>
      <c r="CO234" s="2">
        <v>49</v>
      </c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B234">
        <v>2002</v>
      </c>
      <c r="DC234">
        <v>49</v>
      </c>
      <c r="DH234">
        <v>233</v>
      </c>
    </row>
    <row r="235" spans="1:112">
      <c r="A235" s="1">
        <v>41142</v>
      </c>
      <c r="B235" s="2"/>
      <c r="C235" s="2"/>
      <c r="D235" s="2"/>
      <c r="E235" s="2"/>
      <c r="F235" s="2"/>
      <c r="G235" s="2">
        <v>0.4</v>
      </c>
      <c r="H235" s="2"/>
      <c r="I235" s="2"/>
      <c r="J235" s="2"/>
      <c r="K235" s="2"/>
      <c r="L235" s="2"/>
      <c r="M235" s="2"/>
      <c r="N235" s="2">
        <v>1.2</v>
      </c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>
        <v>0.69999999999981799</v>
      </c>
      <c r="AB235" s="2"/>
      <c r="AC235" s="2"/>
      <c r="AD235" s="2">
        <v>11.299999999988399</v>
      </c>
      <c r="AE235" s="2"/>
      <c r="AF235" s="2"/>
      <c r="AG235" s="2">
        <v>7.0999999999985501</v>
      </c>
      <c r="AH235" s="2"/>
      <c r="AI235" s="2"/>
      <c r="AJ235" s="2"/>
      <c r="AK235" s="2"/>
      <c r="AL235" s="2"/>
      <c r="AM235" s="2"/>
      <c r="AN235" s="2"/>
      <c r="AO235" s="2"/>
      <c r="AP235" s="2">
        <v>56</v>
      </c>
      <c r="AQ235" s="2"/>
      <c r="AR235" s="2"/>
      <c r="AS235" s="2"/>
      <c r="AT235" s="2">
        <v>1.5999999999985499</v>
      </c>
      <c r="AU235" s="2"/>
      <c r="AV235" s="2"/>
      <c r="AW235" s="2"/>
      <c r="AX235" s="2"/>
      <c r="AY235" s="2">
        <v>5.2</v>
      </c>
      <c r="AZ235" s="2"/>
      <c r="BA235" s="2">
        <v>0.29999999999972699</v>
      </c>
      <c r="BB235" s="2"/>
      <c r="BC235" s="2"/>
      <c r="BD235" s="2"/>
      <c r="BE235" s="2"/>
      <c r="BF235" s="2"/>
      <c r="BG235" s="2">
        <v>0.30000000000018201</v>
      </c>
      <c r="BH235" s="2"/>
      <c r="BI235" s="2"/>
      <c r="BJ235" s="2"/>
      <c r="BK235" s="2"/>
      <c r="BL235" s="2"/>
      <c r="BM235" s="2"/>
      <c r="BN235" s="2">
        <v>5</v>
      </c>
      <c r="BO235" s="2">
        <v>12.3000000000029</v>
      </c>
      <c r="BP235" s="2"/>
      <c r="BQ235" s="2">
        <v>0.200000000000045</v>
      </c>
      <c r="BR235" s="2"/>
      <c r="BS235" s="2"/>
      <c r="BT235" s="2"/>
      <c r="BU235" s="2"/>
      <c r="BV235" s="2"/>
      <c r="BW235" s="2">
        <v>1</v>
      </c>
      <c r="BX235" s="2"/>
      <c r="BY235" s="2"/>
      <c r="BZ235" s="2">
        <v>27.4</v>
      </c>
      <c r="CA235" s="2"/>
      <c r="CB235" s="2"/>
      <c r="CC235" s="2"/>
      <c r="CD235" s="2"/>
      <c r="CE235" s="2"/>
      <c r="CF235" s="2"/>
      <c r="CG235" s="2"/>
      <c r="CH235" s="2">
        <v>1.7</v>
      </c>
      <c r="CI235" s="2">
        <v>1.4</v>
      </c>
      <c r="CJ235" s="2">
        <v>4.9000000000000004</v>
      </c>
      <c r="CK235" s="2"/>
      <c r="CL235" s="2"/>
      <c r="CM235" s="2"/>
      <c r="CN235" s="2">
        <v>1.2</v>
      </c>
      <c r="CO235" s="2"/>
      <c r="CP235" s="2"/>
      <c r="CQ235" s="2"/>
      <c r="CR235" s="2">
        <v>0.5</v>
      </c>
      <c r="CS235" s="2"/>
      <c r="CT235" s="2"/>
      <c r="CU235" s="2"/>
      <c r="CV235" s="2"/>
      <c r="CW235" s="2"/>
      <c r="CX235" s="2"/>
      <c r="CY235" s="2"/>
      <c r="CZ235" s="2"/>
      <c r="DB235">
        <v>1951</v>
      </c>
      <c r="DC235">
        <v>56</v>
      </c>
      <c r="DH235">
        <v>234</v>
      </c>
    </row>
    <row r="236" spans="1:112">
      <c r="A236" s="1">
        <v>41143</v>
      </c>
      <c r="B236" s="2"/>
      <c r="C236" s="2"/>
      <c r="D236" s="2"/>
      <c r="E236" s="2">
        <v>0.2</v>
      </c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>
        <v>6.5999999999985501</v>
      </c>
      <c r="AE236" s="2"/>
      <c r="AF236" s="2">
        <v>0.4</v>
      </c>
      <c r="AG236" s="2"/>
      <c r="AH236" s="2"/>
      <c r="AI236" s="2"/>
      <c r="AJ236" s="2"/>
      <c r="AK236" s="2"/>
      <c r="AL236" s="2"/>
      <c r="AM236" s="2">
        <v>2.8999999999978199</v>
      </c>
      <c r="AN236" s="2"/>
      <c r="AO236" s="2"/>
      <c r="AP236" s="2">
        <v>5.5</v>
      </c>
      <c r="AQ236" s="2"/>
      <c r="AR236" s="2"/>
      <c r="AS236" s="2"/>
      <c r="AT236" s="2">
        <v>0.29999999999972699</v>
      </c>
      <c r="AU236" s="2"/>
      <c r="AV236" s="2">
        <v>21</v>
      </c>
      <c r="AW236" s="2"/>
      <c r="AX236" s="2"/>
      <c r="AY236" s="2">
        <v>19.5</v>
      </c>
      <c r="AZ236" s="2"/>
      <c r="BA236" s="2">
        <v>1.39999999999964</v>
      </c>
      <c r="BB236" s="2"/>
      <c r="BC236" s="2"/>
      <c r="BD236" s="2">
        <v>1.20000000000073</v>
      </c>
      <c r="BE236" s="2"/>
      <c r="BF236" s="2"/>
      <c r="BG236" s="2"/>
      <c r="BH236" s="2">
        <v>0.200000000000045</v>
      </c>
      <c r="BI236" s="2"/>
      <c r="BJ236" s="2"/>
      <c r="BK236" s="2">
        <v>0</v>
      </c>
      <c r="BL236" s="2"/>
      <c r="BM236" s="2"/>
      <c r="BN236" s="2">
        <v>5</v>
      </c>
      <c r="BO236" s="2">
        <v>7.5</v>
      </c>
      <c r="BP236" s="2"/>
      <c r="BQ236" s="2">
        <v>0.100000000000023</v>
      </c>
      <c r="BR236" s="2">
        <v>0.89999999999963598</v>
      </c>
      <c r="BS236" s="2"/>
      <c r="BT236" s="2"/>
      <c r="BU236" s="2"/>
      <c r="BV236" s="2">
        <v>1.5</v>
      </c>
      <c r="BW236" s="2">
        <v>4</v>
      </c>
      <c r="BX236" s="2"/>
      <c r="BY236" s="2"/>
      <c r="BZ236" s="2">
        <v>7.7</v>
      </c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>
        <v>0.1</v>
      </c>
      <c r="CX236" s="2"/>
      <c r="CY236" s="2"/>
      <c r="CZ236" s="2"/>
      <c r="DB236">
        <v>1957</v>
      </c>
      <c r="DC236">
        <v>21</v>
      </c>
      <c r="DH236">
        <v>235</v>
      </c>
    </row>
    <row r="237" spans="1:112">
      <c r="A237" s="1">
        <v>41144</v>
      </c>
      <c r="B237" s="2"/>
      <c r="C237" s="2">
        <v>13.8</v>
      </c>
      <c r="D237" s="2"/>
      <c r="E237" s="2"/>
      <c r="F237" s="2"/>
      <c r="G237" s="2">
        <v>0.2</v>
      </c>
      <c r="H237" s="2"/>
      <c r="I237" s="2"/>
      <c r="J237" s="2"/>
      <c r="K237" s="2"/>
      <c r="L237" s="2">
        <v>13</v>
      </c>
      <c r="M237" s="2"/>
      <c r="N237" s="2"/>
      <c r="O237" s="2"/>
      <c r="P237" s="2"/>
      <c r="Q237" s="2">
        <v>1.8</v>
      </c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>
        <v>1.5999999999985499</v>
      </c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>
        <v>18</v>
      </c>
      <c r="AZ237" s="2"/>
      <c r="BA237" s="2"/>
      <c r="BB237" s="2"/>
      <c r="BC237" s="2"/>
      <c r="BD237" s="2"/>
      <c r="BE237" s="2"/>
      <c r="BF237" s="2"/>
      <c r="BG237" s="2"/>
      <c r="BH237" s="2">
        <v>0.100000000000023</v>
      </c>
      <c r="BI237" s="2">
        <v>0.100000000000023</v>
      </c>
      <c r="BJ237" s="2"/>
      <c r="BK237" s="2"/>
      <c r="BL237" s="2"/>
      <c r="BM237" s="2"/>
      <c r="BN237" s="2">
        <v>0.100000000000023</v>
      </c>
      <c r="BO237" s="2"/>
      <c r="BP237" s="2"/>
      <c r="BQ237" s="2"/>
      <c r="BR237" s="2">
        <v>43</v>
      </c>
      <c r="BS237" s="2"/>
      <c r="BT237" s="2"/>
      <c r="BU237" s="2"/>
      <c r="BV237" s="2"/>
      <c r="BW237" s="2">
        <v>0.19999999999981799</v>
      </c>
      <c r="BX237" s="2"/>
      <c r="BY237" s="2"/>
      <c r="BZ237" s="2">
        <v>24.5</v>
      </c>
      <c r="CA237" s="2"/>
      <c r="CB237" s="2"/>
      <c r="CC237" s="2">
        <v>0.3</v>
      </c>
      <c r="CD237" s="2">
        <v>0.2</v>
      </c>
      <c r="CE237" s="2"/>
      <c r="CF237" s="2"/>
      <c r="CG237" s="2"/>
      <c r="CH237" s="2"/>
      <c r="CI237" s="2">
        <v>6.6</v>
      </c>
      <c r="CJ237" s="2"/>
      <c r="CK237" s="2"/>
      <c r="CL237" s="2">
        <v>19</v>
      </c>
      <c r="CM237" s="2"/>
      <c r="CN237" s="2"/>
      <c r="CO237" s="2"/>
      <c r="CP237" s="2"/>
      <c r="CQ237" s="2">
        <v>0</v>
      </c>
      <c r="CR237" s="2"/>
      <c r="CS237" s="2"/>
      <c r="CT237" s="2"/>
      <c r="CU237" s="2"/>
      <c r="CV237" s="2"/>
      <c r="CW237" s="2"/>
      <c r="CX237" s="2"/>
      <c r="CY237" s="2"/>
      <c r="CZ237" s="2"/>
      <c r="DB237">
        <v>1979</v>
      </c>
      <c r="DC237">
        <v>43</v>
      </c>
      <c r="DH237">
        <v>236</v>
      </c>
    </row>
    <row r="238" spans="1:112">
      <c r="A238" s="1">
        <v>41145</v>
      </c>
      <c r="B238" s="2"/>
      <c r="C238" s="2"/>
      <c r="D238" s="2">
        <v>1.6</v>
      </c>
      <c r="E238" s="2">
        <v>13</v>
      </c>
      <c r="F238" s="2"/>
      <c r="G238" s="2">
        <v>1</v>
      </c>
      <c r="H238" s="2"/>
      <c r="I238" s="2"/>
      <c r="J238" s="2"/>
      <c r="K238" s="2"/>
      <c r="L238" s="2"/>
      <c r="M238" s="2"/>
      <c r="N238" s="2"/>
      <c r="O238" s="2"/>
      <c r="P238" s="2"/>
      <c r="Q238" s="2">
        <v>11.6</v>
      </c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>
        <v>0.19999999999981799</v>
      </c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>
        <v>2.3999999999978199</v>
      </c>
      <c r="AS238" s="2"/>
      <c r="AT238" s="2"/>
      <c r="AU238" s="2">
        <v>5.8999999999941801</v>
      </c>
      <c r="AV238" s="2"/>
      <c r="AW238" s="2"/>
      <c r="AX238" s="2"/>
      <c r="AY238" s="2"/>
      <c r="AZ238" s="2"/>
      <c r="BA238" s="2"/>
      <c r="BB238" s="2"/>
      <c r="BC238" s="2">
        <v>1</v>
      </c>
      <c r="BD238" s="2"/>
      <c r="BE238" s="2"/>
      <c r="BF238" s="2"/>
      <c r="BG238" s="2"/>
      <c r="BH238" s="2"/>
      <c r="BI238" s="2"/>
      <c r="BJ238" s="2"/>
      <c r="BK238" s="2">
        <v>2.5</v>
      </c>
      <c r="BL238" s="2"/>
      <c r="BM238" s="2"/>
      <c r="BN238" s="2">
        <v>0.100000000000023</v>
      </c>
      <c r="BO238" s="2">
        <v>15</v>
      </c>
      <c r="BP238" s="2"/>
      <c r="BQ238" s="2"/>
      <c r="BR238" s="2">
        <v>4.5999999999985501</v>
      </c>
      <c r="BS238" s="2"/>
      <c r="BT238" s="2"/>
      <c r="BU238" s="2">
        <v>1.39999999999964</v>
      </c>
      <c r="BV238" s="2"/>
      <c r="BW238" s="2"/>
      <c r="BX238" s="2"/>
      <c r="BY238" s="2"/>
      <c r="BZ238" s="2">
        <v>1.6</v>
      </c>
      <c r="CA238" s="2"/>
      <c r="CB238" s="2"/>
      <c r="CC238" s="2">
        <v>0.2</v>
      </c>
      <c r="CD238" s="2"/>
      <c r="CE238" s="2"/>
      <c r="CF238" s="2"/>
      <c r="CG238" s="2"/>
      <c r="CH238" s="2"/>
      <c r="CI238" s="2">
        <v>0.6</v>
      </c>
      <c r="CJ238" s="2">
        <v>7.4</v>
      </c>
      <c r="CK238" s="2"/>
      <c r="CL238" s="2">
        <v>33.700000000000003</v>
      </c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B238">
        <v>1999</v>
      </c>
      <c r="DC238">
        <v>33.700000000000003</v>
      </c>
      <c r="DH238">
        <v>237</v>
      </c>
    </row>
    <row r="239" spans="1:112">
      <c r="A239" s="1">
        <v>41146</v>
      </c>
      <c r="B239" s="2"/>
      <c r="C239" s="2"/>
      <c r="D239" s="2">
        <v>85.4</v>
      </c>
      <c r="E239" s="2">
        <v>2.2000000000000002</v>
      </c>
      <c r="F239" s="2"/>
      <c r="G239" s="2"/>
      <c r="H239" s="2"/>
      <c r="I239" s="2"/>
      <c r="J239" s="2">
        <v>2</v>
      </c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>
        <v>6.3999999999941801</v>
      </c>
      <c r="AC239" s="2"/>
      <c r="AD239" s="2"/>
      <c r="AE239" s="2"/>
      <c r="AF239" s="2"/>
      <c r="AG239" s="2"/>
      <c r="AH239" s="2"/>
      <c r="AI239" s="2">
        <v>60.799999999988401</v>
      </c>
      <c r="AJ239" s="2"/>
      <c r="AK239" s="2"/>
      <c r="AL239" s="2"/>
      <c r="AM239" s="2"/>
      <c r="AN239" s="2"/>
      <c r="AO239" s="2"/>
      <c r="AP239" s="2"/>
      <c r="AQ239" s="2"/>
      <c r="AR239" s="2">
        <v>1.39999999999964</v>
      </c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>
        <v>0.100000000000023</v>
      </c>
      <c r="BH239" s="2">
        <v>0.200000000000045</v>
      </c>
      <c r="BI239" s="2">
        <v>0.100000000000023</v>
      </c>
      <c r="BJ239" s="2">
        <v>0.80000000000018201</v>
      </c>
      <c r="BK239" s="2">
        <v>1.79999999999927</v>
      </c>
      <c r="BL239" s="2"/>
      <c r="BM239" s="2"/>
      <c r="BN239" s="2">
        <v>0.100000000000023</v>
      </c>
      <c r="BO239" s="2">
        <v>0.5</v>
      </c>
      <c r="BP239" s="2"/>
      <c r="BQ239" s="2"/>
      <c r="BR239" s="2"/>
      <c r="BS239" s="2"/>
      <c r="BT239" s="2">
        <v>9.8999999999941792</v>
      </c>
      <c r="BU239" s="2">
        <v>18.299999999988401</v>
      </c>
      <c r="BV239" s="2"/>
      <c r="BW239" s="2">
        <v>0.69999999999981799</v>
      </c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>
        <v>2.1</v>
      </c>
      <c r="CK239" s="2"/>
      <c r="CL239" s="2">
        <v>3.5</v>
      </c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B239">
        <v>1913</v>
      </c>
      <c r="DC239">
        <v>85.4</v>
      </c>
      <c r="DH239">
        <v>238</v>
      </c>
    </row>
    <row r="240" spans="1:112">
      <c r="A240" s="1">
        <v>41147</v>
      </c>
      <c r="B240" s="2"/>
      <c r="C240" s="2"/>
      <c r="D240" s="2"/>
      <c r="E240" s="2">
        <v>10</v>
      </c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>
        <v>2.5999999999985399</v>
      </c>
      <c r="AC240" s="2"/>
      <c r="AD240" s="2"/>
      <c r="AE240" s="2"/>
      <c r="AF240" s="2"/>
      <c r="AG240" s="2"/>
      <c r="AH240" s="2"/>
      <c r="AI240" s="2">
        <v>5.3999999999941801</v>
      </c>
      <c r="AJ240" s="2"/>
      <c r="AK240" s="2">
        <v>0.59999999999945397</v>
      </c>
      <c r="AL240" s="2"/>
      <c r="AM240" s="2"/>
      <c r="AN240" s="2"/>
      <c r="AO240" s="2"/>
      <c r="AP240" s="2">
        <v>0.19999999999981799</v>
      </c>
      <c r="AQ240" s="2"/>
      <c r="AR240" s="2">
        <v>0.5</v>
      </c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>
        <v>0.100000000000023</v>
      </c>
      <c r="BH240" s="2">
        <v>0.100000000000023</v>
      </c>
      <c r="BI240" s="2">
        <v>2.7000000000007298</v>
      </c>
      <c r="BJ240" s="2">
        <v>0</v>
      </c>
      <c r="BK240" s="2">
        <v>15.399999999994201</v>
      </c>
      <c r="BL240" s="2"/>
      <c r="BM240" s="2"/>
      <c r="BN240" s="2"/>
      <c r="BO240" s="2"/>
      <c r="BP240" s="2">
        <v>0</v>
      </c>
      <c r="BQ240" s="2">
        <v>0.100000000000023</v>
      </c>
      <c r="BR240" s="2"/>
      <c r="BS240" s="2"/>
      <c r="BT240" s="2"/>
      <c r="BU240" s="2">
        <v>1.70000000000073</v>
      </c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>
        <v>4.3</v>
      </c>
      <c r="CH240" s="2"/>
      <c r="CI240" s="2"/>
      <c r="CJ240" s="2"/>
      <c r="CK240" s="2">
        <v>0.1</v>
      </c>
      <c r="CL240" s="2">
        <v>9.5</v>
      </c>
      <c r="CM240" s="2">
        <v>12.1</v>
      </c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B240">
        <v>1972</v>
      </c>
      <c r="DC240">
        <v>15.399999999994201</v>
      </c>
      <c r="DH240">
        <v>239</v>
      </c>
    </row>
    <row r="241" spans="1:112">
      <c r="A241" s="1">
        <v>41148</v>
      </c>
      <c r="B241" s="2"/>
      <c r="C241" s="2"/>
      <c r="D241" s="2"/>
      <c r="E241" s="2">
        <v>0.1</v>
      </c>
      <c r="F241" s="2">
        <v>5</v>
      </c>
      <c r="G241" s="2"/>
      <c r="H241" s="2"/>
      <c r="I241" s="2"/>
      <c r="J241" s="2"/>
      <c r="K241" s="2">
        <v>16.5</v>
      </c>
      <c r="L241" s="2"/>
      <c r="M241" s="2">
        <v>15.3</v>
      </c>
      <c r="N241" s="2"/>
      <c r="O241" s="2"/>
      <c r="P241" s="2"/>
      <c r="Q241" s="2"/>
      <c r="R241" s="2"/>
      <c r="S241" s="2"/>
      <c r="T241" s="2">
        <v>0.5</v>
      </c>
      <c r="U241" s="2"/>
      <c r="V241" s="2"/>
      <c r="W241" s="2"/>
      <c r="X241" s="2"/>
      <c r="Y241" s="2"/>
      <c r="Z241" s="2"/>
      <c r="AA241" s="2"/>
      <c r="AB241" s="2">
        <v>40.799999999988401</v>
      </c>
      <c r="AC241" s="2"/>
      <c r="AD241" s="2"/>
      <c r="AE241" s="2"/>
      <c r="AF241" s="2"/>
      <c r="AG241" s="2">
        <v>0.59999999999945397</v>
      </c>
      <c r="AH241" s="2"/>
      <c r="AI241" s="2"/>
      <c r="AJ241" s="2">
        <v>0.19999999999981799</v>
      </c>
      <c r="AK241" s="2">
        <v>44.199999999953398</v>
      </c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>
        <v>2.7000000000007298</v>
      </c>
      <c r="BJ241" s="2"/>
      <c r="BK241" s="2">
        <v>0.100000000000023</v>
      </c>
      <c r="BL241" s="2"/>
      <c r="BM241" s="2"/>
      <c r="BN241" s="2"/>
      <c r="BO241" s="2">
        <v>0.400000000000091</v>
      </c>
      <c r="BP241" s="2">
        <v>0.30000000000018201</v>
      </c>
      <c r="BQ241" s="2"/>
      <c r="BR241" s="2"/>
      <c r="BS241" s="2"/>
      <c r="BT241" s="2"/>
      <c r="BU241" s="2"/>
      <c r="BV241" s="2"/>
      <c r="BW241" s="2">
        <v>18.099999999976699</v>
      </c>
      <c r="BX241" s="2"/>
      <c r="BY241" s="2"/>
      <c r="BZ241" s="2"/>
      <c r="CA241" s="2"/>
      <c r="CB241" s="2"/>
      <c r="CC241" s="2"/>
      <c r="CD241" s="2"/>
      <c r="CE241" s="2"/>
      <c r="CF241" s="2"/>
      <c r="CG241" s="2">
        <v>7.9</v>
      </c>
      <c r="CH241" s="2">
        <v>23.4</v>
      </c>
      <c r="CI241" s="2"/>
      <c r="CJ241" s="2"/>
      <c r="CK241" s="2"/>
      <c r="CL241" s="2">
        <v>10.5</v>
      </c>
      <c r="CM241" s="2">
        <v>24.2</v>
      </c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>
        <v>11.1</v>
      </c>
      <c r="CZ241" s="2"/>
      <c r="DB241">
        <v>1946</v>
      </c>
      <c r="DC241">
        <v>44.199999999953398</v>
      </c>
      <c r="DH241">
        <v>240</v>
      </c>
    </row>
    <row r="242" spans="1:112">
      <c r="A242" s="1">
        <v>41149</v>
      </c>
      <c r="B242" s="2"/>
      <c r="C242" s="2"/>
      <c r="D242" s="2">
        <v>13.3</v>
      </c>
      <c r="E242" s="2">
        <v>0.1</v>
      </c>
      <c r="F242" s="2"/>
      <c r="G242" s="2"/>
      <c r="H242" s="2"/>
      <c r="I242" s="2"/>
      <c r="J242" s="2"/>
      <c r="K242" s="2"/>
      <c r="L242" s="2"/>
      <c r="M242" s="2">
        <v>6.5</v>
      </c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>
        <v>3</v>
      </c>
      <c r="AC242" s="2"/>
      <c r="AD242" s="2">
        <v>0.5</v>
      </c>
      <c r="AE242" s="2"/>
      <c r="AF242" s="2"/>
      <c r="AG242" s="2"/>
      <c r="AH242" s="2"/>
      <c r="AI242" s="2"/>
      <c r="AJ242" s="2"/>
      <c r="AK242" s="2"/>
      <c r="AL242" s="2">
        <v>3.1999999999970901</v>
      </c>
      <c r="AM242" s="2"/>
      <c r="AN242" s="2"/>
      <c r="AO242" s="2"/>
      <c r="AP242" s="2">
        <v>0.29999999999972699</v>
      </c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>
        <v>5</v>
      </c>
      <c r="BE242" s="2"/>
      <c r="BF242" s="2"/>
      <c r="BG242" s="2">
        <v>0.200000000000045</v>
      </c>
      <c r="BH242" s="2"/>
      <c r="BI242" s="2"/>
      <c r="BJ242" s="2">
        <v>6.5</v>
      </c>
      <c r="BK242" s="2"/>
      <c r="BL242" s="2"/>
      <c r="BM242" s="2"/>
      <c r="BN242" s="2">
        <v>0.100000000000023</v>
      </c>
      <c r="BO242" s="2"/>
      <c r="BP242" s="2"/>
      <c r="BQ242" s="2"/>
      <c r="BR242" s="2"/>
      <c r="BS242" s="2"/>
      <c r="BT242" s="2"/>
      <c r="BU242" s="2"/>
      <c r="BV242" s="2"/>
      <c r="BW242" s="2">
        <v>1.89999999999964</v>
      </c>
      <c r="BX242" s="2"/>
      <c r="BY242" s="2"/>
      <c r="BZ242" s="2"/>
      <c r="CA242" s="2">
        <v>1.1000000000000001</v>
      </c>
      <c r="CB242" s="2"/>
      <c r="CC242" s="2"/>
      <c r="CD242" s="2">
        <v>0.1</v>
      </c>
      <c r="CE242" s="2"/>
      <c r="CF242" s="2"/>
      <c r="CG242" s="2">
        <v>5.3</v>
      </c>
      <c r="CH242" s="2">
        <v>2.8</v>
      </c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>
        <v>8.5</v>
      </c>
      <c r="CT242" s="2"/>
      <c r="CU242" s="2"/>
      <c r="CV242" s="2"/>
      <c r="CW242" s="2"/>
      <c r="CX242" s="2"/>
      <c r="CY242" s="2">
        <v>7.5</v>
      </c>
      <c r="CZ242" s="2"/>
      <c r="DB242">
        <v>1913</v>
      </c>
      <c r="DC242">
        <v>13.3</v>
      </c>
      <c r="DH242">
        <v>241</v>
      </c>
    </row>
    <row r="243" spans="1:112">
      <c r="A243" s="1">
        <v>41150</v>
      </c>
      <c r="B243" s="2"/>
      <c r="C243" s="2">
        <v>3.2</v>
      </c>
      <c r="D243" s="2">
        <v>14.4</v>
      </c>
      <c r="E243" s="2"/>
      <c r="F243" s="2"/>
      <c r="G243" s="2"/>
      <c r="H243" s="2"/>
      <c r="I243" s="2"/>
      <c r="J243" s="2"/>
      <c r="K243" s="2"/>
      <c r="L243" s="2"/>
      <c r="M243" s="2">
        <v>28</v>
      </c>
      <c r="N243" s="2"/>
      <c r="O243" s="2">
        <v>3.8</v>
      </c>
      <c r="P243" s="2">
        <v>0.2</v>
      </c>
      <c r="Q243" s="2"/>
      <c r="R243" s="2"/>
      <c r="S243" s="2"/>
      <c r="T243" s="2"/>
      <c r="U243" s="2">
        <v>0.4</v>
      </c>
      <c r="V243" s="2"/>
      <c r="W243" s="2"/>
      <c r="X243" s="2">
        <v>0.2</v>
      </c>
      <c r="Y243" s="2"/>
      <c r="Z243" s="2"/>
      <c r="AA243" s="2">
        <v>34</v>
      </c>
      <c r="AB243" s="2"/>
      <c r="AC243" s="2"/>
      <c r="AD243" s="2">
        <v>42.099999999976703</v>
      </c>
      <c r="AE243" s="2"/>
      <c r="AF243" s="2"/>
      <c r="AG243" s="2">
        <v>37.5</v>
      </c>
      <c r="AH243" s="2"/>
      <c r="AI243" s="2"/>
      <c r="AJ243" s="2"/>
      <c r="AK243" s="2">
        <v>2.0999999999985399</v>
      </c>
      <c r="AL243" s="2">
        <v>1.79999999999927</v>
      </c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>
        <v>1.5</v>
      </c>
      <c r="AZ243" s="2"/>
      <c r="BA243" s="2"/>
      <c r="BB243" s="2"/>
      <c r="BC243" s="2">
        <v>4.8000000000029104</v>
      </c>
      <c r="BD243" s="2">
        <v>0.5</v>
      </c>
      <c r="BE243" s="2">
        <v>31.100000000005799</v>
      </c>
      <c r="BF243" s="2">
        <v>3.2000000000007298</v>
      </c>
      <c r="BG243" s="2"/>
      <c r="BH243" s="2"/>
      <c r="BI243" s="2"/>
      <c r="BJ243" s="2">
        <v>1.10000000000036</v>
      </c>
      <c r="BK243" s="2"/>
      <c r="BL243" s="2"/>
      <c r="BM243" s="2"/>
      <c r="BN243" s="2"/>
      <c r="BO243" s="2">
        <v>0.200000000000045</v>
      </c>
      <c r="BP243" s="2">
        <v>0</v>
      </c>
      <c r="BQ243" s="2"/>
      <c r="BR243" s="2">
        <v>36.700000000011599</v>
      </c>
      <c r="BS243" s="2"/>
      <c r="BT243" s="2"/>
      <c r="BU243" s="2"/>
      <c r="BV243" s="2"/>
      <c r="BW243" s="2">
        <v>0</v>
      </c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>
        <v>2.9</v>
      </c>
      <c r="CI243" s="2"/>
      <c r="CJ243" s="2"/>
      <c r="CK243" s="2"/>
      <c r="CL243" s="2"/>
      <c r="CM243" s="2"/>
      <c r="CN243" s="2">
        <v>0.5</v>
      </c>
      <c r="CO243" s="2"/>
      <c r="CP243" s="2"/>
      <c r="CQ243" s="2"/>
      <c r="CR243" s="2"/>
      <c r="CS243" s="2"/>
      <c r="CT243" s="2"/>
      <c r="CU243" s="2"/>
      <c r="CV243" s="2"/>
      <c r="CW243" s="2">
        <v>0.1</v>
      </c>
      <c r="CX243" s="2"/>
      <c r="CY243" s="2"/>
      <c r="CZ243" s="2"/>
      <c r="DB243">
        <v>1939</v>
      </c>
      <c r="DC243">
        <v>42.099999999976703</v>
      </c>
      <c r="DH243">
        <v>242</v>
      </c>
    </row>
    <row r="244" spans="1:112">
      <c r="A244" s="1">
        <v>41151</v>
      </c>
      <c r="B244" s="2">
        <v>13.3</v>
      </c>
      <c r="C244" s="2"/>
      <c r="D244" s="2">
        <v>1.1000000000000001</v>
      </c>
      <c r="E244" s="2"/>
      <c r="F244" s="2"/>
      <c r="G244" s="2"/>
      <c r="H244" s="2"/>
      <c r="I244" s="2"/>
      <c r="J244" s="2"/>
      <c r="K244" s="2"/>
      <c r="L244" s="2"/>
      <c r="M244" s="2">
        <v>2.5</v>
      </c>
      <c r="N244" s="2"/>
      <c r="O244" s="2">
        <v>0.1</v>
      </c>
      <c r="P244" s="2"/>
      <c r="Q244" s="2">
        <v>4.7</v>
      </c>
      <c r="R244" s="2"/>
      <c r="S244" s="2"/>
      <c r="T244" s="2"/>
      <c r="U244" s="2">
        <v>0</v>
      </c>
      <c r="V244" s="2"/>
      <c r="W244" s="2"/>
      <c r="X244" s="2">
        <v>3.8</v>
      </c>
      <c r="Y244" s="2"/>
      <c r="Z244" s="2"/>
      <c r="AA244" s="2"/>
      <c r="AB244" s="2"/>
      <c r="AC244" s="2"/>
      <c r="AD244" s="2">
        <v>0.59999999999945397</v>
      </c>
      <c r="AE244" s="2"/>
      <c r="AF244" s="2"/>
      <c r="AG244" s="2">
        <v>2.6999999999970901</v>
      </c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>
        <v>27.399999999994201</v>
      </c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>
        <v>1.5</v>
      </c>
      <c r="BE244" s="2"/>
      <c r="BF244" s="2"/>
      <c r="BG244" s="2">
        <v>0.100000000000023</v>
      </c>
      <c r="BH244" s="2"/>
      <c r="BI244" s="2"/>
      <c r="BJ244" s="2">
        <v>1.5</v>
      </c>
      <c r="BK244" s="2">
        <v>2.4000000000014601</v>
      </c>
      <c r="BL244" s="2"/>
      <c r="BM244" s="2">
        <v>8.8000000000029104</v>
      </c>
      <c r="BN244" s="2"/>
      <c r="BO244" s="2"/>
      <c r="BP244" s="2">
        <v>0.200000000000045</v>
      </c>
      <c r="BQ244" s="2">
        <v>0.100000000000023</v>
      </c>
      <c r="BR244" s="2">
        <v>18</v>
      </c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>
        <v>4.4000000000000004</v>
      </c>
      <c r="CG244" s="2"/>
      <c r="CH244" s="2">
        <v>6</v>
      </c>
      <c r="CI244" s="2"/>
      <c r="CJ244" s="2">
        <v>1.3</v>
      </c>
      <c r="CK244" s="2"/>
      <c r="CL244" s="2"/>
      <c r="CM244" s="2"/>
      <c r="CN244" s="2"/>
      <c r="CO244" s="2"/>
      <c r="CP244" s="2"/>
      <c r="CQ244" s="2"/>
      <c r="CR244" s="2"/>
      <c r="CS244" s="2">
        <v>0.3</v>
      </c>
      <c r="CT244" s="2"/>
      <c r="CU244" s="2">
        <v>32.299999999999997</v>
      </c>
      <c r="CV244" s="2"/>
      <c r="CW244" s="2"/>
      <c r="CX244" s="2"/>
      <c r="CY244" s="2"/>
      <c r="CZ244" s="2"/>
      <c r="DB244">
        <v>2008</v>
      </c>
      <c r="DC244">
        <v>32.299999999999997</v>
      </c>
      <c r="DH244">
        <v>243</v>
      </c>
    </row>
    <row r="245" spans="1:112">
      <c r="A245" s="1">
        <v>41152</v>
      </c>
      <c r="B245" s="2"/>
      <c r="C245" s="2"/>
      <c r="D245" s="2">
        <v>42.9</v>
      </c>
      <c r="E245" s="2"/>
      <c r="F245" s="2"/>
      <c r="G245" s="2"/>
      <c r="H245" s="2"/>
      <c r="I245" s="2"/>
      <c r="J245" s="2"/>
      <c r="K245" s="2"/>
      <c r="L245" s="2">
        <v>0.1</v>
      </c>
      <c r="M245" s="2"/>
      <c r="N245" s="2"/>
      <c r="O245" s="2"/>
      <c r="P245" s="2"/>
      <c r="Q245" s="2">
        <v>2.2999999999999998</v>
      </c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>
        <v>1.1000000000000001</v>
      </c>
      <c r="AE245" s="2"/>
      <c r="AF245" s="2"/>
      <c r="AG245" s="2">
        <v>0.1</v>
      </c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>
        <v>1.79999999999927</v>
      </c>
      <c r="AX245" s="2"/>
      <c r="AY245" s="2"/>
      <c r="AZ245" s="2">
        <v>0.59999999999945397</v>
      </c>
      <c r="BA245" s="2"/>
      <c r="BB245" s="2">
        <v>0.29999999999972699</v>
      </c>
      <c r="BC245" s="2"/>
      <c r="BD245" s="2"/>
      <c r="BE245" s="2"/>
      <c r="BF245" s="2"/>
      <c r="BG245" s="2"/>
      <c r="BH245" s="2"/>
      <c r="BI245" s="2"/>
      <c r="BJ245" s="2">
        <v>0</v>
      </c>
      <c r="BK245" s="2">
        <v>0</v>
      </c>
      <c r="BL245" s="2"/>
      <c r="BM245" s="2">
        <v>22.799999999988401</v>
      </c>
      <c r="BN245" s="2">
        <v>0.100000000000023</v>
      </c>
      <c r="BO245" s="2"/>
      <c r="BP245" s="2">
        <v>0.100000000000023</v>
      </c>
      <c r="BQ245" s="2"/>
      <c r="BR245" s="2">
        <v>0.100000000000023</v>
      </c>
      <c r="BS245" s="2"/>
      <c r="BT245" s="2"/>
      <c r="BU245" s="2"/>
      <c r="BV245" s="2">
        <v>0</v>
      </c>
      <c r="BW245" s="2"/>
      <c r="BX245" s="2">
        <v>2.2999999999999998</v>
      </c>
      <c r="BY245" s="2">
        <v>0.1</v>
      </c>
      <c r="BZ245" s="2"/>
      <c r="CA245" s="2"/>
      <c r="CB245" s="2">
        <v>8.5</v>
      </c>
      <c r="CC245" s="2"/>
      <c r="CD245" s="2">
        <v>29</v>
      </c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>
        <v>1.8</v>
      </c>
      <c r="CP245" s="2"/>
      <c r="CQ245" s="2"/>
      <c r="CR245" s="2"/>
      <c r="CS245" s="2">
        <v>0.5</v>
      </c>
      <c r="CT245" s="2"/>
      <c r="CU245" s="2"/>
      <c r="CV245" s="2">
        <v>0.9</v>
      </c>
      <c r="CW245" s="2"/>
      <c r="CX245" s="2"/>
      <c r="CY245" s="2"/>
      <c r="CZ245" s="2">
        <v>7.1</v>
      </c>
      <c r="DB245">
        <v>1913</v>
      </c>
      <c r="DC245">
        <v>42.9</v>
      </c>
      <c r="DH245">
        <v>244</v>
      </c>
    </row>
    <row r="246" spans="1:112">
      <c r="A246" s="1">
        <v>41153</v>
      </c>
      <c r="B246" s="2">
        <v>7.6</v>
      </c>
      <c r="C246" s="2"/>
      <c r="D246" s="2">
        <v>2.5</v>
      </c>
      <c r="E246" s="2"/>
      <c r="F246" s="2">
        <v>2.9</v>
      </c>
      <c r="G246" s="2"/>
      <c r="H246" s="2"/>
      <c r="I246" s="2">
        <v>8.1999999999999993</v>
      </c>
      <c r="J246" s="2"/>
      <c r="K246" s="2"/>
      <c r="L246" s="2"/>
      <c r="M246" s="2"/>
      <c r="N246" s="2">
        <v>0.2</v>
      </c>
      <c r="O246" s="2"/>
      <c r="P246" s="2"/>
      <c r="Q246" s="2">
        <v>7.5</v>
      </c>
      <c r="R246" s="2"/>
      <c r="S246" s="2">
        <v>1.2</v>
      </c>
      <c r="T246" s="2">
        <v>1.7</v>
      </c>
      <c r="U246" s="2"/>
      <c r="V246" s="2"/>
      <c r="W246" s="2"/>
      <c r="X246" s="2"/>
      <c r="Y246" s="2"/>
      <c r="Z246" s="2"/>
      <c r="AA246" s="2">
        <v>3.6999999999970901</v>
      </c>
      <c r="AB246" s="2">
        <v>3.5999999999985399</v>
      </c>
      <c r="AC246" s="2"/>
      <c r="AD246" s="2">
        <v>0</v>
      </c>
      <c r="AE246" s="2">
        <v>11.599999999991301</v>
      </c>
      <c r="AF246" s="2">
        <v>14.1999999999971</v>
      </c>
      <c r="AG246" s="2"/>
      <c r="AH246" s="2">
        <v>7.5</v>
      </c>
      <c r="AI246" s="2"/>
      <c r="AJ246" s="2"/>
      <c r="AK246" s="2"/>
      <c r="AL246" s="2">
        <v>10.6999999999971</v>
      </c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>
        <v>16.799999999988401</v>
      </c>
      <c r="AX246" s="2">
        <v>7.5</v>
      </c>
      <c r="AY246" s="2">
        <v>3.5999999999985399</v>
      </c>
      <c r="AZ246" s="2">
        <v>1.5</v>
      </c>
      <c r="BA246" s="2">
        <v>0</v>
      </c>
      <c r="BB246" s="2">
        <v>11.599999999991301</v>
      </c>
      <c r="BC246" s="2">
        <v>14.1999999999971</v>
      </c>
      <c r="BD246" s="2"/>
      <c r="BE246" s="2">
        <v>4.5999999999985501</v>
      </c>
      <c r="BF246" s="2"/>
      <c r="BG246" s="2">
        <v>0.60000000000036402</v>
      </c>
      <c r="BH246" s="2"/>
      <c r="BI246" s="2"/>
      <c r="BJ246" s="2">
        <v>3.4000000000014601</v>
      </c>
      <c r="BK246" s="2"/>
      <c r="BL246" s="2">
        <v>0</v>
      </c>
      <c r="BM246" s="2">
        <v>12</v>
      </c>
      <c r="BN246" s="2">
        <v>0.200000000000045</v>
      </c>
      <c r="BO246" s="2"/>
      <c r="BP246" s="2"/>
      <c r="BQ246" s="2">
        <v>3.5999999999985399</v>
      </c>
      <c r="BR246" s="2"/>
      <c r="BS246" s="2">
        <v>0</v>
      </c>
      <c r="BT246" s="2">
        <v>16.799999999988401</v>
      </c>
      <c r="BU246" s="2">
        <v>7.5</v>
      </c>
      <c r="BV246" s="2"/>
      <c r="BW246" s="2">
        <v>1.5</v>
      </c>
      <c r="BX246" s="2"/>
      <c r="BY246" s="2"/>
      <c r="BZ246" s="2"/>
      <c r="CA246" s="2"/>
      <c r="CB246" s="2"/>
      <c r="CC246" s="2"/>
      <c r="CD246" s="2">
        <v>35.5</v>
      </c>
      <c r="CE246" s="2"/>
      <c r="CF246" s="2"/>
      <c r="CG246" s="2">
        <v>3.4000000000014601</v>
      </c>
      <c r="CH246" s="2">
        <v>5.2</v>
      </c>
      <c r="CI246" s="2"/>
      <c r="CJ246" s="2">
        <v>1</v>
      </c>
      <c r="CK246" s="2"/>
      <c r="CL246" s="2">
        <v>4</v>
      </c>
      <c r="CM246" s="2"/>
      <c r="CN246" s="2"/>
      <c r="CO246" s="2">
        <v>37.799999999999997</v>
      </c>
      <c r="CP246" s="2"/>
      <c r="CQ246" s="2">
        <v>0.4</v>
      </c>
      <c r="CR246" s="2"/>
      <c r="CS246" s="2">
        <v>32.299999999999997</v>
      </c>
      <c r="CT246" s="2">
        <v>0.2</v>
      </c>
      <c r="CU246" s="2"/>
      <c r="CV246" s="2">
        <v>5</v>
      </c>
      <c r="CW246" s="2">
        <v>8</v>
      </c>
      <c r="CX246" s="2"/>
      <c r="CY246" s="2"/>
      <c r="CZ246" s="2"/>
      <c r="DB246">
        <v>2002</v>
      </c>
      <c r="DC246">
        <v>37.799999999999997</v>
      </c>
      <c r="DH246">
        <v>245</v>
      </c>
    </row>
    <row r="247" spans="1:112">
      <c r="A247" s="1">
        <v>41154</v>
      </c>
      <c r="B247" s="2">
        <v>0.3</v>
      </c>
      <c r="C247" s="2"/>
      <c r="D247" s="2"/>
      <c r="E247" s="2"/>
      <c r="F247" s="2"/>
      <c r="G247" s="2">
        <v>0.1</v>
      </c>
      <c r="H247" s="2"/>
      <c r="I247" s="2"/>
      <c r="J247" s="2">
        <v>5.4</v>
      </c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>
        <v>16</v>
      </c>
      <c r="AC247" s="2"/>
      <c r="AD247" s="2"/>
      <c r="AE247" s="2">
        <v>32.899999999965097</v>
      </c>
      <c r="AF247" s="2">
        <v>3.6999999999970901</v>
      </c>
      <c r="AG247" s="2"/>
      <c r="AH247" s="2"/>
      <c r="AI247" s="2"/>
      <c r="AJ247" s="2">
        <v>0.19999999999981799</v>
      </c>
      <c r="AK247" s="2"/>
      <c r="AL247" s="2"/>
      <c r="AM247" s="2"/>
      <c r="AN247" s="2"/>
      <c r="AO247" s="2"/>
      <c r="AP247" s="2"/>
      <c r="AQ247" s="2"/>
      <c r="AR247" s="2"/>
      <c r="AS247" s="2">
        <v>2.1999999999970901</v>
      </c>
      <c r="AT247" s="2"/>
      <c r="AU247" s="2"/>
      <c r="AV247" s="2"/>
      <c r="AW247" s="2">
        <v>0.29999999999972699</v>
      </c>
      <c r="AX247" s="2"/>
      <c r="AY247" s="2">
        <v>16</v>
      </c>
      <c r="AZ247" s="2"/>
      <c r="BA247" s="2"/>
      <c r="BB247" s="2">
        <v>32.899999999965097</v>
      </c>
      <c r="BC247" s="2">
        <v>2.7000000000007298</v>
      </c>
      <c r="BD247" s="2"/>
      <c r="BE247" s="2">
        <v>1.20000000000073</v>
      </c>
      <c r="BF247" s="2"/>
      <c r="BG247" s="2">
        <v>5.8000000000029104</v>
      </c>
      <c r="BH247" s="2"/>
      <c r="BI247" s="2">
        <v>0.100000000000023</v>
      </c>
      <c r="BJ247" s="2">
        <v>0.100000000000023</v>
      </c>
      <c r="BK247" s="2">
        <v>3.7999999999992702</v>
      </c>
      <c r="BL247" s="2"/>
      <c r="BM247" s="2">
        <v>0.200000000000045</v>
      </c>
      <c r="BN247" s="2"/>
      <c r="BO247" s="2">
        <v>4.1999999999970896</v>
      </c>
      <c r="BP247" s="2">
        <v>2.1999999999970901</v>
      </c>
      <c r="BQ247" s="2"/>
      <c r="BR247" s="2">
        <v>0.69999999999981799</v>
      </c>
      <c r="BS247" s="2">
        <v>7.5999999999985501</v>
      </c>
      <c r="BT247" s="2">
        <v>0.29999999999972699</v>
      </c>
      <c r="BU247" s="2">
        <v>0</v>
      </c>
      <c r="BV247" s="2">
        <v>0</v>
      </c>
      <c r="BW247" s="2"/>
      <c r="BX247" s="2">
        <v>0.1</v>
      </c>
      <c r="BY247" s="2">
        <v>16.899999999999999</v>
      </c>
      <c r="BZ247" s="2"/>
      <c r="CA247" s="2"/>
      <c r="CB247" s="2"/>
      <c r="CC247" s="2"/>
      <c r="CD247" s="2">
        <v>11.3</v>
      </c>
      <c r="CE247" s="2"/>
      <c r="CF247" s="2">
        <v>16.5</v>
      </c>
      <c r="CG247" s="2">
        <v>0.100000000000023</v>
      </c>
      <c r="CH247" s="2">
        <v>3.7999999999992702</v>
      </c>
      <c r="CI247" s="2"/>
      <c r="CJ247" s="2">
        <v>5.5</v>
      </c>
      <c r="CK247" s="2"/>
      <c r="CL247" s="2">
        <v>4.5</v>
      </c>
      <c r="CM247" s="2"/>
      <c r="CN247" s="2"/>
      <c r="CO247" s="2">
        <v>15.5</v>
      </c>
      <c r="CP247" s="2"/>
      <c r="CQ247" s="2"/>
      <c r="CR247" s="2">
        <v>0.1</v>
      </c>
      <c r="CS247" s="2">
        <v>5.9</v>
      </c>
      <c r="CT247" s="2"/>
      <c r="CU247" s="2"/>
      <c r="CV247" s="2"/>
      <c r="CW247" s="2"/>
      <c r="CX247" s="2"/>
      <c r="CY247" s="2"/>
      <c r="CZ247" s="2"/>
      <c r="DB247">
        <v>1940</v>
      </c>
      <c r="DC247">
        <v>32.899999999965097</v>
      </c>
      <c r="DH247">
        <v>246</v>
      </c>
    </row>
    <row r="248" spans="1:112">
      <c r="A248" s="1">
        <v>41155</v>
      </c>
      <c r="B248" s="2"/>
      <c r="C248" s="2">
        <v>0.4</v>
      </c>
      <c r="D248" s="2">
        <v>2.5</v>
      </c>
      <c r="E248" s="2">
        <v>0.5</v>
      </c>
      <c r="F248" s="2"/>
      <c r="G248" s="2">
        <v>0.7</v>
      </c>
      <c r="H248" s="2"/>
      <c r="I248" s="2"/>
      <c r="J248" s="2">
        <v>31.2</v>
      </c>
      <c r="K248" s="2"/>
      <c r="L248" s="2"/>
      <c r="M248" s="2"/>
      <c r="N248" s="2"/>
      <c r="O248" s="2"/>
      <c r="P248" s="2"/>
      <c r="Q248" s="2"/>
      <c r="R248" s="2"/>
      <c r="S248" s="2">
        <v>0.6</v>
      </c>
      <c r="T248" s="2">
        <v>5.9</v>
      </c>
      <c r="U248" s="2"/>
      <c r="V248" s="2">
        <v>37</v>
      </c>
      <c r="W248" s="2"/>
      <c r="X248" s="2"/>
      <c r="Y248" s="2">
        <v>1</v>
      </c>
      <c r="Z248" s="2"/>
      <c r="AA248" s="2"/>
      <c r="AB248" s="2">
        <v>6.7</v>
      </c>
      <c r="AC248" s="2"/>
      <c r="AD248" s="2"/>
      <c r="AE248" s="2"/>
      <c r="AF248" s="2">
        <v>9.9999999999908995E-2</v>
      </c>
      <c r="AG248" s="2"/>
      <c r="AH248" s="2"/>
      <c r="AI248" s="2"/>
      <c r="AJ248" s="2"/>
      <c r="AK248" s="2"/>
      <c r="AL248" s="2">
        <v>2.1999999999970901</v>
      </c>
      <c r="AM248" s="2"/>
      <c r="AN248" s="2"/>
      <c r="AO248" s="2"/>
      <c r="AP248" s="2"/>
      <c r="AQ248" s="2"/>
      <c r="AR248" s="2"/>
      <c r="AS248" s="2">
        <v>10.799999999988399</v>
      </c>
      <c r="AT248" s="2"/>
      <c r="AU248" s="2"/>
      <c r="AV248" s="2">
        <v>1</v>
      </c>
      <c r="AW248" s="2">
        <v>9.2999999999883602</v>
      </c>
      <c r="AX248" s="2"/>
      <c r="AY248" s="2">
        <v>6.7</v>
      </c>
      <c r="AZ248" s="2"/>
      <c r="BA248" s="2"/>
      <c r="BB248" s="2"/>
      <c r="BC248" s="2">
        <v>2.2999999999992702</v>
      </c>
      <c r="BD248" s="2"/>
      <c r="BE248" s="2"/>
      <c r="BF248" s="2"/>
      <c r="BG248" s="2">
        <v>18.100000000005799</v>
      </c>
      <c r="BH248" s="2"/>
      <c r="BI248" s="2">
        <v>2.2999999999992702</v>
      </c>
      <c r="BJ248" s="2"/>
      <c r="BK248" s="2"/>
      <c r="BL248" s="2"/>
      <c r="BM248" s="2">
        <v>0.200000000000045</v>
      </c>
      <c r="BN248" s="2"/>
      <c r="BO248" s="2"/>
      <c r="BP248" s="2">
        <v>10.799999999988399</v>
      </c>
      <c r="BQ248" s="2"/>
      <c r="BR248" s="2"/>
      <c r="BS248" s="2">
        <v>27.700000000011599</v>
      </c>
      <c r="BT248" s="2">
        <v>9.2999999999883602</v>
      </c>
      <c r="BU248" s="2">
        <v>1.5</v>
      </c>
      <c r="BV248" s="2"/>
      <c r="BW248" s="2"/>
      <c r="BX248" s="2"/>
      <c r="BY248" s="2">
        <v>0.1</v>
      </c>
      <c r="BZ248" s="2"/>
      <c r="CA248" s="2"/>
      <c r="CB248" s="2"/>
      <c r="CC248" s="2">
        <v>12.3</v>
      </c>
      <c r="CD248" s="2">
        <v>2.4</v>
      </c>
      <c r="CE248" s="2"/>
      <c r="CF248" s="2">
        <v>2.2999999999992702</v>
      </c>
      <c r="CG248" s="2"/>
      <c r="CH248" s="2"/>
      <c r="CI248" s="2">
        <v>8.3000000000000007</v>
      </c>
      <c r="CJ248" s="2"/>
      <c r="CK248" s="2"/>
      <c r="CL248" s="2"/>
      <c r="CM248" s="2"/>
      <c r="CN248" s="2"/>
      <c r="CO248" s="2"/>
      <c r="CP248" s="2">
        <v>0.7</v>
      </c>
      <c r="CQ248" s="2"/>
      <c r="CR248" s="2">
        <v>9.1999999999999993</v>
      </c>
      <c r="CS248" s="2"/>
      <c r="CT248" s="2">
        <v>1.4</v>
      </c>
      <c r="CU248" s="2"/>
      <c r="CV248" s="2"/>
      <c r="CW248" s="2"/>
      <c r="CX248" s="2"/>
      <c r="CY248" s="2"/>
      <c r="CZ248" s="2">
        <v>0.8</v>
      </c>
      <c r="DB248">
        <v>1931</v>
      </c>
      <c r="DC248">
        <v>37</v>
      </c>
      <c r="DH248">
        <v>247</v>
      </c>
    </row>
    <row r="249" spans="1:112">
      <c r="A249" s="1">
        <v>41156</v>
      </c>
      <c r="B249" s="2"/>
      <c r="C249" s="2">
        <v>1.7</v>
      </c>
      <c r="D249" s="2">
        <v>2</v>
      </c>
      <c r="E249" s="2"/>
      <c r="F249" s="2"/>
      <c r="G249" s="2">
        <v>11</v>
      </c>
      <c r="H249" s="2">
        <v>4.5</v>
      </c>
      <c r="I249" s="2"/>
      <c r="J249" s="2">
        <v>13.1</v>
      </c>
      <c r="K249" s="2"/>
      <c r="L249" s="2"/>
      <c r="M249" s="2"/>
      <c r="N249" s="2">
        <v>0.1</v>
      </c>
      <c r="O249" s="2"/>
      <c r="P249" s="2"/>
      <c r="Q249" s="2"/>
      <c r="R249" s="2"/>
      <c r="S249" s="2"/>
      <c r="T249" s="2"/>
      <c r="U249" s="2"/>
      <c r="V249" s="2"/>
      <c r="W249" s="2"/>
      <c r="X249" s="2">
        <v>5.9</v>
      </c>
      <c r="Y249" s="2"/>
      <c r="Z249" s="2"/>
      <c r="AA249" s="2"/>
      <c r="AB249" s="2"/>
      <c r="AC249" s="2"/>
      <c r="AD249" s="2"/>
      <c r="AE249" s="2"/>
      <c r="AF249" s="2">
        <v>6.6999999999970896</v>
      </c>
      <c r="AG249" s="2"/>
      <c r="AH249" s="2"/>
      <c r="AI249" s="2"/>
      <c r="AJ249" s="2"/>
      <c r="AK249" s="2"/>
      <c r="AL249" s="2">
        <v>2.1999999999970901</v>
      </c>
      <c r="AM249" s="2"/>
      <c r="AN249" s="2"/>
      <c r="AO249" s="2"/>
      <c r="AP249" s="2"/>
      <c r="AQ249" s="2"/>
      <c r="AR249" s="2"/>
      <c r="AS249" s="2">
        <v>0.79999999999927196</v>
      </c>
      <c r="AT249" s="2"/>
      <c r="AU249" s="2"/>
      <c r="AV249" s="2"/>
      <c r="AW249" s="2">
        <v>23.699999999982499</v>
      </c>
      <c r="AX249" s="2"/>
      <c r="AY249" s="2"/>
      <c r="AZ249" s="2"/>
      <c r="BA249" s="2"/>
      <c r="BB249" s="2"/>
      <c r="BC249" s="2">
        <v>0.5</v>
      </c>
      <c r="BD249" s="2"/>
      <c r="BE249" s="2"/>
      <c r="BF249" s="2"/>
      <c r="BG249" s="2">
        <v>0.200000000000045</v>
      </c>
      <c r="BH249" s="2">
        <v>0</v>
      </c>
      <c r="BI249" s="2">
        <v>2.1999999999970901</v>
      </c>
      <c r="BJ249" s="2"/>
      <c r="BK249" s="2">
        <v>0.60000000000036402</v>
      </c>
      <c r="BL249" s="2"/>
      <c r="BM249" s="2">
        <v>0.100000000000023</v>
      </c>
      <c r="BN249" s="2"/>
      <c r="BO249" s="2"/>
      <c r="BP249" s="2">
        <v>0.100000000000023</v>
      </c>
      <c r="BQ249" s="2"/>
      <c r="BR249" s="2">
        <v>0.100000000000023</v>
      </c>
      <c r="BS249" s="2">
        <v>0.80000000000018201</v>
      </c>
      <c r="BT249" s="2">
        <v>23.699999999982499</v>
      </c>
      <c r="BU249" s="2"/>
      <c r="BV249" s="2"/>
      <c r="BW249" s="2"/>
      <c r="BX249" s="2">
        <v>0</v>
      </c>
      <c r="BY249" s="2"/>
      <c r="BZ249" s="2"/>
      <c r="CA249" s="2"/>
      <c r="CB249" s="2"/>
      <c r="CC249" s="2"/>
      <c r="CD249" s="2">
        <v>1.6</v>
      </c>
      <c r="CE249" s="2"/>
      <c r="CF249" s="2"/>
      <c r="CG249" s="2"/>
      <c r="CH249" s="2">
        <v>0.60000000000036402</v>
      </c>
      <c r="CI249" s="2">
        <v>0.6</v>
      </c>
      <c r="CJ249" s="2"/>
      <c r="CK249" s="2"/>
      <c r="CL249" s="2">
        <v>4.7</v>
      </c>
      <c r="CM249" s="2"/>
      <c r="CN249" s="2"/>
      <c r="CO249" s="2">
        <v>11.5</v>
      </c>
      <c r="CP249" s="2">
        <v>19.7</v>
      </c>
      <c r="CQ249" s="2"/>
      <c r="CR249" s="2">
        <v>12.1</v>
      </c>
      <c r="CS249" s="2"/>
      <c r="CT249" s="2"/>
      <c r="CU249" s="2"/>
      <c r="CV249" s="2"/>
      <c r="CW249" s="2"/>
      <c r="CX249" s="2"/>
      <c r="CY249" s="2"/>
      <c r="CZ249" s="2">
        <v>1.7</v>
      </c>
      <c r="DB249">
        <v>1958</v>
      </c>
      <c r="DC249">
        <v>23.699999999982499</v>
      </c>
      <c r="DH249">
        <v>248</v>
      </c>
    </row>
    <row r="250" spans="1:112">
      <c r="A250" s="1">
        <v>41157</v>
      </c>
      <c r="B250" s="2"/>
      <c r="C250" s="2"/>
      <c r="D250" s="2">
        <v>3.6</v>
      </c>
      <c r="E250" s="2"/>
      <c r="F250" s="2"/>
      <c r="G250" s="2"/>
      <c r="H250" s="2"/>
      <c r="I250" s="2"/>
      <c r="J250" s="2">
        <v>1.1000000000000001</v>
      </c>
      <c r="K250" s="2">
        <v>2.2999999999999998</v>
      </c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>
        <v>0</v>
      </c>
      <c r="AE250" s="2"/>
      <c r="AF250" s="2">
        <v>2.5</v>
      </c>
      <c r="AG250" s="2"/>
      <c r="AH250" s="2"/>
      <c r="AI250" s="2"/>
      <c r="AJ250" s="2"/>
      <c r="AK250" s="2"/>
      <c r="AL250" s="2">
        <v>19.799999999988401</v>
      </c>
      <c r="AM250" s="2"/>
      <c r="AN250" s="2">
        <v>18.299999999988401</v>
      </c>
      <c r="AO250" s="2">
        <v>12.599999999991301</v>
      </c>
      <c r="AP250" s="2"/>
      <c r="AQ250" s="2"/>
      <c r="AR250" s="2"/>
      <c r="AS250" s="2"/>
      <c r="AT250" s="2">
        <v>3.5</v>
      </c>
      <c r="AU250" s="2"/>
      <c r="AV250" s="2"/>
      <c r="AW250" s="2">
        <v>0.29999999999972699</v>
      </c>
      <c r="AX250" s="2"/>
      <c r="AY250" s="2"/>
      <c r="AZ250" s="2"/>
      <c r="BA250" s="2">
        <v>0</v>
      </c>
      <c r="BB250" s="2"/>
      <c r="BC250" s="2">
        <v>2.5</v>
      </c>
      <c r="BD250" s="2"/>
      <c r="BE250" s="2">
        <v>8.5</v>
      </c>
      <c r="BF250" s="2"/>
      <c r="BG250" s="2"/>
      <c r="BH250" s="2">
        <v>0.100000000000023</v>
      </c>
      <c r="BI250" s="2">
        <v>0</v>
      </c>
      <c r="BJ250" s="2"/>
      <c r="BK250" s="2">
        <v>0.100000000000023</v>
      </c>
      <c r="BL250" s="2">
        <v>12.599999999991301</v>
      </c>
      <c r="BM250" s="2"/>
      <c r="BN250" s="2"/>
      <c r="BO250" s="2"/>
      <c r="BP250" s="2">
        <v>0.100000000000023</v>
      </c>
      <c r="BQ250" s="2">
        <v>3.5</v>
      </c>
      <c r="BR250" s="2"/>
      <c r="BS250" s="2">
        <v>2.6</v>
      </c>
      <c r="BT250" s="2">
        <v>0.29999999999972699</v>
      </c>
      <c r="BU250" s="2"/>
      <c r="BV250" s="2"/>
      <c r="BW250" s="2">
        <v>0</v>
      </c>
      <c r="BX250" s="2">
        <v>0</v>
      </c>
      <c r="BY250" s="2"/>
      <c r="BZ250" s="2"/>
      <c r="CA250" s="2"/>
      <c r="CB250" s="2">
        <v>0.4</v>
      </c>
      <c r="CC250" s="2">
        <v>0.1</v>
      </c>
      <c r="CD250" s="2"/>
      <c r="CE250" s="2"/>
      <c r="CF250" s="2">
        <v>19.8</v>
      </c>
      <c r="CG250" s="2"/>
      <c r="CH250" s="2">
        <v>0.100000000000023</v>
      </c>
      <c r="CI250" s="2">
        <v>0.5</v>
      </c>
      <c r="CJ250" s="2"/>
      <c r="CK250" s="2"/>
      <c r="CL250" s="2">
        <v>14</v>
      </c>
      <c r="CM250" s="2">
        <v>14.5</v>
      </c>
      <c r="CN250" s="2"/>
      <c r="CO250" s="2">
        <v>11.2</v>
      </c>
      <c r="CP250" s="2">
        <v>1.1000000000000001</v>
      </c>
      <c r="CQ250" s="2">
        <v>3.3</v>
      </c>
      <c r="CR250" s="2"/>
      <c r="CS250" s="2"/>
      <c r="CT250" s="2"/>
      <c r="CU250" s="2"/>
      <c r="CV250" s="2"/>
      <c r="CW250" s="2">
        <v>11.8</v>
      </c>
      <c r="CX250" s="2"/>
      <c r="CY250" s="2"/>
      <c r="CZ250" s="2"/>
      <c r="DB250">
        <v>1993</v>
      </c>
      <c r="DC250">
        <v>19.8</v>
      </c>
      <c r="DH250">
        <v>249</v>
      </c>
    </row>
    <row r="251" spans="1:112">
      <c r="A251" s="1">
        <v>41158</v>
      </c>
      <c r="B251" s="2">
        <v>20.6</v>
      </c>
      <c r="C251" s="2"/>
      <c r="D251" s="2"/>
      <c r="E251" s="2"/>
      <c r="F251" s="2"/>
      <c r="G251" s="2"/>
      <c r="H251" s="2">
        <v>1.7</v>
      </c>
      <c r="I251" s="2"/>
      <c r="J251" s="2">
        <v>0.9</v>
      </c>
      <c r="K251" s="2"/>
      <c r="L251" s="2">
        <v>1.4</v>
      </c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>
        <v>7.3999999999941801</v>
      </c>
      <c r="AI251" s="2"/>
      <c r="AJ251" s="2"/>
      <c r="AK251" s="2"/>
      <c r="AL251" s="2"/>
      <c r="AM251" s="2"/>
      <c r="AN251" s="2">
        <v>66.399999999906896</v>
      </c>
      <c r="AO251" s="2">
        <v>14.6999999999971</v>
      </c>
      <c r="AP251" s="2"/>
      <c r="AQ251" s="2"/>
      <c r="AR251" s="2">
        <v>7.1999999999970896</v>
      </c>
      <c r="AS251" s="2">
        <v>0.89999999999963598</v>
      </c>
      <c r="AT251" s="2">
        <v>27.5</v>
      </c>
      <c r="AU251" s="2"/>
      <c r="AV251" s="2">
        <v>0.39999999999963598</v>
      </c>
      <c r="AW251" s="2">
        <v>19.699999999982499</v>
      </c>
      <c r="AX251" s="2"/>
      <c r="AY251" s="2"/>
      <c r="AZ251" s="2"/>
      <c r="BA251" s="2"/>
      <c r="BB251" s="2"/>
      <c r="BC251" s="2"/>
      <c r="BD251" s="2"/>
      <c r="BE251" s="2">
        <v>23.200000000011599</v>
      </c>
      <c r="BF251" s="2"/>
      <c r="BG251" s="2"/>
      <c r="BH251" s="2">
        <v>2.5999999999985399</v>
      </c>
      <c r="BI251" s="2"/>
      <c r="BJ251" s="2"/>
      <c r="BK251" s="2">
        <v>66.399999999906896</v>
      </c>
      <c r="BL251" s="2">
        <v>14.6999999999971</v>
      </c>
      <c r="BM251" s="2">
        <v>0.100000000000023</v>
      </c>
      <c r="BN251" s="2"/>
      <c r="BO251" s="2">
        <v>7.1999999999970896</v>
      </c>
      <c r="BP251" s="2">
        <v>0.89999999999963598</v>
      </c>
      <c r="BQ251" s="2">
        <v>27.5</v>
      </c>
      <c r="BR251" s="2"/>
      <c r="BS251" s="2">
        <v>0.39999999999963598</v>
      </c>
      <c r="BT251" s="2">
        <v>2.2999999999992702</v>
      </c>
      <c r="BU251" s="2"/>
      <c r="BV251" s="2"/>
      <c r="BW251" s="2"/>
      <c r="BX251" s="2"/>
      <c r="BY251" s="2"/>
      <c r="BZ251" s="2"/>
      <c r="CA251" s="2">
        <v>0.1</v>
      </c>
      <c r="CB251" s="2">
        <v>2.2999999999999998</v>
      </c>
      <c r="CC251" s="2"/>
      <c r="CD251" s="2"/>
      <c r="CE251" s="2"/>
      <c r="CF251" s="2">
        <v>0.1</v>
      </c>
      <c r="CG251" s="2"/>
      <c r="CH251" s="2">
        <v>20.2</v>
      </c>
      <c r="CI251" s="2">
        <v>20.2</v>
      </c>
      <c r="CJ251" s="2"/>
      <c r="CK251" s="2"/>
      <c r="CL251" s="2"/>
      <c r="CM251" s="2">
        <v>1.8</v>
      </c>
      <c r="CN251" s="2">
        <v>0.9</v>
      </c>
      <c r="CO251" s="2"/>
      <c r="CP251" s="2">
        <v>2.1</v>
      </c>
      <c r="CQ251" s="2">
        <v>3.5</v>
      </c>
      <c r="CR251" s="2"/>
      <c r="CS251" s="2"/>
      <c r="CT251" s="2">
        <v>0.2</v>
      </c>
      <c r="CU251" s="2"/>
      <c r="CV251" s="2"/>
      <c r="CW251" s="2"/>
      <c r="CX251" s="2"/>
      <c r="CY251" s="2"/>
      <c r="CZ251" s="2"/>
      <c r="DB251">
        <v>1949</v>
      </c>
      <c r="DC251">
        <v>66.399999999906896</v>
      </c>
      <c r="DH251">
        <v>250</v>
      </c>
    </row>
    <row r="252" spans="1:112">
      <c r="A252" s="1">
        <v>41159</v>
      </c>
      <c r="B252" s="2"/>
      <c r="C252" s="2"/>
      <c r="D252" s="2">
        <v>2</v>
      </c>
      <c r="E252" s="2"/>
      <c r="F252" s="2"/>
      <c r="G252" s="2"/>
      <c r="H252" s="2"/>
      <c r="I252" s="2"/>
      <c r="J252" s="2"/>
      <c r="K252" s="2"/>
      <c r="L252" s="2">
        <v>1.2</v>
      </c>
      <c r="M252" s="2">
        <v>27.1</v>
      </c>
      <c r="N252" s="2"/>
      <c r="O252" s="2"/>
      <c r="P252" s="2"/>
      <c r="Q252" s="2"/>
      <c r="R252" s="2"/>
      <c r="S252" s="2"/>
      <c r="T252" s="2">
        <v>6.1</v>
      </c>
      <c r="U252" s="2"/>
      <c r="V252" s="2"/>
      <c r="W252" s="2"/>
      <c r="X252" s="2">
        <v>0.1</v>
      </c>
      <c r="Y252" s="2"/>
      <c r="Z252" s="2"/>
      <c r="AA252" s="2">
        <v>23.099999999976699</v>
      </c>
      <c r="AB252" s="2">
        <v>3.1999999999970901</v>
      </c>
      <c r="AC252" s="2"/>
      <c r="AD252" s="2"/>
      <c r="AE252" s="2"/>
      <c r="AF252" s="2">
        <v>0</v>
      </c>
      <c r="AG252" s="2"/>
      <c r="AH252" s="2">
        <v>43.799999999988401</v>
      </c>
      <c r="AI252" s="2"/>
      <c r="AJ252" s="2">
        <v>6.29999999999563</v>
      </c>
      <c r="AK252" s="2"/>
      <c r="AL252" s="2"/>
      <c r="AM252" s="2"/>
      <c r="AN252" s="2">
        <v>80.099999999976703</v>
      </c>
      <c r="AO252" s="2"/>
      <c r="AP252" s="2"/>
      <c r="AQ252" s="2"/>
      <c r="AR252" s="2">
        <v>27.5</v>
      </c>
      <c r="AS252" s="2"/>
      <c r="AT252" s="2"/>
      <c r="AU252" s="2"/>
      <c r="AV252" s="2"/>
      <c r="AW252" s="2">
        <v>20</v>
      </c>
      <c r="AX252" s="2">
        <v>10.399999999994201</v>
      </c>
      <c r="AY252" s="2">
        <v>3.1999999999970901</v>
      </c>
      <c r="AZ252" s="2"/>
      <c r="BA252" s="2"/>
      <c r="BB252" s="2"/>
      <c r="BC252" s="2">
        <v>0</v>
      </c>
      <c r="BD252" s="2"/>
      <c r="BE252" s="2">
        <v>43.799999999988401</v>
      </c>
      <c r="BF252" s="2">
        <v>0.400000000000091</v>
      </c>
      <c r="BG252" s="2">
        <v>4.5</v>
      </c>
      <c r="BH252" s="2">
        <v>25.399999999994201</v>
      </c>
      <c r="BI252" s="2"/>
      <c r="BJ252" s="2">
        <v>8</v>
      </c>
      <c r="BK252" s="2">
        <v>0</v>
      </c>
      <c r="BL252" s="2"/>
      <c r="BM252" s="2"/>
      <c r="BN252" s="2"/>
      <c r="BO252" s="2">
        <v>27.5</v>
      </c>
      <c r="BP252" s="2">
        <v>0.69999999999981799</v>
      </c>
      <c r="BQ252" s="2">
        <v>14</v>
      </c>
      <c r="BR252" s="2"/>
      <c r="BS252" s="2"/>
      <c r="BT252" s="2">
        <v>0.200000000000045</v>
      </c>
      <c r="BU252" s="2">
        <v>10.399999999994201</v>
      </c>
      <c r="BV252" s="2"/>
      <c r="BW252" s="2"/>
      <c r="BX252" s="2"/>
      <c r="BY252" s="2"/>
      <c r="BZ252" s="2"/>
      <c r="CA252" s="2">
        <v>15.8</v>
      </c>
      <c r="CB252" s="2">
        <v>1.9</v>
      </c>
      <c r="CC252" s="2"/>
      <c r="CD252" s="2"/>
      <c r="CE252" s="2"/>
      <c r="CF252" s="2"/>
      <c r="CG252" s="2">
        <v>8</v>
      </c>
      <c r="CH252" s="2">
        <v>2.9</v>
      </c>
      <c r="CI252" s="2">
        <v>2.7</v>
      </c>
      <c r="CJ252" s="2"/>
      <c r="CK252" s="2"/>
      <c r="CL252" s="2"/>
      <c r="CM252" s="2"/>
      <c r="CN252" s="2">
        <v>1.5</v>
      </c>
      <c r="CO252" s="2"/>
      <c r="CP252" s="2">
        <v>4.3</v>
      </c>
      <c r="CQ252" s="2">
        <v>0.6</v>
      </c>
      <c r="CR252" s="2"/>
      <c r="CS252" s="2"/>
      <c r="CT252" s="2">
        <v>12.3</v>
      </c>
      <c r="CU252" s="2"/>
      <c r="CV252" s="2">
        <v>1</v>
      </c>
      <c r="CW252" s="2"/>
      <c r="CX252" s="2"/>
      <c r="CY252" s="2">
        <v>0.1</v>
      </c>
      <c r="CZ252" s="2"/>
      <c r="DB252">
        <v>1949</v>
      </c>
      <c r="DC252">
        <v>80.099999999976703</v>
      </c>
      <c r="DH252">
        <v>251</v>
      </c>
    </row>
    <row r="253" spans="1:112">
      <c r="A253" s="1">
        <v>41160</v>
      </c>
      <c r="B253" s="2"/>
      <c r="C253" s="2">
        <v>5.6</v>
      </c>
      <c r="D253" s="2"/>
      <c r="E253" s="2">
        <v>0.2</v>
      </c>
      <c r="F253" s="2"/>
      <c r="G253" s="2"/>
      <c r="H253" s="2"/>
      <c r="I253" s="2"/>
      <c r="J253" s="2"/>
      <c r="K253" s="2">
        <v>1.4</v>
      </c>
      <c r="L253" s="2"/>
      <c r="M253" s="2"/>
      <c r="N253" s="2">
        <v>6.2</v>
      </c>
      <c r="O253" s="2"/>
      <c r="P253" s="2"/>
      <c r="Q253" s="2"/>
      <c r="R253" s="2"/>
      <c r="S253" s="2"/>
      <c r="T253" s="2">
        <v>7.3</v>
      </c>
      <c r="U253" s="2"/>
      <c r="V253" s="2"/>
      <c r="W253" s="2"/>
      <c r="X253" s="2"/>
      <c r="Y253" s="2">
        <v>0.79999999999927196</v>
      </c>
      <c r="Z253" s="2"/>
      <c r="AA253" s="2">
        <v>4.5</v>
      </c>
      <c r="AB253" s="2"/>
      <c r="AC253" s="2"/>
      <c r="AD253" s="2"/>
      <c r="AE253" s="2">
        <v>0</v>
      </c>
      <c r="AF253" s="2"/>
      <c r="AG253" s="2"/>
      <c r="AH253" s="2">
        <v>76.399999999906896</v>
      </c>
      <c r="AI253" s="2"/>
      <c r="AJ253" s="2">
        <v>2.3999999999978199</v>
      </c>
      <c r="AK253" s="2"/>
      <c r="AL253" s="2"/>
      <c r="AM253" s="2"/>
      <c r="AN253" s="2">
        <v>1.0999999999985499</v>
      </c>
      <c r="AO253" s="2"/>
      <c r="AP253" s="2"/>
      <c r="AQ253" s="2"/>
      <c r="AR253" s="2">
        <v>24.899999999994201</v>
      </c>
      <c r="AS253" s="2"/>
      <c r="AT253" s="2">
        <v>40.699999999953398</v>
      </c>
      <c r="AU253" s="2"/>
      <c r="AV253" s="2">
        <v>0.5</v>
      </c>
      <c r="AW253" s="2"/>
      <c r="AX253" s="2">
        <v>0.29999999999972699</v>
      </c>
      <c r="AY253" s="2"/>
      <c r="AZ253" s="2"/>
      <c r="BA253" s="2"/>
      <c r="BB253" s="2">
        <v>0</v>
      </c>
      <c r="BC253" s="2"/>
      <c r="BD253" s="2"/>
      <c r="BE253" s="2">
        <v>76.399999999906896</v>
      </c>
      <c r="BF253" s="2"/>
      <c r="BG253" s="2">
        <v>8.8999999999941792</v>
      </c>
      <c r="BH253" s="2">
        <v>8.1999999999970896</v>
      </c>
      <c r="BI253" s="2"/>
      <c r="BJ253" s="2">
        <v>0.100000000000023</v>
      </c>
      <c r="BK253" s="2">
        <v>0</v>
      </c>
      <c r="BL253" s="2"/>
      <c r="BM253" s="2"/>
      <c r="BN253" s="2">
        <v>0.100000000000023</v>
      </c>
      <c r="BO253" s="2">
        <v>24.899999999994201</v>
      </c>
      <c r="BP253" s="2"/>
      <c r="BQ253" s="2">
        <v>4.1999999999970896</v>
      </c>
      <c r="BR253" s="2"/>
      <c r="BS253" s="2">
        <v>0.100000000000023</v>
      </c>
      <c r="BT253" s="2">
        <v>0.200000000000045</v>
      </c>
      <c r="BU253" s="2">
        <v>0.29999999999972699</v>
      </c>
      <c r="BV253" s="2">
        <v>0</v>
      </c>
      <c r="BW253" s="2"/>
      <c r="BX253" s="2"/>
      <c r="BY253" s="2"/>
      <c r="BZ253" s="2"/>
      <c r="CA253" s="2">
        <v>0.1</v>
      </c>
      <c r="CB253" s="2">
        <v>0.2</v>
      </c>
      <c r="CC253" s="2"/>
      <c r="CD253" s="2">
        <v>2.2999999999999998</v>
      </c>
      <c r="CE253" s="2"/>
      <c r="CF253" s="2"/>
      <c r="CG253" s="2">
        <v>0.100000000000023</v>
      </c>
      <c r="CH253" s="2">
        <v>0</v>
      </c>
      <c r="CI253" s="2">
        <v>16</v>
      </c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>
        <v>28.6</v>
      </c>
      <c r="CW253" s="2"/>
      <c r="CX253" s="2"/>
      <c r="CY253" s="2"/>
      <c r="CZ253" s="2"/>
      <c r="DB253">
        <v>1943</v>
      </c>
      <c r="DC253">
        <v>76.399999999906896</v>
      </c>
      <c r="DH253">
        <v>252</v>
      </c>
    </row>
    <row r="254" spans="1:112">
      <c r="A254" s="1">
        <v>41161</v>
      </c>
      <c r="B254" s="2"/>
      <c r="C254" s="2"/>
      <c r="D254" s="2"/>
      <c r="E254" s="2"/>
      <c r="F254" s="2"/>
      <c r="G254" s="2">
        <v>0.7</v>
      </c>
      <c r="H254" s="2"/>
      <c r="I254" s="2"/>
      <c r="J254" s="2"/>
      <c r="K254" s="2"/>
      <c r="L254" s="2">
        <v>7.7</v>
      </c>
      <c r="M254" s="2"/>
      <c r="N254" s="2"/>
      <c r="O254" s="2"/>
      <c r="P254" s="2"/>
      <c r="Q254" s="2"/>
      <c r="R254" s="2"/>
      <c r="S254" s="2"/>
      <c r="T254" s="2">
        <v>9.6999999999999993</v>
      </c>
      <c r="U254" s="2"/>
      <c r="V254" s="2"/>
      <c r="W254" s="2"/>
      <c r="X254" s="2"/>
      <c r="Y254" s="2">
        <v>9.9999999999908995E-2</v>
      </c>
      <c r="Z254" s="2"/>
      <c r="AA254" s="2"/>
      <c r="AB254" s="2"/>
      <c r="AC254" s="2"/>
      <c r="AD254" s="2"/>
      <c r="AE254" s="2"/>
      <c r="AF254" s="2"/>
      <c r="AG254" s="2">
        <v>6.29999999999563</v>
      </c>
      <c r="AH254" s="2"/>
      <c r="AI254" s="2"/>
      <c r="AJ254" s="2"/>
      <c r="AK254" s="2"/>
      <c r="AL254" s="2"/>
      <c r="AM254" s="2">
        <v>9.9999999999908995E-2</v>
      </c>
      <c r="AN254" s="2"/>
      <c r="AO254" s="2"/>
      <c r="AP254" s="2"/>
      <c r="AQ254" s="2"/>
      <c r="AR254" s="2"/>
      <c r="AS254" s="2"/>
      <c r="AT254" s="2"/>
      <c r="AU254" s="2"/>
      <c r="AV254" s="2">
        <v>9.9999999999908995E-2</v>
      </c>
      <c r="AW254" s="2"/>
      <c r="AX254" s="2"/>
      <c r="AY254" s="2"/>
      <c r="AZ254" s="2"/>
      <c r="BA254" s="2">
        <v>0.29999999999972699</v>
      </c>
      <c r="BB254" s="2"/>
      <c r="BC254" s="2">
        <v>14.1999999999971</v>
      </c>
      <c r="BD254" s="2">
        <v>6.29999999999563</v>
      </c>
      <c r="BE254" s="2">
        <v>0.69999999999981799</v>
      </c>
      <c r="BF254" s="2"/>
      <c r="BG254" s="2">
        <v>5.9000000000014596</v>
      </c>
      <c r="BH254" s="2"/>
      <c r="BI254" s="2"/>
      <c r="BJ254" s="2">
        <v>9.9999999999908995E-2</v>
      </c>
      <c r="BK254" s="2"/>
      <c r="BL254" s="2">
        <v>0</v>
      </c>
      <c r="BM254" s="2">
        <v>0</v>
      </c>
      <c r="BN254" s="2">
        <v>0.200000000000045</v>
      </c>
      <c r="BO254" s="2"/>
      <c r="BP254" s="2"/>
      <c r="BQ254" s="2">
        <v>6.4000000000014596</v>
      </c>
      <c r="BR254" s="2"/>
      <c r="BS254" s="2">
        <v>0.100000000000023</v>
      </c>
      <c r="BT254" s="2">
        <v>78.199999999953405</v>
      </c>
      <c r="BU254" s="2"/>
      <c r="BV254" s="2"/>
      <c r="BW254" s="2"/>
      <c r="BX254" s="2"/>
      <c r="BY254" s="2"/>
      <c r="BZ254" s="2"/>
      <c r="CA254" s="2">
        <v>5.8</v>
      </c>
      <c r="CB254" s="2"/>
      <c r="CC254" s="2">
        <v>0</v>
      </c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>
        <v>0.1</v>
      </c>
      <c r="CQ254" s="2">
        <v>4.0999999999999996</v>
      </c>
      <c r="CR254" s="2"/>
      <c r="CS254" s="2">
        <v>0.1</v>
      </c>
      <c r="CT254" s="2"/>
      <c r="CU254" s="2"/>
      <c r="CV254" s="2">
        <v>2.5</v>
      </c>
      <c r="CW254" s="2"/>
      <c r="CX254" s="2"/>
      <c r="CY254" s="2"/>
      <c r="CZ254" s="2"/>
      <c r="DB254">
        <v>1981</v>
      </c>
      <c r="DC254">
        <v>78.199999999953405</v>
      </c>
      <c r="DH254">
        <v>253</v>
      </c>
    </row>
    <row r="255" spans="1:112">
      <c r="A255" s="1">
        <v>41162</v>
      </c>
      <c r="B255" s="2"/>
      <c r="C255" s="2"/>
      <c r="D255" s="2"/>
      <c r="E255" s="2"/>
      <c r="F255" s="2">
        <v>2.5</v>
      </c>
      <c r="G255" s="2"/>
      <c r="H255" s="2"/>
      <c r="I255" s="2"/>
      <c r="J255" s="2"/>
      <c r="K255" s="2"/>
      <c r="L255" s="2">
        <v>7</v>
      </c>
      <c r="M255" s="2"/>
      <c r="N255" s="2"/>
      <c r="O255" s="2"/>
      <c r="P255" s="2"/>
      <c r="Q255" s="2"/>
      <c r="R255" s="2">
        <v>3.8</v>
      </c>
      <c r="S255" s="2"/>
      <c r="T255" s="2"/>
      <c r="U255" s="2"/>
      <c r="V255" s="2">
        <v>2.2999999999999998</v>
      </c>
      <c r="W255" s="2"/>
      <c r="X255" s="2"/>
      <c r="Y255" s="2">
        <v>3.3999999999978199</v>
      </c>
      <c r="Z255" s="2"/>
      <c r="AA255" s="2">
        <v>10.799999999988399</v>
      </c>
      <c r="AB255" s="2"/>
      <c r="AC255" s="2"/>
      <c r="AD255" s="2"/>
      <c r="AE255" s="2"/>
      <c r="AF255" s="2"/>
      <c r="AG255" s="2">
        <v>37.5</v>
      </c>
      <c r="AH255" s="2"/>
      <c r="AI255" s="2"/>
      <c r="AJ255" s="2"/>
      <c r="AK255" s="2"/>
      <c r="AL255" s="2"/>
      <c r="AM255" s="2">
        <v>0.19999999999981799</v>
      </c>
      <c r="AN255" s="2"/>
      <c r="AO255" s="2"/>
      <c r="AP255" s="2">
        <v>1.6999999999989099</v>
      </c>
      <c r="AQ255" s="2"/>
      <c r="AR255" s="2"/>
      <c r="AS255" s="2"/>
      <c r="AT255" s="2"/>
      <c r="AU255" s="2"/>
      <c r="AV255" s="2">
        <v>3.3999999999978199</v>
      </c>
      <c r="AW255" s="2"/>
      <c r="AX255" s="2">
        <v>29.599999999976699</v>
      </c>
      <c r="AY255" s="2"/>
      <c r="AZ255" s="2">
        <v>123</v>
      </c>
      <c r="BA255" s="2"/>
      <c r="BB255" s="2"/>
      <c r="BC255" s="2">
        <v>12.6999999999971</v>
      </c>
      <c r="BD255" s="2">
        <v>37.5</v>
      </c>
      <c r="BE255" s="2"/>
      <c r="BF255" s="2"/>
      <c r="BG255" s="2">
        <v>1.5</v>
      </c>
      <c r="BH255" s="2"/>
      <c r="BI255" s="2">
        <v>0</v>
      </c>
      <c r="BJ255" s="2">
        <v>0.19999999999981799</v>
      </c>
      <c r="BK255" s="2">
        <v>0</v>
      </c>
      <c r="BL255" s="2">
        <v>0.100000000000023</v>
      </c>
      <c r="BM255" s="2">
        <v>1.6999999999989099</v>
      </c>
      <c r="BN255" s="2"/>
      <c r="BO255" s="2"/>
      <c r="BP255" s="2">
        <v>3.2999999999992702</v>
      </c>
      <c r="BQ255" s="2">
        <v>7.0999999999985501</v>
      </c>
      <c r="BR255" s="2"/>
      <c r="BS255" s="2">
        <v>0.100000000000023</v>
      </c>
      <c r="BT255" s="2">
        <v>2.9000000000014601</v>
      </c>
      <c r="BU255" s="2">
        <v>29.599999999976699</v>
      </c>
      <c r="BV255" s="2"/>
      <c r="BW255" s="2">
        <v>123</v>
      </c>
      <c r="BX255" s="2">
        <v>11.4</v>
      </c>
      <c r="BY255" s="2"/>
      <c r="BZ255" s="2"/>
      <c r="CA255" s="2"/>
      <c r="CB255" s="2">
        <v>0.1</v>
      </c>
      <c r="CC255" s="2"/>
      <c r="CD255" s="2">
        <v>0.1</v>
      </c>
      <c r="CE255" s="2"/>
      <c r="CF255" s="2">
        <v>0</v>
      </c>
      <c r="CG255" s="2"/>
      <c r="CH255" s="2">
        <v>0</v>
      </c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>
        <v>6</v>
      </c>
      <c r="CV255" s="2"/>
      <c r="CW255" s="2"/>
      <c r="CX255" s="2"/>
      <c r="CY255" s="2"/>
      <c r="CZ255" s="2"/>
      <c r="DB255">
        <v>1961</v>
      </c>
      <c r="DC255">
        <v>123</v>
      </c>
      <c r="DH255">
        <v>254</v>
      </c>
    </row>
    <row r="256" spans="1:112">
      <c r="A256" s="1">
        <v>41163</v>
      </c>
      <c r="B256" s="2"/>
      <c r="C256" s="2"/>
      <c r="D256" s="2"/>
      <c r="E256" s="2"/>
      <c r="F256" s="2">
        <v>0.2</v>
      </c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>
        <v>0.3</v>
      </c>
      <c r="S256" s="2"/>
      <c r="T256" s="2">
        <v>0.5</v>
      </c>
      <c r="U256" s="2"/>
      <c r="V256" s="2"/>
      <c r="W256" s="2"/>
      <c r="X256" s="2">
        <v>27</v>
      </c>
      <c r="Y256" s="2">
        <v>2.0999999999985399</v>
      </c>
      <c r="Z256" s="2">
        <v>0.5</v>
      </c>
      <c r="AA256" s="2"/>
      <c r="AB256" s="2">
        <v>0.79999999999927196</v>
      </c>
      <c r="AC256" s="2">
        <v>0.59999999999945397</v>
      </c>
      <c r="AD256" s="2"/>
      <c r="AE256" s="2"/>
      <c r="AF256" s="2"/>
      <c r="AG256" s="2">
        <v>17.199999999982499</v>
      </c>
      <c r="AH256" s="2"/>
      <c r="AI256" s="2"/>
      <c r="AJ256" s="2"/>
      <c r="AK256" s="2"/>
      <c r="AL256" s="2"/>
      <c r="AM256" s="2"/>
      <c r="AN256" s="2"/>
      <c r="AO256" s="2"/>
      <c r="AP256" s="2">
        <v>0</v>
      </c>
      <c r="AQ256" s="2"/>
      <c r="AR256" s="2"/>
      <c r="AS256" s="2"/>
      <c r="AT256" s="2"/>
      <c r="AU256" s="2">
        <v>2.5999999999985399</v>
      </c>
      <c r="AV256" s="2">
        <v>2.0999999999985399</v>
      </c>
      <c r="AW256" s="2">
        <v>0.29999999999972699</v>
      </c>
      <c r="AX256" s="2">
        <v>2.5999999999985399</v>
      </c>
      <c r="AY256" s="2">
        <v>0.79999999999927196</v>
      </c>
      <c r="AZ256" s="2">
        <v>21.599999999976699</v>
      </c>
      <c r="BA256" s="2"/>
      <c r="BB256" s="2"/>
      <c r="BC256" s="2"/>
      <c r="BD256" s="2">
        <v>17.199999999982499</v>
      </c>
      <c r="BE256" s="2"/>
      <c r="BF256" s="2"/>
      <c r="BG256" s="2"/>
      <c r="BH256" s="2"/>
      <c r="BI256" s="2"/>
      <c r="BJ256" s="2">
        <v>0</v>
      </c>
      <c r="BK256" s="2"/>
      <c r="BL256" s="2">
        <v>7.8000000000029104</v>
      </c>
      <c r="BM256" s="2">
        <v>0</v>
      </c>
      <c r="BN256" s="2"/>
      <c r="BO256" s="2"/>
      <c r="BP256" s="2">
        <v>8.1000000000058208</v>
      </c>
      <c r="BQ256" s="2"/>
      <c r="BR256" s="2">
        <v>2.5999999999985399</v>
      </c>
      <c r="BS256" s="2"/>
      <c r="BT256" s="2">
        <v>0.29999999999972699</v>
      </c>
      <c r="BU256" s="2">
        <v>2.5999999999985399</v>
      </c>
      <c r="BV256" s="2"/>
      <c r="BW256" s="2">
        <v>21.599999999976699</v>
      </c>
      <c r="BX256" s="2"/>
      <c r="BY256" s="2"/>
      <c r="BZ256" s="2"/>
      <c r="CA256" s="2"/>
      <c r="CB256" s="2"/>
      <c r="CC256" s="2">
        <v>0.1</v>
      </c>
      <c r="CD256" s="2"/>
      <c r="CE256" s="2"/>
      <c r="CF256" s="2"/>
      <c r="CG256" s="2">
        <v>0</v>
      </c>
      <c r="CH256" s="2"/>
      <c r="CI256" s="2"/>
      <c r="CJ256" s="2"/>
      <c r="CK256" s="2"/>
      <c r="CL256" s="2"/>
      <c r="CM256" s="2"/>
      <c r="CN256" s="2">
        <v>19.5</v>
      </c>
      <c r="CO256" s="2">
        <v>1.5</v>
      </c>
      <c r="CP256" s="2">
        <v>2.6</v>
      </c>
      <c r="CQ256" s="2"/>
      <c r="CR256" s="2"/>
      <c r="CS256" s="2">
        <v>0.9</v>
      </c>
      <c r="CT256" s="2"/>
      <c r="CU256" s="2"/>
      <c r="CV256" s="2">
        <v>0.8</v>
      </c>
      <c r="CW256" s="2">
        <v>0.2</v>
      </c>
      <c r="CX256" s="2"/>
      <c r="CY256" s="2"/>
      <c r="CZ256" s="2"/>
      <c r="DB256">
        <v>1933</v>
      </c>
      <c r="DC256">
        <v>27</v>
      </c>
      <c r="DH256">
        <v>255</v>
      </c>
    </row>
    <row r="257" spans="1:112">
      <c r="A257" s="1">
        <v>41164</v>
      </c>
      <c r="B257" s="2">
        <v>2.2000000000000002</v>
      </c>
      <c r="C257" s="2"/>
      <c r="D257" s="2"/>
      <c r="E257" s="2"/>
      <c r="F257" s="2"/>
      <c r="G257" s="2"/>
      <c r="H257" s="2"/>
      <c r="I257" s="2"/>
      <c r="J257" s="2"/>
      <c r="K257" s="2">
        <v>10.5</v>
      </c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>
        <v>1.1999999999989099</v>
      </c>
      <c r="AA257" s="2"/>
      <c r="AB257" s="2"/>
      <c r="AC257" s="2">
        <v>1</v>
      </c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>
        <v>9.9999999999908995E-2</v>
      </c>
      <c r="AO257" s="2"/>
      <c r="AP257" s="2">
        <v>1</v>
      </c>
      <c r="AQ257" s="2"/>
      <c r="AR257" s="2"/>
      <c r="AS257" s="2"/>
      <c r="AT257" s="2"/>
      <c r="AU257" s="2">
        <v>3.2999999999992702</v>
      </c>
      <c r="AV257" s="2"/>
      <c r="AW257" s="2">
        <v>0.19999999999981799</v>
      </c>
      <c r="AX257" s="2">
        <v>4</v>
      </c>
      <c r="AY257" s="2"/>
      <c r="AZ257" s="2">
        <v>1</v>
      </c>
      <c r="BA257" s="2"/>
      <c r="BB257" s="2"/>
      <c r="BC257" s="2"/>
      <c r="BD257" s="2"/>
      <c r="BE257" s="2"/>
      <c r="BF257" s="2">
        <v>0.100000000000023</v>
      </c>
      <c r="BG257" s="2"/>
      <c r="BH257" s="2">
        <v>0</v>
      </c>
      <c r="BI257" s="2"/>
      <c r="BJ257" s="2">
        <v>0</v>
      </c>
      <c r="BK257" s="2">
        <v>0.30000000000018201</v>
      </c>
      <c r="BL257" s="2">
        <v>13.8000000000029</v>
      </c>
      <c r="BM257" s="2">
        <v>1</v>
      </c>
      <c r="BN257" s="2"/>
      <c r="BO257" s="2"/>
      <c r="BP257" s="2"/>
      <c r="BQ257" s="2"/>
      <c r="BR257" s="2">
        <v>0.100000000000023</v>
      </c>
      <c r="BS257" s="2">
        <v>2</v>
      </c>
      <c r="BT257" s="2">
        <v>9.1999999999970896</v>
      </c>
      <c r="BU257" s="2">
        <v>4</v>
      </c>
      <c r="BV257" s="2">
        <v>0</v>
      </c>
      <c r="BW257" s="2">
        <v>1</v>
      </c>
      <c r="BX257" s="2"/>
      <c r="BY257" s="2"/>
      <c r="BZ257" s="2"/>
      <c r="CA257" s="2"/>
      <c r="CB257" s="2"/>
      <c r="CC257" s="2">
        <v>26.3</v>
      </c>
      <c r="CD257" s="2"/>
      <c r="CE257" s="2"/>
      <c r="CF257" s="2"/>
      <c r="CG257" s="2">
        <v>0</v>
      </c>
      <c r="CH257" s="2">
        <v>0.30000000000018201</v>
      </c>
      <c r="CI257" s="2"/>
      <c r="CJ257" s="2"/>
      <c r="CK257" s="2"/>
      <c r="CL257" s="2"/>
      <c r="CM257" s="2">
        <v>0.5</v>
      </c>
      <c r="CN257" s="2">
        <v>5</v>
      </c>
      <c r="CO257" s="2"/>
      <c r="CP257" s="2">
        <v>6.7</v>
      </c>
      <c r="CQ257" s="2"/>
      <c r="CR257" s="2"/>
      <c r="CS257" s="2"/>
      <c r="CT257" s="2"/>
      <c r="CU257" s="2"/>
      <c r="CV257" s="2">
        <v>5.6</v>
      </c>
      <c r="CW257" s="2">
        <v>30.9</v>
      </c>
      <c r="CX257" s="2"/>
      <c r="CY257" s="2"/>
      <c r="CZ257" s="2"/>
      <c r="DB257">
        <v>2010</v>
      </c>
      <c r="DC257">
        <v>30.9</v>
      </c>
      <c r="DH257">
        <v>256</v>
      </c>
    </row>
    <row r="258" spans="1:112">
      <c r="A258" s="1">
        <v>41165</v>
      </c>
      <c r="B258" s="2"/>
      <c r="C258" s="2"/>
      <c r="D258" s="2"/>
      <c r="E258" s="2">
        <v>1.5</v>
      </c>
      <c r="F258" s="2">
        <v>0.8</v>
      </c>
      <c r="G258" s="2"/>
      <c r="H258" s="2"/>
      <c r="I258" s="2"/>
      <c r="J258" s="2"/>
      <c r="K258" s="2">
        <v>9.8000000000000007</v>
      </c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>
        <v>1</v>
      </c>
      <c r="AB258" s="2"/>
      <c r="AC258" s="2">
        <v>14.399999999994201</v>
      </c>
      <c r="AD258" s="2"/>
      <c r="AE258" s="2"/>
      <c r="AF258" s="2"/>
      <c r="AG258" s="2">
        <v>0</v>
      </c>
      <c r="AH258" s="2"/>
      <c r="AI258" s="2">
        <v>1</v>
      </c>
      <c r="AJ258" s="2">
        <v>0.79999999999927196</v>
      </c>
      <c r="AK258" s="2"/>
      <c r="AL258" s="2"/>
      <c r="AM258" s="2"/>
      <c r="AN258" s="2">
        <v>18</v>
      </c>
      <c r="AO258" s="2"/>
      <c r="AP258" s="2"/>
      <c r="AQ258" s="2"/>
      <c r="AR258" s="2">
        <v>0.19999999999981799</v>
      </c>
      <c r="AS258" s="2"/>
      <c r="AT258" s="2"/>
      <c r="AU258" s="2">
        <v>7.79999999999563</v>
      </c>
      <c r="AV258" s="2"/>
      <c r="AW258" s="2"/>
      <c r="AX258" s="2">
        <v>1</v>
      </c>
      <c r="AY258" s="2">
        <v>23.799999999988401</v>
      </c>
      <c r="AZ258" s="2">
        <v>14.399999999994201</v>
      </c>
      <c r="BA258" s="2"/>
      <c r="BB258" s="2"/>
      <c r="BC258" s="2"/>
      <c r="BD258" s="2">
        <v>0</v>
      </c>
      <c r="BE258" s="2"/>
      <c r="BF258" s="2">
        <v>1</v>
      </c>
      <c r="BG258" s="2">
        <v>0.79999999999927196</v>
      </c>
      <c r="BH258" s="2">
        <v>0.200000000000045</v>
      </c>
      <c r="BI258" s="2"/>
      <c r="BJ258" s="2">
        <v>0</v>
      </c>
      <c r="BK258" s="2">
        <v>4.5999999999985501</v>
      </c>
      <c r="BL258" s="2"/>
      <c r="BM258" s="2"/>
      <c r="BN258" s="2"/>
      <c r="BO258" s="2">
        <v>0.19999999999981799</v>
      </c>
      <c r="BP258" s="2"/>
      <c r="BQ258" s="2"/>
      <c r="BR258" s="2">
        <v>0</v>
      </c>
      <c r="BS258" s="2">
        <v>0</v>
      </c>
      <c r="BT258" s="2"/>
      <c r="BU258" s="2"/>
      <c r="BV258" s="2">
        <v>23.799999999988401</v>
      </c>
      <c r="BW258" s="2"/>
      <c r="BX258" s="2">
        <v>1.5</v>
      </c>
      <c r="BY258" s="2"/>
      <c r="BZ258" s="2"/>
      <c r="CA258" s="2"/>
      <c r="CB258" s="2"/>
      <c r="CC258" s="2">
        <v>7.9</v>
      </c>
      <c r="CD258" s="2"/>
      <c r="CE258" s="2"/>
      <c r="CF258" s="2"/>
      <c r="CG258" s="2">
        <v>0</v>
      </c>
      <c r="CH258" s="2">
        <v>4.5999999999985501</v>
      </c>
      <c r="CI258" s="2"/>
      <c r="CJ258" s="2"/>
      <c r="CK258" s="2">
        <v>0.2</v>
      </c>
      <c r="CL258" s="2"/>
      <c r="CM258" s="2"/>
      <c r="CN258" s="2"/>
      <c r="CO258" s="2"/>
      <c r="CP258" s="2">
        <v>0.3</v>
      </c>
      <c r="CQ258" s="2"/>
      <c r="CR258" s="2"/>
      <c r="CS258" s="2"/>
      <c r="CT258" s="2">
        <v>1.7</v>
      </c>
      <c r="CU258" s="2"/>
      <c r="CV258" s="2">
        <v>2.6</v>
      </c>
      <c r="CW258" s="2"/>
      <c r="CX258" s="2"/>
      <c r="CY258" s="2"/>
      <c r="CZ258" s="2">
        <v>2.5</v>
      </c>
      <c r="DB258">
        <v>1960</v>
      </c>
      <c r="DC258">
        <v>23.799999999988401</v>
      </c>
      <c r="DH258">
        <v>257</v>
      </c>
    </row>
    <row r="259" spans="1:112">
      <c r="A259" s="1">
        <v>41166</v>
      </c>
      <c r="B259" s="2"/>
      <c r="C259" s="2"/>
      <c r="D259" s="2"/>
      <c r="E259" s="2">
        <v>8.8000000000000007</v>
      </c>
      <c r="F259" s="2">
        <v>0.7</v>
      </c>
      <c r="G259" s="2">
        <v>0.2</v>
      </c>
      <c r="H259" s="2"/>
      <c r="I259" s="2">
        <v>0.7</v>
      </c>
      <c r="J259" s="2"/>
      <c r="K259" s="2">
        <v>2.2999999999999998</v>
      </c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>
        <v>2.5</v>
      </c>
      <c r="X259" s="2"/>
      <c r="Y259" s="2"/>
      <c r="Z259" s="2"/>
      <c r="AA259" s="2">
        <v>6.5</v>
      </c>
      <c r="AB259" s="2"/>
      <c r="AC259" s="2">
        <v>77.799999999930193</v>
      </c>
      <c r="AD259" s="2"/>
      <c r="AE259" s="2"/>
      <c r="AF259" s="2"/>
      <c r="AG259" s="2"/>
      <c r="AH259" s="2"/>
      <c r="AI259" s="2">
        <v>0.29999999999972699</v>
      </c>
      <c r="AJ259" s="2"/>
      <c r="AK259" s="2"/>
      <c r="AL259" s="2"/>
      <c r="AM259" s="2"/>
      <c r="AN259" s="2">
        <v>12.6999999999971</v>
      </c>
      <c r="AO259" s="2"/>
      <c r="AP259" s="2"/>
      <c r="AQ259" s="2"/>
      <c r="AR259" s="2"/>
      <c r="AS259" s="2"/>
      <c r="AT259" s="2"/>
      <c r="AU259" s="2"/>
      <c r="AV259" s="2"/>
      <c r="AW259" s="2">
        <v>10.399999999994201</v>
      </c>
      <c r="AX259" s="2">
        <v>6.5</v>
      </c>
      <c r="AY259" s="2">
        <v>3.6999999999970901</v>
      </c>
      <c r="AZ259" s="2">
        <v>77.799999999930193</v>
      </c>
      <c r="BA259" s="2">
        <v>3.5</v>
      </c>
      <c r="BB259" s="2">
        <v>2</v>
      </c>
      <c r="BC259" s="2"/>
      <c r="BD259" s="2"/>
      <c r="BE259" s="2"/>
      <c r="BF259" s="2">
        <v>0.29999999999972699</v>
      </c>
      <c r="BG259" s="2"/>
      <c r="BH259" s="2"/>
      <c r="BI259" s="2">
        <v>0.100000000000023</v>
      </c>
      <c r="BJ259" s="2">
        <v>0</v>
      </c>
      <c r="BK259" s="2">
        <v>12.6999999999971</v>
      </c>
      <c r="BL259" s="2"/>
      <c r="BM259" s="2"/>
      <c r="BN259" s="2"/>
      <c r="BO259" s="2"/>
      <c r="BP259" s="2">
        <v>4.4000000000014596</v>
      </c>
      <c r="BQ259" s="2"/>
      <c r="BR259" s="2"/>
      <c r="BS259" s="2"/>
      <c r="BT259" s="2">
        <v>10.399999999994201</v>
      </c>
      <c r="BU259" s="2"/>
      <c r="BV259" s="2">
        <v>3.6999999999970901</v>
      </c>
      <c r="BW259" s="2"/>
      <c r="BX259" s="2"/>
      <c r="BY259" s="2"/>
      <c r="BZ259" s="2"/>
      <c r="CA259" s="2"/>
      <c r="CB259" s="2"/>
      <c r="CC259" s="2">
        <v>30.7</v>
      </c>
      <c r="CD259" s="2"/>
      <c r="CE259" s="2"/>
      <c r="CF259" s="2">
        <v>0.100000000000023</v>
      </c>
      <c r="CG259" s="2">
        <v>0</v>
      </c>
      <c r="CH259" s="2"/>
      <c r="CI259" s="2">
        <v>12.4</v>
      </c>
      <c r="CJ259" s="2"/>
      <c r="CK259" s="2"/>
      <c r="CL259" s="2"/>
      <c r="CM259" s="2"/>
      <c r="CN259" s="2"/>
      <c r="CO259" s="2">
        <v>22.1</v>
      </c>
      <c r="CP259" s="2">
        <v>1.2</v>
      </c>
      <c r="CQ259" s="2"/>
      <c r="CR259" s="2"/>
      <c r="CS259" s="2"/>
      <c r="CT259" s="2">
        <v>0.1</v>
      </c>
      <c r="CU259" s="2"/>
      <c r="CV259" s="2"/>
      <c r="CW259" s="2"/>
      <c r="CX259" s="2"/>
      <c r="CY259" s="2"/>
      <c r="CZ259" s="2">
        <v>0.1</v>
      </c>
      <c r="DB259">
        <v>1938</v>
      </c>
      <c r="DC259">
        <v>77.799999999930193</v>
      </c>
      <c r="DH259">
        <v>258</v>
      </c>
    </row>
    <row r="260" spans="1:112">
      <c r="A260" s="1">
        <v>41167</v>
      </c>
      <c r="B260" s="2"/>
      <c r="C260" s="2">
        <v>22.5</v>
      </c>
      <c r="D260" s="2"/>
      <c r="E260" s="2"/>
      <c r="F260" s="2"/>
      <c r="G260" s="2">
        <v>23.3</v>
      </c>
      <c r="H260" s="2">
        <v>19.5</v>
      </c>
      <c r="I260" s="2"/>
      <c r="J260" s="2"/>
      <c r="K260" s="2">
        <v>5.5</v>
      </c>
      <c r="L260" s="2"/>
      <c r="M260" s="2"/>
      <c r="N260" s="2"/>
      <c r="O260" s="2"/>
      <c r="P260" s="2"/>
      <c r="Q260" s="2"/>
      <c r="R260" s="2"/>
      <c r="S260" s="2"/>
      <c r="T260" s="2">
        <v>0.3</v>
      </c>
      <c r="U260" s="2"/>
      <c r="V260" s="2">
        <v>0</v>
      </c>
      <c r="W260" s="2"/>
      <c r="X260" s="2">
        <v>7.2</v>
      </c>
      <c r="Y260" s="2"/>
      <c r="Z260" s="2"/>
      <c r="AA260" s="2">
        <v>4.5999999999985501</v>
      </c>
      <c r="AB260" s="2"/>
      <c r="AC260" s="2">
        <v>79.899999999906896</v>
      </c>
      <c r="AD260" s="2"/>
      <c r="AE260" s="2"/>
      <c r="AF260" s="2">
        <v>6.5</v>
      </c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>
        <v>0.29999999999972699</v>
      </c>
      <c r="AR260" s="2"/>
      <c r="AS260" s="2"/>
      <c r="AT260" s="2"/>
      <c r="AU260" s="2">
        <v>5.5</v>
      </c>
      <c r="AV260" s="2"/>
      <c r="AW260" s="2">
        <v>4.5</v>
      </c>
      <c r="AX260" s="2">
        <v>4.5999999999985501</v>
      </c>
      <c r="AY260" s="2"/>
      <c r="AZ260" s="2">
        <v>79.899999999906896</v>
      </c>
      <c r="BA260" s="2"/>
      <c r="BB260" s="2">
        <v>2.2999999999992702</v>
      </c>
      <c r="BC260" s="2">
        <v>6.5</v>
      </c>
      <c r="BD260" s="2"/>
      <c r="BE260" s="2"/>
      <c r="BF260" s="2"/>
      <c r="BG260" s="2"/>
      <c r="BH260" s="2"/>
      <c r="BI260" s="2">
        <v>0</v>
      </c>
      <c r="BJ260" s="2">
        <v>0</v>
      </c>
      <c r="BK260" s="2"/>
      <c r="BL260" s="2"/>
      <c r="BM260" s="2">
        <v>0.5</v>
      </c>
      <c r="BN260" s="2">
        <v>0.29999999999972699</v>
      </c>
      <c r="BO260" s="2"/>
      <c r="BP260" s="2"/>
      <c r="BQ260" s="2">
        <v>16.899999999994201</v>
      </c>
      <c r="BR260" s="2">
        <v>0.100000000000023</v>
      </c>
      <c r="BS260" s="2"/>
      <c r="BT260" s="2">
        <v>9.3000000000029104</v>
      </c>
      <c r="BU260" s="2"/>
      <c r="BV260" s="2"/>
      <c r="BW260" s="2"/>
      <c r="BX260" s="2"/>
      <c r="BY260" s="2"/>
      <c r="BZ260" s="2"/>
      <c r="CA260" s="2"/>
      <c r="CB260" s="2">
        <v>0.1</v>
      </c>
      <c r="CC260" s="2"/>
      <c r="CD260" s="2"/>
      <c r="CE260" s="2"/>
      <c r="CF260" s="2">
        <v>0</v>
      </c>
      <c r="CG260" s="2">
        <v>0</v>
      </c>
      <c r="CH260" s="2"/>
      <c r="CI260" s="2"/>
      <c r="CJ260" s="2"/>
      <c r="CK260" s="2">
        <v>3</v>
      </c>
      <c r="CL260" s="2"/>
      <c r="CM260" s="2"/>
      <c r="CN260" s="2"/>
      <c r="CO260" s="2">
        <v>5.5</v>
      </c>
      <c r="CP260" s="2">
        <v>0.3</v>
      </c>
      <c r="CQ260" s="2"/>
      <c r="CR260" s="2">
        <v>6</v>
      </c>
      <c r="CS260" s="2"/>
      <c r="CT260" s="2"/>
      <c r="CU260" s="2">
        <v>0.1</v>
      </c>
      <c r="CV260" s="2"/>
      <c r="CW260" s="2"/>
      <c r="CX260" s="2"/>
      <c r="CY260" s="2"/>
      <c r="CZ260" s="2"/>
      <c r="DB260">
        <v>1938</v>
      </c>
      <c r="DC260">
        <v>79.899999999906896</v>
      </c>
      <c r="DH260">
        <v>259</v>
      </c>
    </row>
    <row r="261" spans="1:112">
      <c r="A261" s="1">
        <v>41168</v>
      </c>
      <c r="B261" s="2"/>
      <c r="C261" s="2"/>
      <c r="D261" s="2"/>
      <c r="E261" s="2"/>
      <c r="F261" s="2"/>
      <c r="G261" s="2"/>
      <c r="H261" s="2">
        <v>2.5</v>
      </c>
      <c r="I261" s="2"/>
      <c r="J261" s="2"/>
      <c r="K261" s="2">
        <v>1.1000000000000001</v>
      </c>
      <c r="L261" s="2"/>
      <c r="M261" s="2"/>
      <c r="N261" s="2"/>
      <c r="O261" s="2"/>
      <c r="P261" s="2"/>
      <c r="Q261" s="2"/>
      <c r="R261" s="2"/>
      <c r="S261" s="2"/>
      <c r="T261" s="2">
        <v>12.5</v>
      </c>
      <c r="U261" s="2"/>
      <c r="V261" s="2"/>
      <c r="W261" s="2"/>
      <c r="X261" s="2">
        <v>0.3</v>
      </c>
      <c r="Y261" s="2"/>
      <c r="Z261" s="2">
        <v>0.19999999999981799</v>
      </c>
      <c r="AA261" s="2">
        <v>0.79999999999927196</v>
      </c>
      <c r="AB261" s="2"/>
      <c r="AC261" s="2">
        <v>15.299999999988399</v>
      </c>
      <c r="AD261" s="2"/>
      <c r="AE261" s="2">
        <v>2.5</v>
      </c>
      <c r="AF261" s="2"/>
      <c r="AG261" s="2"/>
      <c r="AH261" s="2"/>
      <c r="AI261" s="2"/>
      <c r="AJ261" s="2"/>
      <c r="AK261" s="2">
        <v>0.5</v>
      </c>
      <c r="AL261" s="2"/>
      <c r="AM261" s="2"/>
      <c r="AN261" s="2"/>
      <c r="AO261" s="2"/>
      <c r="AP261" s="2"/>
      <c r="AQ261" s="2">
        <v>0.5</v>
      </c>
      <c r="AR261" s="2"/>
      <c r="AS261" s="2"/>
      <c r="AT261" s="2"/>
      <c r="AU261" s="2"/>
      <c r="AV261" s="2"/>
      <c r="AW261" s="2">
        <v>0.19999999999981799</v>
      </c>
      <c r="AX261" s="2">
        <v>0.79999999999927196</v>
      </c>
      <c r="AY261" s="2"/>
      <c r="AZ261" s="2">
        <v>15.299999999988399</v>
      </c>
      <c r="BA261" s="2"/>
      <c r="BB261" s="2">
        <v>2.6999999999970901</v>
      </c>
      <c r="BC261" s="2"/>
      <c r="BD261" s="2">
        <v>1.60000000000036</v>
      </c>
      <c r="BE261" s="2"/>
      <c r="BF261" s="2">
        <v>1.60000000000036</v>
      </c>
      <c r="BG261" s="2"/>
      <c r="BH261" s="2">
        <v>0.5</v>
      </c>
      <c r="BI261" s="2"/>
      <c r="BJ261" s="2">
        <v>0</v>
      </c>
      <c r="BK261" s="2"/>
      <c r="BL261" s="2"/>
      <c r="BM261" s="2">
        <v>6.3000000000029104</v>
      </c>
      <c r="BN261" s="2">
        <v>0.5</v>
      </c>
      <c r="BO261" s="2"/>
      <c r="BP261" s="2"/>
      <c r="BQ261" s="2">
        <v>1</v>
      </c>
      <c r="BR261" s="2">
        <v>25.200000000011599</v>
      </c>
      <c r="BS261" s="2"/>
      <c r="BT261" s="2">
        <v>0</v>
      </c>
      <c r="BU261" s="2"/>
      <c r="BV261" s="2"/>
      <c r="BW261" s="2">
        <v>0</v>
      </c>
      <c r="BX261" s="2"/>
      <c r="BY261" s="2"/>
      <c r="BZ261" s="2"/>
      <c r="CA261" s="2"/>
      <c r="CB261" s="2">
        <v>1.6</v>
      </c>
      <c r="CC261" s="2"/>
      <c r="CD261" s="2"/>
      <c r="CE261" s="2">
        <v>0</v>
      </c>
      <c r="CF261" s="2"/>
      <c r="CG261" s="2">
        <v>0</v>
      </c>
      <c r="CH261" s="2"/>
      <c r="CI261" s="2"/>
      <c r="CJ261" s="2">
        <v>0.6</v>
      </c>
      <c r="CK261" s="2"/>
      <c r="CL261" s="2"/>
      <c r="CM261" s="2">
        <v>1.8</v>
      </c>
      <c r="CN261" s="2"/>
      <c r="CO261" s="2">
        <v>4.2</v>
      </c>
      <c r="CP261" s="2">
        <v>11.8</v>
      </c>
      <c r="CQ261" s="2"/>
      <c r="CR261" s="2">
        <v>2</v>
      </c>
      <c r="CS261" s="2"/>
      <c r="CT261" s="2"/>
      <c r="CU261" s="2"/>
      <c r="CV261" s="2"/>
      <c r="CW261" s="2"/>
      <c r="CX261" s="2"/>
      <c r="CY261" s="2">
        <v>2.4</v>
      </c>
      <c r="CZ261" s="2"/>
      <c r="DB261">
        <v>1979</v>
      </c>
      <c r="DC261">
        <v>25.200000000011599</v>
      </c>
      <c r="DH261">
        <v>260</v>
      </c>
    </row>
    <row r="262" spans="1:112">
      <c r="A262" s="1">
        <v>41169</v>
      </c>
      <c r="B262" s="2"/>
      <c r="C262" s="2">
        <v>0.2</v>
      </c>
      <c r="D262" s="2"/>
      <c r="E262" s="2"/>
      <c r="F262" s="2"/>
      <c r="G262" s="2">
        <v>4.5</v>
      </c>
      <c r="H262" s="2"/>
      <c r="I262" s="2"/>
      <c r="J262" s="2"/>
      <c r="K262" s="2"/>
      <c r="L262" s="2"/>
      <c r="M262" s="2">
        <v>2.2000000000000002</v>
      </c>
      <c r="N262" s="2"/>
      <c r="O262" s="2"/>
      <c r="P262" s="2"/>
      <c r="Q262" s="2"/>
      <c r="R262" s="2"/>
      <c r="S262" s="2"/>
      <c r="T262" s="2"/>
      <c r="U262" s="2">
        <v>2.2999999999999998</v>
      </c>
      <c r="V262" s="2"/>
      <c r="W262" s="2"/>
      <c r="X262" s="2"/>
      <c r="Y262" s="2"/>
      <c r="Z262" s="2">
        <v>0.19999999999981799</v>
      </c>
      <c r="AA262" s="2"/>
      <c r="AB262" s="2"/>
      <c r="AC262" s="2">
        <v>44</v>
      </c>
      <c r="AD262" s="2"/>
      <c r="AE262" s="2"/>
      <c r="AF262" s="2">
        <v>1.1999999999989099</v>
      </c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>
        <v>0.19999999999981799</v>
      </c>
      <c r="AX262" s="2"/>
      <c r="AY262" s="2"/>
      <c r="AZ262" s="2">
        <v>4.3999999999941801</v>
      </c>
      <c r="BA262" s="2"/>
      <c r="BB262" s="2"/>
      <c r="BC262" s="2">
        <v>1.1999999999989099</v>
      </c>
      <c r="BD262" s="2"/>
      <c r="BE262" s="2"/>
      <c r="BF262" s="2"/>
      <c r="BG262" s="2"/>
      <c r="BH262" s="2"/>
      <c r="BI262" s="2"/>
      <c r="BJ262" s="2">
        <v>0.100000000000023</v>
      </c>
      <c r="BK262" s="2"/>
      <c r="BL262" s="2">
        <v>0</v>
      </c>
      <c r="BM262" s="2"/>
      <c r="BN262" s="2"/>
      <c r="BO262" s="2"/>
      <c r="BP262" s="2"/>
      <c r="BQ262" s="2">
        <v>2.2000000000007298</v>
      </c>
      <c r="BR262" s="2">
        <v>0.100000000000023</v>
      </c>
      <c r="BS262" s="2"/>
      <c r="BT262" s="2"/>
      <c r="BU262" s="2"/>
      <c r="BV262" s="2">
        <v>0</v>
      </c>
      <c r="BW262" s="2">
        <v>4.3999999999941801</v>
      </c>
      <c r="BX262" s="2"/>
      <c r="BY262" s="2">
        <v>0.1</v>
      </c>
      <c r="BZ262" s="2"/>
      <c r="CA262" s="2"/>
      <c r="CB262" s="2"/>
      <c r="CC262" s="2"/>
      <c r="CD262" s="2"/>
      <c r="CE262" s="2"/>
      <c r="CF262" s="2"/>
      <c r="CG262" s="2">
        <v>0.100000000000023</v>
      </c>
      <c r="CH262" s="2"/>
      <c r="CI262" s="2">
        <v>1</v>
      </c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>
        <v>12.8</v>
      </c>
      <c r="CV262" s="2"/>
      <c r="CW262" s="2"/>
      <c r="CX262" s="2"/>
      <c r="CY262" s="2">
        <v>2</v>
      </c>
      <c r="CZ262" s="2">
        <v>0.1</v>
      </c>
      <c r="DB262">
        <v>1938</v>
      </c>
      <c r="DC262">
        <v>44</v>
      </c>
      <c r="DH262">
        <v>261</v>
      </c>
    </row>
    <row r="263" spans="1:112">
      <c r="A263" s="1">
        <v>41170</v>
      </c>
      <c r="B263" s="2"/>
      <c r="C263" s="2"/>
      <c r="D263" s="2"/>
      <c r="E263" s="2"/>
      <c r="F263" s="2"/>
      <c r="G263" s="2">
        <v>1.3</v>
      </c>
      <c r="H263" s="2"/>
      <c r="I263" s="2"/>
      <c r="J263" s="2"/>
      <c r="K263" s="2"/>
      <c r="L263" s="2"/>
      <c r="M263" s="2">
        <v>4.8</v>
      </c>
      <c r="N263" s="2">
        <v>0.1</v>
      </c>
      <c r="O263" s="2">
        <v>1.7</v>
      </c>
      <c r="P263" s="2"/>
      <c r="Q263" s="2"/>
      <c r="R263" s="2"/>
      <c r="S263" s="2"/>
      <c r="T263" s="2">
        <v>13</v>
      </c>
      <c r="U263" s="2">
        <v>19.399999999999999</v>
      </c>
      <c r="V263" s="2"/>
      <c r="W263" s="2"/>
      <c r="X263" s="2"/>
      <c r="Y263" s="2"/>
      <c r="Z263" s="2"/>
      <c r="AA263" s="2">
        <v>0.19999999999981799</v>
      </c>
      <c r="AB263" s="2">
        <v>0</v>
      </c>
      <c r="AC263" s="2"/>
      <c r="AD263" s="2"/>
      <c r="AE263" s="2"/>
      <c r="AF263" s="2">
        <v>0.19999999999981799</v>
      </c>
      <c r="AG263" s="2"/>
      <c r="AH263" s="2">
        <v>0</v>
      </c>
      <c r="AI263" s="2">
        <v>9.0999999999912706</v>
      </c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>
        <v>0.89999999999963598</v>
      </c>
      <c r="AU263" s="2"/>
      <c r="AV263" s="2"/>
      <c r="AW263" s="2"/>
      <c r="AX263" s="2">
        <v>5.8999999999941801</v>
      </c>
      <c r="AY263" s="2">
        <v>0</v>
      </c>
      <c r="AZ263" s="2"/>
      <c r="BA263" s="2"/>
      <c r="BB263" s="2"/>
      <c r="BC263" s="2">
        <v>0.19999999999981799</v>
      </c>
      <c r="BD263" s="2"/>
      <c r="BE263" s="2">
        <v>0</v>
      </c>
      <c r="BF263" s="2">
        <v>18.299999999988401</v>
      </c>
      <c r="BG263" s="2"/>
      <c r="BH263" s="2">
        <v>0.80000000000018201</v>
      </c>
      <c r="BI263" s="2"/>
      <c r="BJ263" s="2">
        <v>0</v>
      </c>
      <c r="BK263" s="2">
        <v>0</v>
      </c>
      <c r="BL263" s="2"/>
      <c r="BM263" s="2"/>
      <c r="BN263" s="2"/>
      <c r="BO263" s="2"/>
      <c r="BP263" s="2"/>
      <c r="BQ263" s="2">
        <v>0.89999999999963598</v>
      </c>
      <c r="BR263" s="2"/>
      <c r="BS263" s="2"/>
      <c r="BT263" s="2">
        <v>0.5</v>
      </c>
      <c r="BU263" s="2">
        <v>5.8999999999941801</v>
      </c>
      <c r="BV263" s="2"/>
      <c r="BW263" s="2"/>
      <c r="BX263" s="2"/>
      <c r="BY263" s="2"/>
      <c r="BZ263" s="2"/>
      <c r="CA263" s="2"/>
      <c r="CB263" s="2"/>
      <c r="CC263" s="2"/>
      <c r="CD263" s="2">
        <v>19.600000000000001</v>
      </c>
      <c r="CE263" s="2"/>
      <c r="CF263" s="2"/>
      <c r="CG263" s="2">
        <v>0</v>
      </c>
      <c r="CH263" s="2">
        <v>7.7</v>
      </c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>
        <v>1.1000000000000001</v>
      </c>
      <c r="CT263" s="2"/>
      <c r="CU263" s="2"/>
      <c r="CV263" s="2"/>
      <c r="CW263" s="2"/>
      <c r="CX263" s="2"/>
      <c r="CY263" s="2">
        <v>2.4</v>
      </c>
      <c r="CZ263" s="2">
        <v>0.8</v>
      </c>
      <c r="DB263">
        <v>1991</v>
      </c>
      <c r="DC263">
        <v>19.600000000000001</v>
      </c>
      <c r="DH263">
        <v>262</v>
      </c>
    </row>
    <row r="264" spans="1:112">
      <c r="A264" s="1">
        <v>41171</v>
      </c>
      <c r="B264" s="2"/>
      <c r="C264" s="2"/>
      <c r="D264" s="2"/>
      <c r="E264" s="2">
        <v>0.1</v>
      </c>
      <c r="F264" s="2">
        <v>5.8</v>
      </c>
      <c r="G264" s="2"/>
      <c r="H264" s="2"/>
      <c r="I264" s="2"/>
      <c r="J264" s="2"/>
      <c r="K264" s="2"/>
      <c r="L264" s="2">
        <v>6.8</v>
      </c>
      <c r="M264" s="2">
        <v>0.7</v>
      </c>
      <c r="N264" s="2"/>
      <c r="O264" s="2"/>
      <c r="P264" s="2"/>
      <c r="Q264" s="2"/>
      <c r="R264" s="2"/>
      <c r="S264" s="2"/>
      <c r="T264" s="2">
        <v>7.9</v>
      </c>
      <c r="U264" s="2">
        <v>0</v>
      </c>
      <c r="V264" s="2"/>
      <c r="W264" s="2"/>
      <c r="X264" s="2">
        <v>4.5</v>
      </c>
      <c r="Y264" s="2">
        <v>0</v>
      </c>
      <c r="Z264" s="2"/>
      <c r="AA264" s="2"/>
      <c r="AB264" s="2">
        <v>3.3999999999978199</v>
      </c>
      <c r="AC264" s="2">
        <v>0</v>
      </c>
      <c r="AD264" s="2"/>
      <c r="AE264" s="2"/>
      <c r="AF264" s="2">
        <v>2.2999999999992702</v>
      </c>
      <c r="AG264" s="2"/>
      <c r="AH264" s="2"/>
      <c r="AI264" s="2">
        <v>27.099999999976699</v>
      </c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>
        <v>2.5</v>
      </c>
      <c r="AU264" s="2">
        <v>3.7999999999992702</v>
      </c>
      <c r="AV264" s="2">
        <v>0</v>
      </c>
      <c r="AW264" s="2"/>
      <c r="AX264" s="2"/>
      <c r="AY264" s="2">
        <v>3.3999999999978199</v>
      </c>
      <c r="AZ264" s="2">
        <v>0</v>
      </c>
      <c r="BA264" s="2"/>
      <c r="BB264" s="2"/>
      <c r="BC264" s="2">
        <v>2.2999999999992702</v>
      </c>
      <c r="BD264" s="2"/>
      <c r="BE264" s="2"/>
      <c r="BF264" s="2">
        <v>18</v>
      </c>
      <c r="BG264" s="2"/>
      <c r="BH264" s="2"/>
      <c r="BI264" s="2"/>
      <c r="BJ264" s="2">
        <v>4.1999999999970896</v>
      </c>
      <c r="BK264" s="2"/>
      <c r="BL264" s="2"/>
      <c r="BM264" s="2"/>
      <c r="BN264" s="2"/>
      <c r="BO264" s="2">
        <v>33</v>
      </c>
      <c r="BP264" s="2"/>
      <c r="BQ264" s="2">
        <v>2.5</v>
      </c>
      <c r="BR264" s="2">
        <v>3.7999999999992702</v>
      </c>
      <c r="BS264" s="2"/>
      <c r="BT264" s="2"/>
      <c r="BU264" s="2">
        <v>0</v>
      </c>
      <c r="BV264" s="2"/>
      <c r="BW264" s="2"/>
      <c r="BX264" s="2"/>
      <c r="BY264" s="2">
        <v>1</v>
      </c>
      <c r="BZ264" s="2"/>
      <c r="CA264" s="2"/>
      <c r="CB264" s="2"/>
      <c r="CC264" s="2">
        <v>6</v>
      </c>
      <c r="CD264" s="2">
        <v>11.5</v>
      </c>
      <c r="CE264" s="2"/>
      <c r="CF264" s="2"/>
      <c r="CG264" s="2">
        <v>0.3</v>
      </c>
      <c r="CH264" s="2">
        <v>0</v>
      </c>
      <c r="CI264" s="2"/>
      <c r="CJ264" s="2">
        <v>1.4</v>
      </c>
      <c r="CK264" s="2">
        <v>2.7</v>
      </c>
      <c r="CL264" s="2"/>
      <c r="CM264" s="2"/>
      <c r="CN264" s="2"/>
      <c r="CO264" s="2"/>
      <c r="CP264" s="2"/>
      <c r="CQ264" s="2"/>
      <c r="CR264" s="2">
        <v>1.2</v>
      </c>
      <c r="CS264" s="2"/>
      <c r="CT264" s="2"/>
      <c r="CU264" s="2"/>
      <c r="CV264" s="2">
        <v>4.5999999999999996</v>
      </c>
      <c r="CW264" s="2"/>
      <c r="CX264" s="2"/>
      <c r="CY264" s="2"/>
      <c r="CZ264" s="2">
        <v>2</v>
      </c>
      <c r="DB264">
        <v>1976</v>
      </c>
      <c r="DC264">
        <v>33</v>
      </c>
      <c r="DH264">
        <v>263</v>
      </c>
    </row>
    <row r="265" spans="1:112">
      <c r="A265" s="1">
        <v>41172</v>
      </c>
      <c r="B265" s="2">
        <v>3.1</v>
      </c>
      <c r="C265" s="2"/>
      <c r="D265" s="2">
        <v>0.4</v>
      </c>
      <c r="E265" s="2"/>
      <c r="F265" s="2">
        <v>1.2</v>
      </c>
      <c r="G265" s="2"/>
      <c r="H265" s="2"/>
      <c r="I265" s="2"/>
      <c r="J265" s="2"/>
      <c r="K265" s="2"/>
      <c r="L265" s="2">
        <v>8.4</v>
      </c>
      <c r="M265" s="2"/>
      <c r="N265" s="2"/>
      <c r="O265" s="2">
        <v>0.8</v>
      </c>
      <c r="P265" s="2"/>
      <c r="Q265" s="2">
        <v>0.6</v>
      </c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>
        <v>0.39999999999963598</v>
      </c>
      <c r="AG265" s="2"/>
      <c r="AH265" s="2"/>
      <c r="AI265" s="2">
        <v>2.8999999999978199</v>
      </c>
      <c r="AJ265" s="2"/>
      <c r="AK265" s="2"/>
      <c r="AL265" s="2"/>
      <c r="AM265" s="2"/>
      <c r="AN265" s="2"/>
      <c r="AO265" s="2"/>
      <c r="AP265" s="2">
        <v>12.599999999991301</v>
      </c>
      <c r="AQ265" s="2"/>
      <c r="AR265" s="2"/>
      <c r="AS265" s="2"/>
      <c r="AT265" s="2">
        <v>1.5</v>
      </c>
      <c r="AU265" s="2">
        <v>6.0999999999985501</v>
      </c>
      <c r="AV265" s="2"/>
      <c r="AW265" s="2"/>
      <c r="AX265" s="2"/>
      <c r="AY265" s="2"/>
      <c r="AZ265" s="2"/>
      <c r="BA265" s="2"/>
      <c r="BB265" s="2"/>
      <c r="BC265" s="2">
        <v>0.39999999999963598</v>
      </c>
      <c r="BD265" s="2"/>
      <c r="BE265" s="2"/>
      <c r="BF265" s="2">
        <v>2.8999999999978199</v>
      </c>
      <c r="BG265" s="2">
        <v>5</v>
      </c>
      <c r="BH265" s="2"/>
      <c r="BI265" s="2"/>
      <c r="BJ265" s="2"/>
      <c r="BK265" s="2"/>
      <c r="BL265" s="2">
        <v>0.100000000000023</v>
      </c>
      <c r="BM265" s="2">
        <v>12.599999999991301</v>
      </c>
      <c r="BN265" s="2"/>
      <c r="BO265" s="2">
        <v>0.5</v>
      </c>
      <c r="BP265" s="2"/>
      <c r="BQ265" s="2">
        <v>1.5</v>
      </c>
      <c r="BR265" s="2">
        <v>6.0999999999985501</v>
      </c>
      <c r="BS265" s="2"/>
      <c r="BT265" s="2"/>
      <c r="BU265" s="2"/>
      <c r="BV265" s="2">
        <v>0</v>
      </c>
      <c r="BW265" s="2"/>
      <c r="BX265" s="2"/>
      <c r="BY265" s="2"/>
      <c r="BZ265" s="2"/>
      <c r="CA265" s="2"/>
      <c r="CB265" s="2"/>
      <c r="CC265" s="2"/>
      <c r="CD265" s="2"/>
      <c r="CE265" s="2"/>
      <c r="CF265" s="2">
        <v>0.2</v>
      </c>
      <c r="CG265" s="2">
        <v>1</v>
      </c>
      <c r="CH265" s="2"/>
      <c r="CI265" s="2"/>
      <c r="CJ265" s="2"/>
      <c r="CK265" s="2">
        <v>4.5</v>
      </c>
      <c r="CL265" s="2"/>
      <c r="CM265" s="2"/>
      <c r="CN265" s="2"/>
      <c r="CO265" s="2"/>
      <c r="CP265" s="2"/>
      <c r="CQ265" s="2"/>
      <c r="CR265" s="2">
        <v>3.4</v>
      </c>
      <c r="CS265" s="2"/>
      <c r="CT265" s="2">
        <v>1.3</v>
      </c>
      <c r="CU265" s="2">
        <v>17.2</v>
      </c>
      <c r="CV265" s="2">
        <v>3.5</v>
      </c>
      <c r="CW265" s="2">
        <v>2.1</v>
      </c>
      <c r="CX265" s="2"/>
      <c r="CY265" s="2">
        <v>0.6</v>
      </c>
      <c r="CZ265" s="2"/>
      <c r="DB265">
        <v>2008</v>
      </c>
      <c r="DC265">
        <v>17.2</v>
      </c>
      <c r="DH265">
        <v>264</v>
      </c>
    </row>
    <row r="266" spans="1:112">
      <c r="A266" s="1">
        <v>41173</v>
      </c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>
        <v>23.8</v>
      </c>
      <c r="M266" s="2"/>
      <c r="N266" s="2"/>
      <c r="O266" s="2"/>
      <c r="P266" s="2"/>
      <c r="Q266" s="2"/>
      <c r="R266" s="2"/>
      <c r="S266" s="2"/>
      <c r="T266" s="2"/>
      <c r="U266" s="2"/>
      <c r="V266" s="2">
        <v>11.5</v>
      </c>
      <c r="W266" s="2"/>
      <c r="X266" s="2"/>
      <c r="Y266" s="2"/>
      <c r="Z266" s="2"/>
      <c r="AA266" s="2"/>
      <c r="AB266" s="2"/>
      <c r="AC266" s="2"/>
      <c r="AD266" s="2"/>
      <c r="AE266" s="2"/>
      <c r="AF266" s="2">
        <v>0</v>
      </c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>
        <v>4</v>
      </c>
      <c r="AR266" s="2"/>
      <c r="AS266" s="2"/>
      <c r="AT266" s="2">
        <v>0.29999999999972699</v>
      </c>
      <c r="AU266" s="2"/>
      <c r="AV266" s="2"/>
      <c r="AW266" s="2"/>
      <c r="AX266" s="2"/>
      <c r="AY266" s="2"/>
      <c r="AZ266" s="2"/>
      <c r="BA266" s="2">
        <v>7.29999999999563</v>
      </c>
      <c r="BB266" s="2"/>
      <c r="BC266" s="2">
        <v>0</v>
      </c>
      <c r="BD266" s="2"/>
      <c r="BE266" s="2"/>
      <c r="BF266" s="2"/>
      <c r="BG266" s="2">
        <v>5</v>
      </c>
      <c r="BH266" s="2">
        <v>0.100000000000023</v>
      </c>
      <c r="BI266" s="2">
        <v>55</v>
      </c>
      <c r="BJ266" s="2"/>
      <c r="BK266" s="2">
        <v>0.89999999999963598</v>
      </c>
      <c r="BL266" s="2">
        <v>1.70000000000073</v>
      </c>
      <c r="BM266" s="2"/>
      <c r="BN266" s="2">
        <v>4</v>
      </c>
      <c r="BO266" s="2"/>
      <c r="BP266" s="2"/>
      <c r="BQ266" s="2">
        <v>2.7000000000007298</v>
      </c>
      <c r="BR266" s="2"/>
      <c r="BS266" s="2"/>
      <c r="BT266" s="2"/>
      <c r="BU266" s="2"/>
      <c r="BV266" s="2">
        <v>52.1</v>
      </c>
      <c r="BW266" s="2">
        <v>0</v>
      </c>
      <c r="BX266" s="2"/>
      <c r="BY266" s="2"/>
      <c r="BZ266" s="2"/>
      <c r="CA266" s="2"/>
      <c r="CB266" s="2"/>
      <c r="CC266" s="2"/>
      <c r="CD266" s="2"/>
      <c r="CE266" s="2"/>
      <c r="CF266" s="2">
        <v>2.4</v>
      </c>
      <c r="CG266" s="2"/>
      <c r="CH266" s="2">
        <v>0.8</v>
      </c>
      <c r="CI266" s="2">
        <v>0.2</v>
      </c>
      <c r="CJ266" s="2"/>
      <c r="CK266" s="2">
        <v>1.5</v>
      </c>
      <c r="CL266" s="2"/>
      <c r="CM266" s="2"/>
      <c r="CN266" s="2"/>
      <c r="CO266" s="2"/>
      <c r="CP266" s="2"/>
      <c r="CQ266" s="2"/>
      <c r="CR266" s="2">
        <v>6</v>
      </c>
      <c r="CS266" s="2">
        <v>1.4</v>
      </c>
      <c r="CT266" s="2">
        <v>0.9</v>
      </c>
      <c r="CU266" s="2">
        <v>11.3</v>
      </c>
      <c r="CV266" s="2">
        <v>7.9</v>
      </c>
      <c r="CW266" s="2"/>
      <c r="CX266" s="2">
        <v>9.6</v>
      </c>
      <c r="CY266" s="2">
        <v>6.3</v>
      </c>
      <c r="CZ266" s="2">
        <v>1.4</v>
      </c>
      <c r="DB266">
        <v>1970</v>
      </c>
      <c r="DC266">
        <v>55</v>
      </c>
      <c r="DH266">
        <v>265</v>
      </c>
    </row>
    <row r="267" spans="1:112">
      <c r="A267" s="1">
        <v>41174</v>
      </c>
      <c r="B267" s="2"/>
      <c r="C267" s="2"/>
      <c r="D267" s="2">
        <v>0.2</v>
      </c>
      <c r="E267" s="2"/>
      <c r="F267" s="2">
        <v>0.6</v>
      </c>
      <c r="G267" s="2"/>
      <c r="H267" s="2"/>
      <c r="I267" s="2"/>
      <c r="J267" s="2"/>
      <c r="K267" s="2"/>
      <c r="L267" s="2">
        <v>26.1</v>
      </c>
      <c r="M267" s="2"/>
      <c r="N267" s="2"/>
      <c r="O267" s="2">
        <v>0.3</v>
      </c>
      <c r="P267" s="2"/>
      <c r="Q267" s="2">
        <v>6</v>
      </c>
      <c r="R267" s="2"/>
      <c r="S267" s="2"/>
      <c r="T267" s="2">
        <v>6.6</v>
      </c>
      <c r="U267" s="2"/>
      <c r="V267" s="2"/>
      <c r="W267" s="2">
        <v>0</v>
      </c>
      <c r="X267" s="2"/>
      <c r="Y267" s="2"/>
      <c r="Z267" s="2"/>
      <c r="AA267" s="2"/>
      <c r="AB267" s="2"/>
      <c r="AC267" s="2"/>
      <c r="AD267" s="2">
        <v>0</v>
      </c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>
        <v>16.299999999988401</v>
      </c>
      <c r="BA267" s="2">
        <v>23.199999999982499</v>
      </c>
      <c r="BB267" s="2"/>
      <c r="BC267" s="2">
        <v>50.799999999988401</v>
      </c>
      <c r="BD267" s="2"/>
      <c r="BE267" s="2"/>
      <c r="BF267" s="2"/>
      <c r="BG267" s="2">
        <v>1</v>
      </c>
      <c r="BH267" s="2"/>
      <c r="BI267" s="2">
        <v>20.200000000011599</v>
      </c>
      <c r="BJ267" s="2">
        <v>5.3000000000029104</v>
      </c>
      <c r="BK267" s="2"/>
      <c r="BL267" s="2">
        <v>0.100000000000023</v>
      </c>
      <c r="BM267" s="2"/>
      <c r="BN267" s="2">
        <v>17.5</v>
      </c>
      <c r="BO267" s="2">
        <v>2.5</v>
      </c>
      <c r="BP267" s="2">
        <v>0.100000000000023</v>
      </c>
      <c r="BQ267" s="2">
        <v>7.8000000000029104</v>
      </c>
      <c r="BR267" s="2"/>
      <c r="BS267" s="2">
        <v>0</v>
      </c>
      <c r="BT267" s="2"/>
      <c r="BU267" s="2"/>
      <c r="BV267" s="2">
        <v>9.6999999999999993</v>
      </c>
      <c r="BW267" s="2">
        <v>16.299999999988401</v>
      </c>
      <c r="BX267" s="2">
        <v>0</v>
      </c>
      <c r="BY267" s="2"/>
      <c r="BZ267" s="2"/>
      <c r="CA267" s="2">
        <v>1.7</v>
      </c>
      <c r="CB267" s="2"/>
      <c r="CC267" s="2"/>
      <c r="CD267" s="2"/>
      <c r="CE267" s="2"/>
      <c r="CF267" s="2">
        <v>20.200000000011599</v>
      </c>
      <c r="CG267" s="2">
        <v>5.3000000000029104</v>
      </c>
      <c r="CH267" s="2">
        <v>0.5</v>
      </c>
      <c r="CI267" s="2"/>
      <c r="CJ267" s="2"/>
      <c r="CK267" s="2">
        <v>19.5</v>
      </c>
      <c r="CL267" s="2"/>
      <c r="CM267" s="2"/>
      <c r="CN267" s="2"/>
      <c r="CO267" s="2"/>
      <c r="CP267" s="2"/>
      <c r="CQ267" s="2">
        <v>0.2</v>
      </c>
      <c r="CR267" s="2"/>
      <c r="CS267" s="2">
        <v>4.5999999999999996</v>
      </c>
      <c r="CT267" s="2">
        <v>2.4</v>
      </c>
      <c r="CU267" s="2">
        <v>0.1</v>
      </c>
      <c r="CV267" s="2"/>
      <c r="CW267" s="2"/>
      <c r="CX267" s="2"/>
      <c r="CY267" s="2"/>
      <c r="CZ267" s="2">
        <v>2.4</v>
      </c>
      <c r="DB267">
        <v>1964</v>
      </c>
      <c r="DC267">
        <v>50.799999999988401</v>
      </c>
      <c r="DH267">
        <v>266</v>
      </c>
    </row>
    <row r="268" spans="1:112">
      <c r="A268" s="1">
        <v>41175</v>
      </c>
      <c r="B268" s="2"/>
      <c r="C268" s="2"/>
      <c r="D268" s="2">
        <v>8</v>
      </c>
      <c r="E268" s="2"/>
      <c r="F268" s="2">
        <v>11.2</v>
      </c>
      <c r="G268" s="2">
        <v>24.1</v>
      </c>
      <c r="H268" s="2"/>
      <c r="I268" s="2"/>
      <c r="J268" s="2"/>
      <c r="K268" s="2"/>
      <c r="L268" s="2">
        <v>7.4</v>
      </c>
      <c r="M268" s="2"/>
      <c r="N268" s="2"/>
      <c r="O268" s="2"/>
      <c r="P268" s="2"/>
      <c r="Q268" s="2"/>
      <c r="R268" s="2"/>
      <c r="S268" s="2"/>
      <c r="T268" s="2">
        <v>0.2</v>
      </c>
      <c r="U268" s="2"/>
      <c r="V268" s="2">
        <v>15.6</v>
      </c>
      <c r="W268" s="2"/>
      <c r="X268" s="2"/>
      <c r="Y268" s="2"/>
      <c r="Z268" s="2"/>
      <c r="AA268" s="2"/>
      <c r="AB268" s="2"/>
      <c r="AC268" s="2">
        <v>38.299999999988401</v>
      </c>
      <c r="AD268" s="2"/>
      <c r="AE268" s="2"/>
      <c r="AF268" s="2"/>
      <c r="AG268" s="2"/>
      <c r="AH268" s="2"/>
      <c r="AI268" s="2"/>
      <c r="AJ268" s="2"/>
      <c r="AK268" s="2"/>
      <c r="AL268" s="2">
        <v>5.6</v>
      </c>
      <c r="AM268" s="2"/>
      <c r="AN268" s="2"/>
      <c r="AO268" s="2"/>
      <c r="AP268" s="2">
        <v>0.19999999999981799</v>
      </c>
      <c r="AQ268" s="2">
        <v>22.799999999988401</v>
      </c>
      <c r="AR268" s="2"/>
      <c r="AS268" s="2">
        <v>0.19999999999981799</v>
      </c>
      <c r="AT268" s="2">
        <v>9.9999999999908995E-2</v>
      </c>
      <c r="AU268" s="2"/>
      <c r="AV268" s="2">
        <v>0.29999999999972699</v>
      </c>
      <c r="AW268" s="2"/>
      <c r="AX268" s="2"/>
      <c r="AY268" s="2">
        <v>17.699999999982499</v>
      </c>
      <c r="AZ268" s="2">
        <v>40.399999999965097</v>
      </c>
      <c r="BA268" s="2">
        <v>27</v>
      </c>
      <c r="BB268" s="2"/>
      <c r="BC268" s="2">
        <v>8.6000000000058208</v>
      </c>
      <c r="BD268" s="2"/>
      <c r="BE268" s="2"/>
      <c r="BF268" s="2"/>
      <c r="BG268" s="2"/>
      <c r="BH268" s="2"/>
      <c r="BI268" s="2">
        <v>1.20000000000073</v>
      </c>
      <c r="BJ268" s="2">
        <v>2.2999999999992702</v>
      </c>
      <c r="BK268" s="2"/>
      <c r="BL268" s="2"/>
      <c r="BM268" s="2">
        <v>0.19999999999981799</v>
      </c>
      <c r="BN268" s="2">
        <v>0.100000000000023</v>
      </c>
      <c r="BO268" s="2">
        <v>4.6999999999970896</v>
      </c>
      <c r="BP268" s="2">
        <v>1</v>
      </c>
      <c r="BQ268" s="2">
        <v>9.9999999999908995E-2</v>
      </c>
      <c r="BR268" s="2"/>
      <c r="BS268" s="2">
        <v>0.29999999999972699</v>
      </c>
      <c r="BT268" s="2"/>
      <c r="BU268" s="2">
        <v>0.89999999999963598</v>
      </c>
      <c r="BV268" s="2">
        <v>9.5</v>
      </c>
      <c r="BW268" s="2">
        <v>40.399999999965097</v>
      </c>
      <c r="BX268" s="2"/>
      <c r="BY268" s="2"/>
      <c r="BZ268" s="2"/>
      <c r="CA268" s="2">
        <v>1.2</v>
      </c>
      <c r="CB268" s="2"/>
      <c r="CC268" s="2"/>
      <c r="CD268" s="2"/>
      <c r="CE268" s="2"/>
      <c r="CF268" s="2">
        <v>1.20000000000073</v>
      </c>
      <c r="CG268" s="2">
        <v>2.2999999999992702</v>
      </c>
      <c r="CH268" s="2">
        <v>12.3</v>
      </c>
      <c r="CI268" s="2">
        <v>6.6</v>
      </c>
      <c r="CJ268" s="2">
        <v>0</v>
      </c>
      <c r="CK268" s="2">
        <v>1.5</v>
      </c>
      <c r="CL268" s="2"/>
      <c r="CM268" s="2">
        <v>19.600000000000001</v>
      </c>
      <c r="CN268" s="2"/>
      <c r="CO268" s="2"/>
      <c r="CP268" s="2"/>
      <c r="CQ268" s="2"/>
      <c r="CR268" s="2"/>
      <c r="CS268" s="2">
        <v>47.6</v>
      </c>
      <c r="CT268" s="2"/>
      <c r="CU268" s="2">
        <v>2.7</v>
      </c>
      <c r="CV268" s="2"/>
      <c r="CW268" s="2"/>
      <c r="CX268" s="2"/>
      <c r="CY268" s="2"/>
      <c r="CZ268" s="2">
        <v>0.2</v>
      </c>
      <c r="DB268">
        <v>2006</v>
      </c>
      <c r="DC268">
        <v>47.6</v>
      </c>
      <c r="DH268">
        <v>267</v>
      </c>
    </row>
    <row r="269" spans="1:112">
      <c r="A269" s="1">
        <v>41176</v>
      </c>
      <c r="B269" s="2"/>
      <c r="C269" s="2"/>
      <c r="D269" s="2"/>
      <c r="E269" s="2"/>
      <c r="F269" s="2">
        <v>6.3</v>
      </c>
      <c r="G269" s="2">
        <v>4.8</v>
      </c>
      <c r="H269" s="2"/>
      <c r="I269" s="2"/>
      <c r="J269" s="2"/>
      <c r="K269" s="2"/>
      <c r="L269" s="2"/>
      <c r="M269" s="2"/>
      <c r="N269" s="2"/>
      <c r="O269" s="2">
        <v>0.2</v>
      </c>
      <c r="P269" s="2"/>
      <c r="Q269" s="2">
        <v>3</v>
      </c>
      <c r="R269" s="2"/>
      <c r="S269" s="2"/>
      <c r="T269" s="2">
        <v>0.5</v>
      </c>
      <c r="U269" s="2"/>
      <c r="V269" s="2">
        <v>2.2000000000000002</v>
      </c>
      <c r="W269" s="2"/>
      <c r="X269" s="2"/>
      <c r="Y269" s="2"/>
      <c r="Z269" s="2">
        <v>0.19999999999981799</v>
      </c>
      <c r="AA269" s="2"/>
      <c r="AB269" s="2"/>
      <c r="AC269" s="2">
        <v>4</v>
      </c>
      <c r="AD269" s="2">
        <v>7</v>
      </c>
      <c r="AE269" s="2"/>
      <c r="AF269" s="2">
        <v>9.8999999999941792</v>
      </c>
      <c r="AG269" s="2"/>
      <c r="AH269" s="2"/>
      <c r="AI269" s="2"/>
      <c r="AJ269" s="2"/>
      <c r="AK269" s="2"/>
      <c r="AL269" s="2"/>
      <c r="AM269" s="2"/>
      <c r="AN269" s="2">
        <v>4.5999999999985501</v>
      </c>
      <c r="AO269" s="2"/>
      <c r="AP269" s="2"/>
      <c r="AQ269" s="2">
        <v>10.599999999991301</v>
      </c>
      <c r="AR269" s="2"/>
      <c r="AS269" s="2">
        <v>17.5</v>
      </c>
      <c r="AT269" s="2">
        <v>0.19999999999981799</v>
      </c>
      <c r="AU269" s="2">
        <v>2.8999999999978199</v>
      </c>
      <c r="AV269" s="2"/>
      <c r="AW269" s="2">
        <v>0.19999999999981799</v>
      </c>
      <c r="AX269" s="2"/>
      <c r="AY269" s="2">
        <v>10.399999999994201</v>
      </c>
      <c r="AZ269" s="2">
        <v>2.8999999999978199</v>
      </c>
      <c r="BA269" s="2">
        <v>0.59999999999945397</v>
      </c>
      <c r="BB269" s="2"/>
      <c r="BC269" s="2">
        <v>34.400000000023297</v>
      </c>
      <c r="BD269" s="2"/>
      <c r="BE269" s="2"/>
      <c r="BF269" s="2"/>
      <c r="BG269" s="2">
        <v>1.20000000000073</v>
      </c>
      <c r="BH269" s="2">
        <v>0</v>
      </c>
      <c r="BI269" s="2"/>
      <c r="BJ269" s="2">
        <v>0.100000000000023</v>
      </c>
      <c r="BK269" s="2">
        <v>4.5999999999985501</v>
      </c>
      <c r="BL269" s="2"/>
      <c r="BM269" s="2"/>
      <c r="BN269" s="2">
        <v>10.599999999991301</v>
      </c>
      <c r="BO269" s="2">
        <v>25.299999999988401</v>
      </c>
      <c r="BP269" s="2">
        <v>11</v>
      </c>
      <c r="BQ269" s="2">
        <v>0.100000000000023</v>
      </c>
      <c r="BR269" s="2">
        <v>2.8999999999978199</v>
      </c>
      <c r="BS269" s="2"/>
      <c r="BT269" s="2"/>
      <c r="BU269" s="2">
        <v>0.200000000000045</v>
      </c>
      <c r="BV269" s="2">
        <v>10.399999999994201</v>
      </c>
      <c r="BW269" s="2">
        <v>2.8999999999978199</v>
      </c>
      <c r="BX269" s="2"/>
      <c r="BY269" s="2"/>
      <c r="BZ269" s="2"/>
      <c r="CA269" s="2">
        <v>0.6</v>
      </c>
      <c r="CB269" s="2"/>
      <c r="CC269" s="2"/>
      <c r="CD269" s="2"/>
      <c r="CE269" s="2">
        <v>4</v>
      </c>
      <c r="CF269" s="2"/>
      <c r="CG269" s="2">
        <v>0.100000000000023</v>
      </c>
      <c r="CH269" s="2">
        <v>1.3</v>
      </c>
      <c r="CI269" s="2"/>
      <c r="CJ269" s="2"/>
      <c r="CK269" s="2">
        <v>0.4</v>
      </c>
      <c r="CL269" s="2"/>
      <c r="CM269" s="2">
        <v>4</v>
      </c>
      <c r="CN269" s="2"/>
      <c r="CO269" s="2">
        <v>0.1</v>
      </c>
      <c r="CP269" s="2"/>
      <c r="CQ269" s="2"/>
      <c r="CR269" s="2"/>
      <c r="CS269" s="2">
        <v>3</v>
      </c>
      <c r="CT269" s="2">
        <v>1.4</v>
      </c>
      <c r="CU269" s="2"/>
      <c r="CV269" s="2"/>
      <c r="CW269" s="2">
        <v>0.4</v>
      </c>
      <c r="CX269" s="2"/>
      <c r="CY269" s="2"/>
      <c r="CZ269" s="2"/>
      <c r="DB269">
        <v>1964</v>
      </c>
      <c r="DC269">
        <v>34.400000000023297</v>
      </c>
      <c r="DH269">
        <v>268</v>
      </c>
    </row>
    <row r="270" spans="1:112">
      <c r="A270" s="1">
        <v>41177</v>
      </c>
      <c r="B270" s="2"/>
      <c r="C270" s="2"/>
      <c r="D270" s="2">
        <v>1.1000000000000001</v>
      </c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>
        <v>0.2</v>
      </c>
      <c r="R270" s="2"/>
      <c r="S270" s="2"/>
      <c r="T270" s="2">
        <v>3.9</v>
      </c>
      <c r="U270" s="2">
        <v>2</v>
      </c>
      <c r="V270" s="2">
        <v>1.8</v>
      </c>
      <c r="W270" s="2"/>
      <c r="X270" s="2">
        <v>0</v>
      </c>
      <c r="Y270" s="2">
        <v>0.59999999999945397</v>
      </c>
      <c r="Z270" s="2"/>
      <c r="AA270" s="2"/>
      <c r="AB270" s="2"/>
      <c r="AC270" s="2"/>
      <c r="AD270" s="2">
        <v>10.5</v>
      </c>
      <c r="AE270" s="2"/>
      <c r="AF270" s="2">
        <v>0.89999999999963598</v>
      </c>
      <c r="AG270" s="2"/>
      <c r="AH270" s="2"/>
      <c r="AI270" s="2"/>
      <c r="AJ270" s="2"/>
      <c r="AK270" s="2"/>
      <c r="AL270" s="2">
        <v>1</v>
      </c>
      <c r="AM270" s="2"/>
      <c r="AN270" s="2">
        <v>0.19999999999981799</v>
      </c>
      <c r="AO270" s="2"/>
      <c r="AP270" s="2"/>
      <c r="AQ270" s="2"/>
      <c r="AR270" s="2"/>
      <c r="AS270" s="2">
        <v>39</v>
      </c>
      <c r="AT270" s="2"/>
      <c r="AU270" s="2"/>
      <c r="AV270" s="2">
        <v>0.59999999999945397</v>
      </c>
      <c r="AW270" s="2"/>
      <c r="AX270" s="2"/>
      <c r="AY270" s="2"/>
      <c r="AZ270" s="2"/>
      <c r="BA270" s="2">
        <v>10.5</v>
      </c>
      <c r="BB270" s="2"/>
      <c r="BC270" s="2">
        <v>21.299999999988401</v>
      </c>
      <c r="BD270" s="2"/>
      <c r="BE270" s="2"/>
      <c r="BF270" s="2"/>
      <c r="BG270" s="2">
        <v>13.3000000000029</v>
      </c>
      <c r="BH270" s="2"/>
      <c r="BI270" s="2">
        <v>0</v>
      </c>
      <c r="BJ270" s="2">
        <v>0</v>
      </c>
      <c r="BK270" s="2">
        <v>6.4000000000014596</v>
      </c>
      <c r="BL270" s="2"/>
      <c r="BM270" s="2">
        <v>0</v>
      </c>
      <c r="BN270" s="2"/>
      <c r="BO270" s="2"/>
      <c r="BP270" s="2">
        <v>2.4000000000014601</v>
      </c>
      <c r="BQ270" s="2"/>
      <c r="BR270" s="2"/>
      <c r="BS270" s="2"/>
      <c r="BT270" s="2"/>
      <c r="BU270" s="2">
        <v>0.5</v>
      </c>
      <c r="BV270" s="2"/>
      <c r="BW270" s="2"/>
      <c r="BX270" s="2"/>
      <c r="BY270" s="2"/>
      <c r="BZ270" s="2"/>
      <c r="CA270" s="2"/>
      <c r="CB270" s="2"/>
      <c r="CC270" s="2"/>
      <c r="CD270" s="2"/>
      <c r="CE270" s="2">
        <v>7.5</v>
      </c>
      <c r="CF270" s="2">
        <v>0</v>
      </c>
      <c r="CG270" s="2">
        <v>0</v>
      </c>
      <c r="CH270" s="2">
        <v>6.4000000000014596</v>
      </c>
      <c r="CI270" s="2">
        <v>3.9</v>
      </c>
      <c r="CJ270" s="2"/>
      <c r="CK270" s="2"/>
      <c r="CL270" s="2"/>
      <c r="CM270" s="2"/>
      <c r="CN270" s="2"/>
      <c r="CO270" s="2">
        <v>0.1</v>
      </c>
      <c r="CP270" s="2"/>
      <c r="CQ270" s="2"/>
      <c r="CR270" s="2">
        <v>6.8</v>
      </c>
      <c r="CS270" s="2">
        <v>0.1</v>
      </c>
      <c r="CT270" s="2"/>
      <c r="CU270" s="2">
        <v>0.6</v>
      </c>
      <c r="CV270" s="2"/>
      <c r="CW270" s="2"/>
      <c r="CX270" s="2"/>
      <c r="CY270" s="2"/>
      <c r="CZ270" s="2"/>
      <c r="DB270">
        <v>1954</v>
      </c>
      <c r="DC270">
        <v>39</v>
      </c>
      <c r="DH270">
        <v>269</v>
      </c>
    </row>
    <row r="271" spans="1:112">
      <c r="A271" s="1">
        <v>41178</v>
      </c>
      <c r="B271" s="2"/>
      <c r="C271" s="2"/>
      <c r="D271" s="2">
        <v>0.3</v>
      </c>
      <c r="E271" s="2">
        <v>0.2</v>
      </c>
      <c r="F271" s="2"/>
      <c r="G271" s="2"/>
      <c r="H271" s="2"/>
      <c r="I271" s="2"/>
      <c r="J271" s="2"/>
      <c r="K271" s="2"/>
      <c r="L271" s="2"/>
      <c r="M271" s="2">
        <v>0.3</v>
      </c>
      <c r="N271" s="2"/>
      <c r="O271" s="2"/>
      <c r="P271" s="2"/>
      <c r="Q271" s="2"/>
      <c r="R271" s="2"/>
      <c r="S271" s="2"/>
      <c r="T271" s="2">
        <v>2.1</v>
      </c>
      <c r="U271" s="2">
        <v>1.1000000000000001</v>
      </c>
      <c r="V271" s="2">
        <v>0.2</v>
      </c>
      <c r="W271" s="2"/>
      <c r="X271" s="2">
        <v>4.5</v>
      </c>
      <c r="Y271" s="2">
        <v>2.7999999999992702</v>
      </c>
      <c r="Z271" s="2">
        <v>35.699999999953398</v>
      </c>
      <c r="AA271" s="2"/>
      <c r="AB271" s="2">
        <v>2</v>
      </c>
      <c r="AC271" s="2">
        <v>0.89999999999963598</v>
      </c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>
        <v>1.1999999999989099</v>
      </c>
      <c r="AO271" s="2"/>
      <c r="AP271" s="2"/>
      <c r="AQ271" s="2"/>
      <c r="AR271" s="2"/>
      <c r="AS271" s="2">
        <v>2.1999999999970901</v>
      </c>
      <c r="AT271" s="2">
        <v>1</v>
      </c>
      <c r="AU271" s="2"/>
      <c r="AV271" s="2">
        <v>2.7999999999992702</v>
      </c>
      <c r="AW271" s="2">
        <v>35.699999999953398</v>
      </c>
      <c r="AX271" s="2"/>
      <c r="AY271" s="2">
        <v>2</v>
      </c>
      <c r="AZ271" s="2">
        <v>0.89999999999963598</v>
      </c>
      <c r="BA271" s="2">
        <v>5.6999999999970896</v>
      </c>
      <c r="BB271" s="2"/>
      <c r="BC271" s="2">
        <v>5.1999999999970896</v>
      </c>
      <c r="BD271" s="2"/>
      <c r="BE271" s="2"/>
      <c r="BF271" s="2"/>
      <c r="BG271" s="2"/>
      <c r="BH271" s="2"/>
      <c r="BI271" s="2">
        <v>0.100000000000023</v>
      </c>
      <c r="BJ271" s="2"/>
      <c r="BK271" s="2">
        <v>0.100000000000023</v>
      </c>
      <c r="BL271" s="2"/>
      <c r="BM271" s="2">
        <v>12.8000000000029</v>
      </c>
      <c r="BN271" s="2"/>
      <c r="BO271" s="2">
        <v>5.4000000000014596</v>
      </c>
      <c r="BP271" s="2">
        <v>2.1999999999970901</v>
      </c>
      <c r="BQ271" s="2">
        <v>1</v>
      </c>
      <c r="BR271" s="2"/>
      <c r="BS271" s="2"/>
      <c r="BT271" s="2"/>
      <c r="BU271" s="2">
        <v>3.2000000000007298</v>
      </c>
      <c r="BV271" s="2"/>
      <c r="BW271" s="2">
        <v>0.39999999999963598</v>
      </c>
      <c r="BX271" s="2"/>
      <c r="BY271" s="2"/>
      <c r="BZ271" s="2"/>
      <c r="CA271" s="2"/>
      <c r="CB271" s="2"/>
      <c r="CC271" s="2"/>
      <c r="CD271" s="2"/>
      <c r="CE271" s="2">
        <v>0.7</v>
      </c>
      <c r="CF271" s="2">
        <v>0.100000000000023</v>
      </c>
      <c r="CG271" s="2"/>
      <c r="CH271" s="2">
        <v>0.100000000000023</v>
      </c>
      <c r="CI271" s="2"/>
      <c r="CJ271" s="2"/>
      <c r="CK271" s="2"/>
      <c r="CL271" s="2"/>
      <c r="CM271" s="2">
        <v>6.5</v>
      </c>
      <c r="CN271" s="2"/>
      <c r="CO271" s="2">
        <v>4.7</v>
      </c>
      <c r="CP271" s="2">
        <v>0.9</v>
      </c>
      <c r="CQ271" s="2">
        <v>0</v>
      </c>
      <c r="CR271" s="2">
        <v>0.5</v>
      </c>
      <c r="CS271" s="2"/>
      <c r="CT271" s="2"/>
      <c r="CU271" s="2">
        <v>11.3</v>
      </c>
      <c r="CV271" s="2"/>
      <c r="CW271" s="2">
        <v>1</v>
      </c>
      <c r="CX271" s="2"/>
      <c r="CY271" s="2"/>
      <c r="CZ271" s="2"/>
      <c r="DB271">
        <v>1935</v>
      </c>
      <c r="DC271">
        <v>35.699999999953398</v>
      </c>
      <c r="DH271">
        <v>270</v>
      </c>
    </row>
    <row r="272" spans="1:112">
      <c r="A272" s="1">
        <v>41179</v>
      </c>
      <c r="B272" s="2">
        <v>70.099999999999994</v>
      </c>
      <c r="C272" s="2"/>
      <c r="D272" s="2">
        <v>7.2</v>
      </c>
      <c r="E272" s="2"/>
      <c r="F272" s="2">
        <v>0.1</v>
      </c>
      <c r="G272" s="2"/>
      <c r="H272" s="2">
        <v>2.8</v>
      </c>
      <c r="I272" s="2"/>
      <c r="J272" s="2"/>
      <c r="K272" s="2">
        <v>0.3</v>
      </c>
      <c r="L272" s="2">
        <v>0.4</v>
      </c>
      <c r="M272" s="2"/>
      <c r="N272" s="2"/>
      <c r="O272" s="2">
        <v>0.3</v>
      </c>
      <c r="P272" s="2"/>
      <c r="Q272" s="2"/>
      <c r="R272" s="2"/>
      <c r="S272" s="2">
        <v>0.2</v>
      </c>
      <c r="T272" s="2">
        <v>5.0999999999999996</v>
      </c>
      <c r="U272" s="2"/>
      <c r="V272" s="2">
        <v>10.9</v>
      </c>
      <c r="W272" s="2"/>
      <c r="X272" s="2">
        <v>8</v>
      </c>
      <c r="Y272" s="2"/>
      <c r="Z272" s="2">
        <v>27.299999999988401</v>
      </c>
      <c r="AA272" s="2">
        <v>6.5</v>
      </c>
      <c r="AB272" s="2">
        <v>0.6</v>
      </c>
      <c r="AC272" s="2"/>
      <c r="AD272" s="2"/>
      <c r="AE272" s="2"/>
      <c r="AF272" s="2"/>
      <c r="AG272" s="2"/>
      <c r="AH272" s="2"/>
      <c r="AI272" s="2">
        <v>5.0999999999985501</v>
      </c>
      <c r="AJ272" s="2">
        <v>5.5</v>
      </c>
      <c r="AK272" s="2">
        <v>7.79999999999563</v>
      </c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>
        <v>7.6999999999970896</v>
      </c>
      <c r="AW272" s="2">
        <v>27.299999999988401</v>
      </c>
      <c r="AX272" s="2">
        <v>6.5</v>
      </c>
      <c r="AY272" s="2">
        <v>0.6</v>
      </c>
      <c r="AZ272" s="2"/>
      <c r="BA272" s="2">
        <v>0.19999999999981799</v>
      </c>
      <c r="BB272" s="2"/>
      <c r="BC272" s="2">
        <v>28.299999999988401</v>
      </c>
      <c r="BD272" s="2"/>
      <c r="BE272" s="2"/>
      <c r="BF272" s="2">
        <v>5.0999999999985501</v>
      </c>
      <c r="BG272" s="2">
        <v>5.5</v>
      </c>
      <c r="BH272" s="2">
        <v>7.79999999999563</v>
      </c>
      <c r="BI272" s="2">
        <v>15.100000000005799</v>
      </c>
      <c r="BJ272" s="2"/>
      <c r="BK272" s="2">
        <v>0</v>
      </c>
      <c r="BL272" s="2"/>
      <c r="BM272" s="2">
        <v>0.100000000000023</v>
      </c>
      <c r="BN272" s="2"/>
      <c r="BO272" s="2"/>
      <c r="BP272" s="2"/>
      <c r="BQ272" s="2">
        <v>0.200000000000045</v>
      </c>
      <c r="BR272" s="2"/>
      <c r="BS272" s="2">
        <v>7.6999999999970896</v>
      </c>
      <c r="BT272" s="2"/>
      <c r="BU272" s="2"/>
      <c r="BV272" s="2"/>
      <c r="BW272" s="2"/>
      <c r="BX272" s="2"/>
      <c r="BY272" s="2"/>
      <c r="BZ272" s="2"/>
      <c r="CA272" s="2"/>
      <c r="CB272" s="2"/>
      <c r="CC272" s="2">
        <v>8.1999999999999993</v>
      </c>
      <c r="CD272" s="2"/>
      <c r="CE272" s="2"/>
      <c r="CF272" s="2">
        <v>15.100000000005799</v>
      </c>
      <c r="CG272" s="2"/>
      <c r="CH272" s="2">
        <v>0</v>
      </c>
      <c r="CI272" s="2">
        <v>8.4</v>
      </c>
      <c r="CJ272" s="2"/>
      <c r="CK272" s="2"/>
      <c r="CL272" s="2"/>
      <c r="CM272" s="2">
        <v>7.5</v>
      </c>
      <c r="CN272" s="2">
        <v>15.6</v>
      </c>
      <c r="CO272" s="2">
        <v>2.4</v>
      </c>
      <c r="CP272" s="2">
        <v>0.3</v>
      </c>
      <c r="CQ272" s="2"/>
      <c r="CR272" s="2"/>
      <c r="CS272" s="2">
        <v>0.6</v>
      </c>
      <c r="CT272" s="2"/>
      <c r="CU272" s="2">
        <v>37.9</v>
      </c>
      <c r="CV272" s="2">
        <v>0.1</v>
      </c>
      <c r="CW272" s="2"/>
      <c r="CX272" s="2"/>
      <c r="CY272" s="2"/>
      <c r="CZ272" s="2">
        <v>4</v>
      </c>
      <c r="DB272">
        <v>1911</v>
      </c>
      <c r="DC272">
        <v>70.099999999999994</v>
      </c>
      <c r="DH272">
        <v>271</v>
      </c>
    </row>
    <row r="273" spans="1:112">
      <c r="A273" s="1">
        <v>41180</v>
      </c>
      <c r="B273" s="2">
        <v>45.9</v>
      </c>
      <c r="C273" s="2"/>
      <c r="D273" s="2">
        <v>2.7</v>
      </c>
      <c r="E273" s="2">
        <v>0.9</v>
      </c>
      <c r="F273" s="2"/>
      <c r="G273" s="2"/>
      <c r="H273" s="2"/>
      <c r="I273" s="2"/>
      <c r="J273" s="2">
        <v>1.5</v>
      </c>
      <c r="K273" s="2">
        <v>1.2</v>
      </c>
      <c r="L273" s="2"/>
      <c r="M273" s="2"/>
      <c r="N273" s="2"/>
      <c r="O273" s="2"/>
      <c r="P273" s="2"/>
      <c r="Q273" s="2"/>
      <c r="R273" s="2">
        <v>0.6</v>
      </c>
      <c r="S273" s="2">
        <v>0.8</v>
      </c>
      <c r="T273" s="2">
        <v>43.3</v>
      </c>
      <c r="U273" s="2"/>
      <c r="V273" s="2"/>
      <c r="W273" s="2"/>
      <c r="X273" s="2"/>
      <c r="Y273" s="2"/>
      <c r="Z273" s="2">
        <v>12.599999999991301</v>
      </c>
      <c r="AA273" s="2">
        <v>14.799999999988399</v>
      </c>
      <c r="AB273" s="2"/>
      <c r="AC273" s="2"/>
      <c r="AD273" s="2">
        <v>45.799999999988401</v>
      </c>
      <c r="AE273" s="2"/>
      <c r="AF273" s="2">
        <v>1.39999999999964</v>
      </c>
      <c r="AG273" s="2"/>
      <c r="AH273" s="2"/>
      <c r="AI273" s="2"/>
      <c r="AJ273" s="2">
        <v>3.6999999999970901</v>
      </c>
      <c r="AK273" s="2"/>
      <c r="AL273" s="2"/>
      <c r="AM273" s="2">
        <v>4.2299999999959299</v>
      </c>
      <c r="AN273" s="2">
        <v>15.399999999994201</v>
      </c>
      <c r="AO273" s="2"/>
      <c r="AP273" s="2"/>
      <c r="AQ273" s="2"/>
      <c r="AR273" s="2"/>
      <c r="AS273" s="2"/>
      <c r="AT273" s="2"/>
      <c r="AU273" s="2"/>
      <c r="AV273" s="2"/>
      <c r="AW273" s="2">
        <v>4.0999999999985501</v>
      </c>
      <c r="AX273" s="2">
        <v>14.799999999988399</v>
      </c>
      <c r="AY273" s="2"/>
      <c r="AZ273" s="2"/>
      <c r="BA273" s="2">
        <v>45.799999999988401</v>
      </c>
      <c r="BB273" s="2"/>
      <c r="BC273" s="2">
        <v>25.399999999994201</v>
      </c>
      <c r="BD273" s="2"/>
      <c r="BE273" s="2"/>
      <c r="BF273" s="2"/>
      <c r="BG273" s="2">
        <v>3.6999999999970901</v>
      </c>
      <c r="BH273" s="2"/>
      <c r="BI273" s="2">
        <v>4</v>
      </c>
      <c r="BJ273" s="2">
        <v>4.2299999999959299</v>
      </c>
      <c r="BK273" s="2">
        <v>25.200000000011599</v>
      </c>
      <c r="BL273" s="2"/>
      <c r="BM273" s="2"/>
      <c r="BN273" s="2"/>
      <c r="BO273" s="2"/>
      <c r="BP273" s="2">
        <v>11.5</v>
      </c>
      <c r="BQ273" s="2"/>
      <c r="BR273" s="2"/>
      <c r="BS273" s="2"/>
      <c r="BT273" s="2">
        <v>4.0999999999985501</v>
      </c>
      <c r="BU273" s="2"/>
      <c r="BV273" s="2"/>
      <c r="BW273" s="2">
        <v>0</v>
      </c>
      <c r="BX273" s="2"/>
      <c r="BY273" s="2">
        <v>0</v>
      </c>
      <c r="BZ273" s="2"/>
      <c r="CA273" s="2"/>
      <c r="CB273" s="2">
        <v>0.3</v>
      </c>
      <c r="CC273" s="2">
        <v>6.4</v>
      </c>
      <c r="CD273" s="2"/>
      <c r="CE273" s="2"/>
      <c r="CF273" s="2">
        <v>4</v>
      </c>
      <c r="CG273" s="2"/>
      <c r="CH273" s="2">
        <v>25.200000000011599</v>
      </c>
      <c r="CI273" s="2">
        <v>13.8</v>
      </c>
      <c r="CJ273" s="2"/>
      <c r="CK273" s="2"/>
      <c r="CL273" s="2"/>
      <c r="CM273" s="2">
        <v>0.4</v>
      </c>
      <c r="CN273" s="2"/>
      <c r="CO273" s="2">
        <v>0.6</v>
      </c>
      <c r="CP273" s="2"/>
      <c r="CQ273" s="2"/>
      <c r="CR273" s="2">
        <v>4.5999999999999996</v>
      </c>
      <c r="CS273" s="2">
        <v>13.6</v>
      </c>
      <c r="CT273" s="2"/>
      <c r="CU273" s="2">
        <v>0.8</v>
      </c>
      <c r="CV273" s="2"/>
      <c r="CW273" s="2">
        <v>0.1</v>
      </c>
      <c r="CX273" s="2"/>
      <c r="CY273" s="2"/>
      <c r="CZ273" s="2"/>
      <c r="DB273">
        <v>1911</v>
      </c>
      <c r="DC273">
        <v>45.9</v>
      </c>
      <c r="DH273">
        <v>272</v>
      </c>
    </row>
    <row r="274" spans="1:112">
      <c r="A274" s="1">
        <v>41181</v>
      </c>
      <c r="B274" s="2">
        <v>1.4</v>
      </c>
      <c r="C274" s="2">
        <v>4.8</v>
      </c>
      <c r="D274" s="2">
        <v>19.600000000000001</v>
      </c>
      <c r="E274" s="2">
        <v>0.5</v>
      </c>
      <c r="F274" s="2"/>
      <c r="G274" s="2"/>
      <c r="H274" s="2"/>
      <c r="I274" s="2"/>
      <c r="J274" s="2"/>
      <c r="K274" s="2">
        <v>0.6</v>
      </c>
      <c r="L274" s="2">
        <v>1.7</v>
      </c>
      <c r="M274" s="2"/>
      <c r="N274" s="2"/>
      <c r="O274" s="2"/>
      <c r="P274" s="2"/>
      <c r="Q274" s="2"/>
      <c r="R274" s="2"/>
      <c r="S274" s="2"/>
      <c r="T274" s="2">
        <v>2.2000000000000002</v>
      </c>
      <c r="U274" s="2"/>
      <c r="V274" s="2">
        <v>0.7</v>
      </c>
      <c r="W274" s="2"/>
      <c r="X274" s="2">
        <v>0.2</v>
      </c>
      <c r="Y274" s="2"/>
      <c r="Z274" s="2">
        <v>0</v>
      </c>
      <c r="AA274" s="2"/>
      <c r="AB274" s="2"/>
      <c r="AC274" s="2"/>
      <c r="AD274" s="2">
        <v>1</v>
      </c>
      <c r="AE274" s="2"/>
      <c r="AF274" s="2">
        <v>0.39999999999963598</v>
      </c>
      <c r="AG274" s="2"/>
      <c r="AH274" s="2"/>
      <c r="AI274" s="2"/>
      <c r="AJ274" s="2"/>
      <c r="AK274" s="2">
        <v>2</v>
      </c>
      <c r="AL274" s="2"/>
      <c r="AM274" s="2">
        <v>7</v>
      </c>
      <c r="AN274" s="2">
        <v>1.0999999999985499</v>
      </c>
      <c r="AO274" s="2"/>
      <c r="AP274" s="2"/>
      <c r="AQ274" s="2"/>
      <c r="AR274" s="2"/>
      <c r="AS274" s="2"/>
      <c r="AT274" s="2">
        <v>11.099999999991301</v>
      </c>
      <c r="AU274" s="2"/>
      <c r="AV274" s="2"/>
      <c r="AW274" s="2">
        <v>0.29999999999972699</v>
      </c>
      <c r="AX274" s="2">
        <v>0.5</v>
      </c>
      <c r="AY274" s="2">
        <v>0.39999999999963598</v>
      </c>
      <c r="AZ274" s="2"/>
      <c r="BA274" s="2">
        <v>1</v>
      </c>
      <c r="BB274" s="2">
        <v>11.099999999991301</v>
      </c>
      <c r="BC274" s="2">
        <v>0.39999999999963598</v>
      </c>
      <c r="BD274" s="2"/>
      <c r="BE274" s="2"/>
      <c r="BF274" s="2">
        <v>2.5999999999985399</v>
      </c>
      <c r="BG274" s="2"/>
      <c r="BH274" s="2">
        <v>2</v>
      </c>
      <c r="BI274" s="2">
        <v>5.3000000000029104</v>
      </c>
      <c r="BJ274" s="2">
        <v>7</v>
      </c>
      <c r="BK274" s="2">
        <v>25.299999999988401</v>
      </c>
      <c r="BL274" s="2"/>
      <c r="BM274" s="2"/>
      <c r="BN274" s="2"/>
      <c r="BO274" s="2"/>
      <c r="BP274" s="2">
        <v>1.10000000000036</v>
      </c>
      <c r="BQ274" s="2">
        <v>9.6999999999970896</v>
      </c>
      <c r="BR274" s="2"/>
      <c r="BS274" s="2">
        <v>4.8000000000029104</v>
      </c>
      <c r="BT274" s="2">
        <v>0.29999999999972699</v>
      </c>
      <c r="BU274" s="2">
        <v>0.5</v>
      </c>
      <c r="BV274" s="2">
        <v>0.39999999999963598</v>
      </c>
      <c r="BW274" s="2"/>
      <c r="BX274" s="2"/>
      <c r="BY274" s="2"/>
      <c r="BZ274" s="2">
        <v>1.3</v>
      </c>
      <c r="CA274" s="2"/>
      <c r="CB274" s="2"/>
      <c r="CC274" s="2">
        <v>0</v>
      </c>
      <c r="CD274" s="2"/>
      <c r="CE274" s="2"/>
      <c r="CF274" s="2">
        <v>0.1</v>
      </c>
      <c r="CG274" s="2"/>
      <c r="CH274" s="2">
        <v>7.3</v>
      </c>
      <c r="CI274" s="2">
        <v>9</v>
      </c>
      <c r="CJ274" s="2"/>
      <c r="CK274" s="2">
        <v>5.5</v>
      </c>
      <c r="CL274" s="2"/>
      <c r="CM274" s="2"/>
      <c r="CN274" s="2"/>
      <c r="CO274" s="2"/>
      <c r="CP274" s="2"/>
      <c r="CQ274" s="2"/>
      <c r="CR274" s="2">
        <v>4.7</v>
      </c>
      <c r="CS274" s="2">
        <v>7.2</v>
      </c>
      <c r="CT274" s="2"/>
      <c r="CU274" s="2">
        <v>6.4</v>
      </c>
      <c r="CV274" s="2"/>
      <c r="CW274" s="2">
        <v>5</v>
      </c>
      <c r="CX274" s="2">
        <v>7.9</v>
      </c>
      <c r="CY274" s="2"/>
      <c r="CZ274" s="2"/>
      <c r="DB274">
        <v>1972</v>
      </c>
      <c r="DC274">
        <v>25.299999999988401</v>
      </c>
      <c r="DH274">
        <v>273</v>
      </c>
    </row>
    <row r="275" spans="1:112">
      <c r="A275" s="1">
        <v>41182</v>
      </c>
      <c r="B275" s="2"/>
      <c r="C275" s="2">
        <v>1.1000000000000001</v>
      </c>
      <c r="D275" s="2">
        <v>85.7</v>
      </c>
      <c r="E275" s="2">
        <v>7.3</v>
      </c>
      <c r="F275" s="2"/>
      <c r="G275" s="2"/>
      <c r="H275" s="2"/>
      <c r="I275" s="2">
        <v>4.5</v>
      </c>
      <c r="J275" s="2"/>
      <c r="K275" s="2"/>
      <c r="L275" s="2">
        <v>2.5</v>
      </c>
      <c r="M275" s="2"/>
      <c r="N275" s="2"/>
      <c r="O275" s="2"/>
      <c r="P275" s="2"/>
      <c r="Q275" s="2"/>
      <c r="R275" s="2"/>
      <c r="S275" s="2"/>
      <c r="T275" s="2">
        <v>1.1000000000000001</v>
      </c>
      <c r="U275" s="2"/>
      <c r="V275" s="2">
        <v>12.9</v>
      </c>
      <c r="W275" s="2"/>
      <c r="X275" s="2"/>
      <c r="Y275" s="2">
        <v>1.5</v>
      </c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>
        <v>26.899999999994201</v>
      </c>
      <c r="AN275" s="2">
        <v>3.1999999999970901</v>
      </c>
      <c r="AO275" s="2">
        <v>0.19999999999981799</v>
      </c>
      <c r="AP275" s="2"/>
      <c r="AQ275" s="2"/>
      <c r="AR275" s="2"/>
      <c r="AS275" s="2">
        <v>8.3999999999941792</v>
      </c>
      <c r="AT275" s="2">
        <v>0.3</v>
      </c>
      <c r="AU275" s="2"/>
      <c r="AV275" s="2">
        <v>1.5</v>
      </c>
      <c r="AW275" s="2"/>
      <c r="AX275" s="2">
        <v>25.799999999988401</v>
      </c>
      <c r="AY275" s="2">
        <v>1</v>
      </c>
      <c r="AZ275" s="2"/>
      <c r="BA275" s="2"/>
      <c r="BB275" s="2"/>
      <c r="BC275" s="2"/>
      <c r="BD275" s="2"/>
      <c r="BE275" s="2"/>
      <c r="BF275" s="2"/>
      <c r="BG275" s="2"/>
      <c r="BH275" s="2"/>
      <c r="BI275" s="2">
        <v>1.5</v>
      </c>
      <c r="BJ275" s="2">
        <v>26.899999999994201</v>
      </c>
      <c r="BK275" s="2">
        <v>0.100000000000023</v>
      </c>
      <c r="BL275" s="2">
        <v>0.100000000000023</v>
      </c>
      <c r="BM275" s="2"/>
      <c r="BN275" s="2"/>
      <c r="BO275" s="2"/>
      <c r="BP275" s="2">
        <v>2.7000000000007298</v>
      </c>
      <c r="BQ275" s="2">
        <v>0.3</v>
      </c>
      <c r="BR275" s="2"/>
      <c r="BS275" s="2">
        <v>1.29999999999927</v>
      </c>
      <c r="BT275" s="2"/>
      <c r="BU275" s="2">
        <v>0.89999999999963598</v>
      </c>
      <c r="BV275" s="2">
        <v>1</v>
      </c>
      <c r="BW275" s="2"/>
      <c r="BX275" s="2">
        <v>1.7</v>
      </c>
      <c r="BY275" s="2">
        <v>9.6</v>
      </c>
      <c r="BZ275" s="2">
        <v>2.1</v>
      </c>
      <c r="CA275" s="2"/>
      <c r="CB275" s="2">
        <v>4.3</v>
      </c>
      <c r="CC275" s="2"/>
      <c r="CD275" s="2"/>
      <c r="CE275" s="2"/>
      <c r="CF275" s="2">
        <v>14.5</v>
      </c>
      <c r="CG275" s="2"/>
      <c r="CH275" s="2">
        <v>0.100000000000023</v>
      </c>
      <c r="CI275" s="2">
        <v>0.8</v>
      </c>
      <c r="CJ275" s="2"/>
      <c r="CK275" s="2">
        <v>9.5</v>
      </c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>
        <v>9.8000000000000007</v>
      </c>
      <c r="CY275" s="2"/>
      <c r="CZ275" s="2"/>
      <c r="DB275">
        <v>1913</v>
      </c>
      <c r="DC275">
        <v>85.7</v>
      </c>
      <c r="DH275">
        <v>274</v>
      </c>
    </row>
    <row r="276" spans="1:112">
      <c r="A276" s="1">
        <v>41183</v>
      </c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>
        <v>1.3</v>
      </c>
      <c r="M276" s="2"/>
      <c r="N276" s="2"/>
      <c r="O276" s="2"/>
      <c r="P276" s="2"/>
      <c r="Q276" s="2"/>
      <c r="R276" s="2"/>
      <c r="S276" s="2"/>
      <c r="T276" s="2">
        <v>0.1</v>
      </c>
      <c r="U276" s="2"/>
      <c r="V276" s="2">
        <v>0.8</v>
      </c>
      <c r="W276" s="2"/>
      <c r="X276" s="2">
        <v>4</v>
      </c>
      <c r="Y276" s="2"/>
      <c r="Z276" s="2"/>
      <c r="AA276" s="2">
        <v>14.5</v>
      </c>
      <c r="AB276" s="2"/>
      <c r="AC276" s="2">
        <v>0.2</v>
      </c>
      <c r="AD276" s="2">
        <v>2.3999999999978199</v>
      </c>
      <c r="AE276" s="2"/>
      <c r="AF276" s="2"/>
      <c r="AG276" s="2">
        <v>16</v>
      </c>
      <c r="AH276" s="2"/>
      <c r="AI276" s="2">
        <v>6.5999999999985501</v>
      </c>
      <c r="AJ276" s="2">
        <v>23</v>
      </c>
      <c r="AK276" s="2"/>
      <c r="AL276" s="2">
        <v>3.2999999999992702</v>
      </c>
      <c r="AM276" s="2">
        <v>11.299999999988399</v>
      </c>
      <c r="AN276" s="2"/>
      <c r="AO276" s="2">
        <v>0.19999999999981799</v>
      </c>
      <c r="AP276" s="2"/>
      <c r="AQ276" s="2"/>
      <c r="AR276" s="2"/>
      <c r="AS276" s="2">
        <v>6.29999999999563</v>
      </c>
      <c r="AT276" s="2">
        <v>4.6999999999970896</v>
      </c>
      <c r="AU276" s="2"/>
      <c r="AV276" s="2"/>
      <c r="AW276" s="2"/>
      <c r="AX276" s="2">
        <v>3.5</v>
      </c>
      <c r="AY276" s="2"/>
      <c r="AZ276" s="2"/>
      <c r="BA276" s="2">
        <v>21.399999999994201</v>
      </c>
      <c r="BB276" s="2"/>
      <c r="BC276" s="2"/>
      <c r="BD276" s="2"/>
      <c r="BE276" s="2"/>
      <c r="BF276" s="2"/>
      <c r="BG276" s="2"/>
      <c r="BH276" s="2">
        <v>0.100000000000023</v>
      </c>
      <c r="BI276" s="2"/>
      <c r="BJ276" s="2">
        <v>0.3</v>
      </c>
      <c r="BK276" s="2">
        <v>0.200000000000045</v>
      </c>
      <c r="BL276" s="2"/>
      <c r="BM276" s="2"/>
      <c r="BN276" s="2"/>
      <c r="BO276" s="2"/>
      <c r="BP276" s="2"/>
      <c r="BQ276" s="2">
        <v>0.100000000000023</v>
      </c>
      <c r="BR276" s="2">
        <v>0.60000000000036402</v>
      </c>
      <c r="BS276" s="2">
        <v>3.2999999999992702</v>
      </c>
      <c r="BT276" s="2">
        <v>2.5</v>
      </c>
      <c r="BU276" s="2">
        <v>0.100000000000023</v>
      </c>
      <c r="BV276" s="2">
        <v>14.3</v>
      </c>
      <c r="BW276" s="2"/>
      <c r="BX276" s="2"/>
      <c r="BY276" s="2">
        <v>11</v>
      </c>
      <c r="BZ276" s="2">
        <v>31</v>
      </c>
      <c r="CA276" s="2"/>
      <c r="CB276" s="2">
        <v>17.100000000000001</v>
      </c>
      <c r="CC276" s="2"/>
      <c r="CD276" s="2"/>
      <c r="CE276" s="2">
        <v>1.2</v>
      </c>
      <c r="CF276" s="2"/>
      <c r="CG276" s="2"/>
      <c r="CH276" s="2">
        <v>2.6</v>
      </c>
      <c r="CI276" s="2">
        <v>2</v>
      </c>
      <c r="CJ276" s="2">
        <v>21</v>
      </c>
      <c r="CK276" s="2"/>
      <c r="CL276" s="2"/>
      <c r="CM276" s="2"/>
      <c r="CN276" s="2"/>
      <c r="CO276" s="2">
        <v>1.3</v>
      </c>
      <c r="CP276" s="2">
        <v>6.9</v>
      </c>
      <c r="CQ276" s="2"/>
      <c r="CR276" s="2">
        <v>3.5</v>
      </c>
      <c r="CS276" s="2">
        <v>0.6</v>
      </c>
      <c r="CT276" s="2"/>
      <c r="CU276" s="2"/>
      <c r="CV276" s="2"/>
      <c r="CW276" s="2"/>
      <c r="CX276" s="2"/>
      <c r="CY276" s="2"/>
      <c r="CZ276" s="2">
        <v>16.899999999999999</v>
      </c>
      <c r="DB276">
        <v>1987</v>
      </c>
      <c r="DC276">
        <v>31</v>
      </c>
      <c r="DH276">
        <v>275</v>
      </c>
    </row>
    <row r="277" spans="1:112">
      <c r="A277" s="1">
        <v>41184</v>
      </c>
      <c r="B277" s="2"/>
      <c r="C277" s="2"/>
      <c r="D277" s="2"/>
      <c r="E277" s="2"/>
      <c r="F277" s="2">
        <v>0.3</v>
      </c>
      <c r="G277" s="2">
        <v>8.4</v>
      </c>
      <c r="H277" s="2"/>
      <c r="I277" s="2">
        <v>2</v>
      </c>
      <c r="J277" s="2"/>
      <c r="K277" s="2"/>
      <c r="L277" s="2"/>
      <c r="M277" s="2"/>
      <c r="N277" s="2"/>
      <c r="O277" s="2"/>
      <c r="P277" s="2"/>
      <c r="Q277" s="2"/>
      <c r="R277" s="2"/>
      <c r="S277" s="2">
        <v>1.8</v>
      </c>
      <c r="T277" s="2">
        <v>0.1</v>
      </c>
      <c r="U277" s="2">
        <v>15.9</v>
      </c>
      <c r="V277" s="2">
        <v>1</v>
      </c>
      <c r="W277" s="2"/>
      <c r="X277" s="2">
        <v>11</v>
      </c>
      <c r="Y277" s="2"/>
      <c r="Z277" s="2"/>
      <c r="AA277" s="2">
        <v>3.2999999999992702</v>
      </c>
      <c r="AB277" s="2">
        <v>19.799999999988401</v>
      </c>
      <c r="AC277" s="2">
        <v>0.2</v>
      </c>
      <c r="AD277" s="2"/>
      <c r="AE277" s="2"/>
      <c r="AF277" s="2"/>
      <c r="AG277" s="2">
        <v>16.299999999988401</v>
      </c>
      <c r="AH277" s="2"/>
      <c r="AI277" s="2">
        <v>0</v>
      </c>
      <c r="AJ277" s="2">
        <v>0.39999999999963598</v>
      </c>
      <c r="AK277" s="2"/>
      <c r="AL277" s="2"/>
      <c r="AM277" s="2">
        <v>26</v>
      </c>
      <c r="AN277" s="2"/>
      <c r="AO277" s="2">
        <v>2.2999999999992702</v>
      </c>
      <c r="AP277" s="2">
        <v>2</v>
      </c>
      <c r="AQ277" s="2"/>
      <c r="AR277" s="2"/>
      <c r="AS277" s="2">
        <v>0.89999999999963598</v>
      </c>
      <c r="AT277" s="2">
        <v>8.8999999999941792</v>
      </c>
      <c r="AU277" s="2"/>
      <c r="AV277" s="2"/>
      <c r="AW277" s="2"/>
      <c r="AX277" s="2">
        <v>0.69999999999981799</v>
      </c>
      <c r="AY277" s="2"/>
      <c r="AZ277" s="2"/>
      <c r="BA277" s="2">
        <v>2.3999999999978199</v>
      </c>
      <c r="BB277" s="2"/>
      <c r="BC277" s="2"/>
      <c r="BD277" s="2"/>
      <c r="BE277" s="2"/>
      <c r="BF277" s="2"/>
      <c r="BG277" s="2">
        <v>0.400000000000091</v>
      </c>
      <c r="BH277" s="2"/>
      <c r="BI277" s="2"/>
      <c r="BJ277" s="2">
        <v>0.1</v>
      </c>
      <c r="BK277" s="2"/>
      <c r="BL277" s="2"/>
      <c r="BM277" s="2">
        <v>0.100000000000023</v>
      </c>
      <c r="BN277" s="2"/>
      <c r="BO277" s="2"/>
      <c r="BP277" s="2"/>
      <c r="BQ277" s="2"/>
      <c r="BR277" s="2">
        <v>0.100000000000023</v>
      </c>
      <c r="BS277" s="2">
        <v>0.80000000000018201</v>
      </c>
      <c r="BT277" s="2">
        <v>4.5999999999985501</v>
      </c>
      <c r="BU277" s="2">
        <v>0.100000000000023</v>
      </c>
      <c r="BV277" s="2">
        <v>19</v>
      </c>
      <c r="BW277" s="2"/>
      <c r="BX277" s="2"/>
      <c r="BY277" s="2">
        <v>2.1</v>
      </c>
      <c r="BZ277" s="2">
        <v>0.2</v>
      </c>
      <c r="CA277" s="2">
        <v>0.1</v>
      </c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>
        <v>0.1</v>
      </c>
      <c r="CQ277" s="2"/>
      <c r="CR277" s="2">
        <v>6.2</v>
      </c>
      <c r="CS277" s="2"/>
      <c r="CT277" s="2"/>
      <c r="CU277" s="2">
        <v>0.5</v>
      </c>
      <c r="CV277" s="2"/>
      <c r="CW277" s="2">
        <v>1</v>
      </c>
      <c r="CX277" s="2"/>
      <c r="CY277" s="2">
        <v>0.1</v>
      </c>
      <c r="CZ277" s="2">
        <v>9.8000000000000007</v>
      </c>
      <c r="DB277">
        <v>1948</v>
      </c>
      <c r="DC277">
        <v>26</v>
      </c>
      <c r="DH277">
        <v>276</v>
      </c>
    </row>
    <row r="278" spans="1:112">
      <c r="A278" s="1">
        <v>41185</v>
      </c>
      <c r="B278" s="2"/>
      <c r="C278" s="2"/>
      <c r="D278" s="2"/>
      <c r="E278" s="2">
        <v>0.5</v>
      </c>
      <c r="F278" s="2">
        <v>0.5</v>
      </c>
      <c r="G278" s="2"/>
      <c r="H278" s="2"/>
      <c r="I278" s="2"/>
      <c r="J278" s="2"/>
      <c r="K278" s="2"/>
      <c r="L278" s="2"/>
      <c r="M278" s="2">
        <v>21.7</v>
      </c>
      <c r="N278" s="2"/>
      <c r="O278" s="2">
        <v>0.2</v>
      </c>
      <c r="P278" s="2"/>
      <c r="Q278" s="2">
        <v>0.8</v>
      </c>
      <c r="R278" s="2"/>
      <c r="S278" s="2"/>
      <c r="T278" s="2">
        <v>0.1</v>
      </c>
      <c r="U278" s="2">
        <v>18</v>
      </c>
      <c r="V278" s="2"/>
      <c r="W278" s="2"/>
      <c r="X278" s="2">
        <v>0.2</v>
      </c>
      <c r="Y278" s="2"/>
      <c r="Z278" s="2"/>
      <c r="AA278" s="2">
        <v>18</v>
      </c>
      <c r="AB278" s="2">
        <v>12.1999999999971</v>
      </c>
      <c r="AC278" s="2">
        <v>0.1</v>
      </c>
      <c r="AD278" s="2">
        <v>4.6999999999970896</v>
      </c>
      <c r="AE278" s="2"/>
      <c r="AF278" s="2"/>
      <c r="AG278" s="2">
        <v>131.29999999981399</v>
      </c>
      <c r="AH278" s="2"/>
      <c r="AI278" s="2"/>
      <c r="AJ278" s="2">
        <v>9.9999999999908995E-2</v>
      </c>
      <c r="AK278" s="2">
        <v>0</v>
      </c>
      <c r="AL278" s="2"/>
      <c r="AM278" s="2"/>
      <c r="AN278" s="2"/>
      <c r="AO278" s="2"/>
      <c r="AP278" s="2">
        <v>2.1999999999970901</v>
      </c>
      <c r="AQ278" s="2"/>
      <c r="AR278" s="2"/>
      <c r="AS278" s="2">
        <v>3.1999999999970901</v>
      </c>
      <c r="AT278" s="2">
        <v>0.29999999999972699</v>
      </c>
      <c r="AU278" s="2"/>
      <c r="AV278" s="2"/>
      <c r="AW278" s="2">
        <v>0.5</v>
      </c>
      <c r="AX278" s="2"/>
      <c r="AY278" s="2"/>
      <c r="AZ278" s="2"/>
      <c r="BA278" s="2">
        <v>8.5999999999912706</v>
      </c>
      <c r="BB278" s="2"/>
      <c r="BC278" s="2">
        <v>2.7000000000007298</v>
      </c>
      <c r="BD278" s="2"/>
      <c r="BE278" s="2"/>
      <c r="BF278" s="2"/>
      <c r="BG278" s="2">
        <v>0.100000000000023</v>
      </c>
      <c r="BH278" s="2">
        <v>0.200000000000045</v>
      </c>
      <c r="BI278" s="2"/>
      <c r="BJ278" s="2">
        <v>0.1</v>
      </c>
      <c r="BK278" s="2">
        <v>0</v>
      </c>
      <c r="BL278" s="2"/>
      <c r="BM278" s="2"/>
      <c r="BN278" s="2">
        <v>0.30000000000018201</v>
      </c>
      <c r="BO278" s="2"/>
      <c r="BP278" s="2">
        <v>18.799999999988401</v>
      </c>
      <c r="BQ278" s="2">
        <v>0.100000000000023</v>
      </c>
      <c r="BR278" s="2">
        <v>1.70000000000073</v>
      </c>
      <c r="BS278" s="2">
        <v>2.0999999999985399</v>
      </c>
      <c r="BT278" s="2"/>
      <c r="BU278" s="2">
        <v>1.39999999999964</v>
      </c>
      <c r="BV278" s="2"/>
      <c r="BW278" s="2">
        <v>0</v>
      </c>
      <c r="BX278" s="2"/>
      <c r="BY278" s="2"/>
      <c r="BZ278" s="2">
        <v>4.5999999999999996</v>
      </c>
      <c r="CA278" s="2">
        <v>3.1</v>
      </c>
      <c r="CB278" s="2"/>
      <c r="CC278" s="2">
        <v>2.6</v>
      </c>
      <c r="CD278" s="2">
        <v>16.5</v>
      </c>
      <c r="CE278" s="2"/>
      <c r="CF278" s="2"/>
      <c r="CG278" s="2"/>
      <c r="CH278" s="2"/>
      <c r="CI278" s="2"/>
      <c r="CJ278" s="2">
        <v>23.5</v>
      </c>
      <c r="CK278" s="2">
        <v>0.3</v>
      </c>
      <c r="CL278" s="2"/>
      <c r="CM278" s="2"/>
      <c r="CN278" s="2"/>
      <c r="CO278" s="2">
        <v>2.2999999999999998</v>
      </c>
      <c r="CP278" s="2"/>
      <c r="CQ278" s="2">
        <v>0.1</v>
      </c>
      <c r="CR278" s="2">
        <v>6.8</v>
      </c>
      <c r="CS278" s="2"/>
      <c r="CT278" s="2"/>
      <c r="CU278" s="2">
        <v>22.6</v>
      </c>
      <c r="CV278" s="2"/>
      <c r="CW278" s="2">
        <v>3.5</v>
      </c>
      <c r="CX278" s="2"/>
      <c r="CY278" s="2"/>
      <c r="CZ278" s="2">
        <v>5.4</v>
      </c>
      <c r="DB278">
        <v>1942</v>
      </c>
      <c r="DC278">
        <v>131.29999999981399</v>
      </c>
      <c r="DH278">
        <v>277</v>
      </c>
    </row>
    <row r="279" spans="1:112">
      <c r="A279" s="1">
        <v>41186</v>
      </c>
      <c r="B279" s="2"/>
      <c r="C279" s="2"/>
      <c r="D279" s="2"/>
      <c r="E279" s="2">
        <v>0.4</v>
      </c>
      <c r="F279" s="2">
        <v>0.2</v>
      </c>
      <c r="G279" s="2">
        <v>4.9000000000000004</v>
      </c>
      <c r="H279" s="2"/>
      <c r="I279" s="2"/>
      <c r="J279" s="2"/>
      <c r="K279" s="2">
        <v>3.7</v>
      </c>
      <c r="L279" s="2"/>
      <c r="M279" s="2">
        <v>14.4</v>
      </c>
      <c r="N279" s="2"/>
      <c r="O279" s="2"/>
      <c r="P279" s="2"/>
      <c r="Q279" s="2">
        <v>1.5</v>
      </c>
      <c r="R279" s="2">
        <v>20.3</v>
      </c>
      <c r="S279" s="2">
        <v>6.4</v>
      </c>
      <c r="T279" s="2"/>
      <c r="U279" s="2"/>
      <c r="V279" s="2"/>
      <c r="W279" s="2"/>
      <c r="X279" s="2"/>
      <c r="Y279" s="2"/>
      <c r="Z279" s="2"/>
      <c r="AA279" s="2">
        <v>0.79999999999927196</v>
      </c>
      <c r="AB279" s="2"/>
      <c r="AC279" s="2"/>
      <c r="AD279" s="2">
        <v>0.19999999999981799</v>
      </c>
      <c r="AE279" s="2"/>
      <c r="AF279" s="2"/>
      <c r="AG279" s="2">
        <v>6.5</v>
      </c>
      <c r="AH279" s="2">
        <v>0.5</v>
      </c>
      <c r="AI279" s="2">
        <v>0.29999999999972699</v>
      </c>
      <c r="AJ279" s="2">
        <v>9.9999999999908995E-2</v>
      </c>
      <c r="AK279" s="2">
        <v>2.0999999999985399</v>
      </c>
      <c r="AL279" s="2"/>
      <c r="AM279" s="2"/>
      <c r="AN279" s="2"/>
      <c r="AO279" s="2">
        <v>0.19999999999981799</v>
      </c>
      <c r="AP279" s="2">
        <v>15</v>
      </c>
      <c r="AQ279" s="2">
        <v>17.699999999982499</v>
      </c>
      <c r="AR279" s="2"/>
      <c r="AS279" s="2"/>
      <c r="AT279" s="2"/>
      <c r="AU279" s="2"/>
      <c r="AV279" s="2"/>
      <c r="AW279" s="2"/>
      <c r="AX279" s="2"/>
      <c r="AY279" s="2"/>
      <c r="AZ279" s="2"/>
      <c r="BA279" s="2">
        <v>18.299999999988401</v>
      </c>
      <c r="BB279" s="2"/>
      <c r="BC279" s="2"/>
      <c r="BD279" s="2"/>
      <c r="BE279" s="2">
        <v>0.5</v>
      </c>
      <c r="BF279" s="2"/>
      <c r="BG279" s="2">
        <v>0.5</v>
      </c>
      <c r="BH279" s="2"/>
      <c r="BI279" s="2">
        <v>38.5</v>
      </c>
      <c r="BJ279" s="2">
        <v>0.1</v>
      </c>
      <c r="BK279" s="2">
        <v>0.69999999999981799</v>
      </c>
      <c r="BL279" s="2">
        <v>30</v>
      </c>
      <c r="BM279" s="2"/>
      <c r="BN279" s="2"/>
      <c r="BO279" s="2"/>
      <c r="BP279" s="2">
        <v>1</v>
      </c>
      <c r="BQ279" s="2">
        <v>0.200000000000045</v>
      </c>
      <c r="BR279" s="2">
        <v>0.100000000000023</v>
      </c>
      <c r="BS279" s="2">
        <v>0.100000000000023</v>
      </c>
      <c r="BT279" s="2"/>
      <c r="BU279" s="2">
        <v>1.60000000000036</v>
      </c>
      <c r="BV279" s="2"/>
      <c r="BW279" s="2"/>
      <c r="BX279" s="2"/>
      <c r="BY279" s="2"/>
      <c r="BZ279" s="2">
        <v>2.8</v>
      </c>
      <c r="CA279" s="2"/>
      <c r="CB279" s="2">
        <v>4.4000000000000004</v>
      </c>
      <c r="CC279" s="2"/>
      <c r="CD279" s="2">
        <v>10</v>
      </c>
      <c r="CE279" s="2"/>
      <c r="CF279" s="2">
        <v>1.8</v>
      </c>
      <c r="CG279" s="2"/>
      <c r="CH279" s="2"/>
      <c r="CI279" s="2"/>
      <c r="CJ279" s="2">
        <v>0.7</v>
      </c>
      <c r="CK279" s="2">
        <v>16</v>
      </c>
      <c r="CL279" s="2"/>
      <c r="CM279" s="2"/>
      <c r="CN279" s="2"/>
      <c r="CO279" s="2"/>
      <c r="CP279" s="2"/>
      <c r="CQ279" s="2">
        <v>0.5</v>
      </c>
      <c r="CR279" s="2"/>
      <c r="CS279" s="2"/>
      <c r="CT279" s="2"/>
      <c r="CU279" s="2"/>
      <c r="CV279" s="2">
        <v>11</v>
      </c>
      <c r="CW279" s="2">
        <v>0.1</v>
      </c>
      <c r="CX279" s="2"/>
      <c r="CY279" s="2"/>
      <c r="CZ279" s="2">
        <v>3.9</v>
      </c>
      <c r="DB279">
        <v>1970</v>
      </c>
      <c r="DC279">
        <v>38.5</v>
      </c>
      <c r="DH279">
        <v>278</v>
      </c>
    </row>
    <row r="280" spans="1:112">
      <c r="A280" s="1">
        <v>41187</v>
      </c>
      <c r="B280" s="2"/>
      <c r="C280" s="2">
        <v>2.7</v>
      </c>
      <c r="D280" s="2"/>
      <c r="E280" s="2"/>
      <c r="F280" s="2"/>
      <c r="G280" s="2"/>
      <c r="H280" s="2"/>
      <c r="I280" s="2">
        <v>0.1</v>
      </c>
      <c r="J280" s="2">
        <v>3.2</v>
      </c>
      <c r="K280" s="2">
        <v>14.8</v>
      </c>
      <c r="L280" s="2">
        <v>0.7</v>
      </c>
      <c r="M280" s="2"/>
      <c r="N280" s="2"/>
      <c r="O280" s="2"/>
      <c r="P280" s="2">
        <v>0.1</v>
      </c>
      <c r="Q280" s="2"/>
      <c r="R280" s="2"/>
      <c r="S280" s="2"/>
      <c r="T280" s="2">
        <v>0.1</v>
      </c>
      <c r="U280" s="2"/>
      <c r="V280" s="2">
        <v>0.7</v>
      </c>
      <c r="W280" s="2"/>
      <c r="X280" s="2"/>
      <c r="Y280" s="2"/>
      <c r="Z280" s="2"/>
      <c r="AA280" s="2">
        <v>2.2000000000000002</v>
      </c>
      <c r="AB280" s="2"/>
      <c r="AC280" s="2"/>
      <c r="AD280" s="2"/>
      <c r="AE280" s="2"/>
      <c r="AF280" s="2">
        <v>9.9999999999908995E-2</v>
      </c>
      <c r="AG280" s="2">
        <v>10.299999999988399</v>
      </c>
      <c r="AH280" s="2"/>
      <c r="AI280" s="2"/>
      <c r="AJ280" s="2">
        <v>0</v>
      </c>
      <c r="AK280" s="2"/>
      <c r="AL280" s="2"/>
      <c r="AM280" s="2"/>
      <c r="AN280" s="2"/>
      <c r="AO280" s="2"/>
      <c r="AP280" s="2">
        <v>0.29999999999972699</v>
      </c>
      <c r="AQ280" s="2"/>
      <c r="AR280" s="2"/>
      <c r="AS280" s="2"/>
      <c r="AT280" s="2">
        <v>2.6999999999970901</v>
      </c>
      <c r="AU280" s="2"/>
      <c r="AV280" s="2">
        <v>20.799999999988401</v>
      </c>
      <c r="AW280" s="2"/>
      <c r="AX280" s="2">
        <v>9.9999999999908995E-2</v>
      </c>
      <c r="AY280" s="2"/>
      <c r="AZ280" s="2"/>
      <c r="BA280" s="2"/>
      <c r="BB280" s="2"/>
      <c r="BC280" s="2"/>
      <c r="BD280" s="2"/>
      <c r="BE280" s="2"/>
      <c r="BF280" s="2"/>
      <c r="BG280" s="2"/>
      <c r="BH280" s="2">
        <v>2.5</v>
      </c>
      <c r="BI280" s="2">
        <v>0.400000000000091</v>
      </c>
      <c r="BJ280" s="2">
        <v>15.6</v>
      </c>
      <c r="BK280" s="2">
        <v>0.400000000000091</v>
      </c>
      <c r="BL280" s="2">
        <v>34.5</v>
      </c>
      <c r="BM280" s="2"/>
      <c r="BN280" s="2">
        <v>8.6999999999970896</v>
      </c>
      <c r="BO280" s="2">
        <v>0.100000000000023</v>
      </c>
      <c r="BP280" s="2"/>
      <c r="BQ280" s="2"/>
      <c r="BR280" s="2"/>
      <c r="BS280" s="2"/>
      <c r="BT280" s="2"/>
      <c r="BU280" s="2">
        <v>0</v>
      </c>
      <c r="BV280" s="2"/>
      <c r="BW280" s="2"/>
      <c r="BX280" s="2"/>
      <c r="BY280" s="2"/>
      <c r="BZ280" s="2"/>
      <c r="CA280" s="2"/>
      <c r="CB280" s="2">
        <v>0.1</v>
      </c>
      <c r="CC280" s="2"/>
      <c r="CD280" s="2">
        <v>12.5</v>
      </c>
      <c r="CE280" s="2"/>
      <c r="CF280" s="2">
        <v>7.4</v>
      </c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>
        <v>3.6</v>
      </c>
      <c r="CV280" s="2">
        <v>1.7</v>
      </c>
      <c r="CW280" s="2"/>
      <c r="CX280" s="2"/>
      <c r="CY280" s="2"/>
      <c r="CZ280" s="2"/>
      <c r="DB280">
        <v>1973</v>
      </c>
      <c r="DC280">
        <v>34.5</v>
      </c>
      <c r="DH280">
        <v>279</v>
      </c>
    </row>
    <row r="281" spans="1:112">
      <c r="A281" s="1">
        <v>41188</v>
      </c>
      <c r="B281" s="2"/>
      <c r="C281" s="2">
        <v>0.4</v>
      </c>
      <c r="D281" s="2"/>
      <c r="E281" s="2">
        <v>1.5</v>
      </c>
      <c r="F281" s="2"/>
      <c r="G281" s="2"/>
      <c r="H281" s="2"/>
      <c r="I281" s="2">
        <v>0.3</v>
      </c>
      <c r="J281" s="2">
        <v>7.5</v>
      </c>
      <c r="K281" s="2">
        <v>37.700000000000003</v>
      </c>
      <c r="L281" s="2"/>
      <c r="M281" s="2"/>
      <c r="N281" s="2">
        <v>1.5</v>
      </c>
      <c r="O281" s="2"/>
      <c r="P281" s="2"/>
      <c r="Q281" s="2"/>
      <c r="R281" s="2"/>
      <c r="S281" s="2">
        <v>1.4</v>
      </c>
      <c r="T281" s="2"/>
      <c r="U281" s="2"/>
      <c r="V281" s="2"/>
      <c r="W281" s="2"/>
      <c r="X281" s="2"/>
      <c r="Y281" s="2"/>
      <c r="Z281" s="2">
        <v>9.9999999999908995E-2</v>
      </c>
      <c r="AA281" s="2"/>
      <c r="AB281" s="2">
        <v>0</v>
      </c>
      <c r="AC281" s="2"/>
      <c r="AD281" s="2">
        <v>0</v>
      </c>
      <c r="AE281" s="2"/>
      <c r="AF281" s="2">
        <v>0.5</v>
      </c>
      <c r="AG281" s="2">
        <v>0.2</v>
      </c>
      <c r="AH281" s="2"/>
      <c r="AI281" s="2"/>
      <c r="AJ281" s="2">
        <v>18</v>
      </c>
      <c r="AK281" s="2">
        <v>4.1999999999970896</v>
      </c>
      <c r="AL281" s="2"/>
      <c r="AM281" s="2">
        <v>0.39999999999963598</v>
      </c>
      <c r="AN281" s="2"/>
      <c r="AO281" s="2">
        <v>0.59999999999945397</v>
      </c>
      <c r="AP281" s="2">
        <v>4.3999999999941801</v>
      </c>
      <c r="AQ281" s="2">
        <v>4.6999999999970896</v>
      </c>
      <c r="AR281" s="2">
        <v>9.1999999999970896</v>
      </c>
      <c r="AS281" s="2">
        <v>1</v>
      </c>
      <c r="AT281" s="2"/>
      <c r="AU281" s="2"/>
      <c r="AV281" s="2"/>
      <c r="AW281" s="2"/>
      <c r="AX281" s="2"/>
      <c r="AY281" s="2"/>
      <c r="AZ281" s="2"/>
      <c r="BA281" s="2"/>
      <c r="BB281" s="2">
        <v>1.0999999999985499</v>
      </c>
      <c r="BC281" s="2"/>
      <c r="BD281" s="2">
        <v>0.5</v>
      </c>
      <c r="BE281" s="2">
        <v>0.60000000000036402</v>
      </c>
      <c r="BF281" s="2">
        <v>22.399999999994201</v>
      </c>
      <c r="BG281" s="2"/>
      <c r="BH281" s="2"/>
      <c r="BI281" s="2">
        <v>0.100000000000023</v>
      </c>
      <c r="BJ281" s="2">
        <v>12.5</v>
      </c>
      <c r="BK281" s="2">
        <v>0.5</v>
      </c>
      <c r="BL281" s="2">
        <v>35.5</v>
      </c>
      <c r="BM281" s="2">
        <v>0.100000000000023</v>
      </c>
      <c r="BN281" s="2">
        <v>13.1999999999971</v>
      </c>
      <c r="BO281" s="2"/>
      <c r="BP281" s="2"/>
      <c r="BQ281" s="2"/>
      <c r="BR281" s="2"/>
      <c r="BS281" s="2"/>
      <c r="BT281" s="2"/>
      <c r="BU281" s="2">
        <v>0.89999999999963598</v>
      </c>
      <c r="BV281" s="2">
        <v>0</v>
      </c>
      <c r="BW281" s="2"/>
      <c r="BX281" s="2"/>
      <c r="BY281" s="2"/>
      <c r="BZ281" s="2"/>
      <c r="CA281" s="2"/>
      <c r="CB281" s="2">
        <v>0.1</v>
      </c>
      <c r="CC281" s="2"/>
      <c r="CD281" s="2">
        <v>0.7</v>
      </c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>
        <v>1.5</v>
      </c>
      <c r="CP281" s="2"/>
      <c r="CQ281" s="2">
        <v>33.6</v>
      </c>
      <c r="CR281" s="2"/>
      <c r="CS281" s="2"/>
      <c r="CT281" s="2"/>
      <c r="CU281" s="2"/>
      <c r="CV281" s="2"/>
      <c r="CW281" s="2">
        <v>3.1</v>
      </c>
      <c r="CX281" s="2"/>
      <c r="CY281" s="2"/>
      <c r="CZ281" s="2">
        <v>0.1</v>
      </c>
      <c r="DB281">
        <v>1920</v>
      </c>
      <c r="DC281">
        <v>37.700000000000003</v>
      </c>
      <c r="DH281">
        <v>280</v>
      </c>
    </row>
    <row r="282" spans="1:112">
      <c r="A282" s="1">
        <v>41189</v>
      </c>
      <c r="B282" s="2"/>
      <c r="C282" s="2"/>
      <c r="D282" s="2"/>
      <c r="E282" s="2">
        <v>9.5</v>
      </c>
      <c r="F282" s="2"/>
      <c r="G282" s="2"/>
      <c r="H282" s="2">
        <v>0.6</v>
      </c>
      <c r="I282" s="2"/>
      <c r="J282" s="2">
        <v>0.6</v>
      </c>
      <c r="K282" s="2">
        <v>16.100000000000001</v>
      </c>
      <c r="L282" s="2"/>
      <c r="M282" s="2"/>
      <c r="N282" s="2">
        <v>2.4</v>
      </c>
      <c r="O282" s="2"/>
      <c r="P282" s="2"/>
      <c r="Q282" s="2"/>
      <c r="R282" s="2"/>
      <c r="S282" s="2"/>
      <c r="T282" s="2">
        <v>0.1</v>
      </c>
      <c r="U282" s="2">
        <v>71</v>
      </c>
      <c r="V282" s="2"/>
      <c r="W282" s="2"/>
      <c r="X282" s="2">
        <v>0.7</v>
      </c>
      <c r="Y282" s="2"/>
      <c r="Z282" s="2"/>
      <c r="AA282" s="2">
        <v>0.19999999999981799</v>
      </c>
      <c r="AB282" s="2"/>
      <c r="AC282" s="2">
        <v>0.1</v>
      </c>
      <c r="AD282" s="2"/>
      <c r="AE282" s="2"/>
      <c r="AF282" s="2"/>
      <c r="AG282" s="2">
        <v>0.1</v>
      </c>
      <c r="AH282" s="2"/>
      <c r="AI282" s="2"/>
      <c r="AJ282" s="2">
        <v>1.29999999999927</v>
      </c>
      <c r="AK282" s="2">
        <v>16</v>
      </c>
      <c r="AL282" s="2"/>
      <c r="AM282" s="2"/>
      <c r="AN282" s="2"/>
      <c r="AO282" s="2">
        <v>3.2999999999992702</v>
      </c>
      <c r="AP282" s="2">
        <v>0.69999999999981799</v>
      </c>
      <c r="AQ282" s="2"/>
      <c r="AR282" s="2">
        <v>70.299999999930193</v>
      </c>
      <c r="AS282" s="2"/>
      <c r="AT282" s="2"/>
      <c r="AU282" s="2">
        <v>15</v>
      </c>
      <c r="AV282" s="2"/>
      <c r="AW282" s="2"/>
      <c r="AX282" s="2"/>
      <c r="AY282" s="2">
        <v>10.599999999991301</v>
      </c>
      <c r="AZ282" s="2"/>
      <c r="BA282" s="2">
        <v>1.1999999999989099</v>
      </c>
      <c r="BB282" s="2">
        <v>1</v>
      </c>
      <c r="BC282" s="2"/>
      <c r="BD282" s="2">
        <v>2</v>
      </c>
      <c r="BE282" s="2"/>
      <c r="BF282" s="2">
        <v>0.30000000000018201</v>
      </c>
      <c r="BG282" s="2"/>
      <c r="BH282" s="2"/>
      <c r="BI282" s="2">
        <v>0</v>
      </c>
      <c r="BJ282" s="2">
        <v>1.7</v>
      </c>
      <c r="BK282" s="2"/>
      <c r="BL282" s="2">
        <v>29</v>
      </c>
      <c r="BM282" s="2">
        <v>0.100000000000023</v>
      </c>
      <c r="BN282" s="2">
        <v>1.39999999999964</v>
      </c>
      <c r="BO282" s="2"/>
      <c r="BP282" s="2"/>
      <c r="BQ282" s="2"/>
      <c r="BR282" s="2">
        <v>2.2999999999992702</v>
      </c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>
        <v>0.3</v>
      </c>
      <c r="CE282" s="2"/>
      <c r="CF282" s="2"/>
      <c r="CG282" s="2">
        <v>0</v>
      </c>
      <c r="CH282" s="2"/>
      <c r="CI282" s="2"/>
      <c r="CJ282" s="2"/>
      <c r="CK282" s="2"/>
      <c r="CL282" s="2">
        <v>1</v>
      </c>
      <c r="CM282" s="2"/>
      <c r="CN282" s="2"/>
      <c r="CO282" s="2"/>
      <c r="CP282" s="2"/>
      <c r="CQ282" s="2">
        <v>120.5</v>
      </c>
      <c r="CR282" s="2"/>
      <c r="CS282" s="2"/>
      <c r="CT282" s="2"/>
      <c r="CU282" s="2"/>
      <c r="CV282" s="2"/>
      <c r="CW282" s="2">
        <v>12.5</v>
      </c>
      <c r="CX282" s="2"/>
      <c r="CY282" s="2">
        <v>0.8</v>
      </c>
      <c r="CZ282" s="2"/>
      <c r="DB282">
        <v>2004</v>
      </c>
      <c r="DC282">
        <v>120.5</v>
      </c>
      <c r="DH282">
        <v>281</v>
      </c>
    </row>
    <row r="283" spans="1:112">
      <c r="A283" s="1">
        <v>41190</v>
      </c>
      <c r="B283" s="2"/>
      <c r="C283" s="2"/>
      <c r="D283" s="2"/>
      <c r="E283" s="2">
        <v>45.4</v>
      </c>
      <c r="F283" s="2">
        <v>0.7</v>
      </c>
      <c r="G283" s="2"/>
      <c r="H283" s="2"/>
      <c r="I283" s="2"/>
      <c r="J283" s="2"/>
      <c r="K283" s="2">
        <v>5.8</v>
      </c>
      <c r="L283" s="2"/>
      <c r="M283" s="2">
        <v>0.1</v>
      </c>
      <c r="N283" s="2"/>
      <c r="O283" s="2"/>
      <c r="P283" s="2"/>
      <c r="Q283" s="2"/>
      <c r="R283" s="2"/>
      <c r="S283" s="2"/>
      <c r="T283" s="2"/>
      <c r="U283" s="2">
        <v>2.2999999999999998</v>
      </c>
      <c r="V283" s="2"/>
      <c r="W283" s="2"/>
      <c r="X283" s="2"/>
      <c r="Y283" s="2"/>
      <c r="Z283" s="2"/>
      <c r="AA283" s="2">
        <v>2.6</v>
      </c>
      <c r="AB283" s="2"/>
      <c r="AC283" s="2">
        <v>0.1</v>
      </c>
      <c r="AD283" s="2">
        <v>4.1999999999970896</v>
      </c>
      <c r="AE283" s="2"/>
      <c r="AF283" s="2">
        <v>0.29999999999972699</v>
      </c>
      <c r="AG283" s="2">
        <v>9.9999999999908995E-2</v>
      </c>
      <c r="AH283" s="2"/>
      <c r="AI283" s="2"/>
      <c r="AJ283" s="2">
        <v>5.8999999999941801</v>
      </c>
      <c r="AK283" s="2">
        <v>7.6999999999970896</v>
      </c>
      <c r="AL283" s="2"/>
      <c r="AM283" s="2"/>
      <c r="AN283" s="2"/>
      <c r="AO283" s="2">
        <v>1.0999999999985499</v>
      </c>
      <c r="AP283" s="2"/>
      <c r="AQ283" s="2"/>
      <c r="AR283" s="2">
        <v>3.0999999999985399</v>
      </c>
      <c r="AS283" s="2"/>
      <c r="AT283" s="2"/>
      <c r="AU283" s="2"/>
      <c r="AV283" s="2"/>
      <c r="AW283" s="2"/>
      <c r="AX283" s="2"/>
      <c r="AY283" s="2">
        <v>0.5</v>
      </c>
      <c r="AZ283" s="2">
        <v>1.39999999999964</v>
      </c>
      <c r="BA283" s="2">
        <v>20.5</v>
      </c>
      <c r="BB283" s="2"/>
      <c r="BC283" s="2">
        <v>0.200000000000045</v>
      </c>
      <c r="BD283" s="2"/>
      <c r="BE283" s="2"/>
      <c r="BF283" s="2"/>
      <c r="BG283" s="2"/>
      <c r="BH283" s="2"/>
      <c r="BI283" s="2"/>
      <c r="BJ283" s="2"/>
      <c r="BK283" s="2">
        <v>0.100000000000023</v>
      </c>
      <c r="BL283" s="2"/>
      <c r="BM283" s="2"/>
      <c r="BN283" s="2">
        <v>4.5</v>
      </c>
      <c r="BO283" s="2"/>
      <c r="BP283" s="2"/>
      <c r="BQ283" s="2"/>
      <c r="BR283" s="2">
        <v>0.100000000000023</v>
      </c>
      <c r="BS283" s="2"/>
      <c r="BT283" s="2">
        <v>5.5</v>
      </c>
      <c r="BU283" s="2"/>
      <c r="BV283" s="2">
        <v>0</v>
      </c>
      <c r="BW283" s="2"/>
      <c r="BX283" s="2"/>
      <c r="BY283" s="2"/>
      <c r="BZ283" s="2">
        <v>0.3</v>
      </c>
      <c r="CA283" s="2">
        <v>20.8</v>
      </c>
      <c r="CB283" s="2"/>
      <c r="CC283" s="2"/>
      <c r="CD283" s="2">
        <v>4.5</v>
      </c>
      <c r="CE283" s="2">
        <v>0.7</v>
      </c>
      <c r="CF283" s="2"/>
      <c r="CG283" s="2"/>
      <c r="CH283" s="2"/>
      <c r="CI283" s="2"/>
      <c r="CJ283" s="2"/>
      <c r="CK283" s="2"/>
      <c r="CL283" s="2">
        <v>1</v>
      </c>
      <c r="CM283" s="2">
        <v>0.2</v>
      </c>
      <c r="CN283" s="2"/>
      <c r="CO283" s="2">
        <v>22.1</v>
      </c>
      <c r="CP283" s="2">
        <v>11.9</v>
      </c>
      <c r="CQ283" s="2">
        <v>43</v>
      </c>
      <c r="CR283" s="2"/>
      <c r="CS283" s="2">
        <v>0.3</v>
      </c>
      <c r="CT283" s="2">
        <v>0.1</v>
      </c>
      <c r="CU283" s="2">
        <v>2.9</v>
      </c>
      <c r="CV283" s="2"/>
      <c r="CW283" s="2">
        <v>91.2</v>
      </c>
      <c r="CX283" s="2">
        <v>12</v>
      </c>
      <c r="CY283" s="2"/>
      <c r="CZ283" s="2"/>
      <c r="DB283">
        <v>2010</v>
      </c>
      <c r="DC283">
        <v>91.2</v>
      </c>
      <c r="DH283">
        <v>282</v>
      </c>
    </row>
    <row r="284" spans="1:112">
      <c r="A284" s="1">
        <v>41191</v>
      </c>
      <c r="B284" s="2"/>
      <c r="C284" s="2"/>
      <c r="D284" s="2"/>
      <c r="E284" s="2">
        <v>1.6</v>
      </c>
      <c r="F284" s="2">
        <v>2</v>
      </c>
      <c r="G284" s="2">
        <v>1</v>
      </c>
      <c r="H284" s="2"/>
      <c r="I284" s="2">
        <v>1.4</v>
      </c>
      <c r="J284" s="2"/>
      <c r="K284" s="2"/>
      <c r="L284" s="2"/>
      <c r="M284" s="2">
        <v>0.3</v>
      </c>
      <c r="N284" s="2"/>
      <c r="O284" s="2">
        <v>42</v>
      </c>
      <c r="P284" s="2">
        <v>3.8</v>
      </c>
      <c r="Q284" s="2"/>
      <c r="R284" s="2">
        <v>14.5</v>
      </c>
      <c r="S284" s="2">
        <v>7.8</v>
      </c>
      <c r="T284" s="2">
        <v>0.1</v>
      </c>
      <c r="U284" s="2"/>
      <c r="V284" s="2"/>
      <c r="W284" s="2"/>
      <c r="X284" s="2"/>
      <c r="Y284" s="2"/>
      <c r="Z284" s="2"/>
      <c r="AA284" s="2"/>
      <c r="AB284" s="2"/>
      <c r="AC284" s="2">
        <v>0</v>
      </c>
      <c r="AD284" s="2"/>
      <c r="AE284" s="2"/>
      <c r="AF284" s="2"/>
      <c r="AG284" s="2"/>
      <c r="AH284" s="2">
        <v>0.79999999999927196</v>
      </c>
      <c r="AI284" s="2"/>
      <c r="AJ284" s="2">
        <v>12.6999999999971</v>
      </c>
      <c r="AK284" s="2"/>
      <c r="AL284" s="2"/>
      <c r="AM284" s="2"/>
      <c r="AN284" s="2"/>
      <c r="AO284" s="2">
        <v>15</v>
      </c>
      <c r="AP284" s="2">
        <v>6.6999999999970896</v>
      </c>
      <c r="AQ284" s="2">
        <v>2.3999999999978199</v>
      </c>
      <c r="AR284" s="2">
        <v>5.0999999999985501</v>
      </c>
      <c r="AS284" s="2">
        <v>0.4</v>
      </c>
      <c r="AT284" s="2"/>
      <c r="AU284" s="2">
        <v>5.1999999999970896</v>
      </c>
      <c r="AV284" s="2">
        <v>9.9999999999908995E-2</v>
      </c>
      <c r="AW284" s="2"/>
      <c r="AX284" s="2"/>
      <c r="AY284" s="2"/>
      <c r="AZ284" s="2">
        <v>1.1999999999989099</v>
      </c>
      <c r="BA284" s="2">
        <v>3.0999999999985399</v>
      </c>
      <c r="BB284" s="2"/>
      <c r="BC284" s="2">
        <v>1.20000000000073</v>
      </c>
      <c r="BD284" s="2"/>
      <c r="BE284" s="2"/>
      <c r="BF284" s="2">
        <v>14.8000000000029</v>
      </c>
      <c r="BG284" s="2">
        <v>0.200000000000045</v>
      </c>
      <c r="BH284" s="2">
        <v>0.100000000000023</v>
      </c>
      <c r="BI284" s="2"/>
      <c r="BJ284" s="2"/>
      <c r="BK284" s="2">
        <v>0.100000000000023</v>
      </c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>
        <v>0</v>
      </c>
      <c r="BY284" s="2">
        <v>8.6</v>
      </c>
      <c r="BZ284" s="2"/>
      <c r="CA284" s="2">
        <v>1</v>
      </c>
      <c r="CB284" s="2">
        <v>0.1</v>
      </c>
      <c r="CC284" s="2">
        <v>10.7</v>
      </c>
      <c r="CD284" s="2"/>
      <c r="CE284" s="2"/>
      <c r="CF284" s="2"/>
      <c r="CG284" s="2">
        <v>0</v>
      </c>
      <c r="CH284" s="2"/>
      <c r="CI284" s="2">
        <v>1</v>
      </c>
      <c r="CJ284" s="2"/>
      <c r="CK284" s="2"/>
      <c r="CL284" s="2">
        <v>1.8</v>
      </c>
      <c r="CM284" s="2">
        <v>3</v>
      </c>
      <c r="CN284" s="2"/>
      <c r="CO284" s="2">
        <v>0</v>
      </c>
      <c r="CP284" s="2">
        <v>0.9</v>
      </c>
      <c r="CQ284" s="2"/>
      <c r="CR284" s="2"/>
      <c r="CS284" s="2">
        <v>7.6</v>
      </c>
      <c r="CT284" s="2"/>
      <c r="CU284" s="2"/>
      <c r="CV284" s="2"/>
      <c r="CW284" s="2">
        <v>2</v>
      </c>
      <c r="CX284" s="2">
        <v>9.8000000000000007</v>
      </c>
      <c r="CY284" s="2"/>
      <c r="CZ284" s="2"/>
      <c r="DB284">
        <v>1924</v>
      </c>
      <c r="DC284">
        <v>42</v>
      </c>
      <c r="DH284">
        <v>283</v>
      </c>
    </row>
    <row r="285" spans="1:112">
      <c r="A285" s="1">
        <v>41192</v>
      </c>
      <c r="B285" s="2">
        <v>3.2</v>
      </c>
      <c r="C285" s="2"/>
      <c r="D285" s="2"/>
      <c r="E285" s="2"/>
      <c r="F285" s="2">
        <v>0.3</v>
      </c>
      <c r="G285" s="2"/>
      <c r="H285" s="2"/>
      <c r="I285" s="2"/>
      <c r="J285" s="2">
        <v>4.5</v>
      </c>
      <c r="K285" s="2"/>
      <c r="L285" s="2"/>
      <c r="M285" s="2"/>
      <c r="N285" s="2"/>
      <c r="O285" s="2">
        <v>12.5</v>
      </c>
      <c r="P285" s="2">
        <v>3.4</v>
      </c>
      <c r="Q285" s="2"/>
      <c r="R285" s="2">
        <v>0.4</v>
      </c>
      <c r="S285" s="2"/>
      <c r="T285" s="2"/>
      <c r="U285" s="2"/>
      <c r="V285" s="2"/>
      <c r="W285" s="2"/>
      <c r="X285" s="2"/>
      <c r="Y285" s="2">
        <v>53</v>
      </c>
      <c r="Z285" s="2">
        <v>0.5</v>
      </c>
      <c r="AA285" s="2"/>
      <c r="AB285" s="2">
        <v>10.399999999994201</v>
      </c>
      <c r="AC285" s="2"/>
      <c r="AD285" s="2"/>
      <c r="AE285" s="2"/>
      <c r="AF285" s="2"/>
      <c r="AG285" s="2">
        <v>0.39999999999963598</v>
      </c>
      <c r="AH285" s="2">
        <v>4</v>
      </c>
      <c r="AI285" s="2"/>
      <c r="AJ285" s="2"/>
      <c r="AK285" s="2">
        <v>3.8999999999978199</v>
      </c>
      <c r="AL285" s="2"/>
      <c r="AM285" s="2">
        <v>13.5</v>
      </c>
      <c r="AN285" s="2"/>
      <c r="AO285" s="2">
        <v>0.59999999999945397</v>
      </c>
      <c r="AP285" s="2"/>
      <c r="AQ285" s="2">
        <v>19.299999999988401</v>
      </c>
      <c r="AR285" s="2"/>
      <c r="AS285" s="2">
        <v>9.9999999999908995E-2</v>
      </c>
      <c r="AT285" s="2"/>
      <c r="AU285" s="2">
        <v>4.5999999999985501</v>
      </c>
      <c r="AV285" s="2"/>
      <c r="AW285" s="2"/>
      <c r="AX285" s="2">
        <v>31.099999999976699</v>
      </c>
      <c r="AY285" s="2"/>
      <c r="AZ285" s="2">
        <v>0.59999999999945397</v>
      </c>
      <c r="BA285" s="2">
        <v>10.1999999999971</v>
      </c>
      <c r="BB285" s="2"/>
      <c r="BC285" s="2"/>
      <c r="BD285" s="2">
        <v>35.599999999976703</v>
      </c>
      <c r="BE285" s="2"/>
      <c r="BF285" s="2">
        <v>9.3000000000029104</v>
      </c>
      <c r="BG285" s="2">
        <v>0.100000000000023</v>
      </c>
      <c r="BH285" s="2"/>
      <c r="BI285" s="2">
        <v>0.100000000000023</v>
      </c>
      <c r="BJ285" s="2">
        <v>0.1</v>
      </c>
      <c r="BK285" s="2">
        <v>1.70000000000073</v>
      </c>
      <c r="BL285" s="2"/>
      <c r="BM285" s="2"/>
      <c r="BN285" s="2">
        <v>0.200000000000045</v>
      </c>
      <c r="BO285" s="2"/>
      <c r="BP285" s="2">
        <v>1.60000000000036</v>
      </c>
      <c r="BQ285" s="2"/>
      <c r="BR285" s="2">
        <v>2</v>
      </c>
      <c r="BS285" s="2"/>
      <c r="BT285" s="2"/>
      <c r="BU285" s="2">
        <v>1.20000000000073</v>
      </c>
      <c r="BV285" s="2">
        <v>17.7</v>
      </c>
      <c r="BW285" s="2"/>
      <c r="BX285" s="2">
        <v>0</v>
      </c>
      <c r="BY285" s="2">
        <v>10.1</v>
      </c>
      <c r="BZ285" s="2"/>
      <c r="CA285" s="2">
        <v>0</v>
      </c>
      <c r="CB285" s="2"/>
      <c r="CC285" s="2">
        <v>1.8</v>
      </c>
      <c r="CD285" s="2"/>
      <c r="CE285" s="2"/>
      <c r="CF285" s="2"/>
      <c r="CG285" s="2">
        <v>4.5</v>
      </c>
      <c r="CH285" s="2">
        <v>5.8</v>
      </c>
      <c r="CI285" s="2">
        <v>1.4</v>
      </c>
      <c r="CJ285" s="2"/>
      <c r="CK285" s="2"/>
      <c r="CL285" s="2"/>
      <c r="CM285" s="2">
        <v>6.5</v>
      </c>
      <c r="CN285" s="2"/>
      <c r="CO285" s="2"/>
      <c r="CP285" s="2">
        <v>4.9000000000000004</v>
      </c>
      <c r="CQ285" s="2"/>
      <c r="CR285" s="2">
        <v>1.7</v>
      </c>
      <c r="CS285" s="2">
        <v>3.1</v>
      </c>
      <c r="CT285" s="2"/>
      <c r="CU285" s="2">
        <v>6.1</v>
      </c>
      <c r="CV285" s="2"/>
      <c r="CW285" s="2"/>
      <c r="CX285" s="2">
        <v>28</v>
      </c>
      <c r="CY285" s="2"/>
      <c r="CZ285" s="2"/>
      <c r="DB285">
        <v>1934</v>
      </c>
      <c r="DC285">
        <v>53</v>
      </c>
      <c r="DH285">
        <v>284</v>
      </c>
    </row>
    <row r="286" spans="1:112">
      <c r="A286" s="1">
        <v>41193</v>
      </c>
      <c r="B286" s="2">
        <v>4.7</v>
      </c>
      <c r="C286" s="2">
        <v>7.9</v>
      </c>
      <c r="D286" s="2">
        <v>0.5</v>
      </c>
      <c r="E286" s="2"/>
      <c r="F286" s="2">
        <v>4.2</v>
      </c>
      <c r="G286" s="2"/>
      <c r="H286" s="2"/>
      <c r="I286" s="2"/>
      <c r="J286" s="2"/>
      <c r="K286" s="2"/>
      <c r="L286" s="2"/>
      <c r="M286" s="2"/>
      <c r="N286" s="2"/>
      <c r="O286" s="2">
        <v>32.799999999999997</v>
      </c>
      <c r="P286" s="2">
        <v>0.3</v>
      </c>
      <c r="Q286" s="2"/>
      <c r="R286" s="2"/>
      <c r="S286" s="2">
        <v>4.2</v>
      </c>
      <c r="T286" s="2"/>
      <c r="U286" s="2"/>
      <c r="V286" s="2"/>
      <c r="W286" s="2"/>
      <c r="X286" s="2">
        <v>0.2</v>
      </c>
      <c r="Y286" s="2">
        <v>2.6999999999970901</v>
      </c>
      <c r="Z286" s="2">
        <v>0.29999999999972699</v>
      </c>
      <c r="AA286" s="2"/>
      <c r="AB286" s="2">
        <v>3.2999999999992702</v>
      </c>
      <c r="AC286" s="2"/>
      <c r="AD286" s="2"/>
      <c r="AE286" s="2"/>
      <c r="AF286" s="2"/>
      <c r="AG286" s="2">
        <v>19.699999999982499</v>
      </c>
      <c r="AH286" s="2">
        <v>14.599999999991301</v>
      </c>
      <c r="AI286" s="2">
        <v>0.69999999999981799</v>
      </c>
      <c r="AJ286" s="2"/>
      <c r="AK286" s="2">
        <v>20.599999999976699</v>
      </c>
      <c r="AL286" s="2"/>
      <c r="AM286" s="2">
        <v>39</v>
      </c>
      <c r="AN286" s="2">
        <v>0.19999999999981799</v>
      </c>
      <c r="AO286" s="2"/>
      <c r="AP286" s="2"/>
      <c r="AQ286" s="2"/>
      <c r="AR286" s="2">
        <v>12.5</v>
      </c>
      <c r="AS286" s="2"/>
      <c r="AT286" s="2">
        <v>0.19999999999981799</v>
      </c>
      <c r="AU286" s="2">
        <v>1.39999999999964</v>
      </c>
      <c r="AV286" s="2"/>
      <c r="AW286" s="2"/>
      <c r="AX286" s="2">
        <v>0.29999999999972699</v>
      </c>
      <c r="AY286" s="2"/>
      <c r="AZ286" s="2"/>
      <c r="BA286" s="2"/>
      <c r="BB286" s="2">
        <v>0.39999999999963598</v>
      </c>
      <c r="BC286" s="2"/>
      <c r="BD286" s="2">
        <v>0.60000000000036402</v>
      </c>
      <c r="BE286" s="2"/>
      <c r="BF286" s="2"/>
      <c r="BG286" s="2">
        <v>0.5</v>
      </c>
      <c r="BH286" s="2">
        <v>0.30000000000018201</v>
      </c>
      <c r="BI286" s="2">
        <v>0</v>
      </c>
      <c r="BJ286" s="2"/>
      <c r="BK286" s="2"/>
      <c r="BL286" s="2">
        <v>0.100000000000023</v>
      </c>
      <c r="BM286" s="2">
        <v>0</v>
      </c>
      <c r="BN286" s="2">
        <v>0.89999999999963598</v>
      </c>
      <c r="BO286" s="2"/>
      <c r="BP286" s="2"/>
      <c r="BQ286" s="2"/>
      <c r="BR286" s="2"/>
      <c r="BS286" s="2"/>
      <c r="BT286" s="2"/>
      <c r="BU286" s="2"/>
      <c r="BV286" s="2"/>
      <c r="BW286" s="2"/>
      <c r="BX286" s="2">
        <v>2.1</v>
      </c>
      <c r="BY286" s="2">
        <v>0.5</v>
      </c>
      <c r="BZ286" s="2"/>
      <c r="CA286" s="2"/>
      <c r="CB286" s="2">
        <v>12</v>
      </c>
      <c r="CC286" s="2"/>
      <c r="CD286" s="2"/>
      <c r="CE286" s="2"/>
      <c r="CF286" s="2"/>
      <c r="CG286" s="2">
        <v>47.9</v>
      </c>
      <c r="CH286" s="2">
        <v>0.8</v>
      </c>
      <c r="CI286" s="2"/>
      <c r="CJ286" s="2"/>
      <c r="CK286" s="2"/>
      <c r="CL286" s="2"/>
      <c r="CM286" s="2"/>
      <c r="CN286" s="2"/>
      <c r="CO286" s="2"/>
      <c r="CP286" s="2"/>
      <c r="CQ286" s="2">
        <v>18</v>
      </c>
      <c r="CR286" s="2">
        <v>0.8</v>
      </c>
      <c r="CS286" s="2"/>
      <c r="CT286" s="2"/>
      <c r="CU286" s="2">
        <v>9.6999999999999993</v>
      </c>
      <c r="CV286" s="2"/>
      <c r="CW286" s="2">
        <v>1</v>
      </c>
      <c r="CX286" s="2"/>
      <c r="CY286" s="2"/>
      <c r="CZ286" s="2"/>
      <c r="DB286">
        <v>1994</v>
      </c>
      <c r="DC286">
        <v>47.9</v>
      </c>
      <c r="DH286">
        <v>285</v>
      </c>
    </row>
    <row r="287" spans="1:112">
      <c r="A287" s="1">
        <v>41194</v>
      </c>
      <c r="B287" s="2"/>
      <c r="C287" s="2"/>
      <c r="D287" s="2">
        <v>1.1000000000000001</v>
      </c>
      <c r="E287" s="2"/>
      <c r="F287" s="2">
        <v>27.4</v>
      </c>
      <c r="G287" s="2"/>
      <c r="H287" s="2"/>
      <c r="I287" s="2"/>
      <c r="J287" s="2">
        <v>0.5</v>
      </c>
      <c r="K287" s="2">
        <v>1.3</v>
      </c>
      <c r="L287" s="2"/>
      <c r="M287" s="2"/>
      <c r="N287" s="2"/>
      <c r="O287" s="2">
        <v>8.3000000000000007</v>
      </c>
      <c r="P287" s="2">
        <v>0.3</v>
      </c>
      <c r="Q287" s="2"/>
      <c r="R287" s="2"/>
      <c r="S287" s="2">
        <v>2.4</v>
      </c>
      <c r="T287" s="2">
        <v>15.6</v>
      </c>
      <c r="U287" s="2"/>
      <c r="V287" s="2"/>
      <c r="W287" s="2"/>
      <c r="X287" s="2">
        <v>0.1</v>
      </c>
      <c r="Y287" s="2">
        <v>0.69999999999981799</v>
      </c>
      <c r="Z287" s="2"/>
      <c r="AA287" s="2">
        <v>0.29999999999972699</v>
      </c>
      <c r="AB287" s="2">
        <v>7.79999999999563</v>
      </c>
      <c r="AC287" s="2"/>
      <c r="AD287" s="2"/>
      <c r="AE287" s="2"/>
      <c r="AF287" s="2">
        <v>0.19999999999981799</v>
      </c>
      <c r="AG287" s="2">
        <v>2.5</v>
      </c>
      <c r="AH287" s="2">
        <v>4.79999999999563</v>
      </c>
      <c r="AI287" s="2">
        <v>6.29999999999563</v>
      </c>
      <c r="AJ287" s="2"/>
      <c r="AK287" s="2"/>
      <c r="AL287" s="2"/>
      <c r="AM287" s="2">
        <v>12.899999999994201</v>
      </c>
      <c r="AN287" s="2"/>
      <c r="AO287" s="2">
        <v>17.099999999976699</v>
      </c>
      <c r="AP287" s="2">
        <v>8.5</v>
      </c>
      <c r="AQ287" s="2">
        <v>22.5</v>
      </c>
      <c r="AR287" s="2"/>
      <c r="AS287" s="2">
        <v>0.19999999999981799</v>
      </c>
      <c r="AT287" s="2"/>
      <c r="AU287" s="2"/>
      <c r="AV287" s="2">
        <v>0.19999999999981799</v>
      </c>
      <c r="AW287" s="2"/>
      <c r="AX287" s="2">
        <v>0.5</v>
      </c>
      <c r="AY287" s="2"/>
      <c r="AZ287" s="2">
        <v>18.5</v>
      </c>
      <c r="BA287" s="2"/>
      <c r="BB287" s="2">
        <v>1.1999999999989099</v>
      </c>
      <c r="BC287" s="2"/>
      <c r="BD287" s="2">
        <v>10.100000000005799</v>
      </c>
      <c r="BE287" s="2"/>
      <c r="BF287" s="2"/>
      <c r="BG287" s="2">
        <v>8.6000000000058208</v>
      </c>
      <c r="BH287" s="2"/>
      <c r="BI287" s="2">
        <v>4.9000000000014596</v>
      </c>
      <c r="BJ287" s="2"/>
      <c r="BK287" s="2"/>
      <c r="BL287" s="2"/>
      <c r="BM287" s="2">
        <v>0.100000000000023</v>
      </c>
      <c r="BN287" s="2">
        <v>2.5999999999985399</v>
      </c>
      <c r="BO287" s="2">
        <v>0.100000000000023</v>
      </c>
      <c r="BP287" s="2"/>
      <c r="BQ287" s="2"/>
      <c r="BR287" s="2">
        <v>0.100000000000023</v>
      </c>
      <c r="BS287" s="2"/>
      <c r="BT287" s="2">
        <v>2.4000000000014601</v>
      </c>
      <c r="BU287" s="2">
        <v>2.2000000000007298</v>
      </c>
      <c r="BV287" s="2">
        <v>11.7</v>
      </c>
      <c r="BW287" s="2"/>
      <c r="BX287" s="2">
        <v>0.8</v>
      </c>
      <c r="BY287" s="2"/>
      <c r="BZ287" s="2"/>
      <c r="CA287" s="2"/>
      <c r="CB287" s="2"/>
      <c r="CC287" s="2"/>
      <c r="CD287" s="2"/>
      <c r="CE287" s="2">
        <v>26.5</v>
      </c>
      <c r="CF287" s="2"/>
      <c r="CG287" s="2">
        <v>14.6</v>
      </c>
      <c r="CH287" s="2"/>
      <c r="CI287" s="2">
        <v>0.2</v>
      </c>
      <c r="CJ287" s="2">
        <v>4</v>
      </c>
      <c r="CK287" s="2"/>
      <c r="CL287" s="2"/>
      <c r="CM287" s="2"/>
      <c r="CN287" s="2"/>
      <c r="CO287" s="2">
        <v>1.6</v>
      </c>
      <c r="CP287" s="2"/>
      <c r="CQ287" s="2">
        <v>2.5</v>
      </c>
      <c r="CR287" s="2"/>
      <c r="CS287" s="2"/>
      <c r="CT287" s="2">
        <v>0.7</v>
      </c>
      <c r="CU287" s="2"/>
      <c r="CV287" s="2"/>
      <c r="CW287" s="2">
        <v>2.5</v>
      </c>
      <c r="CX287" s="2"/>
      <c r="CY287" s="2"/>
      <c r="CZ287" s="2"/>
      <c r="DB287">
        <v>1915</v>
      </c>
      <c r="DC287">
        <v>27.4</v>
      </c>
      <c r="DH287">
        <v>286</v>
      </c>
    </row>
    <row r="288" spans="1:112">
      <c r="A288" s="1">
        <v>41195</v>
      </c>
      <c r="B288" s="2"/>
      <c r="C288" s="2"/>
      <c r="D288" s="2"/>
      <c r="E288" s="2">
        <v>1.3</v>
      </c>
      <c r="F288" s="2">
        <v>11</v>
      </c>
      <c r="G288" s="2"/>
      <c r="H288" s="2"/>
      <c r="I288" s="2"/>
      <c r="J288" s="2"/>
      <c r="K288" s="2">
        <v>13.5</v>
      </c>
      <c r="L288" s="2"/>
      <c r="M288" s="2"/>
      <c r="N288" s="2"/>
      <c r="O288" s="2">
        <v>2.6</v>
      </c>
      <c r="P288" s="2"/>
      <c r="Q288" s="2"/>
      <c r="R288" s="2">
        <v>7.3</v>
      </c>
      <c r="S288" s="2"/>
      <c r="T288" s="2">
        <v>17.399999999999999</v>
      </c>
      <c r="U288" s="2"/>
      <c r="V288" s="2"/>
      <c r="W288" s="2"/>
      <c r="X288" s="2"/>
      <c r="Y288" s="2"/>
      <c r="Z288" s="2"/>
      <c r="AA288" s="2">
        <v>6.0999999999985501</v>
      </c>
      <c r="AB288" s="2">
        <v>35.199999999953398</v>
      </c>
      <c r="AC288" s="2"/>
      <c r="AD288" s="2">
        <v>4.1999999999970896</v>
      </c>
      <c r="AE288" s="2"/>
      <c r="AF288" s="2">
        <v>53.599999999976703</v>
      </c>
      <c r="AG288" s="2"/>
      <c r="AH288" s="2">
        <v>21.799999999988401</v>
      </c>
      <c r="AI288" s="2">
        <v>5.29999999999563</v>
      </c>
      <c r="AJ288" s="2"/>
      <c r="AK288" s="2">
        <v>5.5</v>
      </c>
      <c r="AL288" s="2"/>
      <c r="AM288" s="2"/>
      <c r="AN288" s="2">
        <v>0.19999999999981799</v>
      </c>
      <c r="AO288" s="2">
        <v>12.099999999991301</v>
      </c>
      <c r="AP288" s="2">
        <v>11.1999999999971</v>
      </c>
      <c r="AQ288" s="2">
        <v>5.0999999999985501</v>
      </c>
      <c r="AR288" s="2">
        <v>9.7999999999883602</v>
      </c>
      <c r="AS288" s="2">
        <v>0.29999999999972699</v>
      </c>
      <c r="AT288" s="2"/>
      <c r="AU288" s="2"/>
      <c r="AV288" s="2"/>
      <c r="AW288" s="2"/>
      <c r="AX288" s="2">
        <v>1.0999999999985499</v>
      </c>
      <c r="AY288" s="2"/>
      <c r="AZ288" s="2">
        <v>22.299999999988401</v>
      </c>
      <c r="BA288" s="2"/>
      <c r="BB288" s="2"/>
      <c r="BC288" s="2"/>
      <c r="BD288" s="2">
        <v>5.8000000000029104</v>
      </c>
      <c r="BE288" s="2"/>
      <c r="BF288" s="2"/>
      <c r="BG288" s="2">
        <v>1.70000000000073</v>
      </c>
      <c r="BH288" s="2"/>
      <c r="BI288" s="2">
        <v>0.100000000000023</v>
      </c>
      <c r="BJ288" s="2">
        <v>0.1</v>
      </c>
      <c r="BK288" s="2"/>
      <c r="BL288" s="2">
        <v>0.400000000000091</v>
      </c>
      <c r="BM288" s="2">
        <v>0.100000000000023</v>
      </c>
      <c r="BN288" s="2"/>
      <c r="BO288" s="2"/>
      <c r="BP288" s="2">
        <v>0.200000000000045</v>
      </c>
      <c r="BQ288" s="2">
        <v>0</v>
      </c>
      <c r="BR288" s="2"/>
      <c r="BS288" s="2"/>
      <c r="BT288" s="2">
        <v>28.700000000011599</v>
      </c>
      <c r="BU288" s="2">
        <v>0.200000000000045</v>
      </c>
      <c r="BV288" s="2">
        <v>5</v>
      </c>
      <c r="BW288" s="2">
        <v>1.39999999999964</v>
      </c>
      <c r="BX288" s="2">
        <v>1.3</v>
      </c>
      <c r="BY288" s="2">
        <v>4.3</v>
      </c>
      <c r="BZ288" s="2">
        <v>0.3</v>
      </c>
      <c r="CA288" s="2"/>
      <c r="CB288" s="2"/>
      <c r="CC288" s="2"/>
      <c r="CD288" s="2"/>
      <c r="CE288" s="2">
        <v>1</v>
      </c>
      <c r="CF288" s="2"/>
      <c r="CG288" s="2">
        <v>18.399999999999999</v>
      </c>
      <c r="CH288" s="2"/>
      <c r="CI288" s="2">
        <v>2.2999999999999998</v>
      </c>
      <c r="CJ288" s="2">
        <v>117</v>
      </c>
      <c r="CK288" s="2"/>
      <c r="CL288" s="2"/>
      <c r="CM288" s="2"/>
      <c r="CN288" s="2"/>
      <c r="CO288" s="2">
        <v>5.9</v>
      </c>
      <c r="CP288" s="2"/>
      <c r="CQ288" s="2">
        <v>0.1</v>
      </c>
      <c r="CR288" s="2"/>
      <c r="CS288" s="2">
        <v>4.8</v>
      </c>
      <c r="CT288" s="2">
        <v>97</v>
      </c>
      <c r="CU288" s="2"/>
      <c r="CV288" s="2">
        <v>7.1</v>
      </c>
      <c r="CW288" s="2">
        <v>34.5</v>
      </c>
      <c r="CX288" s="2">
        <v>8</v>
      </c>
      <c r="CY288" s="2"/>
      <c r="CZ288" s="2"/>
      <c r="DB288">
        <v>1997</v>
      </c>
      <c r="DC288">
        <v>117</v>
      </c>
      <c r="DH288">
        <v>287</v>
      </c>
    </row>
    <row r="289" spans="1:112">
      <c r="A289" s="1">
        <v>41196</v>
      </c>
      <c r="B289" s="2"/>
      <c r="C289" s="2"/>
      <c r="D289" s="2">
        <v>4.7</v>
      </c>
      <c r="E289" s="2">
        <v>0.1</v>
      </c>
      <c r="F289" s="2">
        <v>0.6</v>
      </c>
      <c r="G289" s="2"/>
      <c r="H289" s="2"/>
      <c r="I289" s="2"/>
      <c r="J289" s="2"/>
      <c r="K289" s="2">
        <v>2</v>
      </c>
      <c r="L289" s="2"/>
      <c r="M289" s="2">
        <v>0.2</v>
      </c>
      <c r="N289" s="2"/>
      <c r="O289" s="2"/>
      <c r="P289" s="2">
        <v>1.1000000000000001</v>
      </c>
      <c r="Q289" s="2"/>
      <c r="R289" s="2">
        <v>1.8</v>
      </c>
      <c r="S289" s="2">
        <v>12.3</v>
      </c>
      <c r="T289" s="2">
        <v>44.5</v>
      </c>
      <c r="U289" s="2"/>
      <c r="V289" s="2"/>
      <c r="W289" s="2"/>
      <c r="X289" s="2">
        <v>0.2</v>
      </c>
      <c r="Y289" s="2"/>
      <c r="Z289" s="2"/>
      <c r="AA289" s="2">
        <v>2</v>
      </c>
      <c r="AB289" s="2">
        <v>33.799999999988401</v>
      </c>
      <c r="AC289" s="2"/>
      <c r="AD289" s="2"/>
      <c r="AE289" s="2">
        <v>2.5999999999985399</v>
      </c>
      <c r="AF289" s="2">
        <v>31.399999999994201</v>
      </c>
      <c r="AG289" s="2">
        <v>1.5</v>
      </c>
      <c r="AH289" s="2">
        <v>1</v>
      </c>
      <c r="AI289" s="2"/>
      <c r="AJ289" s="2"/>
      <c r="AK289" s="2">
        <v>2.7999999999992702</v>
      </c>
      <c r="AL289" s="2"/>
      <c r="AM289" s="2"/>
      <c r="AN289" s="2"/>
      <c r="AO289" s="2">
        <v>11.1999999999971</v>
      </c>
      <c r="AP289" s="2">
        <v>13.1999999999971</v>
      </c>
      <c r="AQ289" s="2"/>
      <c r="AR289" s="2">
        <v>0.5</v>
      </c>
      <c r="AS289" s="2">
        <v>0.29999999999972699</v>
      </c>
      <c r="AT289" s="2">
        <v>0.69999999999981799</v>
      </c>
      <c r="AU289" s="2"/>
      <c r="AV289" s="2"/>
      <c r="AW289" s="2">
        <v>1</v>
      </c>
      <c r="AX289" s="2"/>
      <c r="AY289" s="2"/>
      <c r="AZ289" s="2">
        <v>18.899999999994201</v>
      </c>
      <c r="BA289" s="2"/>
      <c r="BB289" s="2"/>
      <c r="BC289" s="2"/>
      <c r="BD289" s="2">
        <v>0.200000000000045</v>
      </c>
      <c r="BE289" s="2"/>
      <c r="BF289" s="2"/>
      <c r="BG289" s="2"/>
      <c r="BH289" s="2">
        <v>0.100000000000023</v>
      </c>
      <c r="BI289" s="2">
        <v>0</v>
      </c>
      <c r="BJ289" s="2"/>
      <c r="BK289" s="2">
        <v>1.60000000000036</v>
      </c>
      <c r="BL289" s="2"/>
      <c r="BM289" s="2"/>
      <c r="BN289" s="2"/>
      <c r="BO289" s="2">
        <v>0.69999999999981799</v>
      </c>
      <c r="BP289" s="2">
        <v>2.7999999999992702</v>
      </c>
      <c r="BQ289" s="2"/>
      <c r="BR289" s="2">
        <v>0.100000000000023</v>
      </c>
      <c r="BS289" s="2"/>
      <c r="BT289" s="2">
        <v>0</v>
      </c>
      <c r="BU289" s="2"/>
      <c r="BV289" s="2"/>
      <c r="BW289" s="2"/>
      <c r="BX289" s="2">
        <v>23.2</v>
      </c>
      <c r="BY289" s="2">
        <v>7.8</v>
      </c>
      <c r="BZ289" s="2">
        <v>0.2</v>
      </c>
      <c r="CA289" s="2">
        <v>0.1</v>
      </c>
      <c r="CB289" s="2"/>
      <c r="CC289" s="2"/>
      <c r="CD289" s="2"/>
      <c r="CE289" s="2"/>
      <c r="CF289" s="2"/>
      <c r="CG289" s="2"/>
      <c r="CH289" s="2"/>
      <c r="CI289" s="2"/>
      <c r="CJ289" s="2">
        <v>30.6</v>
      </c>
      <c r="CK289" s="2">
        <v>10</v>
      </c>
      <c r="CL289" s="2">
        <v>0.2</v>
      </c>
      <c r="CM289" s="2"/>
      <c r="CN289" s="2"/>
      <c r="CO289" s="2">
        <v>0.2</v>
      </c>
      <c r="CP289" s="2"/>
      <c r="CQ289" s="2"/>
      <c r="CR289" s="2">
        <v>0.1</v>
      </c>
      <c r="CS289" s="2"/>
      <c r="CT289" s="2">
        <v>10.5</v>
      </c>
      <c r="CU289" s="2">
        <v>3</v>
      </c>
      <c r="CV289" s="2"/>
      <c r="CW289" s="2">
        <v>36.799999999999997</v>
      </c>
      <c r="CX289" s="2">
        <v>9</v>
      </c>
      <c r="CY289" s="2"/>
      <c r="CZ289" s="2"/>
      <c r="DB289">
        <v>1929</v>
      </c>
      <c r="DC289">
        <v>44.5</v>
      </c>
      <c r="DH289">
        <v>288</v>
      </c>
    </row>
    <row r="290" spans="1:112">
      <c r="A290" s="1">
        <v>41197</v>
      </c>
      <c r="B290" s="2"/>
      <c r="C290" s="2"/>
      <c r="D290" s="2">
        <v>1.1000000000000001</v>
      </c>
      <c r="E290" s="2"/>
      <c r="F290" s="2"/>
      <c r="G290" s="2"/>
      <c r="H290" s="2"/>
      <c r="I290" s="2"/>
      <c r="J290" s="2"/>
      <c r="K290" s="2"/>
      <c r="L290" s="2"/>
      <c r="M290" s="2">
        <v>0.4</v>
      </c>
      <c r="N290" s="2"/>
      <c r="O290" s="2">
        <v>41.8</v>
      </c>
      <c r="P290" s="2">
        <v>1</v>
      </c>
      <c r="Q290" s="2"/>
      <c r="R290" s="2"/>
      <c r="S290" s="2">
        <v>17.5</v>
      </c>
      <c r="T290" s="2">
        <v>24.6</v>
      </c>
      <c r="U290" s="2"/>
      <c r="V290" s="2">
        <v>0</v>
      </c>
      <c r="W290" s="2"/>
      <c r="X290" s="2"/>
      <c r="Y290" s="2"/>
      <c r="Z290" s="2"/>
      <c r="AA290" s="2">
        <v>10.299999999988399</v>
      </c>
      <c r="AB290" s="2">
        <v>53</v>
      </c>
      <c r="AC290" s="2"/>
      <c r="AD290" s="2"/>
      <c r="AE290" s="2">
        <v>3.2999999999992702</v>
      </c>
      <c r="AF290" s="2">
        <v>2.7999999999992702</v>
      </c>
      <c r="AG290" s="2">
        <v>1.89999999999964</v>
      </c>
      <c r="AH290" s="2">
        <v>7.8999999999941801</v>
      </c>
      <c r="AI290" s="2">
        <v>1.5</v>
      </c>
      <c r="AJ290" s="2"/>
      <c r="AK290" s="2"/>
      <c r="AL290" s="2"/>
      <c r="AM290" s="2"/>
      <c r="AN290" s="2">
        <v>0.19999999999981799</v>
      </c>
      <c r="AO290" s="2">
        <v>1.5999999999985499</v>
      </c>
      <c r="AP290" s="2">
        <v>69.599999999976703</v>
      </c>
      <c r="AQ290" s="2"/>
      <c r="AR290" s="2"/>
      <c r="AS290" s="2"/>
      <c r="AT290" s="2">
        <v>2.3999999999978199</v>
      </c>
      <c r="AU290" s="2"/>
      <c r="AV290" s="2"/>
      <c r="AW290" s="2"/>
      <c r="AX290" s="2"/>
      <c r="AY290" s="2"/>
      <c r="AZ290" s="2">
        <v>17.799999999988401</v>
      </c>
      <c r="BA290" s="2">
        <v>10.099999999991301</v>
      </c>
      <c r="BB290" s="2"/>
      <c r="BC290" s="2"/>
      <c r="BD290" s="2"/>
      <c r="BE290" s="2">
        <v>5.3000000000029104</v>
      </c>
      <c r="BF290" s="2"/>
      <c r="BG290" s="2"/>
      <c r="BH290" s="2"/>
      <c r="BI290" s="2">
        <v>0</v>
      </c>
      <c r="BJ290" s="2"/>
      <c r="BK290" s="2">
        <v>38.099999999976703</v>
      </c>
      <c r="BL290" s="2">
        <v>5.1999999999970896</v>
      </c>
      <c r="BM290" s="2"/>
      <c r="BN290" s="2">
        <v>0.100000000000023</v>
      </c>
      <c r="BO290" s="2">
        <v>0.100000000000023</v>
      </c>
      <c r="BP290" s="2">
        <v>15.6999999999971</v>
      </c>
      <c r="BQ290" s="2">
        <v>0.200000000000045</v>
      </c>
      <c r="BR290" s="2"/>
      <c r="BS290" s="2"/>
      <c r="BT290" s="2"/>
      <c r="BU290" s="2"/>
      <c r="BV290" s="2"/>
      <c r="BW290" s="2"/>
      <c r="BX290" s="2">
        <v>111.8</v>
      </c>
      <c r="BY290" s="2">
        <v>1.1000000000000001</v>
      </c>
      <c r="BZ290" s="2"/>
      <c r="CA290" s="2"/>
      <c r="CB290" s="2">
        <v>3.7</v>
      </c>
      <c r="CC290" s="2"/>
      <c r="CD290" s="2"/>
      <c r="CE290" s="2">
        <v>3.5</v>
      </c>
      <c r="CF290" s="2"/>
      <c r="CG290" s="2"/>
      <c r="CH290" s="2"/>
      <c r="CI290" s="2"/>
      <c r="CJ290" s="2">
        <v>31.4</v>
      </c>
      <c r="CK290" s="2">
        <v>9</v>
      </c>
      <c r="CL290" s="2">
        <v>0.5</v>
      </c>
      <c r="CM290" s="2"/>
      <c r="CN290" s="2"/>
      <c r="CO290" s="2">
        <v>2.6</v>
      </c>
      <c r="CP290" s="2"/>
      <c r="CQ290" s="2">
        <v>0.1</v>
      </c>
      <c r="CR290" s="2">
        <v>3.4</v>
      </c>
      <c r="CS290" s="2">
        <v>1.2</v>
      </c>
      <c r="CT290" s="2">
        <v>0.5</v>
      </c>
      <c r="CU290" s="2">
        <v>6</v>
      </c>
      <c r="CV290" s="2"/>
      <c r="CW290" s="2">
        <v>6.3</v>
      </c>
      <c r="CX290" s="2">
        <v>16</v>
      </c>
      <c r="CY290" s="2"/>
      <c r="CZ290" s="2"/>
      <c r="DB290">
        <v>1985</v>
      </c>
      <c r="DC290">
        <v>111.8</v>
      </c>
      <c r="DH290">
        <v>289</v>
      </c>
    </row>
    <row r="291" spans="1:112">
      <c r="A291" s="1">
        <v>41198</v>
      </c>
      <c r="B291" s="2">
        <v>4.5</v>
      </c>
      <c r="C291" s="2">
        <v>6.8</v>
      </c>
      <c r="D291" s="2">
        <v>0.2</v>
      </c>
      <c r="E291" s="2"/>
      <c r="F291" s="2"/>
      <c r="G291" s="2"/>
      <c r="H291" s="2"/>
      <c r="I291" s="2">
        <v>0.4</v>
      </c>
      <c r="J291" s="2"/>
      <c r="K291" s="2"/>
      <c r="L291" s="2"/>
      <c r="M291" s="2">
        <v>2.4</v>
      </c>
      <c r="N291" s="2">
        <v>8.9</v>
      </c>
      <c r="O291" s="2"/>
      <c r="P291" s="2">
        <v>31</v>
      </c>
      <c r="Q291" s="2"/>
      <c r="R291" s="2"/>
      <c r="S291" s="2">
        <v>1</v>
      </c>
      <c r="T291" s="2"/>
      <c r="U291" s="2"/>
      <c r="V291" s="2">
        <v>0</v>
      </c>
      <c r="W291" s="2"/>
      <c r="X291" s="2">
        <v>1.1000000000000001</v>
      </c>
      <c r="Y291" s="2"/>
      <c r="Z291" s="2"/>
      <c r="AA291" s="2"/>
      <c r="AB291" s="2">
        <v>14.5</v>
      </c>
      <c r="AC291" s="2"/>
      <c r="AD291" s="2"/>
      <c r="AE291" s="2">
        <v>2.0999999999985399</v>
      </c>
      <c r="AF291" s="2"/>
      <c r="AG291" s="2">
        <v>0.19999999999981799</v>
      </c>
      <c r="AH291" s="2">
        <v>0.89999999999963598</v>
      </c>
      <c r="AI291" s="2">
        <v>16.599999999976699</v>
      </c>
      <c r="AJ291" s="2"/>
      <c r="AK291" s="2"/>
      <c r="AL291" s="2">
        <v>12.399999999994201</v>
      </c>
      <c r="AM291" s="2"/>
      <c r="AN291" s="2"/>
      <c r="AO291" s="2">
        <v>0.69999999999981799</v>
      </c>
      <c r="AP291" s="2">
        <v>7.3999999999941801</v>
      </c>
      <c r="AQ291" s="2"/>
      <c r="AR291" s="2"/>
      <c r="AS291" s="2"/>
      <c r="AT291" s="2">
        <v>0.59999999999945397</v>
      </c>
      <c r="AU291" s="2"/>
      <c r="AV291" s="2"/>
      <c r="AW291" s="2">
        <v>1.6999999999989099</v>
      </c>
      <c r="AX291" s="2"/>
      <c r="AY291" s="2"/>
      <c r="AZ291" s="2"/>
      <c r="BA291" s="2">
        <v>12.599999999991301</v>
      </c>
      <c r="BB291" s="2">
        <v>0.29999999999972699</v>
      </c>
      <c r="BC291" s="2"/>
      <c r="BD291" s="2"/>
      <c r="BE291" s="2"/>
      <c r="BF291" s="2"/>
      <c r="BG291" s="2">
        <v>1.79999999999927</v>
      </c>
      <c r="BH291" s="2"/>
      <c r="BI291" s="2">
        <v>0.100000000000023</v>
      </c>
      <c r="BJ291" s="2"/>
      <c r="BK291" s="2">
        <v>16.399999999994201</v>
      </c>
      <c r="BL291" s="2"/>
      <c r="BM291" s="2"/>
      <c r="BN291" s="2"/>
      <c r="BO291" s="2">
        <v>0.400000000000091</v>
      </c>
      <c r="BP291" s="2">
        <v>1</v>
      </c>
      <c r="BQ291" s="2">
        <v>0.100000000000023</v>
      </c>
      <c r="BR291" s="2"/>
      <c r="BS291" s="2"/>
      <c r="BT291" s="2"/>
      <c r="BU291" s="2">
        <v>11.3000000000029</v>
      </c>
      <c r="BV291" s="2">
        <v>0</v>
      </c>
      <c r="BW291" s="2">
        <v>29.399999999994201</v>
      </c>
      <c r="BX291" s="2">
        <v>103.7</v>
      </c>
      <c r="BY291" s="2">
        <v>3</v>
      </c>
      <c r="BZ291" s="2"/>
      <c r="CA291" s="2">
        <v>8.1999999999999993</v>
      </c>
      <c r="CB291" s="2">
        <v>29.2</v>
      </c>
      <c r="CC291" s="2"/>
      <c r="CD291" s="2"/>
      <c r="CE291" s="2"/>
      <c r="CF291" s="2"/>
      <c r="CG291" s="2"/>
      <c r="CH291" s="2"/>
      <c r="CI291" s="2"/>
      <c r="CJ291" s="2">
        <v>1.5</v>
      </c>
      <c r="CK291" s="2">
        <v>6.5</v>
      </c>
      <c r="CL291" s="2"/>
      <c r="CM291" s="2"/>
      <c r="CN291" s="2">
        <v>0.5</v>
      </c>
      <c r="CO291" s="2"/>
      <c r="CP291" s="2">
        <v>7.9</v>
      </c>
      <c r="CQ291" s="2"/>
      <c r="CR291" s="2">
        <v>0.7</v>
      </c>
      <c r="CS291" s="2">
        <v>21.1</v>
      </c>
      <c r="CT291" s="2"/>
      <c r="CU291" s="2"/>
      <c r="CV291" s="2">
        <v>6</v>
      </c>
      <c r="CW291" s="2">
        <v>1.2</v>
      </c>
      <c r="CX291" s="2">
        <v>11.7</v>
      </c>
      <c r="CY291" s="2"/>
      <c r="CZ291" s="2">
        <v>18.5</v>
      </c>
      <c r="DB291">
        <v>1985</v>
      </c>
      <c r="DC291">
        <v>103.7</v>
      </c>
      <c r="DH291">
        <v>290</v>
      </c>
    </row>
    <row r="292" spans="1:112">
      <c r="A292" s="1">
        <v>41199</v>
      </c>
      <c r="B292" s="2">
        <v>1.6</v>
      </c>
      <c r="C292" s="2">
        <v>3.7</v>
      </c>
      <c r="D292" s="2"/>
      <c r="E292" s="2">
        <v>0.8</v>
      </c>
      <c r="F292" s="2">
        <v>1.2</v>
      </c>
      <c r="G292" s="2">
        <v>2.7</v>
      </c>
      <c r="H292" s="2"/>
      <c r="I292" s="2"/>
      <c r="J292" s="2"/>
      <c r="K292" s="2">
        <v>0.1</v>
      </c>
      <c r="L292" s="2"/>
      <c r="M292" s="2">
        <v>0.3</v>
      </c>
      <c r="N292" s="2">
        <v>51.4</v>
      </c>
      <c r="O292" s="2"/>
      <c r="P292" s="2">
        <v>14.3</v>
      </c>
      <c r="Q292" s="2"/>
      <c r="R292" s="2"/>
      <c r="S292" s="2"/>
      <c r="T292" s="2"/>
      <c r="U292" s="2"/>
      <c r="V292" s="2">
        <v>0</v>
      </c>
      <c r="W292" s="2"/>
      <c r="X292" s="2"/>
      <c r="Y292" s="2"/>
      <c r="Z292" s="2"/>
      <c r="AA292" s="2"/>
      <c r="AB292" s="2">
        <v>1</v>
      </c>
      <c r="AC292" s="2"/>
      <c r="AD292" s="2"/>
      <c r="AE292" s="2">
        <v>2.3999999999978199</v>
      </c>
      <c r="AF292" s="2"/>
      <c r="AG292" s="2"/>
      <c r="AH292" s="2"/>
      <c r="AI292" s="2"/>
      <c r="AJ292" s="2">
        <v>0</v>
      </c>
      <c r="AK292" s="2">
        <v>2.5999999999985399</v>
      </c>
      <c r="AL292" s="2">
        <v>0.39999999999963598</v>
      </c>
      <c r="AM292" s="2"/>
      <c r="AN292" s="2"/>
      <c r="AO292" s="2"/>
      <c r="AP292" s="2">
        <v>2.5</v>
      </c>
      <c r="AQ292" s="2"/>
      <c r="AR292" s="2"/>
      <c r="AS292" s="2"/>
      <c r="AT292" s="2"/>
      <c r="AU292" s="2"/>
      <c r="AV292" s="2"/>
      <c r="AW292" s="2">
        <v>24.299999999988401</v>
      </c>
      <c r="AX292" s="2"/>
      <c r="AY292" s="2">
        <v>2.3999999999978199</v>
      </c>
      <c r="AZ292" s="2"/>
      <c r="BA292" s="2"/>
      <c r="BB292" s="2">
        <v>1.1999999999989099</v>
      </c>
      <c r="BC292" s="2"/>
      <c r="BD292" s="2">
        <v>0.400000000000091</v>
      </c>
      <c r="BE292" s="2"/>
      <c r="BF292" s="2"/>
      <c r="BG292" s="2">
        <v>3.9000000000014601</v>
      </c>
      <c r="BH292" s="2"/>
      <c r="BI292" s="2">
        <v>0.100000000000023</v>
      </c>
      <c r="BJ292" s="2">
        <v>5.8</v>
      </c>
      <c r="BK292" s="2">
        <v>4.5</v>
      </c>
      <c r="BL292" s="2"/>
      <c r="BM292" s="2">
        <v>0.100000000000023</v>
      </c>
      <c r="BN292" s="2"/>
      <c r="BO292" s="2">
        <v>2.2999999999992702</v>
      </c>
      <c r="BP292" s="2">
        <v>2.4000000000014601</v>
      </c>
      <c r="BQ292" s="2"/>
      <c r="BR292" s="2">
        <v>0.200000000000045</v>
      </c>
      <c r="BS292" s="2"/>
      <c r="BT292" s="2"/>
      <c r="BU292" s="2">
        <v>1.89999999999964</v>
      </c>
      <c r="BV292" s="2">
        <v>0.1</v>
      </c>
      <c r="BW292" s="2">
        <v>27.599999999976699</v>
      </c>
      <c r="BX292" s="2">
        <v>10.5</v>
      </c>
      <c r="BY292" s="2">
        <v>2.5</v>
      </c>
      <c r="BZ292" s="2">
        <v>17</v>
      </c>
      <c r="CA292" s="2">
        <v>7.4</v>
      </c>
      <c r="CB292" s="2">
        <v>51.5</v>
      </c>
      <c r="CC292" s="2"/>
      <c r="CD292" s="2">
        <v>0.3</v>
      </c>
      <c r="CE292" s="2"/>
      <c r="CF292" s="2"/>
      <c r="CG292" s="2">
        <v>11.5</v>
      </c>
      <c r="CH292" s="2"/>
      <c r="CI292" s="2"/>
      <c r="CJ292" s="2">
        <v>4</v>
      </c>
      <c r="CK292" s="2"/>
      <c r="CL292" s="2">
        <v>0</v>
      </c>
      <c r="CM292" s="2"/>
      <c r="CN292" s="2"/>
      <c r="CO292" s="2"/>
      <c r="CP292" s="2">
        <v>3.5</v>
      </c>
      <c r="CQ292" s="2"/>
      <c r="CR292" s="2">
        <v>0.2</v>
      </c>
      <c r="CS292" s="2">
        <v>12.2</v>
      </c>
      <c r="CT292" s="2"/>
      <c r="CU292" s="2"/>
      <c r="CV292" s="2">
        <v>4.8</v>
      </c>
      <c r="CW292" s="2">
        <v>0.1</v>
      </c>
      <c r="CX292" s="2">
        <v>10</v>
      </c>
      <c r="CY292" s="2"/>
      <c r="CZ292" s="2">
        <v>30.5</v>
      </c>
      <c r="DB292">
        <v>1989</v>
      </c>
      <c r="DC292">
        <v>51.5</v>
      </c>
      <c r="DH292">
        <v>291</v>
      </c>
    </row>
    <row r="293" spans="1:112">
      <c r="A293" s="1">
        <v>41200</v>
      </c>
      <c r="B293" s="2"/>
      <c r="C293" s="2"/>
      <c r="D293" s="2"/>
      <c r="E293" s="2">
        <v>7.3</v>
      </c>
      <c r="F293" s="2">
        <v>0.2</v>
      </c>
      <c r="G293" s="2"/>
      <c r="H293" s="2"/>
      <c r="I293" s="2"/>
      <c r="J293" s="2">
        <v>5.5</v>
      </c>
      <c r="K293" s="2"/>
      <c r="L293" s="2"/>
      <c r="M293" s="2"/>
      <c r="N293" s="2">
        <v>31.2</v>
      </c>
      <c r="O293" s="2"/>
      <c r="P293" s="2"/>
      <c r="Q293" s="2"/>
      <c r="R293" s="2"/>
      <c r="S293" s="2"/>
      <c r="T293" s="2"/>
      <c r="U293" s="2"/>
      <c r="V293" s="2">
        <v>2.7</v>
      </c>
      <c r="W293" s="2">
        <v>3.6</v>
      </c>
      <c r="X293" s="2"/>
      <c r="Y293" s="2">
        <v>3.5</v>
      </c>
      <c r="Z293" s="2"/>
      <c r="AA293" s="2"/>
      <c r="AB293" s="2">
        <v>4.3999999999941801</v>
      </c>
      <c r="AC293" s="2"/>
      <c r="AD293" s="2"/>
      <c r="AE293" s="2">
        <v>0</v>
      </c>
      <c r="AF293" s="2"/>
      <c r="AG293" s="2"/>
      <c r="AH293" s="2"/>
      <c r="AI293" s="2"/>
      <c r="AJ293" s="2"/>
      <c r="AK293" s="2">
        <v>1.39999999999964</v>
      </c>
      <c r="AL293" s="2">
        <v>7.5</v>
      </c>
      <c r="AM293" s="2"/>
      <c r="AN293" s="2"/>
      <c r="AO293" s="2"/>
      <c r="AP293" s="2"/>
      <c r="AQ293" s="2">
        <v>10</v>
      </c>
      <c r="AR293" s="2"/>
      <c r="AS293" s="2"/>
      <c r="AT293" s="2"/>
      <c r="AU293" s="2"/>
      <c r="AV293" s="2"/>
      <c r="AW293" s="2"/>
      <c r="AX293" s="2"/>
      <c r="AY293" s="2">
        <v>36.799999999988401</v>
      </c>
      <c r="AZ293" s="2"/>
      <c r="BA293" s="2"/>
      <c r="BB293" s="2">
        <v>2.6999999999970901</v>
      </c>
      <c r="BC293" s="2"/>
      <c r="BD293" s="2"/>
      <c r="BE293" s="2"/>
      <c r="BF293" s="2"/>
      <c r="BG293" s="2">
        <v>0.200000000000045</v>
      </c>
      <c r="BH293" s="2"/>
      <c r="BI293" s="2">
        <v>0</v>
      </c>
      <c r="BJ293" s="2">
        <v>31.3</v>
      </c>
      <c r="BK293" s="2">
        <v>5.5999999999985501</v>
      </c>
      <c r="BL293" s="2"/>
      <c r="BM293" s="2">
        <v>0</v>
      </c>
      <c r="BN293" s="2"/>
      <c r="BO293" s="2">
        <v>9.1000000000058208</v>
      </c>
      <c r="BP293" s="2">
        <v>1</v>
      </c>
      <c r="BQ293" s="2">
        <v>0.100000000000023</v>
      </c>
      <c r="BR293" s="2"/>
      <c r="BS293" s="2"/>
      <c r="BT293" s="2"/>
      <c r="BU293" s="2"/>
      <c r="BV293" s="2">
        <v>0</v>
      </c>
      <c r="BW293" s="2"/>
      <c r="BX293" s="2">
        <v>11.5</v>
      </c>
      <c r="BY293" s="2">
        <v>3.5</v>
      </c>
      <c r="BZ293" s="2">
        <v>1.9</v>
      </c>
      <c r="CA293" s="2">
        <v>4</v>
      </c>
      <c r="CB293" s="2">
        <v>7.4</v>
      </c>
      <c r="CC293" s="2"/>
      <c r="CD293" s="2"/>
      <c r="CE293" s="2"/>
      <c r="CF293" s="2"/>
      <c r="CG293" s="2">
        <v>4</v>
      </c>
      <c r="CH293" s="2"/>
      <c r="CI293" s="2">
        <v>0.5</v>
      </c>
      <c r="CJ293" s="2">
        <v>17.100000000000001</v>
      </c>
      <c r="CK293" s="2"/>
      <c r="CL293" s="2"/>
      <c r="CM293" s="2"/>
      <c r="CN293" s="2"/>
      <c r="CO293" s="2"/>
      <c r="CP293" s="2">
        <v>0.8</v>
      </c>
      <c r="CQ293" s="2"/>
      <c r="CR293" s="2">
        <v>6</v>
      </c>
      <c r="CS293" s="2">
        <v>0.6</v>
      </c>
      <c r="CT293" s="2"/>
      <c r="CU293" s="2"/>
      <c r="CV293" s="2">
        <v>2.4</v>
      </c>
      <c r="CW293" s="2">
        <v>4.9000000000000004</v>
      </c>
      <c r="CX293" s="2">
        <v>3</v>
      </c>
      <c r="CY293" s="2"/>
      <c r="CZ293" s="2">
        <v>4.2</v>
      </c>
      <c r="DB293">
        <v>1960</v>
      </c>
      <c r="DC293">
        <v>36.799999999988401</v>
      </c>
      <c r="DH293">
        <v>292</v>
      </c>
    </row>
    <row r="294" spans="1:112">
      <c r="A294" s="1">
        <v>41201</v>
      </c>
      <c r="B294" s="2"/>
      <c r="C294" s="2">
        <v>3.7</v>
      </c>
      <c r="D294" s="2"/>
      <c r="E294" s="2"/>
      <c r="F294" s="2">
        <v>0.4</v>
      </c>
      <c r="G294" s="2"/>
      <c r="H294" s="2"/>
      <c r="I294" s="2"/>
      <c r="J294" s="2">
        <v>30.4</v>
      </c>
      <c r="K294" s="2">
        <v>6</v>
      </c>
      <c r="L294" s="2"/>
      <c r="M294" s="2"/>
      <c r="N294" s="2">
        <v>0.6</v>
      </c>
      <c r="O294" s="2"/>
      <c r="P294" s="2"/>
      <c r="Q294" s="2">
        <v>6</v>
      </c>
      <c r="R294" s="2"/>
      <c r="S294" s="2"/>
      <c r="T294" s="2"/>
      <c r="U294" s="2"/>
      <c r="V294" s="2">
        <v>45.2</v>
      </c>
      <c r="W294" s="2"/>
      <c r="X294" s="2">
        <v>13.5</v>
      </c>
      <c r="Y294" s="2">
        <v>17.899999999994201</v>
      </c>
      <c r="Z294" s="2"/>
      <c r="AA294" s="2"/>
      <c r="AB294" s="2">
        <v>2.0999999999985399</v>
      </c>
      <c r="AC294" s="2"/>
      <c r="AD294" s="2"/>
      <c r="AE294" s="2">
        <v>1</v>
      </c>
      <c r="AF294" s="2">
        <v>5.8999999999941801</v>
      </c>
      <c r="AG294" s="2">
        <v>10.099999999991301</v>
      </c>
      <c r="AH294" s="2">
        <v>6.0999999999985501</v>
      </c>
      <c r="AI294" s="2"/>
      <c r="AJ294" s="2"/>
      <c r="AK294" s="2">
        <v>14.299999999988399</v>
      </c>
      <c r="AL294" s="2">
        <v>10</v>
      </c>
      <c r="AM294" s="2"/>
      <c r="AN294" s="2"/>
      <c r="AO294" s="2">
        <v>13.799999999988399</v>
      </c>
      <c r="AP294" s="2"/>
      <c r="AQ294" s="2">
        <v>5.5</v>
      </c>
      <c r="AR294" s="2"/>
      <c r="AS294" s="2"/>
      <c r="AT294" s="2"/>
      <c r="AU294" s="2"/>
      <c r="AV294" s="2"/>
      <c r="AW294" s="2">
        <v>31.899999999994201</v>
      </c>
      <c r="AX294" s="2"/>
      <c r="AY294" s="2">
        <v>7.3999999999941801</v>
      </c>
      <c r="AZ294" s="2"/>
      <c r="BA294" s="2"/>
      <c r="BB294" s="2">
        <v>2.6999999999970901</v>
      </c>
      <c r="BC294" s="2"/>
      <c r="BD294" s="2"/>
      <c r="BE294" s="2"/>
      <c r="BF294" s="2">
        <v>10.899999999994201</v>
      </c>
      <c r="BG294" s="2">
        <v>13.399999999994201</v>
      </c>
      <c r="BH294" s="2">
        <v>0.200000000000045</v>
      </c>
      <c r="BI294" s="2">
        <v>0.100000000000023</v>
      </c>
      <c r="BJ294" s="2">
        <v>4.5999999999999996</v>
      </c>
      <c r="BK294" s="2">
        <v>20.600000000005799</v>
      </c>
      <c r="BL294" s="2"/>
      <c r="BM294" s="2">
        <v>0.200000000000045</v>
      </c>
      <c r="BN294" s="2"/>
      <c r="BO294" s="2">
        <v>26.299999999988401</v>
      </c>
      <c r="BP294" s="2"/>
      <c r="BQ294" s="2"/>
      <c r="BR294" s="2">
        <v>21.399999999994201</v>
      </c>
      <c r="BS294" s="2"/>
      <c r="BT294" s="2"/>
      <c r="BU294" s="2"/>
      <c r="BV294" s="2"/>
      <c r="BW294" s="2"/>
      <c r="BX294" s="2">
        <v>0.2</v>
      </c>
      <c r="BY294" s="2"/>
      <c r="BZ294" s="2">
        <v>0</v>
      </c>
      <c r="CA294" s="2">
        <v>1.4</v>
      </c>
      <c r="CB294" s="2">
        <v>0.6</v>
      </c>
      <c r="CC294" s="2"/>
      <c r="CD294" s="2"/>
      <c r="CE294" s="2"/>
      <c r="CF294" s="2"/>
      <c r="CG294" s="2">
        <v>0</v>
      </c>
      <c r="CH294" s="2"/>
      <c r="CI294" s="2">
        <v>3.8</v>
      </c>
      <c r="CJ294" s="2"/>
      <c r="CK294" s="2"/>
      <c r="CL294" s="2">
        <v>9.5</v>
      </c>
      <c r="CM294" s="2"/>
      <c r="CN294" s="2"/>
      <c r="CO294" s="2">
        <v>12.2</v>
      </c>
      <c r="CP294" s="2">
        <v>12</v>
      </c>
      <c r="CQ294" s="2"/>
      <c r="CR294" s="2">
        <v>5.5</v>
      </c>
      <c r="CS294" s="2"/>
      <c r="CT294" s="2"/>
      <c r="CU294" s="2">
        <v>0.1</v>
      </c>
      <c r="CV294" s="2">
        <v>1</v>
      </c>
      <c r="CW294" s="2">
        <v>0.1</v>
      </c>
      <c r="CX294" s="2">
        <v>0.1</v>
      </c>
      <c r="CY294" s="2"/>
      <c r="CZ294" s="2">
        <v>0.2</v>
      </c>
      <c r="DB294">
        <v>1931</v>
      </c>
      <c r="DC294">
        <v>45.2</v>
      </c>
      <c r="DH294">
        <v>293</v>
      </c>
    </row>
    <row r="295" spans="1:112">
      <c r="A295" s="1">
        <v>41202</v>
      </c>
      <c r="B295" s="2"/>
      <c r="C295" s="2">
        <v>21.4</v>
      </c>
      <c r="D295" s="2"/>
      <c r="E295" s="2"/>
      <c r="F295" s="2"/>
      <c r="G295" s="2"/>
      <c r="H295" s="2">
        <v>0.4</v>
      </c>
      <c r="I295" s="2"/>
      <c r="J295" s="2">
        <v>3.2</v>
      </c>
      <c r="K295" s="2">
        <v>0.5</v>
      </c>
      <c r="L295" s="2"/>
      <c r="M295" s="2"/>
      <c r="N295" s="2"/>
      <c r="O295" s="2"/>
      <c r="P295" s="2">
        <v>10.1</v>
      </c>
      <c r="Q295" s="2">
        <v>1.5</v>
      </c>
      <c r="R295" s="2"/>
      <c r="S295" s="2"/>
      <c r="T295" s="2"/>
      <c r="U295" s="2"/>
      <c r="V295" s="2">
        <v>3.2</v>
      </c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>
        <v>0.89999999999963598</v>
      </c>
      <c r="AI295" s="2"/>
      <c r="AJ295" s="2"/>
      <c r="AK295" s="2">
        <v>2</v>
      </c>
      <c r="AL295" s="2">
        <v>1.5999999999985499</v>
      </c>
      <c r="AM295" s="2"/>
      <c r="AN295" s="2">
        <v>1.29999999999927</v>
      </c>
      <c r="AO295" s="2">
        <v>19.5</v>
      </c>
      <c r="AP295" s="2"/>
      <c r="AQ295" s="2"/>
      <c r="AR295" s="2"/>
      <c r="AS295" s="2"/>
      <c r="AT295" s="2"/>
      <c r="AU295" s="2"/>
      <c r="AV295" s="2">
        <v>4.5</v>
      </c>
      <c r="AW295" s="2">
        <v>5.8999999999941801</v>
      </c>
      <c r="AX295" s="2"/>
      <c r="AY295" s="2"/>
      <c r="AZ295" s="2"/>
      <c r="BA295" s="2">
        <v>20.699999999982499</v>
      </c>
      <c r="BB295" s="2"/>
      <c r="BC295" s="2"/>
      <c r="BD295" s="2"/>
      <c r="BE295" s="2"/>
      <c r="BF295" s="2">
        <v>5</v>
      </c>
      <c r="BG295" s="2">
        <v>18.600000000005799</v>
      </c>
      <c r="BH295" s="2">
        <v>0</v>
      </c>
      <c r="BI295" s="2">
        <v>0.200000000000045</v>
      </c>
      <c r="BJ295" s="2"/>
      <c r="BK295" s="2">
        <v>0</v>
      </c>
      <c r="BL295" s="2"/>
      <c r="BM295" s="2"/>
      <c r="BN295" s="2"/>
      <c r="BO295" s="2">
        <v>0.69999999999981799</v>
      </c>
      <c r="BP295" s="2"/>
      <c r="BQ295" s="2"/>
      <c r="BR295" s="2">
        <v>2.5999999999985399</v>
      </c>
      <c r="BS295" s="2"/>
      <c r="BT295" s="2"/>
      <c r="BU295" s="2"/>
      <c r="BV295" s="2"/>
      <c r="BW295" s="2"/>
      <c r="BX295" s="2"/>
      <c r="BY295" s="2">
        <v>5.6</v>
      </c>
      <c r="BZ295" s="2">
        <v>0</v>
      </c>
      <c r="CA295" s="2">
        <v>0.7</v>
      </c>
      <c r="CB295" s="2"/>
      <c r="CC295" s="2"/>
      <c r="CD295" s="2"/>
      <c r="CE295" s="2"/>
      <c r="CF295" s="2"/>
      <c r="CG295" s="2">
        <v>8.1</v>
      </c>
      <c r="CH295" s="2"/>
      <c r="CI295" s="2"/>
      <c r="CJ295" s="2">
        <v>4</v>
      </c>
      <c r="CK295" s="2"/>
      <c r="CL295" s="2"/>
      <c r="CM295" s="2">
        <v>19.5</v>
      </c>
      <c r="CN295" s="2"/>
      <c r="CO295" s="2">
        <v>0.2</v>
      </c>
      <c r="CP295" s="2">
        <v>3.8</v>
      </c>
      <c r="CQ295" s="2">
        <v>0.3</v>
      </c>
      <c r="CR295" s="2">
        <v>0.1</v>
      </c>
      <c r="CS295" s="2"/>
      <c r="CT295" s="2">
        <v>5.4</v>
      </c>
      <c r="CU295" s="2"/>
      <c r="CV295" s="2"/>
      <c r="CW295" s="2">
        <v>0.2</v>
      </c>
      <c r="CX295" s="2"/>
      <c r="CY295" s="2">
        <v>2.4</v>
      </c>
      <c r="CZ295" s="2"/>
      <c r="DB295">
        <v>1912</v>
      </c>
      <c r="DC295">
        <v>21.4</v>
      </c>
      <c r="DH295">
        <v>294</v>
      </c>
    </row>
    <row r="296" spans="1:112">
      <c r="A296" s="1">
        <v>41203</v>
      </c>
      <c r="B296" s="2"/>
      <c r="C296" s="2">
        <v>10.199999999999999</v>
      </c>
      <c r="D296" s="2"/>
      <c r="E296" s="2"/>
      <c r="F296" s="2">
        <v>0.6</v>
      </c>
      <c r="G296" s="2"/>
      <c r="H296" s="2"/>
      <c r="I296" s="2"/>
      <c r="J296" s="2">
        <v>8.6</v>
      </c>
      <c r="K296" s="2">
        <v>2</v>
      </c>
      <c r="L296" s="2"/>
      <c r="M296" s="2"/>
      <c r="N296" s="2"/>
      <c r="O296" s="2">
        <v>3.2</v>
      </c>
      <c r="P296" s="2"/>
      <c r="Q296" s="2"/>
      <c r="R296" s="2"/>
      <c r="S296" s="2"/>
      <c r="T296" s="2"/>
      <c r="U296" s="2"/>
      <c r="V296" s="2"/>
      <c r="W296" s="2">
        <v>0.5</v>
      </c>
      <c r="X296" s="2">
        <v>5.8</v>
      </c>
      <c r="Y296" s="2"/>
      <c r="Z296" s="2"/>
      <c r="AA296" s="2">
        <v>22</v>
      </c>
      <c r="AB296" s="2"/>
      <c r="AC296" s="2">
        <v>21.099999999976699</v>
      </c>
      <c r="AD296" s="2">
        <v>9.9999999999908995E-2</v>
      </c>
      <c r="AE296" s="2"/>
      <c r="AF296" s="2"/>
      <c r="AG296" s="2">
        <v>0.5</v>
      </c>
      <c r="AH296" s="2">
        <v>0</v>
      </c>
      <c r="AI296" s="2"/>
      <c r="AJ296" s="2">
        <v>2.5</v>
      </c>
      <c r="AK296" s="2"/>
      <c r="AL296" s="2">
        <v>6.79999999999563</v>
      </c>
      <c r="AM296" s="2"/>
      <c r="AN296" s="2">
        <v>0.19999999999981799</v>
      </c>
      <c r="AO296" s="2"/>
      <c r="AP296" s="2">
        <v>3.1999999999970901</v>
      </c>
      <c r="AQ296" s="2"/>
      <c r="AR296" s="2">
        <v>2.2999999999992702</v>
      </c>
      <c r="AS296" s="2"/>
      <c r="AT296" s="2"/>
      <c r="AU296" s="2"/>
      <c r="AV296" s="2">
        <v>1.5999999999985499</v>
      </c>
      <c r="AW296" s="2">
        <v>3.8999999999978199</v>
      </c>
      <c r="AX296" s="2"/>
      <c r="AY296" s="2"/>
      <c r="AZ296" s="2"/>
      <c r="BA296" s="2">
        <v>6.79999999999563</v>
      </c>
      <c r="BB296" s="2">
        <v>1</v>
      </c>
      <c r="BC296" s="2"/>
      <c r="BD296" s="2">
        <v>20.600000000005799</v>
      </c>
      <c r="BE296" s="2"/>
      <c r="BF296" s="2">
        <v>0.100000000000023</v>
      </c>
      <c r="BG296" s="2">
        <v>1.29999999999927</v>
      </c>
      <c r="BH296" s="2">
        <v>18.299999999988401</v>
      </c>
      <c r="BI296" s="2">
        <v>0.30000000000018201</v>
      </c>
      <c r="BJ296" s="2">
        <v>0.1</v>
      </c>
      <c r="BK296" s="2"/>
      <c r="BL296" s="2"/>
      <c r="BM296" s="2">
        <v>0</v>
      </c>
      <c r="BN296" s="2">
        <v>20.200000000011599</v>
      </c>
      <c r="BO296" s="2"/>
      <c r="BP296" s="2"/>
      <c r="BQ296" s="2">
        <v>14</v>
      </c>
      <c r="BR296" s="2">
        <v>6.0999999999985501</v>
      </c>
      <c r="BS296" s="2"/>
      <c r="BT296" s="2"/>
      <c r="BU296" s="2"/>
      <c r="BV296" s="2"/>
      <c r="BW296" s="2"/>
      <c r="BX296" s="2"/>
      <c r="BY296" s="2">
        <v>16.5</v>
      </c>
      <c r="BZ296" s="2">
        <v>30.9</v>
      </c>
      <c r="CA296" s="2">
        <v>4.4000000000000004</v>
      </c>
      <c r="CB296" s="2"/>
      <c r="CC296" s="2">
        <v>16.5</v>
      </c>
      <c r="CD296" s="2">
        <v>0.1</v>
      </c>
      <c r="CE296" s="2"/>
      <c r="CF296" s="2"/>
      <c r="CG296" s="2">
        <v>5.2</v>
      </c>
      <c r="CH296" s="2"/>
      <c r="CI296" s="2">
        <v>0.5</v>
      </c>
      <c r="CJ296" s="2"/>
      <c r="CK296" s="2">
        <v>0.8</v>
      </c>
      <c r="CL296" s="2"/>
      <c r="CM296" s="2">
        <v>22.5</v>
      </c>
      <c r="CN296" s="2"/>
      <c r="CO296" s="2"/>
      <c r="CP296" s="2"/>
      <c r="CQ296" s="2"/>
      <c r="CR296" s="2"/>
      <c r="CS296" s="2"/>
      <c r="CT296" s="2">
        <v>3.4</v>
      </c>
      <c r="CU296" s="2"/>
      <c r="CV296" s="2">
        <v>0.1</v>
      </c>
      <c r="CW296" s="2">
        <v>4.7</v>
      </c>
      <c r="CX296" s="2">
        <v>0.2</v>
      </c>
      <c r="CY296" s="2">
        <v>1.8</v>
      </c>
      <c r="CZ296" s="2">
        <v>0.2</v>
      </c>
      <c r="DB296">
        <v>1987</v>
      </c>
      <c r="DC296">
        <v>30.9</v>
      </c>
      <c r="DH296">
        <v>295</v>
      </c>
    </row>
    <row r="297" spans="1:112">
      <c r="A297" s="1">
        <v>41204</v>
      </c>
      <c r="B297" s="2"/>
      <c r="C297" s="2">
        <v>0.1</v>
      </c>
      <c r="D297" s="2"/>
      <c r="E297" s="2">
        <v>2</v>
      </c>
      <c r="F297" s="2">
        <v>12.8</v>
      </c>
      <c r="G297" s="2">
        <v>0.4</v>
      </c>
      <c r="H297" s="2">
        <v>8.3000000000000007</v>
      </c>
      <c r="I297" s="2"/>
      <c r="J297" s="2">
        <v>1.4</v>
      </c>
      <c r="K297" s="2">
        <v>4.5999999999999996</v>
      </c>
      <c r="L297" s="2"/>
      <c r="M297" s="2">
        <v>0.9</v>
      </c>
      <c r="N297" s="2"/>
      <c r="O297" s="2">
        <v>15.7</v>
      </c>
      <c r="P297" s="2"/>
      <c r="Q297" s="2"/>
      <c r="R297" s="2"/>
      <c r="S297" s="2"/>
      <c r="T297" s="2"/>
      <c r="U297" s="2">
        <v>6.3</v>
      </c>
      <c r="V297" s="2">
        <v>0.5</v>
      </c>
      <c r="W297" s="2"/>
      <c r="X297" s="2">
        <v>19</v>
      </c>
      <c r="Y297" s="2"/>
      <c r="Z297" s="2">
        <v>0.19999999999981799</v>
      </c>
      <c r="AA297" s="2"/>
      <c r="AB297" s="2"/>
      <c r="AC297" s="2">
        <v>20</v>
      </c>
      <c r="AD297" s="2"/>
      <c r="AE297" s="2">
        <v>14</v>
      </c>
      <c r="AF297" s="2"/>
      <c r="AG297" s="2"/>
      <c r="AH297" s="2"/>
      <c r="AI297" s="2"/>
      <c r="AJ297" s="2">
        <v>0.39999999999963598</v>
      </c>
      <c r="AK297" s="2"/>
      <c r="AL297" s="2">
        <v>7.6999999999970896</v>
      </c>
      <c r="AM297" s="2">
        <v>1.5</v>
      </c>
      <c r="AN297" s="2"/>
      <c r="AO297" s="2"/>
      <c r="AP297" s="2"/>
      <c r="AQ297" s="2"/>
      <c r="AR297" s="2">
        <v>0.29999999999972699</v>
      </c>
      <c r="AS297" s="2"/>
      <c r="AT297" s="2"/>
      <c r="AU297" s="2"/>
      <c r="AV297" s="2"/>
      <c r="AW297" s="2"/>
      <c r="AX297" s="2"/>
      <c r="AY297" s="2"/>
      <c r="AZ297" s="2">
        <v>1.1999999999989099</v>
      </c>
      <c r="BA297" s="2"/>
      <c r="BB297" s="2"/>
      <c r="BC297" s="2">
        <v>0.60000000000036402</v>
      </c>
      <c r="BD297" s="2"/>
      <c r="BE297" s="2"/>
      <c r="BF297" s="2"/>
      <c r="BG297" s="2"/>
      <c r="BH297" s="2">
        <v>0.60000000000036402</v>
      </c>
      <c r="BI297" s="2">
        <v>0</v>
      </c>
      <c r="BJ297" s="2">
        <v>1.8</v>
      </c>
      <c r="BK297" s="2">
        <v>22.399999999994201</v>
      </c>
      <c r="BL297" s="2"/>
      <c r="BM297" s="2"/>
      <c r="BN297" s="2">
        <v>0.200000000000045</v>
      </c>
      <c r="BO297" s="2">
        <v>9.3000000000029104</v>
      </c>
      <c r="BP297" s="2"/>
      <c r="BQ297" s="2">
        <v>4.5</v>
      </c>
      <c r="BR297" s="2">
        <v>9.1999999999970896</v>
      </c>
      <c r="BS297" s="2"/>
      <c r="BT297" s="2"/>
      <c r="BU297" s="2"/>
      <c r="BV297" s="2">
        <v>3.5</v>
      </c>
      <c r="BW297" s="2">
        <v>0.19999999999981799</v>
      </c>
      <c r="BX297" s="2"/>
      <c r="BY297" s="2"/>
      <c r="BZ297" s="2">
        <v>0.5</v>
      </c>
      <c r="CA297" s="2"/>
      <c r="CB297" s="2"/>
      <c r="CC297" s="2">
        <v>18</v>
      </c>
      <c r="CD297" s="2"/>
      <c r="CE297" s="2">
        <v>3.6</v>
      </c>
      <c r="CF297" s="2"/>
      <c r="CG297" s="2">
        <v>0.1</v>
      </c>
      <c r="CH297" s="2">
        <v>2.1</v>
      </c>
      <c r="CI297" s="2">
        <v>6.5</v>
      </c>
      <c r="CJ297" s="2"/>
      <c r="CK297" s="2"/>
      <c r="CL297" s="2">
        <v>9</v>
      </c>
      <c r="CM297" s="2">
        <v>34.5</v>
      </c>
      <c r="CN297" s="2">
        <v>2.5</v>
      </c>
      <c r="CO297" s="2"/>
      <c r="CP297" s="2"/>
      <c r="CQ297" s="2"/>
      <c r="CR297" s="2"/>
      <c r="CS297" s="2">
        <v>3.5</v>
      </c>
      <c r="CT297" s="2">
        <v>3.3</v>
      </c>
      <c r="CU297" s="2"/>
      <c r="CV297" s="2"/>
      <c r="CW297" s="2"/>
      <c r="CX297" s="2"/>
      <c r="CY297" s="2"/>
      <c r="CZ297" s="2"/>
      <c r="DB297">
        <v>2000</v>
      </c>
      <c r="DC297">
        <v>34.5</v>
      </c>
      <c r="DH297">
        <v>296</v>
      </c>
    </row>
    <row r="298" spans="1:112">
      <c r="A298" s="1">
        <v>41205</v>
      </c>
      <c r="B298" s="2"/>
      <c r="C298" s="2">
        <v>18.8</v>
      </c>
      <c r="D298" s="2"/>
      <c r="E298" s="2">
        <v>0.5</v>
      </c>
      <c r="F298" s="2">
        <v>9.3000000000000007</v>
      </c>
      <c r="G298" s="2"/>
      <c r="H298" s="2">
        <v>0.5</v>
      </c>
      <c r="I298" s="2"/>
      <c r="J298" s="2"/>
      <c r="K298" s="2">
        <v>5.3</v>
      </c>
      <c r="L298" s="2"/>
      <c r="M298" s="2"/>
      <c r="N298" s="2"/>
      <c r="O298" s="2"/>
      <c r="P298" s="2"/>
      <c r="Q298" s="2"/>
      <c r="R298" s="2"/>
      <c r="S298" s="2"/>
      <c r="T298" s="2">
        <v>0.2</v>
      </c>
      <c r="U298" s="2"/>
      <c r="V298" s="2"/>
      <c r="W298" s="2"/>
      <c r="X298" s="2">
        <v>14.5</v>
      </c>
      <c r="Y298" s="2"/>
      <c r="Z298" s="2"/>
      <c r="AA298" s="2"/>
      <c r="AB298" s="2"/>
      <c r="AC298" s="2">
        <v>3.6999999999970901</v>
      </c>
      <c r="AD298" s="2"/>
      <c r="AE298" s="2">
        <v>2.1999999999970901</v>
      </c>
      <c r="AF298" s="2"/>
      <c r="AG298" s="2"/>
      <c r="AH298" s="2">
        <v>0.5</v>
      </c>
      <c r="AI298" s="2"/>
      <c r="AJ298" s="2"/>
      <c r="AK298" s="2"/>
      <c r="AL298" s="2">
        <v>5.5999999999985501</v>
      </c>
      <c r="AM298" s="2"/>
      <c r="AN298" s="2"/>
      <c r="AO298" s="2"/>
      <c r="AP298" s="2"/>
      <c r="AQ298" s="2"/>
      <c r="AR298" s="2"/>
      <c r="AS298" s="2">
        <v>0.19999999999981799</v>
      </c>
      <c r="AT298" s="2">
        <v>0.19999999999981799</v>
      </c>
      <c r="AU298" s="2"/>
      <c r="AV298" s="2"/>
      <c r="AW298" s="2"/>
      <c r="AX298" s="2"/>
      <c r="AY298" s="2"/>
      <c r="AZ298" s="2">
        <v>0.59999999999945397</v>
      </c>
      <c r="BA298" s="2"/>
      <c r="BB298" s="2">
        <v>1.6999999999989099</v>
      </c>
      <c r="BC298" s="2"/>
      <c r="BD298" s="2">
        <v>1.39999999999964</v>
      </c>
      <c r="BE298" s="2">
        <v>2.2999999999992702</v>
      </c>
      <c r="BF298" s="2"/>
      <c r="BG298" s="2"/>
      <c r="BH298" s="2">
        <v>0.30000000000018201</v>
      </c>
      <c r="BI298" s="2">
        <v>16</v>
      </c>
      <c r="BJ298" s="2"/>
      <c r="BK298" s="2"/>
      <c r="BL298" s="2">
        <v>12.6999999999971</v>
      </c>
      <c r="BM298" s="2"/>
      <c r="BN298" s="2">
        <v>21.5</v>
      </c>
      <c r="BO298" s="2">
        <v>19.600000000005799</v>
      </c>
      <c r="BP298" s="2">
        <v>0.100000000000023</v>
      </c>
      <c r="BQ298" s="2"/>
      <c r="BR298" s="2">
        <v>1.5</v>
      </c>
      <c r="BS298" s="2"/>
      <c r="BT298" s="2"/>
      <c r="BU298" s="2"/>
      <c r="BV298" s="2">
        <v>1</v>
      </c>
      <c r="BW298" s="2">
        <v>0</v>
      </c>
      <c r="BX298" s="2">
        <v>1.5</v>
      </c>
      <c r="BY298" s="2"/>
      <c r="BZ298" s="2">
        <v>3.1</v>
      </c>
      <c r="CA298" s="2"/>
      <c r="CB298" s="2"/>
      <c r="CC298" s="2">
        <v>16.8</v>
      </c>
      <c r="CD298" s="2">
        <v>0.1</v>
      </c>
      <c r="CE298" s="2">
        <v>22.3</v>
      </c>
      <c r="CF298" s="2"/>
      <c r="CG298" s="2">
        <v>5.6</v>
      </c>
      <c r="CH298" s="2">
        <v>5.7</v>
      </c>
      <c r="CI298" s="2">
        <v>4.2</v>
      </c>
      <c r="CJ298" s="2"/>
      <c r="CK298" s="2"/>
      <c r="CL298" s="2">
        <v>2.5</v>
      </c>
      <c r="CM298" s="2">
        <v>12.5</v>
      </c>
      <c r="CN298" s="2"/>
      <c r="CO298" s="2"/>
      <c r="CP298" s="2">
        <v>1.7</v>
      </c>
      <c r="CQ298" s="2"/>
      <c r="CR298" s="2"/>
      <c r="CS298" s="2"/>
      <c r="CT298" s="2">
        <v>4.2</v>
      </c>
      <c r="CU298" s="2"/>
      <c r="CV298" s="2"/>
      <c r="CW298" s="2">
        <v>0.6</v>
      </c>
      <c r="CX298" s="2">
        <v>0.1</v>
      </c>
      <c r="CY298" s="2">
        <v>21.7</v>
      </c>
      <c r="CZ298" s="2">
        <v>0.2</v>
      </c>
      <c r="DB298">
        <v>1992</v>
      </c>
      <c r="DC298">
        <v>22.3</v>
      </c>
      <c r="DH298">
        <v>297</v>
      </c>
    </row>
    <row r="299" spans="1:112">
      <c r="A299" s="1">
        <v>41206</v>
      </c>
      <c r="B299" s="2"/>
      <c r="C299" s="2">
        <v>5.6</v>
      </c>
      <c r="D299" s="2">
        <v>3.2</v>
      </c>
      <c r="E299" s="2">
        <v>1.3</v>
      </c>
      <c r="F299" s="2">
        <v>9.6</v>
      </c>
      <c r="G299" s="2"/>
      <c r="H299" s="2">
        <v>3.8</v>
      </c>
      <c r="I299" s="2"/>
      <c r="J299" s="2"/>
      <c r="K299" s="2"/>
      <c r="L299" s="2"/>
      <c r="M299" s="2">
        <v>36.5</v>
      </c>
      <c r="N299" s="2"/>
      <c r="O299" s="2">
        <v>2.1</v>
      </c>
      <c r="P299" s="2"/>
      <c r="Q299" s="2"/>
      <c r="R299" s="2"/>
      <c r="S299" s="2"/>
      <c r="T299" s="2">
        <v>0.6</v>
      </c>
      <c r="U299" s="2">
        <v>2.2000000000000002</v>
      </c>
      <c r="V299" s="2"/>
      <c r="W299" s="2"/>
      <c r="X299" s="2"/>
      <c r="Y299" s="2">
        <v>7.5</v>
      </c>
      <c r="Z299" s="2">
        <v>3.5999999999985399</v>
      </c>
      <c r="AA299" s="2">
        <v>8.2999999999883602</v>
      </c>
      <c r="AB299" s="2"/>
      <c r="AC299" s="2">
        <v>11.599999999991301</v>
      </c>
      <c r="AD299" s="2">
        <v>6.1999999999970896</v>
      </c>
      <c r="AE299" s="2"/>
      <c r="AF299" s="2"/>
      <c r="AG299" s="2"/>
      <c r="AH299" s="2">
        <v>47</v>
      </c>
      <c r="AI299" s="2">
        <v>2.6999999999970901</v>
      </c>
      <c r="AJ299" s="2"/>
      <c r="AK299" s="2"/>
      <c r="AL299" s="2"/>
      <c r="AM299" s="2"/>
      <c r="AN299" s="2">
        <v>9.9999999999908995E-2</v>
      </c>
      <c r="AO299" s="2"/>
      <c r="AP299" s="2"/>
      <c r="AQ299" s="2"/>
      <c r="AR299" s="2"/>
      <c r="AS299" s="2"/>
      <c r="AT299" s="2"/>
      <c r="AU299" s="2"/>
      <c r="AV299" s="2">
        <v>1</v>
      </c>
      <c r="AW299" s="2"/>
      <c r="AX299" s="2">
        <v>3.6999999999970901</v>
      </c>
      <c r="AY299" s="2"/>
      <c r="AZ299" s="2">
        <v>5.6999999999970896</v>
      </c>
      <c r="BA299" s="2"/>
      <c r="BB299" s="2">
        <v>10</v>
      </c>
      <c r="BC299" s="2"/>
      <c r="BD299" s="2">
        <v>2.2999999999992702</v>
      </c>
      <c r="BE299" s="2"/>
      <c r="BF299" s="2"/>
      <c r="BG299" s="2">
        <v>0.100000000000023</v>
      </c>
      <c r="BH299" s="2"/>
      <c r="BI299" s="2">
        <v>19.799999999988401</v>
      </c>
      <c r="BJ299" s="2">
        <v>0.4</v>
      </c>
      <c r="BK299" s="2">
        <v>31.5</v>
      </c>
      <c r="BL299" s="2">
        <v>27.600000000005799</v>
      </c>
      <c r="BM299" s="2"/>
      <c r="BN299" s="2">
        <v>11.5</v>
      </c>
      <c r="BO299" s="2">
        <v>11.1999999999971</v>
      </c>
      <c r="BP299" s="2"/>
      <c r="BQ299" s="2"/>
      <c r="BR299" s="2">
        <v>13.5</v>
      </c>
      <c r="BS299" s="2"/>
      <c r="BT299" s="2"/>
      <c r="BU299" s="2"/>
      <c r="BV299" s="2"/>
      <c r="BW299" s="2"/>
      <c r="BX299" s="2">
        <v>8</v>
      </c>
      <c r="BY299" s="2"/>
      <c r="BZ299" s="2"/>
      <c r="CA299" s="2">
        <v>0.1</v>
      </c>
      <c r="CB299" s="2"/>
      <c r="CC299" s="2">
        <v>5.8</v>
      </c>
      <c r="CD299" s="2">
        <v>0.1</v>
      </c>
      <c r="CE299" s="2">
        <v>12</v>
      </c>
      <c r="CF299" s="2"/>
      <c r="CG299" s="2"/>
      <c r="CH299" s="2">
        <v>3.2</v>
      </c>
      <c r="CI299" s="2">
        <v>12.6</v>
      </c>
      <c r="CJ299" s="2">
        <v>40.299999999999997</v>
      </c>
      <c r="CK299" s="2"/>
      <c r="CL299" s="2">
        <v>0.5</v>
      </c>
      <c r="CM299" s="2">
        <v>0.5</v>
      </c>
      <c r="CN299" s="2"/>
      <c r="CO299" s="2">
        <v>9.5</v>
      </c>
      <c r="CP299" s="2">
        <v>24.5</v>
      </c>
      <c r="CQ299" s="2"/>
      <c r="CR299" s="2"/>
      <c r="CS299" s="2"/>
      <c r="CT299" s="2">
        <v>6.4</v>
      </c>
      <c r="CU299" s="2">
        <v>1</v>
      </c>
      <c r="CV299" s="2"/>
      <c r="CW299" s="2"/>
      <c r="CX299" s="2">
        <v>0.1</v>
      </c>
      <c r="CY299" s="2"/>
      <c r="CZ299" s="2"/>
      <c r="DB299">
        <v>1943</v>
      </c>
      <c r="DC299">
        <v>47</v>
      </c>
      <c r="DH299">
        <v>298</v>
      </c>
    </row>
    <row r="300" spans="1:112">
      <c r="A300" s="1">
        <v>41207</v>
      </c>
      <c r="B300" s="2"/>
      <c r="C300" s="2"/>
      <c r="D300" s="2"/>
      <c r="E300" s="2">
        <v>3</v>
      </c>
      <c r="F300" s="2"/>
      <c r="G300" s="2"/>
      <c r="H300" s="2">
        <v>1.2</v>
      </c>
      <c r="I300" s="2"/>
      <c r="J300" s="2">
        <v>7.6</v>
      </c>
      <c r="K300" s="2">
        <v>9.5</v>
      </c>
      <c r="L300" s="2">
        <v>3.1</v>
      </c>
      <c r="M300" s="2">
        <v>0.9</v>
      </c>
      <c r="N300" s="2"/>
      <c r="O300" s="2">
        <v>0.7</v>
      </c>
      <c r="P300" s="2"/>
      <c r="Q300" s="2">
        <v>4.5999999999999996</v>
      </c>
      <c r="R300" s="2">
        <v>14</v>
      </c>
      <c r="S300" s="2"/>
      <c r="T300" s="2">
        <v>4.9000000000000004</v>
      </c>
      <c r="U300" s="2">
        <v>47.7</v>
      </c>
      <c r="V300" s="2"/>
      <c r="W300" s="2">
        <v>0.6</v>
      </c>
      <c r="X300" s="2"/>
      <c r="Y300" s="2">
        <v>1.0999999999985499</v>
      </c>
      <c r="Z300" s="2"/>
      <c r="AA300" s="2">
        <v>9.9999999999908995E-2</v>
      </c>
      <c r="AB300" s="2"/>
      <c r="AC300" s="2">
        <v>9.9999999999908995E-2</v>
      </c>
      <c r="AD300" s="2">
        <v>6.0999999999985501</v>
      </c>
      <c r="AE300" s="2">
        <v>9.9999999999908995E-2</v>
      </c>
      <c r="AF300" s="2"/>
      <c r="AG300" s="2">
        <v>9.9999999999908995E-2</v>
      </c>
      <c r="AH300" s="2">
        <v>2.5</v>
      </c>
      <c r="AI300" s="2">
        <v>0.69999999999981799</v>
      </c>
      <c r="AJ300" s="2"/>
      <c r="AK300" s="2">
        <v>22.5</v>
      </c>
      <c r="AL300" s="2"/>
      <c r="AM300" s="2"/>
      <c r="AN300" s="2">
        <v>0.19999999999981799</v>
      </c>
      <c r="AO300" s="2"/>
      <c r="AP300" s="2"/>
      <c r="AQ300" s="2"/>
      <c r="AR300" s="2"/>
      <c r="AS300" s="2"/>
      <c r="AT300" s="2">
        <v>0.89999999999963598</v>
      </c>
      <c r="AU300" s="2">
        <v>0.19999999999981799</v>
      </c>
      <c r="AV300" s="2">
        <v>11.5</v>
      </c>
      <c r="AW300" s="2"/>
      <c r="AX300" s="2"/>
      <c r="AY300" s="2"/>
      <c r="AZ300" s="2">
        <v>43.5</v>
      </c>
      <c r="BA300" s="2"/>
      <c r="BB300" s="2">
        <v>5.0999999999985501</v>
      </c>
      <c r="BC300" s="2"/>
      <c r="BD300" s="2">
        <v>1.89999999999964</v>
      </c>
      <c r="BE300" s="2"/>
      <c r="BF300" s="2"/>
      <c r="BG300" s="2"/>
      <c r="BH300" s="2"/>
      <c r="BI300" s="2">
        <v>6.5</v>
      </c>
      <c r="BJ300" s="2"/>
      <c r="BK300" s="2">
        <v>8.3999999999941792</v>
      </c>
      <c r="BL300" s="2">
        <v>0.100000000000023</v>
      </c>
      <c r="BM300" s="2">
        <v>9.3000000000029104</v>
      </c>
      <c r="BN300" s="2">
        <v>3.7999999999992702</v>
      </c>
      <c r="BO300" s="2">
        <v>1</v>
      </c>
      <c r="BP300" s="2"/>
      <c r="BQ300" s="2">
        <v>0.89999999999963598</v>
      </c>
      <c r="BR300" s="2">
        <v>3.4000000000014601</v>
      </c>
      <c r="BS300" s="2"/>
      <c r="BT300" s="2">
        <v>0.100000000000023</v>
      </c>
      <c r="BU300" s="2">
        <v>0</v>
      </c>
      <c r="BV300" s="2">
        <v>6.6</v>
      </c>
      <c r="BW300" s="2">
        <v>0</v>
      </c>
      <c r="BX300" s="2">
        <v>21.3</v>
      </c>
      <c r="BY300" s="2">
        <v>23.3</v>
      </c>
      <c r="BZ300" s="2"/>
      <c r="CA300" s="2">
        <v>16.7</v>
      </c>
      <c r="CB300" s="2"/>
      <c r="CC300" s="2"/>
      <c r="CD300" s="2">
        <v>3.8</v>
      </c>
      <c r="CE300" s="2">
        <v>3.4</v>
      </c>
      <c r="CF300" s="2"/>
      <c r="CG300" s="2">
        <v>5.8</v>
      </c>
      <c r="CH300" s="2">
        <v>0.2</v>
      </c>
      <c r="CI300" s="2">
        <v>6.4</v>
      </c>
      <c r="CJ300" s="2">
        <v>18.399999999999999</v>
      </c>
      <c r="CK300" s="2"/>
      <c r="CL300" s="2"/>
      <c r="CM300" s="2"/>
      <c r="CN300" s="2">
        <v>0.7</v>
      </c>
      <c r="CO300" s="2"/>
      <c r="CP300" s="2">
        <v>15.2</v>
      </c>
      <c r="CQ300" s="2"/>
      <c r="CR300" s="2"/>
      <c r="CS300" s="2"/>
      <c r="CT300" s="2">
        <v>0.2</v>
      </c>
      <c r="CU300" s="2">
        <v>55.8</v>
      </c>
      <c r="CV300" s="2"/>
      <c r="CW300" s="2">
        <v>0.5</v>
      </c>
      <c r="CX300" s="2"/>
      <c r="CY300" s="2"/>
      <c r="CZ300" s="2">
        <v>0.2</v>
      </c>
      <c r="DB300">
        <v>2008</v>
      </c>
      <c r="DC300">
        <v>55.8</v>
      </c>
      <c r="DH300">
        <v>299</v>
      </c>
    </row>
    <row r="301" spans="1:112">
      <c r="A301" s="1">
        <v>41208</v>
      </c>
      <c r="B301" s="2"/>
      <c r="C301" s="2">
        <v>20.100000000000001</v>
      </c>
      <c r="D301" s="2"/>
      <c r="E301" s="2"/>
      <c r="F301" s="2">
        <v>2</v>
      </c>
      <c r="G301" s="2"/>
      <c r="H301" s="2">
        <v>6.6</v>
      </c>
      <c r="I301" s="2"/>
      <c r="J301" s="2">
        <v>1.6</v>
      </c>
      <c r="K301" s="2"/>
      <c r="L301" s="2"/>
      <c r="M301" s="2"/>
      <c r="N301" s="2"/>
      <c r="O301" s="2"/>
      <c r="P301" s="2"/>
      <c r="Q301" s="2"/>
      <c r="R301" s="2">
        <v>2.6</v>
      </c>
      <c r="S301" s="2"/>
      <c r="T301" s="2">
        <v>9.6999999999999993</v>
      </c>
      <c r="U301" s="2"/>
      <c r="V301" s="2"/>
      <c r="W301" s="2">
        <v>1.4</v>
      </c>
      <c r="X301" s="2"/>
      <c r="Y301" s="2"/>
      <c r="Z301" s="2"/>
      <c r="AA301" s="2"/>
      <c r="AB301" s="2"/>
      <c r="AC301" s="2"/>
      <c r="AD301" s="2">
        <v>18.299999999988401</v>
      </c>
      <c r="AE301" s="2"/>
      <c r="AF301" s="2"/>
      <c r="AG301" s="2">
        <v>0.29999999999972699</v>
      </c>
      <c r="AH301" s="2"/>
      <c r="AI301" s="2">
        <v>0.19999999999981799</v>
      </c>
      <c r="AJ301" s="2"/>
      <c r="AK301" s="2">
        <v>4.2999999999956398</v>
      </c>
      <c r="AL301" s="2">
        <v>0.19999999999981799</v>
      </c>
      <c r="AM301" s="2"/>
      <c r="AN301" s="2"/>
      <c r="AO301" s="2"/>
      <c r="AP301" s="2">
        <v>11.299999999988399</v>
      </c>
      <c r="AQ301" s="2"/>
      <c r="AR301" s="2"/>
      <c r="AS301" s="2"/>
      <c r="AT301" s="2">
        <v>19.899999999994201</v>
      </c>
      <c r="AU301" s="2"/>
      <c r="AV301" s="2">
        <v>3</v>
      </c>
      <c r="AW301" s="2">
        <v>0.29999999999972699</v>
      </c>
      <c r="AX301" s="2"/>
      <c r="AY301" s="2"/>
      <c r="AZ301" s="2">
        <v>1.39999999999964</v>
      </c>
      <c r="BA301" s="2"/>
      <c r="BB301" s="2">
        <v>5.79999999999563</v>
      </c>
      <c r="BC301" s="2"/>
      <c r="BD301" s="2">
        <v>2.2999999999992702</v>
      </c>
      <c r="BE301" s="2"/>
      <c r="BF301" s="2"/>
      <c r="BG301" s="2"/>
      <c r="BH301" s="2">
        <v>0.200000000000045</v>
      </c>
      <c r="BI301" s="2">
        <v>26</v>
      </c>
      <c r="BJ301" s="2"/>
      <c r="BK301" s="2"/>
      <c r="BL301" s="2">
        <v>0.100000000000023</v>
      </c>
      <c r="BM301" s="2">
        <v>0</v>
      </c>
      <c r="BN301" s="2">
        <v>0.80000000000018201</v>
      </c>
      <c r="BO301" s="2">
        <v>0.30000000000018201</v>
      </c>
      <c r="BP301" s="2"/>
      <c r="BQ301" s="2">
        <v>4.6999999999970896</v>
      </c>
      <c r="BR301" s="2">
        <v>0.30000000000018201</v>
      </c>
      <c r="BS301" s="2"/>
      <c r="BT301" s="2"/>
      <c r="BU301" s="2"/>
      <c r="BV301" s="2">
        <v>0.1</v>
      </c>
      <c r="BW301" s="2"/>
      <c r="BX301" s="2">
        <v>0.2</v>
      </c>
      <c r="BY301" s="2"/>
      <c r="BZ301" s="2">
        <v>2.2999999999999998</v>
      </c>
      <c r="CA301" s="2">
        <v>19.3</v>
      </c>
      <c r="CB301" s="2"/>
      <c r="CC301" s="2"/>
      <c r="CD301" s="2">
        <v>2.2999999999999998</v>
      </c>
      <c r="CE301" s="2">
        <v>0.4</v>
      </c>
      <c r="CF301" s="2">
        <v>0.5</v>
      </c>
      <c r="CG301" s="2"/>
      <c r="CH301" s="2">
        <v>16.8</v>
      </c>
      <c r="CI301" s="2">
        <v>26.9</v>
      </c>
      <c r="CJ301" s="2">
        <v>0</v>
      </c>
      <c r="CK301" s="2">
        <v>59.5</v>
      </c>
      <c r="CL301" s="2"/>
      <c r="CM301" s="2"/>
      <c r="CN301" s="2"/>
      <c r="CO301" s="2"/>
      <c r="CP301" s="2">
        <v>0.1</v>
      </c>
      <c r="CQ301" s="2"/>
      <c r="CR301" s="2"/>
      <c r="CS301" s="2"/>
      <c r="CT301" s="2"/>
      <c r="CU301" s="2">
        <v>110</v>
      </c>
      <c r="CV301" s="2"/>
      <c r="CW301" s="2">
        <v>1.9</v>
      </c>
      <c r="CX301" s="2"/>
      <c r="CY301" s="2"/>
      <c r="CZ301" s="2"/>
      <c r="DB301">
        <v>2008</v>
      </c>
      <c r="DC301">
        <v>110</v>
      </c>
      <c r="DH301">
        <v>300</v>
      </c>
    </row>
    <row r="302" spans="1:112">
      <c r="A302" s="1">
        <v>41209</v>
      </c>
      <c r="B302" s="2"/>
      <c r="C302" s="2">
        <v>1.4</v>
      </c>
      <c r="D302" s="2">
        <v>0.2</v>
      </c>
      <c r="E302" s="2"/>
      <c r="F302" s="2"/>
      <c r="G302" s="2">
        <v>3.7</v>
      </c>
      <c r="H302" s="2"/>
      <c r="I302" s="2">
        <v>1.7</v>
      </c>
      <c r="J302" s="2"/>
      <c r="K302" s="2"/>
      <c r="L302" s="2"/>
      <c r="M302" s="2">
        <v>10.6</v>
      </c>
      <c r="N302" s="2"/>
      <c r="O302" s="2"/>
      <c r="P302" s="2"/>
      <c r="Q302" s="2">
        <v>23.4</v>
      </c>
      <c r="R302" s="2">
        <v>104.9</v>
      </c>
      <c r="S302" s="2"/>
      <c r="T302" s="2"/>
      <c r="U302" s="2">
        <v>21.8</v>
      </c>
      <c r="V302" s="2"/>
      <c r="W302" s="2"/>
      <c r="X302" s="2">
        <v>26</v>
      </c>
      <c r="Y302" s="2"/>
      <c r="Z302" s="2">
        <v>10.599999999991301</v>
      </c>
      <c r="AA302" s="2"/>
      <c r="AB302" s="2"/>
      <c r="AC302" s="2"/>
      <c r="AD302" s="2"/>
      <c r="AE302" s="2"/>
      <c r="AF302" s="2">
        <v>14.6999999999971</v>
      </c>
      <c r="AG302" s="2"/>
      <c r="AH302" s="2">
        <v>0.29999999999972699</v>
      </c>
      <c r="AI302" s="2">
        <v>4.8999999999941801</v>
      </c>
      <c r="AJ302" s="2"/>
      <c r="AK302" s="2">
        <v>0.29999999999972699</v>
      </c>
      <c r="AL302" s="2">
        <v>2.6999999999970901</v>
      </c>
      <c r="AM302" s="2"/>
      <c r="AN302" s="2"/>
      <c r="AO302" s="2">
        <v>6.8999999999941801</v>
      </c>
      <c r="AP302" s="2">
        <v>4.5999999999985501</v>
      </c>
      <c r="AQ302" s="2"/>
      <c r="AR302" s="2"/>
      <c r="AS302" s="2">
        <v>0.19999999999981799</v>
      </c>
      <c r="AT302" s="2">
        <v>0.39999999999963598</v>
      </c>
      <c r="AU302" s="2"/>
      <c r="AV302" s="2"/>
      <c r="AW302" s="2"/>
      <c r="AX302" s="2"/>
      <c r="AY302" s="2"/>
      <c r="AZ302" s="2"/>
      <c r="BA302" s="2"/>
      <c r="BB302" s="2">
        <v>13.099999999991301</v>
      </c>
      <c r="BC302" s="2"/>
      <c r="BD302" s="2"/>
      <c r="BE302" s="2"/>
      <c r="BF302" s="2"/>
      <c r="BG302" s="2"/>
      <c r="BH302" s="2">
        <v>0.100000000000023</v>
      </c>
      <c r="BI302" s="2">
        <v>0.200000000000045</v>
      </c>
      <c r="BJ302" s="2">
        <v>0.1</v>
      </c>
      <c r="BK302" s="2">
        <v>0.100000000000023</v>
      </c>
      <c r="BL302" s="2"/>
      <c r="BM302" s="2">
        <v>4.5</v>
      </c>
      <c r="BN302" s="2">
        <v>2.2999999999992702</v>
      </c>
      <c r="BO302" s="2">
        <v>0.69999999999981799</v>
      </c>
      <c r="BP302" s="2">
        <v>0.100000000000023</v>
      </c>
      <c r="BQ302" s="2">
        <v>1.5</v>
      </c>
      <c r="BR302" s="2"/>
      <c r="BS302" s="2"/>
      <c r="BT302" s="2"/>
      <c r="BU302" s="2"/>
      <c r="BV302" s="2"/>
      <c r="BW302" s="2"/>
      <c r="BX302" s="2"/>
      <c r="BY302" s="2"/>
      <c r="BZ302" s="2">
        <v>27.8</v>
      </c>
      <c r="CA302" s="2">
        <v>3.2</v>
      </c>
      <c r="CB302" s="2"/>
      <c r="CC302" s="2"/>
      <c r="CD302" s="2">
        <v>0.1</v>
      </c>
      <c r="CE302" s="2">
        <v>10.4</v>
      </c>
      <c r="CF302" s="2">
        <v>0.1</v>
      </c>
      <c r="CG302" s="2"/>
      <c r="CH302" s="2">
        <v>0.5</v>
      </c>
      <c r="CI302" s="2">
        <v>0.8</v>
      </c>
      <c r="CJ302" s="2"/>
      <c r="CK302" s="2">
        <v>19.5</v>
      </c>
      <c r="CL302" s="2">
        <v>3.3</v>
      </c>
      <c r="CM302" s="2"/>
      <c r="CN302" s="2">
        <v>3.5</v>
      </c>
      <c r="CO302" s="2"/>
      <c r="CP302" s="2">
        <v>16.2</v>
      </c>
      <c r="CQ302" s="2"/>
      <c r="CR302" s="2"/>
      <c r="CS302" s="2"/>
      <c r="CT302" s="2"/>
      <c r="CU302" s="2">
        <v>4.0999999999999996</v>
      </c>
      <c r="CV302" s="2"/>
      <c r="CW302" s="2">
        <v>40.799999999999997</v>
      </c>
      <c r="CX302" s="2"/>
      <c r="CY302" s="2"/>
      <c r="CZ302" s="2"/>
      <c r="DB302">
        <v>1927</v>
      </c>
      <c r="DC302">
        <v>104.9</v>
      </c>
      <c r="DH302">
        <v>301</v>
      </c>
    </row>
    <row r="303" spans="1:112">
      <c r="A303" s="1">
        <v>41210</v>
      </c>
      <c r="B303" s="2"/>
      <c r="C303" s="2"/>
      <c r="D303" s="2"/>
      <c r="E303" s="2">
        <v>0.8</v>
      </c>
      <c r="F303" s="2"/>
      <c r="G303" s="2">
        <v>1.7</v>
      </c>
      <c r="H303" s="2"/>
      <c r="I303" s="2">
        <v>0.2</v>
      </c>
      <c r="J303" s="2"/>
      <c r="K303" s="2"/>
      <c r="L303" s="2"/>
      <c r="M303" s="2"/>
      <c r="N303" s="2"/>
      <c r="O303" s="2"/>
      <c r="P303" s="2"/>
      <c r="Q303" s="2"/>
      <c r="R303" s="2">
        <v>2</v>
      </c>
      <c r="S303" s="2"/>
      <c r="T303" s="2"/>
      <c r="U303" s="2">
        <v>11.4</v>
      </c>
      <c r="V303" s="2"/>
      <c r="W303" s="2"/>
      <c r="X303" s="2">
        <v>0</v>
      </c>
      <c r="Y303" s="2"/>
      <c r="Z303" s="2">
        <v>2.8999999999978199</v>
      </c>
      <c r="AA303" s="2"/>
      <c r="AB303" s="2"/>
      <c r="AC303" s="2"/>
      <c r="AD303" s="2"/>
      <c r="AE303" s="2"/>
      <c r="AF303" s="2">
        <v>9.7999999999883602</v>
      </c>
      <c r="AG303" s="2"/>
      <c r="AH303" s="2"/>
      <c r="AI303" s="2">
        <v>22.199999999982499</v>
      </c>
      <c r="AJ303" s="2"/>
      <c r="AK303" s="2">
        <v>0</v>
      </c>
      <c r="AL303" s="2">
        <v>17</v>
      </c>
      <c r="AM303" s="2">
        <v>0.19999999999981799</v>
      </c>
      <c r="AN303" s="2">
        <v>9.9999999999908995E-2</v>
      </c>
      <c r="AO303" s="2">
        <v>2.0999999999985399</v>
      </c>
      <c r="AP303" s="2"/>
      <c r="AQ303" s="2">
        <v>0.59999999999945397</v>
      </c>
      <c r="AR303" s="2"/>
      <c r="AS303" s="2">
        <v>0.19999999999981799</v>
      </c>
      <c r="AT303" s="2"/>
      <c r="AU303" s="2"/>
      <c r="AV303" s="2"/>
      <c r="AW303" s="2"/>
      <c r="AX303" s="2"/>
      <c r="AY303" s="2"/>
      <c r="AZ303" s="2">
        <v>5.0999999999985501</v>
      </c>
      <c r="BA303" s="2"/>
      <c r="BB303" s="2">
        <v>18.599999999976699</v>
      </c>
      <c r="BC303" s="2"/>
      <c r="BD303" s="2"/>
      <c r="BE303" s="2"/>
      <c r="BF303" s="2"/>
      <c r="BG303" s="2">
        <v>1.20000000000073</v>
      </c>
      <c r="BH303" s="2"/>
      <c r="BI303" s="2">
        <v>0.200000000000045</v>
      </c>
      <c r="BJ303" s="2">
        <v>26.7</v>
      </c>
      <c r="BK303" s="2"/>
      <c r="BL303" s="2"/>
      <c r="BM303" s="2"/>
      <c r="BN303" s="2"/>
      <c r="BO303" s="2">
        <v>2.5999999999985399</v>
      </c>
      <c r="BP303" s="2">
        <v>0.100000000000023</v>
      </c>
      <c r="BQ303" s="2">
        <v>50.400000000023297</v>
      </c>
      <c r="BR303" s="2"/>
      <c r="BS303" s="2"/>
      <c r="BT303" s="2">
        <v>5.5</v>
      </c>
      <c r="BU303" s="2"/>
      <c r="BV303" s="2"/>
      <c r="BW303" s="2"/>
      <c r="BX303" s="2"/>
      <c r="BY303" s="2">
        <v>3.1</v>
      </c>
      <c r="BZ303" s="2">
        <v>17.8</v>
      </c>
      <c r="CA303" s="2">
        <v>0.6</v>
      </c>
      <c r="CB303" s="2">
        <v>0.1</v>
      </c>
      <c r="CC303" s="2"/>
      <c r="CD303" s="2"/>
      <c r="CE303" s="2"/>
      <c r="CF303" s="2"/>
      <c r="CG303" s="2"/>
      <c r="CH303" s="2">
        <v>6.1</v>
      </c>
      <c r="CI303" s="2">
        <v>1.7</v>
      </c>
      <c r="CJ303" s="2"/>
      <c r="CK303" s="2"/>
      <c r="CL303" s="2"/>
      <c r="CM303" s="2"/>
      <c r="CN303" s="2">
        <v>11</v>
      </c>
      <c r="CO303" s="2"/>
      <c r="CP303" s="2">
        <v>12.3</v>
      </c>
      <c r="CQ303" s="2"/>
      <c r="CR303" s="2">
        <v>3</v>
      </c>
      <c r="CS303" s="2"/>
      <c r="CT303" s="2"/>
      <c r="CU303" s="2"/>
      <c r="CV303" s="2">
        <v>5.6</v>
      </c>
      <c r="CW303" s="2">
        <v>50</v>
      </c>
      <c r="CX303" s="2"/>
      <c r="CY303" s="2"/>
      <c r="CZ303" s="2"/>
      <c r="DB303">
        <v>1978</v>
      </c>
      <c r="DC303">
        <v>50.400000000023297</v>
      </c>
      <c r="DH303">
        <v>302</v>
      </c>
    </row>
    <row r="304" spans="1:112">
      <c r="A304" s="1">
        <v>41211</v>
      </c>
      <c r="B304" s="2"/>
      <c r="C304" s="2"/>
      <c r="D304" s="2"/>
      <c r="E304" s="2"/>
      <c r="F304" s="2"/>
      <c r="G304" s="2"/>
      <c r="H304" s="2"/>
      <c r="I304" s="2">
        <v>8.1</v>
      </c>
      <c r="J304" s="2">
        <v>3.9</v>
      </c>
      <c r="K304" s="2">
        <v>9.6</v>
      </c>
      <c r="L304" s="2">
        <v>5.6</v>
      </c>
      <c r="M304" s="2"/>
      <c r="N304" s="2">
        <v>0.2</v>
      </c>
      <c r="O304" s="2">
        <v>0.2</v>
      </c>
      <c r="P304" s="2"/>
      <c r="Q304" s="2"/>
      <c r="R304" s="2"/>
      <c r="S304" s="2"/>
      <c r="T304" s="2">
        <v>0</v>
      </c>
      <c r="U304" s="2">
        <v>12</v>
      </c>
      <c r="V304" s="2"/>
      <c r="W304" s="2"/>
      <c r="X304" s="2"/>
      <c r="Y304" s="2"/>
      <c r="Z304" s="2">
        <v>28.899999999994201</v>
      </c>
      <c r="AA304" s="2"/>
      <c r="AB304" s="2"/>
      <c r="AC304" s="2"/>
      <c r="AD304" s="2">
        <v>1.5999999999985499</v>
      </c>
      <c r="AE304" s="2">
        <v>1.79999999999927</v>
      </c>
      <c r="AF304" s="2">
        <v>0.29999999999972699</v>
      </c>
      <c r="AG304" s="2"/>
      <c r="AH304" s="2"/>
      <c r="AI304" s="2"/>
      <c r="AJ304" s="2"/>
      <c r="AK304" s="2">
        <v>1</v>
      </c>
      <c r="AL304" s="2">
        <v>1.0999999999985499</v>
      </c>
      <c r="AM304" s="2">
        <v>9.9999999999908995E-2</v>
      </c>
      <c r="AN304" s="2"/>
      <c r="AO304" s="2"/>
      <c r="AP304" s="2"/>
      <c r="AQ304" s="2"/>
      <c r="AR304" s="2"/>
      <c r="AS304" s="2">
        <v>0.39999999999963598</v>
      </c>
      <c r="AT304" s="2"/>
      <c r="AU304" s="2">
        <v>6.5</v>
      </c>
      <c r="AV304" s="2"/>
      <c r="AW304" s="2">
        <v>1.0999999999985499</v>
      </c>
      <c r="AX304" s="2">
        <v>1.0999999999985499</v>
      </c>
      <c r="AY304" s="2"/>
      <c r="AZ304" s="2"/>
      <c r="BA304" s="2"/>
      <c r="BB304" s="2">
        <v>2.8999999999978199</v>
      </c>
      <c r="BC304" s="2"/>
      <c r="BD304" s="2"/>
      <c r="BE304" s="2"/>
      <c r="BF304" s="2"/>
      <c r="BG304" s="2">
        <v>1.39999999999964</v>
      </c>
      <c r="BH304" s="2"/>
      <c r="BI304" s="2"/>
      <c r="BJ304" s="2">
        <v>64</v>
      </c>
      <c r="BK304" s="2"/>
      <c r="BL304" s="2"/>
      <c r="BM304" s="2"/>
      <c r="BN304" s="2">
        <v>1.70000000000073</v>
      </c>
      <c r="BO304" s="2"/>
      <c r="BP304" s="2">
        <v>0.100000000000023</v>
      </c>
      <c r="BQ304" s="2">
        <v>91</v>
      </c>
      <c r="BR304" s="2">
        <v>0.5</v>
      </c>
      <c r="BS304" s="2"/>
      <c r="BT304" s="2">
        <v>1.79999999999927</v>
      </c>
      <c r="BU304" s="2"/>
      <c r="BV304" s="2">
        <v>9.4</v>
      </c>
      <c r="BW304" s="2"/>
      <c r="BX304" s="2"/>
      <c r="BY304" s="2"/>
      <c r="BZ304" s="2">
        <v>1.7</v>
      </c>
      <c r="CA304" s="2">
        <v>1</v>
      </c>
      <c r="CB304" s="2"/>
      <c r="CC304" s="2">
        <v>0.4</v>
      </c>
      <c r="CD304" s="2">
        <v>9.1999999999999993</v>
      </c>
      <c r="CE304" s="2"/>
      <c r="CF304" s="2"/>
      <c r="CG304" s="2"/>
      <c r="CH304" s="2"/>
      <c r="CI304" s="2"/>
      <c r="CJ304" s="2">
        <v>2.5</v>
      </c>
      <c r="CK304" s="2"/>
      <c r="CL304" s="2">
        <v>0.6</v>
      </c>
      <c r="CM304" s="2"/>
      <c r="CN304" s="2"/>
      <c r="CO304" s="2"/>
      <c r="CP304" s="2"/>
      <c r="CQ304" s="2"/>
      <c r="CR304" s="2">
        <v>6</v>
      </c>
      <c r="CS304" s="2"/>
      <c r="CT304" s="2">
        <v>4.5</v>
      </c>
      <c r="CU304" s="2"/>
      <c r="CV304" s="2">
        <v>2.6</v>
      </c>
      <c r="CW304" s="2">
        <v>1.5</v>
      </c>
      <c r="CX304" s="2"/>
      <c r="CY304" s="2">
        <v>25</v>
      </c>
      <c r="CZ304" s="2"/>
      <c r="DB304">
        <v>1978</v>
      </c>
      <c r="DC304">
        <v>91</v>
      </c>
      <c r="DH304">
        <v>303</v>
      </c>
    </row>
    <row r="305" spans="1:112">
      <c r="A305" s="1">
        <v>41212</v>
      </c>
      <c r="B305" s="2"/>
      <c r="C305" s="2"/>
      <c r="D305" s="2"/>
      <c r="E305" s="2">
        <v>1.7</v>
      </c>
      <c r="F305" s="2"/>
      <c r="G305" s="2"/>
      <c r="H305" s="2"/>
      <c r="I305" s="2">
        <v>7.6</v>
      </c>
      <c r="J305" s="2"/>
      <c r="K305" s="2">
        <v>2.4</v>
      </c>
      <c r="L305" s="2">
        <v>1</v>
      </c>
      <c r="M305" s="2">
        <v>0.4</v>
      </c>
      <c r="N305" s="2"/>
      <c r="O305" s="2">
        <v>1.4</v>
      </c>
      <c r="P305" s="2"/>
      <c r="Q305" s="2"/>
      <c r="R305" s="2"/>
      <c r="S305" s="2"/>
      <c r="T305" s="2">
        <v>3.2</v>
      </c>
      <c r="U305" s="2"/>
      <c r="V305" s="2">
        <v>17</v>
      </c>
      <c r="W305" s="2"/>
      <c r="X305" s="2"/>
      <c r="Y305" s="2"/>
      <c r="Z305" s="2">
        <v>2.2999999999992702</v>
      </c>
      <c r="AA305" s="2"/>
      <c r="AB305" s="2">
        <v>2.8999999999978199</v>
      </c>
      <c r="AC305" s="2"/>
      <c r="AD305" s="2"/>
      <c r="AE305" s="2">
        <v>0.29999999999972699</v>
      </c>
      <c r="AF305" s="2">
        <v>0.29999999999972699</v>
      </c>
      <c r="AG305" s="2"/>
      <c r="AH305" s="2"/>
      <c r="AI305" s="2"/>
      <c r="AJ305" s="2"/>
      <c r="AK305" s="2"/>
      <c r="AL305" s="2"/>
      <c r="AM305" s="2"/>
      <c r="AN305" s="2">
        <v>9.9999999999908995E-2</v>
      </c>
      <c r="AO305" s="2"/>
      <c r="AP305" s="2"/>
      <c r="AQ305" s="2"/>
      <c r="AR305" s="2"/>
      <c r="AS305" s="2">
        <v>0.5</v>
      </c>
      <c r="AT305" s="2">
        <v>8.7999999999883602</v>
      </c>
      <c r="AU305" s="2">
        <v>4.5999999999985501</v>
      </c>
      <c r="AV305" s="2"/>
      <c r="AW305" s="2"/>
      <c r="AX305" s="2">
        <v>0.89999999999963598</v>
      </c>
      <c r="AY305" s="2"/>
      <c r="AZ305" s="2"/>
      <c r="BA305" s="2"/>
      <c r="BB305" s="2">
        <v>7.6999999999970896</v>
      </c>
      <c r="BC305" s="2"/>
      <c r="BD305" s="2"/>
      <c r="BE305" s="2"/>
      <c r="BF305" s="2"/>
      <c r="BG305" s="2"/>
      <c r="BH305" s="2">
        <v>0.100000000000023</v>
      </c>
      <c r="BI305" s="2">
        <v>0</v>
      </c>
      <c r="BJ305" s="2">
        <v>5.5</v>
      </c>
      <c r="BK305" s="2"/>
      <c r="BL305" s="2"/>
      <c r="BM305" s="2">
        <v>7.1999999999970896</v>
      </c>
      <c r="BN305" s="2"/>
      <c r="BO305" s="2"/>
      <c r="BP305" s="2"/>
      <c r="BQ305" s="2">
        <v>1</v>
      </c>
      <c r="BR305" s="2">
        <v>9.3000000000029104</v>
      </c>
      <c r="BS305" s="2"/>
      <c r="BT305" s="2">
        <v>0</v>
      </c>
      <c r="BU305" s="2"/>
      <c r="BV305" s="2">
        <v>0</v>
      </c>
      <c r="BW305" s="2">
        <v>5.3999999999941801</v>
      </c>
      <c r="BX305" s="2"/>
      <c r="BY305" s="2">
        <v>1.6</v>
      </c>
      <c r="BZ305" s="2">
        <v>2.4</v>
      </c>
      <c r="CA305" s="2"/>
      <c r="CB305" s="2"/>
      <c r="CC305" s="2">
        <v>8.8000000000000007</v>
      </c>
      <c r="CD305" s="2"/>
      <c r="CE305" s="2"/>
      <c r="CF305" s="2"/>
      <c r="CG305" s="2">
        <v>0.6</v>
      </c>
      <c r="CH305" s="2">
        <v>2.8</v>
      </c>
      <c r="CI305" s="2">
        <v>0.2</v>
      </c>
      <c r="CJ305" s="2"/>
      <c r="CK305" s="2"/>
      <c r="CL305" s="2">
        <v>3.1</v>
      </c>
      <c r="CM305" s="2"/>
      <c r="CN305" s="2">
        <v>0.1</v>
      </c>
      <c r="CO305" s="2"/>
      <c r="CP305" s="2">
        <v>0.1</v>
      </c>
      <c r="CQ305" s="2"/>
      <c r="CR305" s="2">
        <v>22</v>
      </c>
      <c r="CS305" s="2">
        <v>33.6</v>
      </c>
      <c r="CT305" s="2">
        <v>0.2</v>
      </c>
      <c r="CU305" s="2"/>
      <c r="CV305" s="2">
        <v>12.4</v>
      </c>
      <c r="CW305" s="2">
        <v>0.1</v>
      </c>
      <c r="CX305" s="2"/>
      <c r="CY305" s="2">
        <v>0.2</v>
      </c>
      <c r="CZ305" s="2"/>
      <c r="DB305">
        <v>2006</v>
      </c>
      <c r="DC305">
        <v>33.6</v>
      </c>
      <c r="DH305">
        <v>304</v>
      </c>
    </row>
    <row r="306" spans="1:112">
      <c r="A306" s="1">
        <v>41213</v>
      </c>
      <c r="B306" s="2"/>
      <c r="C306" s="2"/>
      <c r="D306" s="2"/>
      <c r="E306" s="2"/>
      <c r="F306" s="2">
        <v>8.3000000000000007</v>
      </c>
      <c r="G306" s="2"/>
      <c r="H306" s="2"/>
      <c r="I306" s="2">
        <v>4.7</v>
      </c>
      <c r="J306" s="2"/>
      <c r="K306" s="2">
        <v>3.5</v>
      </c>
      <c r="L306" s="2">
        <v>7</v>
      </c>
      <c r="M306" s="2"/>
      <c r="N306" s="2"/>
      <c r="O306" s="2">
        <v>0.7</v>
      </c>
      <c r="P306" s="2">
        <v>0.6</v>
      </c>
      <c r="Q306" s="2"/>
      <c r="R306" s="2"/>
      <c r="S306" s="2"/>
      <c r="T306" s="2"/>
      <c r="U306" s="2"/>
      <c r="V306" s="2"/>
      <c r="W306" s="2"/>
      <c r="X306" s="2"/>
      <c r="Y306" s="2"/>
      <c r="Z306" s="2">
        <v>2</v>
      </c>
      <c r="AA306" s="2"/>
      <c r="AB306" s="2">
        <v>3.1999999999970901</v>
      </c>
      <c r="AC306" s="2">
        <v>1.29999999999927</v>
      </c>
      <c r="AD306" s="2">
        <v>0.19999999999981799</v>
      </c>
      <c r="AE306" s="2">
        <v>13.299999999988399</v>
      </c>
      <c r="AF306" s="2">
        <v>5.1999999999970896</v>
      </c>
      <c r="AG306" s="2"/>
      <c r="AH306" s="2"/>
      <c r="AI306" s="2">
        <v>0</v>
      </c>
      <c r="AJ306" s="2">
        <v>0.29999999999972699</v>
      </c>
      <c r="AK306" s="2"/>
      <c r="AL306" s="2">
        <v>0.19999999999981799</v>
      </c>
      <c r="AM306" s="2"/>
      <c r="AN306" s="2"/>
      <c r="AO306" s="2">
        <v>2</v>
      </c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>
        <v>32</v>
      </c>
      <c r="BC306" s="2"/>
      <c r="BD306" s="2"/>
      <c r="BE306" s="2"/>
      <c r="BF306" s="2">
        <v>0.89999999999963598</v>
      </c>
      <c r="BG306" s="2">
        <v>0.100000000000023</v>
      </c>
      <c r="BH306" s="2">
        <v>7.6999999999970896</v>
      </c>
      <c r="BI306" s="2">
        <v>0</v>
      </c>
      <c r="BJ306" s="2">
        <v>0.1</v>
      </c>
      <c r="BK306" s="2"/>
      <c r="BL306" s="2">
        <v>2.0999999999985399</v>
      </c>
      <c r="BM306" s="2">
        <v>0.100000000000023</v>
      </c>
      <c r="BN306" s="2"/>
      <c r="BO306" s="2"/>
      <c r="BP306" s="2"/>
      <c r="BQ306" s="2">
        <v>0.100000000000023</v>
      </c>
      <c r="BR306" s="2">
        <v>25</v>
      </c>
      <c r="BS306" s="2">
        <v>0</v>
      </c>
      <c r="BT306" s="2"/>
      <c r="BU306" s="2"/>
      <c r="BV306" s="2"/>
      <c r="BW306" s="2">
        <v>11.5</v>
      </c>
      <c r="BX306" s="2"/>
      <c r="BY306" s="2">
        <v>25.6</v>
      </c>
      <c r="BZ306" s="2">
        <v>14.3</v>
      </c>
      <c r="CA306" s="2">
        <v>8.5</v>
      </c>
      <c r="CB306" s="2"/>
      <c r="CC306" s="2"/>
      <c r="CD306" s="2">
        <v>7</v>
      </c>
      <c r="CE306" s="2"/>
      <c r="CF306" s="2"/>
      <c r="CG306" s="2"/>
      <c r="CH306" s="2"/>
      <c r="CI306" s="2">
        <v>5.6</v>
      </c>
      <c r="CJ306" s="2"/>
      <c r="CK306" s="2">
        <v>3.3</v>
      </c>
      <c r="CL306" s="2"/>
      <c r="CM306" s="2"/>
      <c r="CN306" s="2"/>
      <c r="CO306" s="2"/>
      <c r="CP306" s="2"/>
      <c r="CQ306" s="2"/>
      <c r="CR306" s="2">
        <v>34</v>
      </c>
      <c r="CS306" s="2">
        <v>39.700000000000003</v>
      </c>
      <c r="CT306" s="2"/>
      <c r="CU306" s="2"/>
      <c r="CV306" s="2">
        <v>57.5</v>
      </c>
      <c r="CW306" s="2"/>
      <c r="CX306" s="2"/>
      <c r="CY306" s="2"/>
      <c r="CZ306" s="2"/>
      <c r="DB306">
        <v>2009</v>
      </c>
      <c r="DC306">
        <v>57.5</v>
      </c>
      <c r="DH306">
        <v>305</v>
      </c>
    </row>
    <row r="307" spans="1:112">
      <c r="A307" s="1">
        <v>41214</v>
      </c>
      <c r="B307" s="2"/>
      <c r="C307" s="2">
        <v>5.9</v>
      </c>
      <c r="D307" s="2"/>
      <c r="E307" s="2"/>
      <c r="F307" s="2">
        <v>2.7</v>
      </c>
      <c r="G307" s="2">
        <v>0.2</v>
      </c>
      <c r="H307" s="2"/>
      <c r="I307" s="2"/>
      <c r="J307" s="2"/>
      <c r="K307" s="2">
        <v>10.1</v>
      </c>
      <c r="L307" s="2"/>
      <c r="M307" s="2">
        <v>0.2</v>
      </c>
      <c r="N307" s="2">
        <v>0.2</v>
      </c>
      <c r="O307" s="2">
        <v>0.3</v>
      </c>
      <c r="P307" s="2"/>
      <c r="Q307" s="2"/>
      <c r="R307" s="2"/>
      <c r="S307" s="2"/>
      <c r="T307" s="2">
        <v>0.1</v>
      </c>
      <c r="U307" s="2"/>
      <c r="V307" s="2">
        <v>6.2</v>
      </c>
      <c r="W307" s="2">
        <v>1.7</v>
      </c>
      <c r="X307" s="2">
        <v>2.5</v>
      </c>
      <c r="Y307" s="2"/>
      <c r="Z307" s="2">
        <v>15.5</v>
      </c>
      <c r="AA307" s="2">
        <v>2.0999999999985399</v>
      </c>
      <c r="AB307" s="2">
        <v>1.79999999999927</v>
      </c>
      <c r="AC307" s="2"/>
      <c r="AD307" s="2"/>
      <c r="AE307" s="2">
        <v>2.2999999999992702</v>
      </c>
      <c r="AF307" s="2">
        <v>0</v>
      </c>
      <c r="AG307" s="2">
        <v>0.2</v>
      </c>
      <c r="AH307" s="2"/>
      <c r="AI307" s="2"/>
      <c r="AJ307" s="2">
        <v>0.19999999999981799</v>
      </c>
      <c r="AK307" s="2"/>
      <c r="AL307" s="2"/>
      <c r="AM307" s="2"/>
      <c r="AN307" s="2"/>
      <c r="AO307" s="2"/>
      <c r="AP307" s="2"/>
      <c r="AQ307" s="2">
        <v>5</v>
      </c>
      <c r="AR307" s="2"/>
      <c r="AS307" s="2"/>
      <c r="AT307" s="2">
        <v>9.0999999999912706</v>
      </c>
      <c r="AU307" s="2"/>
      <c r="AV307" s="2"/>
      <c r="AW307" s="2"/>
      <c r="AX307" s="2">
        <v>2.5999999999985399</v>
      </c>
      <c r="AY307" s="2">
        <v>0</v>
      </c>
      <c r="AZ307" s="2"/>
      <c r="BA307" s="2">
        <v>0.19999999999981799</v>
      </c>
      <c r="BB307" s="2">
        <v>1.39999999999964</v>
      </c>
      <c r="BC307" s="2"/>
      <c r="BD307" s="2"/>
      <c r="BE307" s="2">
        <v>0.30000000000018201</v>
      </c>
      <c r="BF307" s="2"/>
      <c r="BG307" s="2"/>
      <c r="BH307" s="2">
        <v>0.100000000000023</v>
      </c>
      <c r="BI307" s="2">
        <v>0.200000000000045</v>
      </c>
      <c r="BJ307" s="2">
        <v>3.5</v>
      </c>
      <c r="BK307" s="2">
        <v>0</v>
      </c>
      <c r="BL307" s="2">
        <v>0.400000000000091</v>
      </c>
      <c r="BM307" s="2">
        <v>16.399999999994201</v>
      </c>
      <c r="BN307" s="2"/>
      <c r="BO307" s="2">
        <v>0.89999999999963598</v>
      </c>
      <c r="BP307" s="2">
        <v>0.100000000000023</v>
      </c>
      <c r="BQ307" s="2">
        <v>1.10000000000036</v>
      </c>
      <c r="BR307" s="2">
        <v>47</v>
      </c>
      <c r="BS307" s="2"/>
      <c r="BT307" s="2"/>
      <c r="BU307" s="2"/>
      <c r="BV307" s="2"/>
      <c r="BW307" s="2">
        <v>8</v>
      </c>
      <c r="BX307" s="2"/>
      <c r="BY307" s="2">
        <v>3.3</v>
      </c>
      <c r="BZ307" s="2">
        <v>19</v>
      </c>
      <c r="CA307" s="2">
        <v>15.9</v>
      </c>
      <c r="CB307" s="2"/>
      <c r="CC307" s="2"/>
      <c r="CD307" s="2">
        <v>2.5</v>
      </c>
      <c r="CE307" s="2"/>
      <c r="CF307" s="2"/>
      <c r="CG307" s="2"/>
      <c r="CH307" s="2"/>
      <c r="CI307" s="2"/>
      <c r="CJ307" s="2"/>
      <c r="CK307" s="2"/>
      <c r="CL307" s="2">
        <v>0.1</v>
      </c>
      <c r="CM307" s="2"/>
      <c r="CN307" s="2"/>
      <c r="CO307" s="2"/>
      <c r="CP307" s="2"/>
      <c r="CQ307" s="2">
        <v>0.1</v>
      </c>
      <c r="CR307" s="2">
        <v>0.8</v>
      </c>
      <c r="CS307" s="2">
        <v>3.7</v>
      </c>
      <c r="CT307" s="2"/>
      <c r="CU307" s="2"/>
      <c r="CV307" s="2">
        <v>6.2</v>
      </c>
      <c r="CW307" s="2">
        <v>0.1</v>
      </c>
      <c r="CX307" s="2">
        <v>0.1</v>
      </c>
      <c r="CY307" s="2">
        <v>3.4</v>
      </c>
      <c r="CZ307" s="2"/>
      <c r="DB307">
        <v>1979</v>
      </c>
      <c r="DC307">
        <v>47</v>
      </c>
      <c r="DH307">
        <v>306</v>
      </c>
    </row>
    <row r="308" spans="1:112">
      <c r="A308" s="1">
        <v>41215</v>
      </c>
      <c r="B308" s="2"/>
      <c r="C308" s="2">
        <v>38.200000000000003</v>
      </c>
      <c r="D308" s="2">
        <v>0.7</v>
      </c>
      <c r="E308" s="2">
        <v>0.2</v>
      </c>
      <c r="F308" s="2"/>
      <c r="G308" s="2">
        <v>2</v>
      </c>
      <c r="H308" s="2"/>
      <c r="I308" s="2"/>
      <c r="J308" s="2"/>
      <c r="K308" s="2">
        <v>8.3000000000000007</v>
      </c>
      <c r="L308" s="2"/>
      <c r="M308" s="2"/>
      <c r="N308" s="2"/>
      <c r="O308" s="2"/>
      <c r="P308" s="2"/>
      <c r="Q308" s="2"/>
      <c r="R308" s="2"/>
      <c r="S308" s="2"/>
      <c r="T308" s="2">
        <v>0.2</v>
      </c>
      <c r="U308" s="2"/>
      <c r="V308" s="2">
        <v>5.2</v>
      </c>
      <c r="W308" s="2">
        <v>23.8</v>
      </c>
      <c r="X308" s="2"/>
      <c r="Y308" s="2">
        <v>2.5</v>
      </c>
      <c r="Z308" s="2">
        <v>14.399999999994201</v>
      </c>
      <c r="AA308" s="2"/>
      <c r="AB308" s="2"/>
      <c r="AC308" s="2">
        <v>0.79999999999927196</v>
      </c>
      <c r="AD308" s="2">
        <v>1.79999999999927</v>
      </c>
      <c r="AE308" s="2"/>
      <c r="AF308" s="2"/>
      <c r="AG308" s="2">
        <v>0.19999999999981799</v>
      </c>
      <c r="AH308" s="2">
        <v>0</v>
      </c>
      <c r="AI308" s="2"/>
      <c r="AJ308" s="2"/>
      <c r="AK308" s="2"/>
      <c r="AL308" s="2">
        <v>1.6999999999989099</v>
      </c>
      <c r="AM308" s="2"/>
      <c r="AN308" s="2">
        <v>9.9999999999908995E-2</v>
      </c>
      <c r="AO308" s="2">
        <v>1.5</v>
      </c>
      <c r="AP308" s="2"/>
      <c r="AQ308" s="2">
        <v>34</v>
      </c>
      <c r="AR308" s="2"/>
      <c r="AS308" s="2"/>
      <c r="AT308" s="2">
        <v>0.69999999999981799</v>
      </c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>
        <v>0.400000000000091</v>
      </c>
      <c r="BG308" s="2">
        <v>0.100000000000023</v>
      </c>
      <c r="BH308" s="2">
        <v>0.100000000000023</v>
      </c>
      <c r="BI308" s="2">
        <v>0.100000000000023</v>
      </c>
      <c r="BJ308" s="2">
        <v>17.600000000005799</v>
      </c>
      <c r="BK308" s="2">
        <v>0.100000000000023</v>
      </c>
      <c r="BL308" s="2">
        <v>0.100000000000023</v>
      </c>
      <c r="BM308" s="2">
        <v>0.30000000000018201</v>
      </c>
      <c r="BN308" s="2"/>
      <c r="BO308" s="2"/>
      <c r="BP308" s="2"/>
      <c r="BQ308" s="2"/>
      <c r="BR308" s="2">
        <v>0.5</v>
      </c>
      <c r="BS308" s="2">
        <v>4.5</v>
      </c>
      <c r="BT308" s="2"/>
      <c r="BU308" s="2"/>
      <c r="BV308" s="2"/>
      <c r="BW308" s="2">
        <v>1.29999999999927</v>
      </c>
      <c r="BX308" s="2">
        <v>15.3</v>
      </c>
      <c r="BY308" s="2">
        <v>0.7</v>
      </c>
      <c r="BZ308" s="2">
        <v>0.6</v>
      </c>
      <c r="CA308" s="2"/>
      <c r="CB308" s="2"/>
      <c r="CC308" s="2"/>
      <c r="CD308" s="2">
        <v>11</v>
      </c>
      <c r="CE308" s="2"/>
      <c r="CF308" s="2"/>
      <c r="CG308" s="2"/>
      <c r="CH308" s="2"/>
      <c r="CI308" s="2"/>
      <c r="CJ308" s="2"/>
      <c r="CK308" s="2"/>
      <c r="CL308" s="2">
        <v>2</v>
      </c>
      <c r="CM308" s="2"/>
      <c r="CN308" s="2">
        <v>25</v>
      </c>
      <c r="CO308" s="2"/>
      <c r="CP308" s="2"/>
      <c r="CQ308" s="2"/>
      <c r="CR308" s="2">
        <v>1.4</v>
      </c>
      <c r="CS308" s="2">
        <v>8.3000000000000007</v>
      </c>
      <c r="CT308" s="2">
        <v>4.0999999999999996</v>
      </c>
      <c r="CU308" s="2"/>
      <c r="CV308" s="2">
        <v>6.7</v>
      </c>
      <c r="CW308" s="2">
        <v>0.2</v>
      </c>
      <c r="CX308" s="2">
        <v>2.2999999999999998</v>
      </c>
      <c r="CY308" s="2">
        <v>8.9</v>
      </c>
      <c r="CZ308" s="2"/>
      <c r="DB308">
        <v>1912</v>
      </c>
      <c r="DC308">
        <v>38.200000000000003</v>
      </c>
      <c r="DH308">
        <v>307</v>
      </c>
    </row>
    <row r="309" spans="1:112">
      <c r="A309" s="1">
        <v>41216</v>
      </c>
      <c r="B309" s="2"/>
      <c r="C309" s="2"/>
      <c r="D309" s="2">
        <v>0.2</v>
      </c>
      <c r="E309" s="2"/>
      <c r="F309" s="2"/>
      <c r="G309" s="2"/>
      <c r="H309" s="2"/>
      <c r="I309" s="2"/>
      <c r="J309" s="2">
        <v>0.9</v>
      </c>
      <c r="K309" s="2"/>
      <c r="L309" s="2"/>
      <c r="M309" s="2"/>
      <c r="N309" s="2"/>
      <c r="O309" s="2"/>
      <c r="P309" s="2"/>
      <c r="Q309" s="2"/>
      <c r="R309" s="2"/>
      <c r="S309" s="2"/>
      <c r="T309" s="2">
        <v>0.2</v>
      </c>
      <c r="U309" s="2"/>
      <c r="V309" s="2">
        <v>0</v>
      </c>
      <c r="W309" s="2">
        <v>3.3</v>
      </c>
      <c r="X309" s="2"/>
      <c r="Y309" s="2"/>
      <c r="Z309" s="2">
        <v>14.799999999988399</v>
      </c>
      <c r="AA309" s="2"/>
      <c r="AB309" s="2"/>
      <c r="AC309" s="2"/>
      <c r="AD309" s="2">
        <v>12.599999999991301</v>
      </c>
      <c r="AE309" s="2"/>
      <c r="AF309" s="2">
        <v>1.5</v>
      </c>
      <c r="AG309" s="2"/>
      <c r="AH309" s="2">
        <v>1.1999999999989099</v>
      </c>
      <c r="AI309" s="2"/>
      <c r="AJ309" s="2"/>
      <c r="AK309" s="2"/>
      <c r="AL309" s="2"/>
      <c r="AM309" s="2"/>
      <c r="AN309" s="2">
        <v>2.5</v>
      </c>
      <c r="AO309" s="2">
        <v>7.0999999999985501</v>
      </c>
      <c r="AP309" s="2">
        <v>5.79999999999563</v>
      </c>
      <c r="AQ309" s="2">
        <v>5</v>
      </c>
      <c r="AR309" s="2"/>
      <c r="AS309" s="2"/>
      <c r="AT309" s="2">
        <v>1</v>
      </c>
      <c r="AU309" s="2"/>
      <c r="AV309" s="2"/>
      <c r="AW309" s="2"/>
      <c r="AX309" s="2">
        <v>3.5</v>
      </c>
      <c r="AY309" s="2">
        <v>0.29999999999972699</v>
      </c>
      <c r="AZ309" s="2"/>
      <c r="BA309" s="2">
        <v>44.5</v>
      </c>
      <c r="BB309" s="2"/>
      <c r="BC309" s="2"/>
      <c r="BD309" s="2"/>
      <c r="BE309" s="2"/>
      <c r="BF309" s="2">
        <v>2.7999999999992702</v>
      </c>
      <c r="BG309" s="2"/>
      <c r="BH309" s="2">
        <v>0.100000000000023</v>
      </c>
      <c r="BI309" s="2">
        <v>0</v>
      </c>
      <c r="BJ309" s="2">
        <v>9.6000000000058208</v>
      </c>
      <c r="BK309" s="2">
        <v>0.69999999999981799</v>
      </c>
      <c r="BL309" s="2">
        <v>1.79999999999927</v>
      </c>
      <c r="BM309" s="2">
        <v>0.30000000000018201</v>
      </c>
      <c r="BN309" s="2"/>
      <c r="BO309" s="2">
        <v>0.200000000000045</v>
      </c>
      <c r="BP309" s="2">
        <v>0.100000000000023</v>
      </c>
      <c r="BQ309" s="2"/>
      <c r="BR309" s="2">
        <v>12</v>
      </c>
      <c r="BS309" s="2">
        <v>3.2000000000007298</v>
      </c>
      <c r="BT309" s="2"/>
      <c r="BU309" s="2"/>
      <c r="BV309" s="2"/>
      <c r="BW309" s="2">
        <v>0</v>
      </c>
      <c r="BX309" s="2">
        <v>1.5</v>
      </c>
      <c r="BY309" s="2"/>
      <c r="BZ309" s="2"/>
      <c r="CA309" s="2"/>
      <c r="CB309" s="2"/>
      <c r="CC309" s="2"/>
      <c r="CD309" s="2">
        <v>1.4</v>
      </c>
      <c r="CE309" s="2"/>
      <c r="CF309" s="2"/>
      <c r="CG309" s="2"/>
      <c r="CH309" s="2">
        <v>3.6</v>
      </c>
      <c r="CI309" s="2"/>
      <c r="CJ309" s="2"/>
      <c r="CK309" s="2"/>
      <c r="CL309" s="2"/>
      <c r="CM309" s="2"/>
      <c r="CN309" s="2">
        <v>17.8</v>
      </c>
      <c r="CO309" s="2">
        <v>21</v>
      </c>
      <c r="CP309" s="2"/>
      <c r="CQ309" s="2">
        <v>0.1</v>
      </c>
      <c r="CR309" s="2">
        <v>9.3000000000000007</v>
      </c>
      <c r="CS309" s="2">
        <v>15.4</v>
      </c>
      <c r="CT309" s="2"/>
      <c r="CU309" s="2"/>
      <c r="CV309" s="2">
        <v>5.3</v>
      </c>
      <c r="CW309" s="2">
        <v>0.1</v>
      </c>
      <c r="CX309" s="2">
        <v>1.7</v>
      </c>
      <c r="CY309" s="2">
        <v>0.1</v>
      </c>
      <c r="CZ309" s="2"/>
      <c r="DB309">
        <v>1962</v>
      </c>
      <c r="DC309">
        <v>44.5</v>
      </c>
      <c r="DH309">
        <v>308</v>
      </c>
    </row>
    <row r="310" spans="1:112">
      <c r="A310" s="1">
        <v>41217</v>
      </c>
      <c r="B310" s="2"/>
      <c r="C310" s="2">
        <v>4.0999999999999996</v>
      </c>
      <c r="D310" s="2"/>
      <c r="E310" s="2"/>
      <c r="F310" s="2">
        <v>0.1</v>
      </c>
      <c r="G310" s="2"/>
      <c r="H310" s="2"/>
      <c r="I310" s="2"/>
      <c r="J310" s="2"/>
      <c r="K310" s="2"/>
      <c r="L310" s="2"/>
      <c r="M310" s="2"/>
      <c r="N310" s="2"/>
      <c r="O310" s="2"/>
      <c r="P310" s="2">
        <v>0.3</v>
      </c>
      <c r="Q310" s="2"/>
      <c r="R310" s="2">
        <v>4.4000000000000004</v>
      </c>
      <c r="S310" s="2"/>
      <c r="T310" s="2"/>
      <c r="U310" s="2"/>
      <c r="V310" s="2"/>
      <c r="W310" s="2">
        <v>0.5</v>
      </c>
      <c r="X310" s="2"/>
      <c r="Y310" s="2"/>
      <c r="Z310" s="2">
        <v>3.1999999999970901</v>
      </c>
      <c r="AA310" s="2"/>
      <c r="AB310" s="2">
        <v>0</v>
      </c>
      <c r="AC310" s="2"/>
      <c r="AD310" s="2">
        <v>1.29999999999927</v>
      </c>
      <c r="AE310" s="2"/>
      <c r="AF310" s="2">
        <v>3</v>
      </c>
      <c r="AG310" s="2">
        <v>0.1</v>
      </c>
      <c r="AH310" s="2">
        <v>4.1999999999970896</v>
      </c>
      <c r="AI310" s="2">
        <v>11.299999999988399</v>
      </c>
      <c r="AJ310" s="2">
        <v>9.9999999999908995E-2</v>
      </c>
      <c r="AK310" s="2"/>
      <c r="AL310" s="2"/>
      <c r="AM310" s="2">
        <v>9.9999999999908995E-2</v>
      </c>
      <c r="AN310" s="2">
        <v>3</v>
      </c>
      <c r="AO310" s="2"/>
      <c r="AP310" s="2">
        <v>16.599999999976699</v>
      </c>
      <c r="AQ310" s="2"/>
      <c r="AR310" s="2"/>
      <c r="AS310" s="2"/>
      <c r="AT310" s="2">
        <v>5.3999999999941801</v>
      </c>
      <c r="AU310" s="2">
        <v>29.299999999988401</v>
      </c>
      <c r="AV310" s="2"/>
      <c r="AW310" s="2">
        <v>2.2999999999992702</v>
      </c>
      <c r="AX310" s="2">
        <v>12.399999999994201</v>
      </c>
      <c r="AY310" s="2"/>
      <c r="AZ310" s="2"/>
      <c r="BA310" s="2">
        <v>17</v>
      </c>
      <c r="BB310" s="2"/>
      <c r="BC310" s="2"/>
      <c r="BD310" s="2"/>
      <c r="BE310" s="2"/>
      <c r="BF310" s="2">
        <v>9.6000000000058208</v>
      </c>
      <c r="BG310" s="2"/>
      <c r="BH310" s="2"/>
      <c r="BI310" s="2">
        <v>0</v>
      </c>
      <c r="BJ310" s="2"/>
      <c r="BK310" s="2">
        <v>0.100000000000023</v>
      </c>
      <c r="BL310" s="2"/>
      <c r="BM310" s="2"/>
      <c r="BN310" s="2"/>
      <c r="BO310" s="2"/>
      <c r="BP310" s="2"/>
      <c r="BQ310" s="2"/>
      <c r="BR310" s="2">
        <v>0</v>
      </c>
      <c r="BS310" s="2">
        <v>0.100000000000023</v>
      </c>
      <c r="BT310" s="2">
        <v>3.0999999999985399</v>
      </c>
      <c r="BU310" s="2"/>
      <c r="BV310" s="2">
        <v>1</v>
      </c>
      <c r="BW310" s="2">
        <v>1.39999999999964</v>
      </c>
      <c r="BX310" s="2">
        <v>15.5</v>
      </c>
      <c r="BY310" s="2">
        <v>8.5</v>
      </c>
      <c r="BZ310" s="2">
        <v>6.6</v>
      </c>
      <c r="CA310" s="2">
        <v>6.2</v>
      </c>
      <c r="CB310" s="2"/>
      <c r="CC310" s="2">
        <v>0.1</v>
      </c>
      <c r="CD310" s="2"/>
      <c r="CE310" s="2"/>
      <c r="CF310" s="2">
        <v>2.5</v>
      </c>
      <c r="CG310" s="2"/>
      <c r="CH310" s="2">
        <v>28.2</v>
      </c>
      <c r="CI310" s="2"/>
      <c r="CJ310" s="2"/>
      <c r="CK310" s="2"/>
      <c r="CL310" s="2"/>
      <c r="CM310" s="2"/>
      <c r="CN310" s="2">
        <v>2.5</v>
      </c>
      <c r="CO310" s="2"/>
      <c r="CP310" s="2">
        <v>2.9</v>
      </c>
      <c r="CQ310" s="2"/>
      <c r="CR310" s="2">
        <v>0.8</v>
      </c>
      <c r="CS310" s="2">
        <v>7</v>
      </c>
      <c r="CT310" s="2">
        <v>4.4000000000000004</v>
      </c>
      <c r="CU310" s="2"/>
      <c r="CV310" s="2">
        <v>13.7</v>
      </c>
      <c r="CW310" s="2">
        <v>0.2</v>
      </c>
      <c r="CX310" s="2"/>
      <c r="CY310" s="2">
        <v>0.1</v>
      </c>
      <c r="CZ310" s="2"/>
      <c r="DB310">
        <v>1956</v>
      </c>
      <c r="DC310">
        <v>29.299999999988401</v>
      </c>
      <c r="DH310">
        <v>309</v>
      </c>
    </row>
    <row r="311" spans="1:112">
      <c r="A311" s="1">
        <v>41218</v>
      </c>
      <c r="B311" s="2">
        <v>0.4</v>
      </c>
      <c r="C311" s="2">
        <v>10.3</v>
      </c>
      <c r="D311" s="2"/>
      <c r="E311" s="2">
        <v>1</v>
      </c>
      <c r="F311" s="2">
        <v>0.2</v>
      </c>
      <c r="G311" s="2"/>
      <c r="H311" s="2">
        <v>0.6</v>
      </c>
      <c r="I311" s="2"/>
      <c r="J311" s="2"/>
      <c r="K311" s="2">
        <v>19.600000000000001</v>
      </c>
      <c r="L311" s="2"/>
      <c r="M311" s="2"/>
      <c r="N311" s="2">
        <v>2.1</v>
      </c>
      <c r="O311" s="2"/>
      <c r="P311" s="2"/>
      <c r="Q311" s="2"/>
      <c r="R311" s="2"/>
      <c r="S311" s="2">
        <v>6.6</v>
      </c>
      <c r="T311" s="2"/>
      <c r="U311" s="2">
        <v>3.4</v>
      </c>
      <c r="V311" s="2"/>
      <c r="W311" s="2">
        <v>3</v>
      </c>
      <c r="X311" s="2"/>
      <c r="Y311" s="2"/>
      <c r="Z311" s="2"/>
      <c r="AA311" s="2">
        <v>1.0999999999985499</v>
      </c>
      <c r="AB311" s="2">
        <v>1.39999999999964</v>
      </c>
      <c r="AC311" s="2">
        <v>0.3</v>
      </c>
      <c r="AD311" s="2"/>
      <c r="AE311" s="2"/>
      <c r="AF311" s="2">
        <v>6.1999999999970896</v>
      </c>
      <c r="AG311" s="2"/>
      <c r="AH311" s="2">
        <v>0.5</v>
      </c>
      <c r="AI311" s="2">
        <v>0.89999999999963598</v>
      </c>
      <c r="AJ311" s="2">
        <v>2.6999999999970901</v>
      </c>
      <c r="AK311" s="2">
        <v>0.5</v>
      </c>
      <c r="AL311" s="2">
        <v>15</v>
      </c>
      <c r="AM311" s="2"/>
      <c r="AN311" s="2"/>
      <c r="AO311" s="2"/>
      <c r="AP311" s="2">
        <v>1.5</v>
      </c>
      <c r="AQ311" s="2"/>
      <c r="AR311" s="2"/>
      <c r="AS311" s="2"/>
      <c r="AT311" s="2">
        <v>0.19999999999981799</v>
      </c>
      <c r="AU311" s="2">
        <v>6</v>
      </c>
      <c r="AV311" s="2"/>
      <c r="AW311" s="2">
        <v>15</v>
      </c>
      <c r="AX311" s="2">
        <v>6.8999999999941801</v>
      </c>
      <c r="AY311" s="2"/>
      <c r="AZ311" s="2"/>
      <c r="BA311" s="2"/>
      <c r="BB311" s="2"/>
      <c r="BC311" s="2">
        <v>0.200000000000045</v>
      </c>
      <c r="BD311" s="2"/>
      <c r="BE311" s="2"/>
      <c r="BF311" s="2"/>
      <c r="BG311" s="2"/>
      <c r="BH311" s="2"/>
      <c r="BI311" s="2">
        <v>0.100000000000023</v>
      </c>
      <c r="BJ311" s="2">
        <v>0.200000000000045</v>
      </c>
      <c r="BK311" s="2">
        <v>0.100000000000023</v>
      </c>
      <c r="BL311" s="2"/>
      <c r="BM311" s="2"/>
      <c r="BN311" s="2"/>
      <c r="BO311" s="2"/>
      <c r="BP311" s="2">
        <v>0.100000000000023</v>
      </c>
      <c r="BQ311" s="2">
        <v>0.200000000000045</v>
      </c>
      <c r="BR311" s="2">
        <v>0.5</v>
      </c>
      <c r="BS311" s="2"/>
      <c r="BT311" s="2"/>
      <c r="BU311" s="2">
        <v>16.100000000000001</v>
      </c>
      <c r="BV311" s="2">
        <v>4.5</v>
      </c>
      <c r="BW311" s="2"/>
      <c r="BX311" s="2">
        <v>2.6</v>
      </c>
      <c r="BY311" s="2">
        <v>15.2</v>
      </c>
      <c r="BZ311" s="2">
        <v>3.5</v>
      </c>
      <c r="CA311" s="2">
        <v>22</v>
      </c>
      <c r="CB311" s="2"/>
      <c r="CC311" s="2">
        <v>34</v>
      </c>
      <c r="CD311" s="2"/>
      <c r="CE311" s="2">
        <v>0.2</v>
      </c>
      <c r="CF311" s="2">
        <v>0.2</v>
      </c>
      <c r="CG311" s="2">
        <v>0.8</v>
      </c>
      <c r="CH311" s="2">
        <v>5.5</v>
      </c>
      <c r="CI311" s="2"/>
      <c r="CJ311" s="2"/>
      <c r="CK311" s="2"/>
      <c r="CL311" s="2">
        <v>0.6</v>
      </c>
      <c r="CM311" s="2"/>
      <c r="CN311" s="2">
        <v>26.5</v>
      </c>
      <c r="CO311" s="2">
        <v>25.5</v>
      </c>
      <c r="CP311" s="2">
        <v>5.7</v>
      </c>
      <c r="CQ311" s="2"/>
      <c r="CR311" s="2">
        <v>3.5</v>
      </c>
      <c r="CS311" s="2"/>
      <c r="CT311" s="2">
        <v>32</v>
      </c>
      <c r="CU311" s="2"/>
      <c r="CV311" s="2"/>
      <c r="CW311" s="2">
        <v>0.1</v>
      </c>
      <c r="CX311" s="2"/>
      <c r="CY311" s="2"/>
      <c r="CZ311" s="2"/>
      <c r="DB311">
        <v>1990</v>
      </c>
      <c r="DC311">
        <v>34</v>
      </c>
      <c r="DH311">
        <v>310</v>
      </c>
    </row>
    <row r="312" spans="1:112">
      <c r="A312" s="1">
        <v>41219</v>
      </c>
      <c r="B312" s="2"/>
      <c r="C312" s="2"/>
      <c r="D312" s="2"/>
      <c r="E312" s="2">
        <v>3</v>
      </c>
      <c r="F312" s="2"/>
      <c r="G312" s="2"/>
      <c r="H312" s="2"/>
      <c r="I312" s="2"/>
      <c r="J312" s="2"/>
      <c r="K312" s="2">
        <v>2.1</v>
      </c>
      <c r="L312" s="2">
        <v>0.3</v>
      </c>
      <c r="M312" s="2">
        <v>7.6</v>
      </c>
      <c r="N312" s="2"/>
      <c r="O312" s="2"/>
      <c r="P312" s="2"/>
      <c r="Q312" s="2"/>
      <c r="R312" s="2"/>
      <c r="S312" s="2">
        <v>6.7</v>
      </c>
      <c r="T312" s="2"/>
      <c r="U312" s="2">
        <v>0.3</v>
      </c>
      <c r="V312" s="2">
        <v>0</v>
      </c>
      <c r="W312" s="2">
        <v>32.5</v>
      </c>
      <c r="X312" s="2">
        <v>0.1</v>
      </c>
      <c r="Y312" s="2"/>
      <c r="Z312" s="2"/>
      <c r="AA312" s="2"/>
      <c r="AB312" s="2"/>
      <c r="AC312" s="2">
        <v>13.599999999991301</v>
      </c>
      <c r="AD312" s="2">
        <v>4</v>
      </c>
      <c r="AE312" s="2"/>
      <c r="AF312" s="2">
        <v>14.1999999999971</v>
      </c>
      <c r="AG312" s="2"/>
      <c r="AH312" s="2"/>
      <c r="AI312" s="2">
        <v>0.59999999999945397</v>
      </c>
      <c r="AJ312" s="2"/>
      <c r="AK312" s="2">
        <v>8.6999999999970896</v>
      </c>
      <c r="AL312" s="2">
        <v>25.5</v>
      </c>
      <c r="AM312" s="2"/>
      <c r="AN312" s="2"/>
      <c r="AO312" s="2">
        <v>0.89999999999963598</v>
      </c>
      <c r="AP312" s="2">
        <v>7.1999999999970896</v>
      </c>
      <c r="AQ312" s="2"/>
      <c r="AR312" s="2">
        <v>3.8999999999978199</v>
      </c>
      <c r="AS312" s="2">
        <v>0.69999999999981799</v>
      </c>
      <c r="AT312" s="2"/>
      <c r="AU312" s="2">
        <v>9.5</v>
      </c>
      <c r="AV312" s="2"/>
      <c r="AW312" s="2"/>
      <c r="AX312" s="2"/>
      <c r="AY312" s="2"/>
      <c r="AZ312" s="2"/>
      <c r="BA312" s="2">
        <v>0.59999999999945397</v>
      </c>
      <c r="BB312" s="2"/>
      <c r="BC312" s="2">
        <v>7.5</v>
      </c>
      <c r="BD312" s="2">
        <v>7.4000000000014596</v>
      </c>
      <c r="BE312" s="2"/>
      <c r="BF312" s="2"/>
      <c r="BG312" s="2">
        <v>0.69999999999981799</v>
      </c>
      <c r="BH312" s="2">
        <v>5.1999999999970896</v>
      </c>
      <c r="BI312" s="2"/>
      <c r="BJ312" s="2">
        <v>0.100000000000023</v>
      </c>
      <c r="BK312" s="2"/>
      <c r="BL312" s="2"/>
      <c r="BM312" s="2"/>
      <c r="BN312" s="2"/>
      <c r="BO312" s="2"/>
      <c r="BP312" s="2"/>
      <c r="BQ312" s="2">
        <v>0.60000000000036402</v>
      </c>
      <c r="BR312" s="2">
        <v>3</v>
      </c>
      <c r="BS312" s="2"/>
      <c r="BT312" s="2">
        <v>5.5</v>
      </c>
      <c r="BU312" s="2">
        <v>5.7</v>
      </c>
      <c r="BV312" s="2">
        <v>0.8</v>
      </c>
      <c r="BW312" s="2">
        <v>3.7999999999992702</v>
      </c>
      <c r="BX312" s="2">
        <v>16.5</v>
      </c>
      <c r="BY312" s="2">
        <v>1.3</v>
      </c>
      <c r="BZ312" s="2">
        <v>0</v>
      </c>
      <c r="CA312" s="2">
        <v>15</v>
      </c>
      <c r="CB312" s="2"/>
      <c r="CC312" s="2">
        <v>6.5</v>
      </c>
      <c r="CD312" s="2"/>
      <c r="CE312" s="2"/>
      <c r="CF312" s="2"/>
      <c r="CG312" s="2">
        <v>0.3</v>
      </c>
      <c r="CH312" s="2">
        <v>8.5</v>
      </c>
      <c r="CI312" s="2"/>
      <c r="CJ312" s="2"/>
      <c r="CK312" s="2"/>
      <c r="CL312" s="2"/>
      <c r="CM312" s="2"/>
      <c r="CN312" s="2">
        <v>0.5</v>
      </c>
      <c r="CO312" s="2">
        <v>9.6</v>
      </c>
      <c r="CP312" s="2">
        <v>22.9</v>
      </c>
      <c r="CQ312" s="2"/>
      <c r="CR312" s="2">
        <v>0.7</v>
      </c>
      <c r="CS312" s="2">
        <v>2.9</v>
      </c>
      <c r="CT312" s="2">
        <v>2.5</v>
      </c>
      <c r="CU312" s="2"/>
      <c r="CV312" s="2"/>
      <c r="CW312" s="2">
        <v>0.1</v>
      </c>
      <c r="CX312" s="2"/>
      <c r="CY312" s="2">
        <v>3.2</v>
      </c>
      <c r="CZ312" s="2">
        <v>8.9</v>
      </c>
      <c r="DB312">
        <v>1932</v>
      </c>
      <c r="DC312">
        <v>32.5</v>
      </c>
      <c r="DH312">
        <v>311</v>
      </c>
    </row>
    <row r="313" spans="1:112">
      <c r="A313" s="1">
        <v>41220</v>
      </c>
      <c r="B313" s="2"/>
      <c r="C313" s="2"/>
      <c r="D313" s="2"/>
      <c r="E313" s="2">
        <v>1.2</v>
      </c>
      <c r="F313" s="2">
        <v>0.3</v>
      </c>
      <c r="G313" s="2"/>
      <c r="H313" s="2">
        <v>0.8</v>
      </c>
      <c r="I313" s="2">
        <v>1.3</v>
      </c>
      <c r="J313" s="2"/>
      <c r="K313" s="2">
        <v>0.4</v>
      </c>
      <c r="L313" s="2">
        <v>0.6</v>
      </c>
      <c r="M313" s="2">
        <v>5.9</v>
      </c>
      <c r="N313" s="2"/>
      <c r="O313" s="2">
        <v>0.4</v>
      </c>
      <c r="P313" s="2"/>
      <c r="Q313" s="2"/>
      <c r="R313" s="2"/>
      <c r="S313" s="2">
        <v>0.2</v>
      </c>
      <c r="T313" s="2">
        <v>0.1</v>
      </c>
      <c r="U313" s="2"/>
      <c r="V313" s="2">
        <v>0</v>
      </c>
      <c r="W313" s="2">
        <v>12.5</v>
      </c>
      <c r="X313" s="2"/>
      <c r="Y313" s="2"/>
      <c r="Z313" s="2"/>
      <c r="AA313" s="2">
        <v>0.59999999999945397</v>
      </c>
      <c r="AB313" s="2"/>
      <c r="AC313" s="2"/>
      <c r="AD313" s="2">
        <v>9.9999999999908995E-2</v>
      </c>
      <c r="AE313" s="2"/>
      <c r="AF313" s="2"/>
      <c r="AG313" s="2"/>
      <c r="AH313" s="2">
        <v>1</v>
      </c>
      <c r="AI313" s="2">
        <v>9.9999999999908995E-2</v>
      </c>
      <c r="AJ313" s="2">
        <v>0.39999999999963598</v>
      </c>
      <c r="AK313" s="2">
        <v>1.29999999999927</v>
      </c>
      <c r="AL313" s="2"/>
      <c r="AM313" s="2"/>
      <c r="AN313" s="2"/>
      <c r="AO313" s="2">
        <v>0.79999999999927196</v>
      </c>
      <c r="AP313" s="2"/>
      <c r="AQ313" s="2"/>
      <c r="AR313" s="2">
        <v>1</v>
      </c>
      <c r="AS313" s="2">
        <v>3.5999999999985399</v>
      </c>
      <c r="AT313" s="2"/>
      <c r="AU313" s="2">
        <v>1.5999999999985499</v>
      </c>
      <c r="AV313" s="2">
        <v>0.5</v>
      </c>
      <c r="AW313" s="2"/>
      <c r="AX313" s="2"/>
      <c r="AY313" s="2"/>
      <c r="AZ313" s="2">
        <v>6.3999999999941801</v>
      </c>
      <c r="BA313" s="2">
        <v>1.29999999999927</v>
      </c>
      <c r="BB313" s="2"/>
      <c r="BC313" s="2"/>
      <c r="BD313" s="2"/>
      <c r="BE313" s="2"/>
      <c r="BF313" s="2"/>
      <c r="BG313" s="2">
        <v>15.5</v>
      </c>
      <c r="BH313" s="2">
        <v>14.5</v>
      </c>
      <c r="BI313" s="2">
        <v>5.1999999999970896</v>
      </c>
      <c r="BJ313" s="2"/>
      <c r="BK313" s="2"/>
      <c r="BL313" s="2">
        <v>2.0999999999985399</v>
      </c>
      <c r="BM313" s="2"/>
      <c r="BN313" s="2"/>
      <c r="BO313" s="2"/>
      <c r="BP313" s="2"/>
      <c r="BQ313" s="2">
        <v>9.6000000000058208</v>
      </c>
      <c r="BR313" s="2">
        <v>11.5</v>
      </c>
      <c r="BS313" s="2"/>
      <c r="BT313" s="2">
        <v>22.200000000011599</v>
      </c>
      <c r="BU313" s="2">
        <v>1.5</v>
      </c>
      <c r="BV313" s="2">
        <v>3.5</v>
      </c>
      <c r="BW313" s="2"/>
      <c r="BX313" s="2">
        <v>25</v>
      </c>
      <c r="BY313" s="2">
        <v>10.6</v>
      </c>
      <c r="BZ313" s="2"/>
      <c r="CA313" s="2"/>
      <c r="CB313" s="2"/>
      <c r="CC313" s="2"/>
      <c r="CD313" s="2">
        <v>3.9</v>
      </c>
      <c r="CE313" s="2"/>
      <c r="CF313" s="2"/>
      <c r="CG313" s="2"/>
      <c r="CH313" s="2">
        <v>4.0999999999999996</v>
      </c>
      <c r="CI313" s="2"/>
      <c r="CJ313" s="2"/>
      <c r="CK313" s="2">
        <v>5.4</v>
      </c>
      <c r="CL313" s="2"/>
      <c r="CM313" s="2"/>
      <c r="CN313" s="2"/>
      <c r="CO313" s="2"/>
      <c r="CP313" s="2">
        <v>4.0999999999999996</v>
      </c>
      <c r="CQ313" s="2"/>
      <c r="CR313" s="2">
        <v>0.2</v>
      </c>
      <c r="CS313" s="2"/>
      <c r="CT313" s="2">
        <v>1.8</v>
      </c>
      <c r="CU313" s="2"/>
      <c r="CV313" s="2"/>
      <c r="CW313" s="2"/>
      <c r="CX313" s="2"/>
      <c r="CY313" s="2">
        <v>35.299999999999997</v>
      </c>
      <c r="CZ313" s="2">
        <v>7.2</v>
      </c>
      <c r="DB313">
        <v>2012</v>
      </c>
      <c r="DC313">
        <v>35.299999999999997</v>
      </c>
      <c r="DH313">
        <v>312</v>
      </c>
    </row>
    <row r="314" spans="1:112">
      <c r="A314" s="1">
        <v>41221</v>
      </c>
      <c r="B314" s="2"/>
      <c r="C314" s="2"/>
      <c r="D314" s="2">
        <v>18.7</v>
      </c>
      <c r="E314" s="2">
        <v>0.3</v>
      </c>
      <c r="F314" s="2"/>
      <c r="G314" s="2"/>
      <c r="H314" s="2"/>
      <c r="I314" s="2"/>
      <c r="J314" s="2"/>
      <c r="K314" s="2">
        <v>0.2</v>
      </c>
      <c r="L314" s="2">
        <v>1.6</v>
      </c>
      <c r="M314" s="2">
        <v>0.2</v>
      </c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>
        <v>1</v>
      </c>
      <c r="Y314" s="2"/>
      <c r="Z314" s="2"/>
      <c r="AA314" s="2">
        <v>2.0999999999985399</v>
      </c>
      <c r="AB314" s="2"/>
      <c r="AC314" s="2"/>
      <c r="AD314" s="2">
        <v>4.5999999999985501</v>
      </c>
      <c r="AE314" s="2">
        <v>1</v>
      </c>
      <c r="AF314" s="2"/>
      <c r="AG314" s="2">
        <v>2</v>
      </c>
      <c r="AH314" s="2">
        <v>12.6999999999971</v>
      </c>
      <c r="AI314" s="2">
        <v>0.19999999999981799</v>
      </c>
      <c r="AJ314" s="2">
        <v>2.2999999999992702</v>
      </c>
      <c r="AK314" s="2">
        <v>9.0999999999912706</v>
      </c>
      <c r="AL314" s="2">
        <v>0.29999999999972699</v>
      </c>
      <c r="AM314" s="2"/>
      <c r="AN314" s="2">
        <v>17.199999999982499</v>
      </c>
      <c r="AO314" s="2">
        <v>0.29999999999972699</v>
      </c>
      <c r="AP314" s="2"/>
      <c r="AQ314" s="2"/>
      <c r="AR314" s="2">
        <v>1.1999999999989099</v>
      </c>
      <c r="AS314" s="2">
        <v>4.1999999999970896</v>
      </c>
      <c r="AT314" s="2">
        <v>1.29999999999927</v>
      </c>
      <c r="AU314" s="2">
        <v>3.5</v>
      </c>
      <c r="AV314" s="2"/>
      <c r="AW314" s="2"/>
      <c r="AX314" s="2">
        <v>10</v>
      </c>
      <c r="AY314" s="2">
        <v>1.39999999999964</v>
      </c>
      <c r="AZ314" s="2"/>
      <c r="BA314" s="2"/>
      <c r="BB314" s="2">
        <v>1</v>
      </c>
      <c r="BC314" s="2"/>
      <c r="BD314" s="2"/>
      <c r="BE314" s="2">
        <v>5.5</v>
      </c>
      <c r="BF314" s="2"/>
      <c r="BG314" s="2">
        <v>14.100000000005799</v>
      </c>
      <c r="BH314" s="2">
        <v>0.100000000000023</v>
      </c>
      <c r="BI314" s="2">
        <v>0.89999999999963598</v>
      </c>
      <c r="BJ314" s="2">
        <v>0.100000000000023</v>
      </c>
      <c r="BK314" s="2"/>
      <c r="BL314" s="2">
        <v>7.5999999999985501</v>
      </c>
      <c r="BM314" s="2">
        <v>3</v>
      </c>
      <c r="BN314" s="2"/>
      <c r="BO314" s="2">
        <v>0</v>
      </c>
      <c r="BP314" s="2">
        <v>0</v>
      </c>
      <c r="BQ314" s="2">
        <v>4.4000000000014596</v>
      </c>
      <c r="BR314" s="2">
        <v>0.89999999999963598</v>
      </c>
      <c r="BS314" s="2">
        <v>5.9000000000014596</v>
      </c>
      <c r="BT314" s="2">
        <v>23.600000000005799</v>
      </c>
      <c r="BU314" s="2">
        <v>0.7</v>
      </c>
      <c r="BV314" s="2">
        <v>10.6</v>
      </c>
      <c r="BW314" s="2"/>
      <c r="BX314" s="2"/>
      <c r="BY314" s="2"/>
      <c r="BZ314" s="2"/>
      <c r="CA314" s="2"/>
      <c r="CB314" s="2">
        <v>0.4</v>
      </c>
      <c r="CC314" s="2">
        <v>4.0999999999999996</v>
      </c>
      <c r="CD314" s="2">
        <v>5.5</v>
      </c>
      <c r="CE314" s="2"/>
      <c r="CF314" s="2">
        <v>0.8</v>
      </c>
      <c r="CG314" s="2">
        <v>0.5</v>
      </c>
      <c r="CH314" s="2">
        <v>0</v>
      </c>
      <c r="CI314" s="2"/>
      <c r="CJ314" s="2"/>
      <c r="CK314" s="2">
        <v>2</v>
      </c>
      <c r="CL314" s="2"/>
      <c r="CM314" s="2"/>
      <c r="CN314" s="2">
        <v>3</v>
      </c>
      <c r="CO314" s="2"/>
      <c r="CP314" s="2">
        <v>1</v>
      </c>
      <c r="CQ314" s="2"/>
      <c r="CR314" s="2"/>
      <c r="CS314" s="2"/>
      <c r="CT314" s="2">
        <v>10.9</v>
      </c>
      <c r="CU314" s="2"/>
      <c r="CV314" s="2"/>
      <c r="CW314" s="2"/>
      <c r="CX314" s="2"/>
      <c r="CY314" s="2"/>
      <c r="CZ314" s="2"/>
      <c r="DB314">
        <v>1981</v>
      </c>
      <c r="DC314">
        <v>23.600000000005799</v>
      </c>
      <c r="DH314">
        <v>313</v>
      </c>
    </row>
    <row r="315" spans="1:112">
      <c r="A315" s="1">
        <v>41222</v>
      </c>
      <c r="B315" s="2">
        <v>0.5</v>
      </c>
      <c r="C315" s="2"/>
      <c r="D315" s="2"/>
      <c r="E315" s="2">
        <v>8.9</v>
      </c>
      <c r="F315" s="2"/>
      <c r="G315" s="2"/>
      <c r="H315" s="2">
        <v>0.5</v>
      </c>
      <c r="I315" s="2">
        <v>14.5</v>
      </c>
      <c r="J315" s="2">
        <v>2.6</v>
      </c>
      <c r="K315" s="2">
        <v>3.4</v>
      </c>
      <c r="L315" s="2">
        <v>0.1</v>
      </c>
      <c r="M315" s="2">
        <v>2</v>
      </c>
      <c r="N315" s="2"/>
      <c r="O315" s="2"/>
      <c r="P315" s="2"/>
      <c r="Q315" s="2">
        <v>0.2</v>
      </c>
      <c r="R315" s="2"/>
      <c r="S315" s="2"/>
      <c r="T315" s="2">
        <v>0.2</v>
      </c>
      <c r="U315" s="2">
        <v>7.7</v>
      </c>
      <c r="V315" s="2"/>
      <c r="W315" s="2"/>
      <c r="X315" s="2">
        <v>6.5</v>
      </c>
      <c r="Y315" s="2">
        <v>9.9999999999908995E-2</v>
      </c>
      <c r="Z315" s="2">
        <v>0.5</v>
      </c>
      <c r="AA315" s="2">
        <v>0.19999999999981799</v>
      </c>
      <c r="AB315" s="2"/>
      <c r="AC315" s="2"/>
      <c r="AD315" s="2">
        <v>1.29999999999927</v>
      </c>
      <c r="AE315" s="2"/>
      <c r="AF315" s="2"/>
      <c r="AG315" s="2">
        <v>0.29999999999972699</v>
      </c>
      <c r="AH315" s="2">
        <v>4.0999999999985501</v>
      </c>
      <c r="AI315" s="2"/>
      <c r="AJ315" s="2"/>
      <c r="AK315" s="2">
        <v>0.19999999999981799</v>
      </c>
      <c r="AL315" s="2">
        <v>0.89999999999963598</v>
      </c>
      <c r="AM315" s="2">
        <v>22.399999999994201</v>
      </c>
      <c r="AN315" s="2">
        <v>21.5</v>
      </c>
      <c r="AO315" s="2">
        <v>30.699999999982499</v>
      </c>
      <c r="AP315" s="2"/>
      <c r="AQ315" s="2">
        <v>9.6999999999970896</v>
      </c>
      <c r="AR315" s="2"/>
      <c r="AS315" s="2"/>
      <c r="AT315" s="2">
        <v>0.5</v>
      </c>
      <c r="AU315" s="2">
        <v>0</v>
      </c>
      <c r="AV315" s="2">
        <v>11</v>
      </c>
      <c r="AW315" s="2"/>
      <c r="AX315" s="2">
        <v>15.599999999991301</v>
      </c>
      <c r="AY315" s="2"/>
      <c r="AZ315" s="2"/>
      <c r="BA315" s="2"/>
      <c r="BB315" s="2"/>
      <c r="BC315" s="2"/>
      <c r="BD315" s="2"/>
      <c r="BE315" s="2">
        <v>15.3000000000029</v>
      </c>
      <c r="BF315" s="2"/>
      <c r="BG315" s="2"/>
      <c r="BH315" s="2"/>
      <c r="BI315" s="2">
        <v>0.80000000000018201</v>
      </c>
      <c r="BJ315" s="2"/>
      <c r="BK315" s="2">
        <v>0.100000000000023</v>
      </c>
      <c r="BL315" s="2">
        <v>0.100000000000023</v>
      </c>
      <c r="BM315" s="2">
        <v>10.8000000000029</v>
      </c>
      <c r="BN315" s="2">
        <v>1.10000000000036</v>
      </c>
      <c r="BO315" s="2"/>
      <c r="BP315" s="2">
        <v>0.200000000000045</v>
      </c>
      <c r="BQ315" s="2"/>
      <c r="BR315" s="2"/>
      <c r="BS315" s="2"/>
      <c r="BT315" s="2">
        <v>7.1999999999970896</v>
      </c>
      <c r="BU315" s="2"/>
      <c r="BV315" s="2">
        <v>3</v>
      </c>
      <c r="BW315" s="2">
        <v>5.79999999999563</v>
      </c>
      <c r="BX315" s="2"/>
      <c r="BY315" s="2"/>
      <c r="BZ315" s="2"/>
      <c r="CA315" s="2"/>
      <c r="CB315" s="2">
        <v>4.2</v>
      </c>
      <c r="CC315" s="2">
        <v>39.5</v>
      </c>
      <c r="CD315" s="2">
        <v>1.2</v>
      </c>
      <c r="CE315" s="2">
        <v>0.2</v>
      </c>
      <c r="CF315" s="2">
        <v>26.7</v>
      </c>
      <c r="CG315" s="2">
        <v>5.8</v>
      </c>
      <c r="CH315" s="2"/>
      <c r="CI315" s="2"/>
      <c r="CJ315" s="2"/>
      <c r="CK315" s="2"/>
      <c r="CL315" s="2"/>
      <c r="CM315" s="2"/>
      <c r="CN315" s="2"/>
      <c r="CO315" s="2">
        <v>6.8</v>
      </c>
      <c r="CP315" s="2">
        <v>25.9</v>
      </c>
      <c r="CQ315" s="2">
        <v>0.1</v>
      </c>
      <c r="CR315" s="2"/>
      <c r="CS315" s="2"/>
      <c r="CT315" s="2"/>
      <c r="CU315" s="2"/>
      <c r="CV315" s="2"/>
      <c r="CW315" s="2"/>
      <c r="CX315" s="2">
        <v>0.1</v>
      </c>
      <c r="CY315" s="2"/>
      <c r="CZ315" s="2"/>
      <c r="DB315">
        <v>1990</v>
      </c>
      <c r="DC315">
        <v>39.5</v>
      </c>
      <c r="DH315">
        <v>314</v>
      </c>
    </row>
    <row r="316" spans="1:112">
      <c r="A316" s="1">
        <v>41223</v>
      </c>
      <c r="B316" s="2"/>
      <c r="C316" s="2"/>
      <c r="D316" s="2">
        <v>2.2999999999999998</v>
      </c>
      <c r="E316" s="2">
        <v>1.8</v>
      </c>
      <c r="F316" s="2"/>
      <c r="G316" s="2"/>
      <c r="H316" s="2"/>
      <c r="I316" s="2"/>
      <c r="J316" s="2"/>
      <c r="K316" s="2"/>
      <c r="L316" s="2"/>
      <c r="M316" s="2">
        <v>2.1</v>
      </c>
      <c r="N316" s="2"/>
      <c r="O316" s="2"/>
      <c r="P316" s="2"/>
      <c r="Q316" s="2"/>
      <c r="R316" s="2"/>
      <c r="S316" s="2"/>
      <c r="T316" s="2">
        <v>0.1</v>
      </c>
      <c r="U316" s="2">
        <v>0</v>
      </c>
      <c r="V316" s="2"/>
      <c r="W316" s="2">
        <v>0.2</v>
      </c>
      <c r="X316" s="2">
        <v>6.3</v>
      </c>
      <c r="Y316" s="2">
        <v>2.3999999999978199</v>
      </c>
      <c r="Z316" s="2"/>
      <c r="AA316" s="2"/>
      <c r="AB316" s="2"/>
      <c r="AC316" s="2"/>
      <c r="AD316" s="2"/>
      <c r="AE316" s="2">
        <v>16.399999999994201</v>
      </c>
      <c r="AF316" s="2"/>
      <c r="AG316" s="2">
        <v>5.8999999999941801</v>
      </c>
      <c r="AH316" s="2">
        <v>1.89999999999964</v>
      </c>
      <c r="AI316" s="2"/>
      <c r="AJ316" s="2"/>
      <c r="AK316" s="2"/>
      <c r="AL316" s="2"/>
      <c r="AM316" s="2">
        <v>0.19999999999981799</v>
      </c>
      <c r="AN316" s="2">
        <v>6.5999999999985501</v>
      </c>
      <c r="AO316" s="2">
        <v>1.0999999999985499</v>
      </c>
      <c r="AP316" s="2"/>
      <c r="AQ316" s="2">
        <v>30.5</v>
      </c>
      <c r="AR316" s="2">
        <v>0.89999999999963598</v>
      </c>
      <c r="AS316" s="2"/>
      <c r="AT316" s="2"/>
      <c r="AU316" s="2"/>
      <c r="AV316" s="2"/>
      <c r="AW316" s="2"/>
      <c r="AX316" s="2">
        <v>11.399999999994201</v>
      </c>
      <c r="AY316" s="2"/>
      <c r="AZ316" s="2"/>
      <c r="BA316" s="2"/>
      <c r="BB316" s="2"/>
      <c r="BC316" s="2"/>
      <c r="BD316" s="2"/>
      <c r="BE316" s="2">
        <v>3.9000000000014601</v>
      </c>
      <c r="BF316" s="2">
        <v>0.200000000000045</v>
      </c>
      <c r="BG316" s="2"/>
      <c r="BH316" s="2"/>
      <c r="BI316" s="2">
        <v>16.399999999994201</v>
      </c>
      <c r="BJ316" s="2"/>
      <c r="BK316" s="2">
        <v>0.100000000000023</v>
      </c>
      <c r="BL316" s="2"/>
      <c r="BM316" s="2">
        <v>1.79999999999927</v>
      </c>
      <c r="BN316" s="2">
        <v>0.400000000000091</v>
      </c>
      <c r="BO316" s="2"/>
      <c r="BP316" s="2">
        <v>0.400000000000091</v>
      </c>
      <c r="BQ316" s="2">
        <v>0.30000000000018201</v>
      </c>
      <c r="BR316" s="2"/>
      <c r="BS316" s="2">
        <v>47.520000000018598</v>
      </c>
      <c r="BT316" s="2">
        <v>1.79999999999927</v>
      </c>
      <c r="BU316" s="2"/>
      <c r="BV316" s="2">
        <v>0.1</v>
      </c>
      <c r="BW316" s="2"/>
      <c r="BX316" s="2"/>
      <c r="BY316" s="2">
        <v>2.9</v>
      </c>
      <c r="BZ316" s="2"/>
      <c r="CA316" s="2">
        <v>1</v>
      </c>
      <c r="CB316" s="2">
        <v>11.8</v>
      </c>
      <c r="CC316" s="2">
        <v>5.9</v>
      </c>
      <c r="CD316" s="2"/>
      <c r="CE316" s="2">
        <v>0.4</v>
      </c>
      <c r="CF316" s="2">
        <v>25.2</v>
      </c>
      <c r="CG316" s="2"/>
      <c r="CH316" s="2"/>
      <c r="CI316" s="2"/>
      <c r="CJ316" s="2"/>
      <c r="CK316" s="2"/>
      <c r="CL316" s="2"/>
      <c r="CM316" s="2"/>
      <c r="CN316" s="2">
        <v>0</v>
      </c>
      <c r="CO316" s="2">
        <v>24</v>
      </c>
      <c r="CP316" s="2">
        <v>30.5</v>
      </c>
      <c r="CQ316" s="2">
        <v>0.1</v>
      </c>
      <c r="CR316" s="2"/>
      <c r="CS316" s="2">
        <v>18</v>
      </c>
      <c r="CT316" s="2">
        <v>17.600000000000001</v>
      </c>
      <c r="CU316" s="2"/>
      <c r="CV316" s="2">
        <v>7.5</v>
      </c>
      <c r="CW316" s="2"/>
      <c r="CX316" s="2">
        <v>0.8</v>
      </c>
      <c r="CY316" s="2">
        <v>9.1</v>
      </c>
      <c r="CZ316" s="2"/>
      <c r="DB316">
        <v>1980</v>
      </c>
      <c r="DC316">
        <v>47.520000000018598</v>
      </c>
      <c r="DH316">
        <v>315</v>
      </c>
    </row>
    <row r="317" spans="1:112">
      <c r="A317" s="1">
        <v>41224</v>
      </c>
      <c r="B317" s="2"/>
      <c r="C317" s="2">
        <v>3.4</v>
      </c>
      <c r="D317" s="2"/>
      <c r="E317" s="2"/>
      <c r="F317" s="2">
        <v>55.5</v>
      </c>
      <c r="G317" s="2"/>
      <c r="H317" s="2"/>
      <c r="I317" s="2">
        <v>54.9</v>
      </c>
      <c r="J317" s="2"/>
      <c r="K317" s="2"/>
      <c r="L317" s="2"/>
      <c r="M317" s="2">
        <v>2.2999999999999998</v>
      </c>
      <c r="N317" s="2"/>
      <c r="O317" s="2"/>
      <c r="P317" s="2"/>
      <c r="Q317" s="2"/>
      <c r="R317" s="2"/>
      <c r="S317" s="2"/>
      <c r="T317" s="2">
        <v>0.1</v>
      </c>
      <c r="U317" s="2"/>
      <c r="V317" s="2">
        <v>9</v>
      </c>
      <c r="W317" s="2"/>
      <c r="X317" s="2">
        <v>16.5</v>
      </c>
      <c r="Y317" s="2">
        <v>11</v>
      </c>
      <c r="Z317" s="2"/>
      <c r="AA317" s="2"/>
      <c r="AB317" s="2"/>
      <c r="AC317" s="2"/>
      <c r="AD317" s="2"/>
      <c r="AE317" s="2">
        <v>0.29999999999972699</v>
      </c>
      <c r="AF317" s="2">
        <v>1.29999999999927</v>
      </c>
      <c r="AG317" s="2"/>
      <c r="AH317" s="2">
        <v>0</v>
      </c>
      <c r="AI317" s="2">
        <v>2</v>
      </c>
      <c r="AJ317" s="2">
        <v>0.69999999999981799</v>
      </c>
      <c r="AK317" s="2"/>
      <c r="AL317" s="2">
        <v>4.79999999999563</v>
      </c>
      <c r="AM317" s="2"/>
      <c r="AN317" s="2"/>
      <c r="AO317" s="2"/>
      <c r="AP317" s="2"/>
      <c r="AQ317" s="2">
        <v>17.099999999976699</v>
      </c>
      <c r="AR317" s="2">
        <v>0.89999999999963598</v>
      </c>
      <c r="AS317" s="2"/>
      <c r="AT317" s="2"/>
      <c r="AU317" s="2"/>
      <c r="AV317" s="2">
        <v>15.599999999991301</v>
      </c>
      <c r="AW317" s="2"/>
      <c r="AX317" s="2">
        <v>17.899999999994201</v>
      </c>
      <c r="AY317" s="2">
        <v>2.8999999999978199</v>
      </c>
      <c r="AZ317" s="2"/>
      <c r="BA317" s="2">
        <v>6.5</v>
      </c>
      <c r="BB317" s="2"/>
      <c r="BC317" s="2"/>
      <c r="BD317" s="2">
        <v>1.79999999999927</v>
      </c>
      <c r="BE317" s="2">
        <v>0.200000000000045</v>
      </c>
      <c r="BF317" s="2">
        <v>0.400000000000091</v>
      </c>
      <c r="BG317" s="2">
        <v>0.200000000000045</v>
      </c>
      <c r="BH317" s="2">
        <v>0.100000000000023</v>
      </c>
      <c r="BI317" s="2">
        <v>9.3000000000029104</v>
      </c>
      <c r="BJ317" s="2"/>
      <c r="BK317" s="2">
        <v>0.100000000000023</v>
      </c>
      <c r="BL317" s="2"/>
      <c r="BM317" s="2"/>
      <c r="BN317" s="2"/>
      <c r="BO317" s="2"/>
      <c r="BP317" s="2"/>
      <c r="BQ317" s="2">
        <v>4.3000000000029104</v>
      </c>
      <c r="BR317" s="2"/>
      <c r="BS317" s="2">
        <v>36.799999999988401</v>
      </c>
      <c r="BT317" s="2">
        <v>0</v>
      </c>
      <c r="BU317" s="2"/>
      <c r="BV317" s="2">
        <v>0.1</v>
      </c>
      <c r="BW317" s="2">
        <v>8.7999999999883602</v>
      </c>
      <c r="BX317" s="2"/>
      <c r="BY317" s="2">
        <v>0.2</v>
      </c>
      <c r="BZ317" s="2">
        <v>1.7</v>
      </c>
      <c r="CA317" s="2">
        <v>7.6</v>
      </c>
      <c r="CB317" s="2">
        <v>0.3</v>
      </c>
      <c r="CC317" s="2">
        <v>5.3</v>
      </c>
      <c r="CD317" s="2"/>
      <c r="CE317" s="2"/>
      <c r="CF317" s="2">
        <v>4.4000000000000004</v>
      </c>
      <c r="CG317" s="2">
        <v>3.7</v>
      </c>
      <c r="CH317" s="2"/>
      <c r="CI317" s="2"/>
      <c r="CJ317" s="2"/>
      <c r="CK317" s="2"/>
      <c r="CL317" s="2"/>
      <c r="CM317" s="2"/>
      <c r="CN317" s="2"/>
      <c r="CO317" s="2">
        <v>1.7</v>
      </c>
      <c r="CP317" s="2">
        <v>9.6999999999999993</v>
      </c>
      <c r="CQ317" s="2"/>
      <c r="CR317" s="2"/>
      <c r="CS317" s="2">
        <v>0.1</v>
      </c>
      <c r="CT317" s="2">
        <v>1.8</v>
      </c>
      <c r="CU317" s="2"/>
      <c r="CV317" s="2">
        <v>8.3000000000000007</v>
      </c>
      <c r="CW317" s="2"/>
      <c r="CX317" s="2">
        <v>5.8</v>
      </c>
      <c r="CY317" s="2">
        <v>0.1</v>
      </c>
      <c r="CZ317" s="2"/>
      <c r="DB317">
        <v>1915</v>
      </c>
      <c r="DC317">
        <v>55.5</v>
      </c>
      <c r="DH317">
        <v>316</v>
      </c>
    </row>
    <row r="318" spans="1:112">
      <c r="A318" s="1">
        <v>41225</v>
      </c>
      <c r="B318" s="2"/>
      <c r="C318" s="2"/>
      <c r="D318" s="2"/>
      <c r="E318" s="2"/>
      <c r="F318" s="2">
        <v>7</v>
      </c>
      <c r="G318" s="2"/>
      <c r="H318" s="2"/>
      <c r="I318" s="2">
        <v>0.5</v>
      </c>
      <c r="J318" s="2"/>
      <c r="K318" s="2"/>
      <c r="L318" s="2">
        <v>1.1000000000000001</v>
      </c>
      <c r="M318" s="2">
        <v>2.5</v>
      </c>
      <c r="N318" s="2"/>
      <c r="O318" s="2">
        <v>3.5</v>
      </c>
      <c r="P318" s="2"/>
      <c r="Q318" s="2"/>
      <c r="R318" s="2"/>
      <c r="S318" s="2"/>
      <c r="T318" s="2">
        <v>0.1</v>
      </c>
      <c r="U318" s="2">
        <v>11.2</v>
      </c>
      <c r="V318" s="2">
        <v>3.7</v>
      </c>
      <c r="W318" s="2"/>
      <c r="X318" s="2"/>
      <c r="Y318" s="2"/>
      <c r="Z318" s="2">
        <v>0.39999999999963598</v>
      </c>
      <c r="AA318" s="2">
        <v>4.5</v>
      </c>
      <c r="AB318" s="2">
        <v>2.7999999999992702</v>
      </c>
      <c r="AC318" s="2">
        <v>0</v>
      </c>
      <c r="AD318" s="2"/>
      <c r="AE318" s="2"/>
      <c r="AF318" s="2">
        <v>0.19999999999981799</v>
      </c>
      <c r="AG318" s="2">
        <v>16.199999999982499</v>
      </c>
      <c r="AH318" s="2">
        <v>9.9999999999908995E-2</v>
      </c>
      <c r="AI318" s="2">
        <v>3.1999999999970901</v>
      </c>
      <c r="AJ318" s="2">
        <v>0.69999999999981799</v>
      </c>
      <c r="AK318" s="2">
        <v>31</v>
      </c>
      <c r="AL318" s="2"/>
      <c r="AM318" s="2">
        <v>1.29999999999927</v>
      </c>
      <c r="AN318" s="2"/>
      <c r="AO318" s="2">
        <v>0.29999999999972699</v>
      </c>
      <c r="AP318" s="2"/>
      <c r="AQ318" s="2">
        <v>0.39999999999963598</v>
      </c>
      <c r="AR318" s="2">
        <v>2.8999999999978199</v>
      </c>
      <c r="AS318" s="2">
        <v>0.19999999999981799</v>
      </c>
      <c r="AT318" s="2"/>
      <c r="AU318" s="2"/>
      <c r="AV318" s="2">
        <v>5</v>
      </c>
      <c r="AW318" s="2">
        <v>0.39999999999963598</v>
      </c>
      <c r="AX318" s="2"/>
      <c r="AY318" s="2"/>
      <c r="AZ318" s="2"/>
      <c r="BA318" s="2">
        <v>0.29999999999972699</v>
      </c>
      <c r="BB318" s="2"/>
      <c r="BC318" s="2"/>
      <c r="BD318" s="2"/>
      <c r="BE318" s="2">
        <v>0.200000000000045</v>
      </c>
      <c r="BF318" s="2"/>
      <c r="BG318" s="2">
        <v>0.100000000000023</v>
      </c>
      <c r="BH318" s="2">
        <v>0.100000000000023</v>
      </c>
      <c r="BI318" s="2">
        <v>0.100000000000023</v>
      </c>
      <c r="BJ318" s="2">
        <v>0</v>
      </c>
      <c r="BK318" s="2">
        <v>37.599999999976703</v>
      </c>
      <c r="BL318" s="2">
        <v>0.100000000000023</v>
      </c>
      <c r="BM318" s="2">
        <v>0</v>
      </c>
      <c r="BN318" s="2">
        <v>5.9000000000014596</v>
      </c>
      <c r="BO318" s="2"/>
      <c r="BP318" s="2"/>
      <c r="BQ318" s="2">
        <v>2.2000000000007298</v>
      </c>
      <c r="BR318" s="2">
        <v>3</v>
      </c>
      <c r="BS318" s="2">
        <v>1</v>
      </c>
      <c r="BT318" s="2"/>
      <c r="BU318" s="2"/>
      <c r="BV318" s="2">
        <v>2.5</v>
      </c>
      <c r="BW318" s="2">
        <v>0.29999999999972699</v>
      </c>
      <c r="BX318" s="2"/>
      <c r="BY318" s="2"/>
      <c r="BZ318" s="2">
        <v>0.8</v>
      </c>
      <c r="CA318" s="2">
        <v>0.5</v>
      </c>
      <c r="CB318" s="2">
        <v>3.6</v>
      </c>
      <c r="CC318" s="2"/>
      <c r="CD318" s="2"/>
      <c r="CE318" s="2">
        <v>0.4</v>
      </c>
      <c r="CF318" s="2">
        <v>1.2</v>
      </c>
      <c r="CG318" s="2">
        <v>32.1</v>
      </c>
      <c r="CH318" s="2"/>
      <c r="CI318" s="2"/>
      <c r="CJ318" s="2"/>
      <c r="CK318" s="2">
        <v>2.5</v>
      </c>
      <c r="CL318" s="2">
        <v>0</v>
      </c>
      <c r="CM318" s="2"/>
      <c r="CN318" s="2"/>
      <c r="CO318" s="2"/>
      <c r="CP318" s="2">
        <v>0.1</v>
      </c>
      <c r="CQ318" s="2"/>
      <c r="CR318" s="2">
        <v>2.8</v>
      </c>
      <c r="CS318" s="2"/>
      <c r="CT318" s="2">
        <v>22.6</v>
      </c>
      <c r="CU318" s="2">
        <v>6.9</v>
      </c>
      <c r="CV318" s="2">
        <v>6.5</v>
      </c>
      <c r="CW318" s="2"/>
      <c r="CX318" s="2">
        <v>1.1000000000000001</v>
      </c>
      <c r="CY318" s="2"/>
      <c r="CZ318" s="2">
        <v>0.1</v>
      </c>
      <c r="DB318">
        <v>1972</v>
      </c>
      <c r="DC318">
        <v>37.599999999976703</v>
      </c>
      <c r="DH318">
        <v>317</v>
      </c>
    </row>
    <row r="319" spans="1:112">
      <c r="A319" s="1">
        <v>41226</v>
      </c>
      <c r="B319" s="2"/>
      <c r="C319" s="2"/>
      <c r="D319" s="2"/>
      <c r="E319" s="2"/>
      <c r="F319" s="2"/>
      <c r="G319" s="2"/>
      <c r="H319" s="2"/>
      <c r="I319" s="2">
        <v>10.4</v>
      </c>
      <c r="J319" s="2">
        <v>16</v>
      </c>
      <c r="K319" s="2"/>
      <c r="L319" s="2"/>
      <c r="M319" s="2">
        <v>2.9</v>
      </c>
      <c r="N319" s="2"/>
      <c r="O319" s="2">
        <v>4.7</v>
      </c>
      <c r="P319" s="2"/>
      <c r="Q319" s="2"/>
      <c r="R319" s="2">
        <v>1.5</v>
      </c>
      <c r="S319" s="2"/>
      <c r="T319" s="2">
        <v>0.1</v>
      </c>
      <c r="U319" s="2">
        <v>10</v>
      </c>
      <c r="V319" s="2"/>
      <c r="W319" s="2">
        <v>9</v>
      </c>
      <c r="X319" s="2"/>
      <c r="Y319" s="2">
        <v>3.7</v>
      </c>
      <c r="Z319" s="2">
        <v>0.39999999999963598</v>
      </c>
      <c r="AA319" s="2"/>
      <c r="AB319" s="2">
        <v>18</v>
      </c>
      <c r="AC319" s="2">
        <v>0.79999999999927196</v>
      </c>
      <c r="AD319" s="2"/>
      <c r="AE319" s="2"/>
      <c r="AF319" s="2">
        <v>2.8999999999978199</v>
      </c>
      <c r="AG319" s="2"/>
      <c r="AH319" s="2">
        <v>37.5</v>
      </c>
      <c r="AI319" s="2">
        <v>0.19999999999981799</v>
      </c>
      <c r="AJ319" s="2"/>
      <c r="AK319" s="2">
        <v>17.5</v>
      </c>
      <c r="AL319" s="2"/>
      <c r="AM319" s="2">
        <v>2.0999999999985399</v>
      </c>
      <c r="AN319" s="2"/>
      <c r="AO319" s="2">
        <v>0.29999999999972699</v>
      </c>
      <c r="AP319" s="2"/>
      <c r="AQ319" s="2">
        <v>10.5</v>
      </c>
      <c r="AR319" s="2"/>
      <c r="AS319" s="2">
        <v>0.5</v>
      </c>
      <c r="AT319" s="2"/>
      <c r="AU319" s="2"/>
      <c r="AV319" s="2">
        <v>2.5</v>
      </c>
      <c r="AW319" s="2"/>
      <c r="AX319" s="2"/>
      <c r="AY319" s="2"/>
      <c r="AZ319" s="2"/>
      <c r="BA319" s="2">
        <v>7.1999999999970896</v>
      </c>
      <c r="BB319" s="2"/>
      <c r="BC319" s="2"/>
      <c r="BD319" s="2">
        <v>0.30000000000018201</v>
      </c>
      <c r="BE319" s="2">
        <v>1.29999999999927</v>
      </c>
      <c r="BF319" s="2"/>
      <c r="BG319" s="2">
        <v>17.200000000011599</v>
      </c>
      <c r="BH319" s="2">
        <v>0.30000000000018201</v>
      </c>
      <c r="BI319" s="2">
        <v>0.100000000000023</v>
      </c>
      <c r="BJ319" s="2"/>
      <c r="BK319" s="2">
        <v>5.9000000000014596</v>
      </c>
      <c r="BL319" s="2">
        <v>0</v>
      </c>
      <c r="BM319" s="2">
        <v>0.200000000000045</v>
      </c>
      <c r="BN319" s="2">
        <v>5.0999999999985501</v>
      </c>
      <c r="BO319" s="2"/>
      <c r="BP319" s="2"/>
      <c r="BQ319" s="2">
        <v>2.2000000000007298</v>
      </c>
      <c r="BR319" s="2">
        <v>0.30000000000018201</v>
      </c>
      <c r="BS319" s="2"/>
      <c r="BT319" s="2"/>
      <c r="BU319" s="2"/>
      <c r="BV319" s="2">
        <v>0.3</v>
      </c>
      <c r="BW319" s="2">
        <v>31</v>
      </c>
      <c r="BX319" s="2"/>
      <c r="BY319" s="2"/>
      <c r="BZ319" s="2"/>
      <c r="CA319" s="2"/>
      <c r="CB319" s="2">
        <v>1.2</v>
      </c>
      <c r="CC319" s="2"/>
      <c r="CD319" s="2"/>
      <c r="CE319" s="2">
        <v>22.9</v>
      </c>
      <c r="CF319" s="2">
        <v>3.8</v>
      </c>
      <c r="CG319" s="2">
        <v>20.100000000000001</v>
      </c>
      <c r="CH319" s="2"/>
      <c r="CI319" s="2"/>
      <c r="CJ319" s="2"/>
      <c r="CK319" s="2">
        <v>5.5</v>
      </c>
      <c r="CL319" s="2"/>
      <c r="CM319" s="2"/>
      <c r="CN319" s="2"/>
      <c r="CO319" s="2"/>
      <c r="CP319" s="2"/>
      <c r="CQ319" s="2"/>
      <c r="CR319" s="2">
        <v>12.1</v>
      </c>
      <c r="CS319" s="2">
        <v>18.8</v>
      </c>
      <c r="CT319" s="2">
        <v>1.5</v>
      </c>
      <c r="CU319" s="2">
        <v>0.2</v>
      </c>
      <c r="CV319" s="2"/>
      <c r="CW319" s="2"/>
      <c r="CX319" s="2">
        <v>2.8</v>
      </c>
      <c r="CY319" s="2"/>
      <c r="CZ319" s="2"/>
      <c r="DB319">
        <v>1943</v>
      </c>
      <c r="DC319">
        <v>37.5</v>
      </c>
      <c r="DH319">
        <v>318</v>
      </c>
    </row>
    <row r="320" spans="1:112">
      <c r="A320" s="1">
        <v>41227</v>
      </c>
      <c r="B320" s="2"/>
      <c r="C320" s="2"/>
      <c r="D320" s="2"/>
      <c r="E320" s="2">
        <v>10.199999999999999</v>
      </c>
      <c r="F320" s="2"/>
      <c r="G320" s="2">
        <v>9.9</v>
      </c>
      <c r="H320" s="2">
        <v>1.3</v>
      </c>
      <c r="I320" s="2">
        <v>9.6</v>
      </c>
      <c r="J320" s="2"/>
      <c r="K320" s="2"/>
      <c r="L320" s="2"/>
      <c r="M320" s="2">
        <v>40.5</v>
      </c>
      <c r="N320" s="2"/>
      <c r="O320" s="2">
        <v>12.7</v>
      </c>
      <c r="P320" s="2"/>
      <c r="Q320" s="2"/>
      <c r="R320" s="2">
        <v>4.2</v>
      </c>
      <c r="S320" s="2"/>
      <c r="T320" s="2"/>
      <c r="U320" s="2"/>
      <c r="V320" s="2"/>
      <c r="W320" s="2">
        <v>3.2</v>
      </c>
      <c r="X320" s="2"/>
      <c r="Y320" s="2">
        <v>0.2</v>
      </c>
      <c r="Z320" s="2">
        <v>0.69999999999981799</v>
      </c>
      <c r="AA320" s="2"/>
      <c r="AB320" s="2"/>
      <c r="AC320" s="2"/>
      <c r="AD320" s="2">
        <v>0.19999999999981799</v>
      </c>
      <c r="AE320" s="2"/>
      <c r="AF320" s="2">
        <v>17.399999999994201</v>
      </c>
      <c r="AG320" s="2">
        <v>0.39999999999963598</v>
      </c>
      <c r="AH320" s="2"/>
      <c r="AI320" s="2"/>
      <c r="AJ320" s="2">
        <v>9.9999999999908995E-2</v>
      </c>
      <c r="AK320" s="2"/>
      <c r="AL320" s="2"/>
      <c r="AM320" s="2">
        <v>9.5</v>
      </c>
      <c r="AN320" s="2"/>
      <c r="AO320" s="2">
        <v>0.19999999999981799</v>
      </c>
      <c r="AP320" s="2"/>
      <c r="AQ320" s="2"/>
      <c r="AR320" s="2"/>
      <c r="AS320" s="2"/>
      <c r="AT320" s="2"/>
      <c r="AU320" s="2"/>
      <c r="AV320" s="2">
        <v>12</v>
      </c>
      <c r="AW320" s="2"/>
      <c r="AX320" s="2"/>
      <c r="AY320" s="2"/>
      <c r="AZ320" s="2"/>
      <c r="BA320" s="2"/>
      <c r="BB320" s="2">
        <v>4.5</v>
      </c>
      <c r="BC320" s="2">
        <v>26.799999999988401</v>
      </c>
      <c r="BD320" s="2">
        <v>16.799999999988401</v>
      </c>
      <c r="BE320" s="2">
        <v>0.200000000000045</v>
      </c>
      <c r="BF320" s="2"/>
      <c r="BG320" s="2">
        <v>6.6999999999970896</v>
      </c>
      <c r="BH320" s="2">
        <v>0.100000000000023</v>
      </c>
      <c r="BI320" s="2">
        <v>0.100000000000023</v>
      </c>
      <c r="BJ320" s="2">
        <v>0</v>
      </c>
      <c r="BK320" s="2"/>
      <c r="BL320" s="2">
        <v>3.7999999999992702</v>
      </c>
      <c r="BM320" s="2">
        <v>0.100000000000023</v>
      </c>
      <c r="BN320" s="2">
        <v>0.60000000000036402</v>
      </c>
      <c r="BO320" s="2">
        <v>1</v>
      </c>
      <c r="BP320" s="2"/>
      <c r="BQ320" s="2"/>
      <c r="BR320" s="2"/>
      <c r="BS320" s="2">
        <v>27.399999999994201</v>
      </c>
      <c r="BT320" s="2"/>
      <c r="BU320" s="2"/>
      <c r="BV320" s="2">
        <v>0.8</v>
      </c>
      <c r="BW320" s="2">
        <v>2.6999999999970901</v>
      </c>
      <c r="BX320" s="2"/>
      <c r="BY320" s="2"/>
      <c r="BZ320" s="2"/>
      <c r="CA320" s="2">
        <v>36.299999999999997</v>
      </c>
      <c r="CB320" s="2">
        <v>15.3</v>
      </c>
      <c r="CC320" s="2"/>
      <c r="CD320" s="2"/>
      <c r="CE320" s="2">
        <v>15.5</v>
      </c>
      <c r="CF320" s="2">
        <v>16.7</v>
      </c>
      <c r="CG320" s="2"/>
      <c r="CH320" s="2">
        <v>0.7</v>
      </c>
      <c r="CI320" s="2"/>
      <c r="CJ320" s="2">
        <v>0.4</v>
      </c>
      <c r="CK320" s="2">
        <v>24.1</v>
      </c>
      <c r="CL320" s="2"/>
      <c r="CM320" s="2"/>
      <c r="CN320" s="2">
        <v>7.5</v>
      </c>
      <c r="CO320" s="2"/>
      <c r="CP320" s="2"/>
      <c r="CQ320" s="2">
        <v>1.4</v>
      </c>
      <c r="CR320" s="2">
        <v>2.7</v>
      </c>
      <c r="CS320" s="2"/>
      <c r="CT320" s="2">
        <v>2.2999999999999998</v>
      </c>
      <c r="CU320" s="2">
        <v>0.8</v>
      </c>
      <c r="CV320" s="2"/>
      <c r="CW320" s="2"/>
      <c r="CX320" s="2">
        <v>0.5</v>
      </c>
      <c r="CY320" s="2"/>
      <c r="CZ320" s="2">
        <v>0.4</v>
      </c>
      <c r="DB320">
        <v>1922</v>
      </c>
      <c r="DC320">
        <v>40.5</v>
      </c>
      <c r="DH320">
        <v>319</v>
      </c>
    </row>
    <row r="321" spans="1:112">
      <c r="A321" s="1">
        <v>41228</v>
      </c>
      <c r="B321" s="2"/>
      <c r="C321" s="2"/>
      <c r="D321" s="2"/>
      <c r="E321" s="2">
        <v>0.7</v>
      </c>
      <c r="F321" s="2">
        <v>1</v>
      </c>
      <c r="G321" s="2">
        <v>14.5</v>
      </c>
      <c r="H321" s="2">
        <v>4.2</v>
      </c>
      <c r="I321" s="2">
        <v>1.8</v>
      </c>
      <c r="J321" s="2"/>
      <c r="K321" s="2"/>
      <c r="L321" s="2"/>
      <c r="M321" s="2">
        <v>8.1</v>
      </c>
      <c r="N321" s="2"/>
      <c r="O321" s="2">
        <v>4</v>
      </c>
      <c r="P321" s="2"/>
      <c r="Q321" s="2"/>
      <c r="R321" s="2">
        <v>3.8</v>
      </c>
      <c r="S321" s="2"/>
      <c r="T321" s="2">
        <v>3.1</v>
      </c>
      <c r="U321" s="2"/>
      <c r="V321" s="2">
        <v>3.4</v>
      </c>
      <c r="W321" s="2">
        <v>0.3</v>
      </c>
      <c r="X321" s="2"/>
      <c r="Y321" s="2"/>
      <c r="Z321" s="2">
        <v>6</v>
      </c>
      <c r="AA321" s="2"/>
      <c r="AB321" s="2">
        <v>3.2999999999992702</v>
      </c>
      <c r="AC321" s="2"/>
      <c r="AD321" s="2">
        <v>2.9</v>
      </c>
      <c r="AE321" s="2"/>
      <c r="AF321" s="2">
        <v>1.1999999999989099</v>
      </c>
      <c r="AG321" s="2">
        <v>10</v>
      </c>
      <c r="AH321" s="2"/>
      <c r="AI321" s="2"/>
      <c r="AJ321" s="2"/>
      <c r="AK321" s="2"/>
      <c r="AL321" s="2"/>
      <c r="AM321" s="2">
        <v>9.9999999999908995E-2</v>
      </c>
      <c r="AN321" s="2"/>
      <c r="AO321" s="2">
        <v>26</v>
      </c>
      <c r="AP321" s="2">
        <v>3</v>
      </c>
      <c r="AQ321" s="2"/>
      <c r="AR321" s="2"/>
      <c r="AS321" s="2">
        <v>0.59999999999945397</v>
      </c>
      <c r="AT321" s="2">
        <v>60.199999999953398</v>
      </c>
      <c r="AU321" s="2"/>
      <c r="AV321" s="2">
        <v>11.5</v>
      </c>
      <c r="AW321" s="2">
        <v>1.5</v>
      </c>
      <c r="AX321" s="2"/>
      <c r="AY321" s="2">
        <v>8.2999999999883602</v>
      </c>
      <c r="AZ321" s="2"/>
      <c r="BA321" s="2"/>
      <c r="BB321" s="2"/>
      <c r="BC321" s="2">
        <v>0.200000000000045</v>
      </c>
      <c r="BD321" s="2">
        <v>33.5</v>
      </c>
      <c r="BE321" s="2"/>
      <c r="BF321" s="2">
        <v>0.100000000000023</v>
      </c>
      <c r="BG321" s="2">
        <v>0.100000000000023</v>
      </c>
      <c r="BH321" s="2">
        <v>0.100000000000023</v>
      </c>
      <c r="BI321" s="2"/>
      <c r="BJ321" s="2">
        <v>0.100000000000023</v>
      </c>
      <c r="BK321" s="2"/>
      <c r="BL321" s="2">
        <v>18.100000000005799</v>
      </c>
      <c r="BM321" s="2"/>
      <c r="BN321" s="2">
        <v>0.30000000000018201</v>
      </c>
      <c r="BO321" s="2">
        <v>3.0999999999985399</v>
      </c>
      <c r="BP321" s="2"/>
      <c r="BQ321" s="2">
        <v>0.100000000000023</v>
      </c>
      <c r="BR321" s="2"/>
      <c r="BS321" s="2"/>
      <c r="BT321" s="2">
        <v>6.3000000000029104</v>
      </c>
      <c r="BU321" s="2">
        <v>3</v>
      </c>
      <c r="BV321" s="2">
        <v>22.5</v>
      </c>
      <c r="BW321" s="2">
        <v>0.19999999999981799</v>
      </c>
      <c r="BX321" s="2">
        <v>1.3</v>
      </c>
      <c r="BY321" s="2">
        <v>0.6</v>
      </c>
      <c r="BZ321" s="2"/>
      <c r="CA321" s="2">
        <v>0.8</v>
      </c>
      <c r="CB321" s="2">
        <v>0.2</v>
      </c>
      <c r="CC321" s="2"/>
      <c r="CD321" s="2"/>
      <c r="CE321" s="2"/>
      <c r="CF321" s="2">
        <v>0.3</v>
      </c>
      <c r="CG321" s="2"/>
      <c r="CH321" s="2">
        <v>0.9</v>
      </c>
      <c r="CI321" s="2"/>
      <c r="CJ321" s="2">
        <v>6.1</v>
      </c>
      <c r="CK321" s="2">
        <v>4</v>
      </c>
      <c r="CL321" s="2">
        <v>1.5</v>
      </c>
      <c r="CM321" s="2"/>
      <c r="CN321" s="2">
        <v>6</v>
      </c>
      <c r="CO321" s="2"/>
      <c r="CP321" s="2"/>
      <c r="CQ321" s="2">
        <v>22.3</v>
      </c>
      <c r="CR321" s="2"/>
      <c r="CS321" s="2"/>
      <c r="CT321" s="2"/>
      <c r="CU321" s="2">
        <v>0.3</v>
      </c>
      <c r="CV321" s="2">
        <v>6.5</v>
      </c>
      <c r="CW321" s="2"/>
      <c r="CX321" s="2">
        <v>6.1</v>
      </c>
      <c r="CY321" s="2"/>
      <c r="CZ321" s="2">
        <v>0.1</v>
      </c>
      <c r="DB321">
        <v>1955</v>
      </c>
      <c r="DC321">
        <v>60.199999999953398</v>
      </c>
      <c r="DH321">
        <v>320</v>
      </c>
    </row>
    <row r="322" spans="1:112">
      <c r="A322" s="1">
        <v>41229</v>
      </c>
      <c r="B322" s="2"/>
      <c r="C322" s="2"/>
      <c r="D322" s="2">
        <v>9.6</v>
      </c>
      <c r="E322" s="2"/>
      <c r="F322" s="2"/>
      <c r="G322" s="2">
        <v>1.5</v>
      </c>
      <c r="H322" s="2">
        <v>4.3</v>
      </c>
      <c r="I322" s="2"/>
      <c r="J322" s="2"/>
      <c r="K322" s="2"/>
      <c r="L322" s="2">
        <v>1.6</v>
      </c>
      <c r="M322" s="2">
        <v>16.899999999999999</v>
      </c>
      <c r="N322" s="2"/>
      <c r="O322" s="2">
        <v>14.7</v>
      </c>
      <c r="P322" s="2"/>
      <c r="Q322" s="2"/>
      <c r="R322" s="2">
        <v>15</v>
      </c>
      <c r="S322" s="2">
        <v>0.1</v>
      </c>
      <c r="T322" s="2">
        <v>7.2</v>
      </c>
      <c r="U322" s="2"/>
      <c r="V322" s="2"/>
      <c r="W322" s="2">
        <v>0.6</v>
      </c>
      <c r="X322" s="2"/>
      <c r="Y322" s="2"/>
      <c r="Z322" s="2">
        <v>4.5</v>
      </c>
      <c r="AA322" s="2"/>
      <c r="AB322" s="2">
        <v>9.0999999999912706</v>
      </c>
      <c r="AC322" s="2"/>
      <c r="AD322" s="2">
        <v>0.5</v>
      </c>
      <c r="AE322" s="2"/>
      <c r="AF322" s="2"/>
      <c r="AG322" s="2">
        <v>5</v>
      </c>
      <c r="AH322" s="2"/>
      <c r="AI322" s="2">
        <v>0.79999999999927196</v>
      </c>
      <c r="AJ322" s="2">
        <v>0.19999999999981799</v>
      </c>
      <c r="AK322" s="2">
        <v>1.39999999999964</v>
      </c>
      <c r="AL322" s="2"/>
      <c r="AM322" s="2"/>
      <c r="AN322" s="2"/>
      <c r="AO322" s="2">
        <v>20.199999999982499</v>
      </c>
      <c r="AP322" s="2">
        <v>9.1999999999970896</v>
      </c>
      <c r="AQ322" s="2"/>
      <c r="AR322" s="2">
        <v>15.899999999994201</v>
      </c>
      <c r="AS322" s="2">
        <v>7.79999999999563</v>
      </c>
      <c r="AT322" s="2">
        <v>94.2</v>
      </c>
      <c r="AU322" s="2">
        <v>0.5</v>
      </c>
      <c r="AV322" s="2">
        <v>4.5999999999985501</v>
      </c>
      <c r="AW322" s="2">
        <v>0.29999999999972699</v>
      </c>
      <c r="AX322" s="2">
        <v>6.3999999999941801</v>
      </c>
      <c r="AY322" s="2">
        <v>13</v>
      </c>
      <c r="AZ322" s="2"/>
      <c r="BA322" s="2"/>
      <c r="BB322" s="2"/>
      <c r="BC322" s="2">
        <v>0.200000000000045</v>
      </c>
      <c r="BD322" s="2">
        <v>14.100000000005799</v>
      </c>
      <c r="BE322" s="2">
        <v>11.3000000000029</v>
      </c>
      <c r="BF322" s="2">
        <v>0.200000000000045</v>
      </c>
      <c r="BG322" s="2"/>
      <c r="BH322" s="2">
        <v>0.200000000000045</v>
      </c>
      <c r="BI322" s="2">
        <v>3.2000000000007298</v>
      </c>
      <c r="BJ322" s="2">
        <v>0.30000000000018201</v>
      </c>
      <c r="BK322" s="2">
        <v>2.9000000000014601</v>
      </c>
      <c r="BL322" s="2"/>
      <c r="BM322" s="2">
        <v>0.100000000000023</v>
      </c>
      <c r="BN322" s="2">
        <v>2.2999999999992702</v>
      </c>
      <c r="BO322" s="2">
        <v>0.100000000000023</v>
      </c>
      <c r="BP322" s="2"/>
      <c r="BQ322" s="2">
        <v>0.100000000000023</v>
      </c>
      <c r="BR322" s="2"/>
      <c r="BS322" s="2"/>
      <c r="BT322" s="2">
        <v>6.6999999999970896</v>
      </c>
      <c r="BU322" s="2">
        <v>3.7</v>
      </c>
      <c r="BV322" s="2"/>
      <c r="BW322" s="2">
        <v>0</v>
      </c>
      <c r="BX322" s="2"/>
      <c r="BY322" s="2">
        <v>0.7</v>
      </c>
      <c r="BZ322" s="2"/>
      <c r="CA322" s="2">
        <v>9.3000000000000007</v>
      </c>
      <c r="CB322" s="2">
        <v>12.6</v>
      </c>
      <c r="CC322" s="2"/>
      <c r="CD322" s="2"/>
      <c r="CE322" s="2"/>
      <c r="CF322" s="2">
        <v>7.7</v>
      </c>
      <c r="CG322" s="2">
        <v>0.2</v>
      </c>
      <c r="CH322" s="2">
        <v>1.2</v>
      </c>
      <c r="CI322" s="2"/>
      <c r="CJ322" s="2">
        <v>5.5</v>
      </c>
      <c r="CK322" s="2"/>
      <c r="CL322" s="2">
        <v>24</v>
      </c>
      <c r="CM322" s="2"/>
      <c r="CN322" s="2"/>
      <c r="CO322" s="2"/>
      <c r="CP322" s="2"/>
      <c r="CQ322" s="2">
        <v>15.7</v>
      </c>
      <c r="CR322" s="2"/>
      <c r="CS322" s="2"/>
      <c r="CT322" s="2">
        <v>18.5</v>
      </c>
      <c r="CU322" s="2"/>
      <c r="CV322" s="2">
        <v>1</v>
      </c>
      <c r="CW322" s="2">
        <v>0.1</v>
      </c>
      <c r="CX322" s="2">
        <v>3.5</v>
      </c>
      <c r="CY322" s="2"/>
      <c r="CZ322" s="2"/>
      <c r="DB322">
        <v>1955</v>
      </c>
      <c r="DC322">
        <v>94.2</v>
      </c>
      <c r="DH322">
        <v>321</v>
      </c>
    </row>
    <row r="323" spans="1:112">
      <c r="A323" s="1">
        <v>41230</v>
      </c>
      <c r="B323" s="2"/>
      <c r="C323" s="2"/>
      <c r="D323" s="2">
        <v>7.4</v>
      </c>
      <c r="E323" s="2"/>
      <c r="F323" s="2">
        <v>4.5999999999999996</v>
      </c>
      <c r="G323" s="2">
        <v>13.8</v>
      </c>
      <c r="H323" s="2">
        <v>19.7</v>
      </c>
      <c r="I323" s="2">
        <v>0.6</v>
      </c>
      <c r="J323" s="2">
        <v>33.1</v>
      </c>
      <c r="K323" s="2"/>
      <c r="L323" s="2">
        <v>0.5</v>
      </c>
      <c r="M323" s="2">
        <v>8.4</v>
      </c>
      <c r="N323" s="2"/>
      <c r="O323" s="2"/>
      <c r="P323" s="2"/>
      <c r="Q323" s="2"/>
      <c r="R323" s="2">
        <v>3.5</v>
      </c>
      <c r="S323" s="2">
        <v>0.1</v>
      </c>
      <c r="T323" s="2">
        <v>0.1</v>
      </c>
      <c r="U323" s="2"/>
      <c r="V323" s="2"/>
      <c r="W323" s="2">
        <v>15</v>
      </c>
      <c r="X323" s="2"/>
      <c r="Y323" s="2"/>
      <c r="Z323" s="2">
        <v>7</v>
      </c>
      <c r="AA323" s="2">
        <v>8.3999999999941792</v>
      </c>
      <c r="AB323" s="2"/>
      <c r="AC323" s="2"/>
      <c r="AD323" s="2">
        <v>21.299999999988401</v>
      </c>
      <c r="AE323" s="2"/>
      <c r="AF323" s="2">
        <v>0.19999999999981799</v>
      </c>
      <c r="AG323" s="2"/>
      <c r="AH323" s="2"/>
      <c r="AI323" s="2">
        <v>18.599999999976699</v>
      </c>
      <c r="AJ323" s="2">
        <v>0.29999999999972699</v>
      </c>
      <c r="AK323" s="2"/>
      <c r="AL323" s="2"/>
      <c r="AM323" s="2"/>
      <c r="AN323" s="2">
        <v>11</v>
      </c>
      <c r="AO323" s="2"/>
      <c r="AP323" s="2">
        <v>7.3999999999941801</v>
      </c>
      <c r="AQ323" s="2"/>
      <c r="AR323" s="2">
        <v>3.8999999999978199</v>
      </c>
      <c r="AS323" s="2">
        <v>2</v>
      </c>
      <c r="AT323" s="2">
        <v>15.399999999994201</v>
      </c>
      <c r="AU323" s="2"/>
      <c r="AV323" s="2">
        <v>7.6999999999970896</v>
      </c>
      <c r="AW323" s="2">
        <v>1.39999999999964</v>
      </c>
      <c r="AX323" s="2">
        <v>4.3999999999941801</v>
      </c>
      <c r="AY323" s="2">
        <v>2.6999999999970901</v>
      </c>
      <c r="AZ323" s="2">
        <v>14.1999999999971</v>
      </c>
      <c r="BA323" s="2">
        <v>15.099999999991301</v>
      </c>
      <c r="BB323" s="2"/>
      <c r="BC323" s="2">
        <v>0.200000000000045</v>
      </c>
      <c r="BD323" s="2"/>
      <c r="BE323" s="2"/>
      <c r="BF323" s="2">
        <v>1.89999999999964</v>
      </c>
      <c r="BG323" s="2"/>
      <c r="BH323" s="2"/>
      <c r="BI323" s="2">
        <v>9.1000000000058208</v>
      </c>
      <c r="BJ323" s="2">
        <v>0</v>
      </c>
      <c r="BK323" s="2">
        <v>0.100000000000023</v>
      </c>
      <c r="BL323" s="2">
        <v>0.200000000000045</v>
      </c>
      <c r="BM323" s="2">
        <v>3.0999999999985399</v>
      </c>
      <c r="BN323" s="2">
        <v>0</v>
      </c>
      <c r="BO323" s="2"/>
      <c r="BP323" s="2">
        <v>19.100000000005799</v>
      </c>
      <c r="BQ323" s="2"/>
      <c r="BR323" s="2">
        <v>0.100000000000023</v>
      </c>
      <c r="BS323" s="2"/>
      <c r="BT323" s="2"/>
      <c r="BU323" s="2"/>
      <c r="BV323" s="2"/>
      <c r="BW323" s="2">
        <v>0</v>
      </c>
      <c r="BX323" s="2">
        <v>2.1</v>
      </c>
      <c r="BY323" s="2"/>
      <c r="BZ323" s="2">
        <v>0.1</v>
      </c>
      <c r="CA323" s="2">
        <v>1.1000000000000001</v>
      </c>
      <c r="CB323" s="2">
        <v>2.9</v>
      </c>
      <c r="CC323" s="2"/>
      <c r="CD323" s="2">
        <v>0.3</v>
      </c>
      <c r="CE323" s="2"/>
      <c r="CF323" s="2">
        <v>68.099999999999994</v>
      </c>
      <c r="CG323" s="2"/>
      <c r="CH323" s="2"/>
      <c r="CI323" s="2"/>
      <c r="CJ323" s="2"/>
      <c r="CK323" s="2">
        <v>11.5</v>
      </c>
      <c r="CL323" s="2">
        <v>1</v>
      </c>
      <c r="CM323" s="2"/>
      <c r="CN323" s="2">
        <v>1</v>
      </c>
      <c r="CO323" s="2"/>
      <c r="CP323" s="2"/>
      <c r="CQ323" s="2">
        <v>1.1000000000000001</v>
      </c>
      <c r="CR323" s="2">
        <v>10</v>
      </c>
      <c r="CS323" s="2"/>
      <c r="CT323" s="2"/>
      <c r="CU323" s="2">
        <v>1.4</v>
      </c>
      <c r="CV323" s="2">
        <v>0.8</v>
      </c>
      <c r="CW323" s="2"/>
      <c r="CX323" s="2">
        <v>2</v>
      </c>
      <c r="CY323" s="2"/>
      <c r="CZ323" s="2"/>
      <c r="DB323">
        <v>1993</v>
      </c>
      <c r="DC323">
        <v>68.099999999999994</v>
      </c>
      <c r="DH323">
        <v>322</v>
      </c>
    </row>
    <row r="324" spans="1:112">
      <c r="A324" s="1">
        <v>41231</v>
      </c>
      <c r="B324" s="2">
        <v>0.5</v>
      </c>
      <c r="C324" s="2"/>
      <c r="D324" s="2">
        <v>0.4</v>
      </c>
      <c r="E324" s="2">
        <v>17.8</v>
      </c>
      <c r="F324" s="2"/>
      <c r="G324" s="2">
        <v>0.4</v>
      </c>
      <c r="H324" s="2">
        <v>1.1000000000000001</v>
      </c>
      <c r="I324" s="2"/>
      <c r="J324" s="2">
        <v>8.1</v>
      </c>
      <c r="K324" s="2"/>
      <c r="L324" s="2">
        <v>32.700000000000003</v>
      </c>
      <c r="M324" s="2"/>
      <c r="N324" s="2"/>
      <c r="O324" s="2">
        <v>13.5</v>
      </c>
      <c r="P324" s="2">
        <v>12.7</v>
      </c>
      <c r="Q324" s="2"/>
      <c r="R324" s="2"/>
      <c r="S324" s="2">
        <v>4.0999999999999996</v>
      </c>
      <c r="T324" s="2"/>
      <c r="U324" s="2"/>
      <c r="V324" s="2"/>
      <c r="W324" s="2">
        <v>0.7</v>
      </c>
      <c r="X324" s="2"/>
      <c r="Y324" s="2"/>
      <c r="Z324" s="2"/>
      <c r="AA324" s="2">
        <v>0.79999999999927196</v>
      </c>
      <c r="AB324" s="2"/>
      <c r="AC324" s="2"/>
      <c r="AD324" s="2">
        <v>11</v>
      </c>
      <c r="AE324" s="2"/>
      <c r="AF324" s="2">
        <v>7.5999999999985501</v>
      </c>
      <c r="AG324" s="2">
        <v>1.1999999999989099</v>
      </c>
      <c r="AH324" s="2"/>
      <c r="AI324" s="2"/>
      <c r="AJ324" s="2">
        <v>9.9999999999908995E-2</v>
      </c>
      <c r="AK324" s="2">
        <v>7.6999999999970896</v>
      </c>
      <c r="AL324" s="2">
        <v>6.5999999999985501</v>
      </c>
      <c r="AM324" s="2"/>
      <c r="AN324" s="2"/>
      <c r="AO324" s="2">
        <v>4.8999999999941801</v>
      </c>
      <c r="AP324" s="2">
        <v>0.69999999999981799</v>
      </c>
      <c r="AQ324" s="2"/>
      <c r="AR324" s="2">
        <v>0.59999999999945397</v>
      </c>
      <c r="AS324" s="2">
        <v>5</v>
      </c>
      <c r="AT324" s="2">
        <v>0.59999999999945397</v>
      </c>
      <c r="AU324" s="2"/>
      <c r="AV324" s="2">
        <v>5.6999999999970896</v>
      </c>
      <c r="AW324" s="2">
        <v>0.59999999999945397</v>
      </c>
      <c r="AX324" s="2"/>
      <c r="AY324" s="2"/>
      <c r="AZ324" s="2">
        <v>14</v>
      </c>
      <c r="BA324" s="2">
        <v>1</v>
      </c>
      <c r="BB324" s="2"/>
      <c r="BC324" s="2">
        <v>15.8000000000029</v>
      </c>
      <c r="BD324" s="2">
        <v>1.79999999999927</v>
      </c>
      <c r="BE324" s="2"/>
      <c r="BF324" s="2"/>
      <c r="BG324" s="2"/>
      <c r="BH324" s="2">
        <v>0.200000000000045</v>
      </c>
      <c r="BI324" s="2"/>
      <c r="BJ324" s="2"/>
      <c r="BK324" s="2"/>
      <c r="BL324" s="2">
        <v>0.100000000000023</v>
      </c>
      <c r="BM324" s="2">
        <v>0.200000000000045</v>
      </c>
      <c r="BN324" s="2"/>
      <c r="BO324" s="2">
        <v>0.200000000000045</v>
      </c>
      <c r="BP324" s="2">
        <v>0.200000000000045</v>
      </c>
      <c r="BQ324" s="2"/>
      <c r="BR324" s="2">
        <v>0.100000000000023</v>
      </c>
      <c r="BS324" s="2">
        <v>0.100000000000023</v>
      </c>
      <c r="BT324" s="2">
        <v>0</v>
      </c>
      <c r="BU324" s="2"/>
      <c r="BV324" s="2">
        <v>0.6</v>
      </c>
      <c r="BW324" s="2">
        <v>8</v>
      </c>
      <c r="BX324" s="2">
        <v>0.9</v>
      </c>
      <c r="BY324" s="2"/>
      <c r="BZ324" s="2">
        <v>20.6</v>
      </c>
      <c r="CA324" s="2"/>
      <c r="CB324" s="2"/>
      <c r="CC324" s="2"/>
      <c r="CD324" s="2">
        <v>6.7</v>
      </c>
      <c r="CE324" s="2"/>
      <c r="CF324" s="2">
        <v>3.5</v>
      </c>
      <c r="CG324" s="2">
        <v>10.199999999999999</v>
      </c>
      <c r="CH324" s="2">
        <v>15.4</v>
      </c>
      <c r="CI324" s="2"/>
      <c r="CJ324" s="2">
        <v>0</v>
      </c>
      <c r="CK324" s="2">
        <v>0.5</v>
      </c>
      <c r="CL324" s="2">
        <v>45</v>
      </c>
      <c r="CM324" s="2"/>
      <c r="CN324" s="2"/>
      <c r="CO324" s="2"/>
      <c r="CP324" s="2">
        <v>7.3</v>
      </c>
      <c r="CQ324" s="2"/>
      <c r="CR324" s="2">
        <v>9.6999999999999993</v>
      </c>
      <c r="CS324" s="2"/>
      <c r="CT324" s="2">
        <v>0.7</v>
      </c>
      <c r="CU324" s="2">
        <v>22.2</v>
      </c>
      <c r="CV324" s="2"/>
      <c r="CW324" s="2">
        <v>0.1</v>
      </c>
      <c r="CX324" s="2"/>
      <c r="CY324" s="2">
        <v>0.3</v>
      </c>
      <c r="CZ324" s="2"/>
      <c r="DB324">
        <v>1999</v>
      </c>
      <c r="DC324">
        <v>45</v>
      </c>
      <c r="DH324">
        <v>323</v>
      </c>
    </row>
    <row r="325" spans="1:112">
      <c r="A325" s="1">
        <v>41232</v>
      </c>
      <c r="B325" s="2">
        <v>5.7</v>
      </c>
      <c r="C325" s="2">
        <v>1.4</v>
      </c>
      <c r="D325" s="2">
        <v>1.3</v>
      </c>
      <c r="E325" s="2">
        <v>36.200000000000003</v>
      </c>
      <c r="F325" s="2"/>
      <c r="G325" s="2"/>
      <c r="H325" s="2">
        <v>0.4</v>
      </c>
      <c r="I325" s="2">
        <v>2</v>
      </c>
      <c r="J325" s="2"/>
      <c r="K325" s="2"/>
      <c r="L325" s="2">
        <v>2.2999999999999998</v>
      </c>
      <c r="M325" s="2">
        <v>30.8</v>
      </c>
      <c r="N325" s="2"/>
      <c r="O325" s="2">
        <v>40.6</v>
      </c>
      <c r="P325" s="2">
        <v>5.3</v>
      </c>
      <c r="Q325" s="2"/>
      <c r="R325" s="2"/>
      <c r="S325" s="2">
        <v>16.2</v>
      </c>
      <c r="T325" s="2"/>
      <c r="U325" s="2"/>
      <c r="V325" s="2">
        <v>19</v>
      </c>
      <c r="W325" s="2"/>
      <c r="X325" s="2"/>
      <c r="Y325" s="2">
        <v>0.2</v>
      </c>
      <c r="Z325" s="2">
        <v>2.5</v>
      </c>
      <c r="AA325" s="2"/>
      <c r="AB325" s="2">
        <v>6.29999999999563</v>
      </c>
      <c r="AC325" s="2"/>
      <c r="AD325" s="2">
        <v>0.79999999999927196</v>
      </c>
      <c r="AE325" s="2"/>
      <c r="AF325" s="2">
        <v>0.59999999999945397</v>
      </c>
      <c r="AG325" s="2">
        <v>60</v>
      </c>
      <c r="AH325" s="2"/>
      <c r="AI325" s="2"/>
      <c r="AJ325" s="2">
        <v>8.8999999999941792</v>
      </c>
      <c r="AK325" s="2">
        <v>13.599999999991301</v>
      </c>
      <c r="AL325" s="2">
        <v>0.69999999999981799</v>
      </c>
      <c r="AM325" s="2"/>
      <c r="AN325" s="2"/>
      <c r="AO325" s="2"/>
      <c r="AP325" s="2"/>
      <c r="AQ325" s="2">
        <v>3.6999999999970901</v>
      </c>
      <c r="AR325" s="2">
        <v>2</v>
      </c>
      <c r="AS325" s="2">
        <v>7.5</v>
      </c>
      <c r="AT325" s="2">
        <v>1.39999999999964</v>
      </c>
      <c r="AU325" s="2">
        <v>2.7999999999992702</v>
      </c>
      <c r="AV325" s="2">
        <v>2.5</v>
      </c>
      <c r="AW325" s="2">
        <v>0.3</v>
      </c>
      <c r="AX325" s="2"/>
      <c r="AY325" s="2"/>
      <c r="AZ325" s="2"/>
      <c r="BA325" s="2"/>
      <c r="BB325" s="2"/>
      <c r="BC325" s="2">
        <v>18.200000000011599</v>
      </c>
      <c r="BD325" s="2">
        <v>61</v>
      </c>
      <c r="BE325" s="2"/>
      <c r="BF325" s="2">
        <v>3.7999999999992702</v>
      </c>
      <c r="BG325" s="2"/>
      <c r="BH325" s="2">
        <v>7.9000000000014596</v>
      </c>
      <c r="BI325" s="2">
        <v>0.100000000000023</v>
      </c>
      <c r="BJ325" s="2"/>
      <c r="BK325" s="2">
        <v>6.5</v>
      </c>
      <c r="BL325" s="2"/>
      <c r="BM325" s="2">
        <v>0.200000000000045</v>
      </c>
      <c r="BN325" s="2"/>
      <c r="BO325" s="2">
        <v>0</v>
      </c>
      <c r="BP325" s="2">
        <v>18.700000000011599</v>
      </c>
      <c r="BQ325" s="2">
        <v>0.200000000000045</v>
      </c>
      <c r="BR325" s="2">
        <v>6.5</v>
      </c>
      <c r="BS325" s="2">
        <v>19</v>
      </c>
      <c r="BT325" s="2">
        <v>0.200000000000045</v>
      </c>
      <c r="BU325" s="2">
        <v>12.3</v>
      </c>
      <c r="BV325" s="2">
        <v>12.6</v>
      </c>
      <c r="BW325" s="2">
        <v>0.5</v>
      </c>
      <c r="BX325" s="2">
        <v>2.1</v>
      </c>
      <c r="BY325" s="2"/>
      <c r="BZ325" s="2">
        <v>9.1</v>
      </c>
      <c r="CA325" s="2"/>
      <c r="CB325" s="2"/>
      <c r="CC325" s="2"/>
      <c r="CD325" s="2"/>
      <c r="CE325" s="2"/>
      <c r="CF325" s="2"/>
      <c r="CG325" s="2">
        <v>6.8</v>
      </c>
      <c r="CH325" s="2">
        <v>4.5999999999999996</v>
      </c>
      <c r="CI325" s="2">
        <v>2.5</v>
      </c>
      <c r="CJ325" s="2">
        <v>5</v>
      </c>
      <c r="CK325" s="2"/>
      <c r="CL325" s="2"/>
      <c r="CM325" s="2"/>
      <c r="CN325" s="2">
        <v>19</v>
      </c>
      <c r="CO325" s="2"/>
      <c r="CP325" s="2"/>
      <c r="CQ325" s="2"/>
      <c r="CR325" s="2">
        <v>18.100000000000001</v>
      </c>
      <c r="CS325" s="2"/>
      <c r="CT325" s="2">
        <v>5.3</v>
      </c>
      <c r="CU325" s="2">
        <v>9.1</v>
      </c>
      <c r="CV325" s="2"/>
      <c r="CW325" s="2"/>
      <c r="CX325" s="2"/>
      <c r="CY325" s="2"/>
      <c r="CZ325" s="2"/>
      <c r="DB325">
        <v>1965</v>
      </c>
      <c r="DC325">
        <v>61</v>
      </c>
      <c r="DH325">
        <v>324</v>
      </c>
    </row>
    <row r="326" spans="1:112">
      <c r="A326" s="1">
        <v>41233</v>
      </c>
      <c r="B326" s="2"/>
      <c r="C326" s="2"/>
      <c r="D326" s="2">
        <v>2.2999999999999998</v>
      </c>
      <c r="E326" s="2">
        <v>8.9</v>
      </c>
      <c r="F326" s="2"/>
      <c r="G326" s="2"/>
      <c r="H326" s="2"/>
      <c r="I326" s="2">
        <v>49.6</v>
      </c>
      <c r="J326" s="2"/>
      <c r="K326" s="2">
        <v>27.5</v>
      </c>
      <c r="L326" s="2">
        <v>0.9</v>
      </c>
      <c r="M326" s="2">
        <v>3.9</v>
      </c>
      <c r="N326" s="2"/>
      <c r="O326" s="2">
        <v>20.6</v>
      </c>
      <c r="P326" s="2">
        <v>2.5</v>
      </c>
      <c r="Q326" s="2"/>
      <c r="R326" s="2"/>
      <c r="S326" s="2">
        <v>17.7</v>
      </c>
      <c r="T326" s="2"/>
      <c r="U326" s="2"/>
      <c r="V326" s="2">
        <v>10.7</v>
      </c>
      <c r="W326" s="2"/>
      <c r="X326" s="2">
        <v>1</v>
      </c>
      <c r="Y326" s="2">
        <v>15.2</v>
      </c>
      <c r="Z326" s="2">
        <v>10.299999999988399</v>
      </c>
      <c r="AA326" s="2">
        <v>2.1999999999970901</v>
      </c>
      <c r="AB326" s="2"/>
      <c r="AC326" s="2">
        <v>0.39999999999963598</v>
      </c>
      <c r="AD326" s="2">
        <v>5.6999999999970896</v>
      </c>
      <c r="AE326" s="2"/>
      <c r="AF326" s="2"/>
      <c r="AG326" s="2">
        <v>15.1999999999971</v>
      </c>
      <c r="AH326" s="2"/>
      <c r="AI326" s="2"/>
      <c r="AJ326" s="2">
        <v>2.6</v>
      </c>
      <c r="AK326" s="2"/>
      <c r="AL326" s="2"/>
      <c r="AM326" s="2"/>
      <c r="AN326" s="2"/>
      <c r="AO326" s="2"/>
      <c r="AP326" s="2"/>
      <c r="AQ326" s="2"/>
      <c r="AR326" s="2"/>
      <c r="AS326" s="2">
        <v>2.8999999999978199</v>
      </c>
      <c r="AT326" s="2">
        <v>3.1999999999970901</v>
      </c>
      <c r="AU326" s="2">
        <v>6.5</v>
      </c>
      <c r="AV326" s="2">
        <v>1.6999999999989099</v>
      </c>
      <c r="AW326" s="2"/>
      <c r="AX326" s="2">
        <v>1.79999999999927</v>
      </c>
      <c r="AY326" s="2">
        <v>3.5</v>
      </c>
      <c r="AZ326" s="2">
        <v>5</v>
      </c>
      <c r="BA326" s="2">
        <v>2.1999999999970901</v>
      </c>
      <c r="BB326" s="2">
        <v>0.19999999999981799</v>
      </c>
      <c r="BC326" s="2">
        <v>4.1999999999970896</v>
      </c>
      <c r="BD326" s="2">
        <v>16.799999999988401</v>
      </c>
      <c r="BE326" s="2">
        <v>1.89999999999964</v>
      </c>
      <c r="BF326" s="2">
        <v>16.399999999994201</v>
      </c>
      <c r="BG326" s="2"/>
      <c r="BH326" s="2">
        <v>0.100000000000023</v>
      </c>
      <c r="BI326" s="2">
        <v>0</v>
      </c>
      <c r="BJ326" s="2">
        <v>2.4000000000014601</v>
      </c>
      <c r="BK326" s="2">
        <v>0.89999999999963598</v>
      </c>
      <c r="BL326" s="2">
        <v>0.100000000000023</v>
      </c>
      <c r="BM326" s="2">
        <v>0.100000000000023</v>
      </c>
      <c r="BN326" s="2">
        <v>15.5</v>
      </c>
      <c r="BO326" s="2">
        <v>1.10000000000036</v>
      </c>
      <c r="BP326" s="2">
        <v>4.8000000000029104</v>
      </c>
      <c r="BQ326" s="2"/>
      <c r="BR326" s="2">
        <v>0.100000000000023</v>
      </c>
      <c r="BS326" s="2">
        <v>4.5999999999985501</v>
      </c>
      <c r="BT326" s="2"/>
      <c r="BU326" s="2">
        <v>16.899999999999999</v>
      </c>
      <c r="BV326" s="2">
        <v>0.3</v>
      </c>
      <c r="BW326" s="2"/>
      <c r="BX326" s="2">
        <v>0.5</v>
      </c>
      <c r="BY326" s="2"/>
      <c r="BZ326" s="2">
        <v>0.4</v>
      </c>
      <c r="CA326" s="2">
        <v>8.8000000000000007</v>
      </c>
      <c r="CB326" s="2"/>
      <c r="CC326" s="2">
        <v>0</v>
      </c>
      <c r="CD326" s="2"/>
      <c r="CE326" s="2">
        <v>25.7</v>
      </c>
      <c r="CF326" s="2">
        <v>0.1</v>
      </c>
      <c r="CG326" s="2">
        <v>6.9</v>
      </c>
      <c r="CH326" s="2">
        <v>1.5</v>
      </c>
      <c r="CI326" s="2">
        <v>7.5</v>
      </c>
      <c r="CJ326" s="2">
        <v>5</v>
      </c>
      <c r="CK326" s="2">
        <v>11</v>
      </c>
      <c r="CL326" s="2">
        <v>24.5</v>
      </c>
      <c r="CM326" s="2">
        <v>3.5</v>
      </c>
      <c r="CN326" s="2">
        <v>32.5</v>
      </c>
      <c r="CO326" s="2"/>
      <c r="CP326" s="2"/>
      <c r="CQ326" s="2">
        <v>16.8</v>
      </c>
      <c r="CR326" s="2">
        <v>10.4</v>
      </c>
      <c r="CS326" s="2"/>
      <c r="CT326" s="2">
        <v>2.5</v>
      </c>
      <c r="CU326" s="2"/>
      <c r="CV326" s="2"/>
      <c r="CW326" s="2"/>
      <c r="CX326" s="2"/>
      <c r="CY326" s="2"/>
      <c r="CZ326" s="2">
        <v>2</v>
      </c>
      <c r="DB326">
        <v>1918</v>
      </c>
      <c r="DC326">
        <v>49.6</v>
      </c>
      <c r="DH326">
        <v>325</v>
      </c>
    </row>
    <row r="327" spans="1:112">
      <c r="A327" s="1">
        <v>41234</v>
      </c>
      <c r="B327" s="2"/>
      <c r="C327" s="2">
        <v>0.3</v>
      </c>
      <c r="D327" s="2"/>
      <c r="E327" s="2">
        <v>2.2000000000000002</v>
      </c>
      <c r="F327" s="2">
        <v>2.2000000000000002</v>
      </c>
      <c r="G327" s="2"/>
      <c r="H327" s="2"/>
      <c r="I327" s="2">
        <v>4.4000000000000004</v>
      </c>
      <c r="J327" s="2">
        <v>10.5</v>
      </c>
      <c r="K327" s="2">
        <v>9.6</v>
      </c>
      <c r="L327" s="2">
        <v>3.1</v>
      </c>
      <c r="M327" s="2">
        <v>1.8</v>
      </c>
      <c r="N327" s="2"/>
      <c r="O327" s="2">
        <v>0.3</v>
      </c>
      <c r="P327" s="2"/>
      <c r="Q327" s="2"/>
      <c r="R327" s="2"/>
      <c r="S327" s="2">
        <v>5.5</v>
      </c>
      <c r="T327" s="2">
        <v>0.5</v>
      </c>
      <c r="U327" s="2"/>
      <c r="V327" s="2">
        <v>1.1000000000000001</v>
      </c>
      <c r="W327" s="2"/>
      <c r="X327" s="2">
        <v>2.2999999999999998</v>
      </c>
      <c r="Y327" s="2">
        <v>4</v>
      </c>
      <c r="Z327" s="2">
        <v>1.6999999999989099</v>
      </c>
      <c r="AA327" s="2">
        <v>3.1999999999970901</v>
      </c>
      <c r="AB327" s="2">
        <v>1.89999999999964</v>
      </c>
      <c r="AC327" s="2"/>
      <c r="AD327" s="2">
        <v>22.6</v>
      </c>
      <c r="AE327" s="2"/>
      <c r="AF327" s="2">
        <v>0.79999999999927196</v>
      </c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>
        <v>1.0999999999985499</v>
      </c>
      <c r="AR327" s="2"/>
      <c r="AS327" s="2">
        <v>20.399999999994201</v>
      </c>
      <c r="AT327" s="2">
        <v>13.1999999999971</v>
      </c>
      <c r="AU327" s="2"/>
      <c r="AV327" s="2"/>
      <c r="AW327" s="2"/>
      <c r="AX327" s="2">
        <v>4</v>
      </c>
      <c r="AY327" s="2"/>
      <c r="AZ327" s="2">
        <v>12.599999999991301</v>
      </c>
      <c r="BA327" s="2">
        <v>11.1999999999971</v>
      </c>
      <c r="BB327" s="2">
        <v>23.799999999988401</v>
      </c>
      <c r="BC327" s="2"/>
      <c r="BD327" s="2"/>
      <c r="BE327" s="2"/>
      <c r="BF327" s="2">
        <v>4</v>
      </c>
      <c r="BG327" s="2">
        <v>0.100000000000023</v>
      </c>
      <c r="BH327" s="2">
        <v>0.100000000000023</v>
      </c>
      <c r="BI327" s="2">
        <v>0</v>
      </c>
      <c r="BJ327" s="2">
        <v>37</v>
      </c>
      <c r="BK327" s="2"/>
      <c r="BL327" s="2">
        <v>0.89999999999963598</v>
      </c>
      <c r="BM327" s="2"/>
      <c r="BN327" s="2"/>
      <c r="BO327" s="2">
        <v>0.69999999999981799</v>
      </c>
      <c r="BP327" s="2">
        <v>20.899999999994201</v>
      </c>
      <c r="BQ327" s="2">
        <v>0.100000000000023</v>
      </c>
      <c r="BR327" s="2">
        <v>0.30000000000018201</v>
      </c>
      <c r="BS327" s="2"/>
      <c r="BT327" s="2"/>
      <c r="BU327" s="2"/>
      <c r="BV327" s="2"/>
      <c r="BW327" s="2">
        <v>11.599999999991301</v>
      </c>
      <c r="BX327" s="2"/>
      <c r="BY327" s="2">
        <v>0.1</v>
      </c>
      <c r="BZ327" s="2">
        <v>3.7</v>
      </c>
      <c r="CA327" s="2">
        <v>1.5</v>
      </c>
      <c r="CB327" s="2">
        <v>0</v>
      </c>
      <c r="CC327" s="2"/>
      <c r="CD327" s="2"/>
      <c r="CE327" s="2">
        <v>7.1</v>
      </c>
      <c r="CF327" s="2"/>
      <c r="CG327" s="2">
        <v>3.6</v>
      </c>
      <c r="CH327" s="2">
        <v>42.6</v>
      </c>
      <c r="CI327" s="2">
        <v>7.6</v>
      </c>
      <c r="CJ327" s="2">
        <v>11.5</v>
      </c>
      <c r="CK327" s="2">
        <v>2.6</v>
      </c>
      <c r="CL327" s="2">
        <v>6.5</v>
      </c>
      <c r="CM327" s="2"/>
      <c r="CN327" s="2">
        <v>0.8</v>
      </c>
      <c r="CO327" s="2"/>
      <c r="CP327" s="2"/>
      <c r="CQ327" s="2">
        <v>17.600000000000001</v>
      </c>
      <c r="CR327" s="2">
        <v>1.8</v>
      </c>
      <c r="CS327" s="2"/>
      <c r="CT327" s="2"/>
      <c r="CU327" s="2"/>
      <c r="CV327" s="2"/>
      <c r="CW327" s="2">
        <v>0.2</v>
      </c>
      <c r="CX327" s="2"/>
      <c r="CY327" s="2">
        <v>0.2</v>
      </c>
      <c r="CZ327" s="2">
        <v>2.8</v>
      </c>
      <c r="DB327">
        <v>1995</v>
      </c>
      <c r="DC327">
        <v>42.6</v>
      </c>
      <c r="DH327">
        <v>326</v>
      </c>
    </row>
    <row r="328" spans="1:112">
      <c r="A328" s="1">
        <v>41235</v>
      </c>
      <c r="B328" s="2"/>
      <c r="C328" s="2"/>
      <c r="D328" s="2"/>
      <c r="E328" s="2">
        <v>14</v>
      </c>
      <c r="F328" s="2">
        <v>0.3</v>
      </c>
      <c r="G328" s="2"/>
      <c r="H328" s="2">
        <v>7.2</v>
      </c>
      <c r="I328" s="2">
        <v>11.2</v>
      </c>
      <c r="J328" s="2">
        <v>27.1</v>
      </c>
      <c r="K328" s="2">
        <v>1.1000000000000001</v>
      </c>
      <c r="L328" s="2">
        <v>5.6</v>
      </c>
      <c r="M328" s="2">
        <v>17.899999999999999</v>
      </c>
      <c r="N328" s="2"/>
      <c r="O328" s="2">
        <v>1.9</v>
      </c>
      <c r="P328" s="2"/>
      <c r="Q328" s="2"/>
      <c r="R328" s="2"/>
      <c r="S328" s="2">
        <v>30.2</v>
      </c>
      <c r="T328" s="2">
        <v>1.2</v>
      </c>
      <c r="U328" s="2"/>
      <c r="V328" s="2">
        <v>4.3</v>
      </c>
      <c r="W328" s="2"/>
      <c r="X328" s="2"/>
      <c r="Y328" s="2">
        <v>23.799999999988401</v>
      </c>
      <c r="Z328" s="2"/>
      <c r="AA328" s="2">
        <v>6.79999999999563</v>
      </c>
      <c r="AB328" s="2">
        <v>0.29999999999972699</v>
      </c>
      <c r="AC328" s="2"/>
      <c r="AD328" s="2">
        <v>33.899999999965097</v>
      </c>
      <c r="AE328" s="2"/>
      <c r="AF328" s="2">
        <v>6</v>
      </c>
      <c r="AG328" s="2"/>
      <c r="AH328" s="2"/>
      <c r="AI328" s="2">
        <v>6.79999999999563</v>
      </c>
      <c r="AJ328" s="2">
        <v>5.3999999999941801</v>
      </c>
      <c r="AK328" s="2"/>
      <c r="AL328" s="2"/>
      <c r="AM328" s="2"/>
      <c r="AN328" s="2"/>
      <c r="AO328" s="2"/>
      <c r="AP328" s="2"/>
      <c r="AQ328" s="2">
        <v>3.1999999999970901</v>
      </c>
      <c r="AR328" s="2"/>
      <c r="AS328" s="2">
        <v>0.79999999999927196</v>
      </c>
      <c r="AT328" s="2">
        <v>25.599999999976699</v>
      </c>
      <c r="AU328" s="2"/>
      <c r="AV328" s="2"/>
      <c r="AW328" s="2"/>
      <c r="AX328" s="2">
        <v>4.8999999999941801</v>
      </c>
      <c r="AY328" s="2"/>
      <c r="AZ328" s="2"/>
      <c r="BA328" s="2">
        <v>0.59999999999945397</v>
      </c>
      <c r="BB328" s="2">
        <v>0.89999999999963598</v>
      </c>
      <c r="BC328" s="2">
        <v>16.200000000011599</v>
      </c>
      <c r="BD328" s="2"/>
      <c r="BE328" s="2">
        <v>0.200000000000045</v>
      </c>
      <c r="BF328" s="2">
        <v>2.7999999999992702</v>
      </c>
      <c r="BG328" s="2">
        <v>1.20000000000073</v>
      </c>
      <c r="BH328" s="2">
        <v>0.100000000000023</v>
      </c>
      <c r="BI328" s="2">
        <v>1.79999999999927</v>
      </c>
      <c r="BJ328" s="2">
        <v>1.70000000000073</v>
      </c>
      <c r="BK328" s="2"/>
      <c r="BL328" s="2">
        <v>0.400000000000091</v>
      </c>
      <c r="BM328" s="2"/>
      <c r="BN328" s="2">
        <v>3</v>
      </c>
      <c r="BO328" s="2"/>
      <c r="BP328" s="2"/>
      <c r="BQ328" s="2">
        <v>0.100000000000023</v>
      </c>
      <c r="BR328" s="2">
        <v>0.5</v>
      </c>
      <c r="BS328" s="2"/>
      <c r="BT328" s="2">
        <v>0.200000000000045</v>
      </c>
      <c r="BU328" s="2"/>
      <c r="BV328" s="2">
        <v>21.2</v>
      </c>
      <c r="BW328" s="2">
        <v>1.1999999999989099</v>
      </c>
      <c r="BX328" s="2">
        <v>0.6</v>
      </c>
      <c r="BY328" s="2"/>
      <c r="BZ328" s="2">
        <v>22.8</v>
      </c>
      <c r="CA328" s="2"/>
      <c r="CB328" s="2"/>
      <c r="CC328" s="2"/>
      <c r="CD328" s="2"/>
      <c r="CE328" s="2">
        <v>5.6</v>
      </c>
      <c r="CF328" s="2">
        <v>0.9</v>
      </c>
      <c r="CG328" s="2"/>
      <c r="CH328" s="2">
        <v>11</v>
      </c>
      <c r="CI328" s="2"/>
      <c r="CJ328" s="2"/>
      <c r="CK328" s="2">
        <v>1</v>
      </c>
      <c r="CL328" s="2">
        <v>1</v>
      </c>
      <c r="CM328" s="2"/>
      <c r="CN328" s="2"/>
      <c r="CO328" s="2"/>
      <c r="CP328" s="2"/>
      <c r="CQ328" s="2">
        <v>24.7</v>
      </c>
      <c r="CR328" s="2"/>
      <c r="CS328" s="2"/>
      <c r="CT328" s="2"/>
      <c r="CU328" s="2">
        <v>24.1</v>
      </c>
      <c r="CV328" s="2"/>
      <c r="CW328" s="2"/>
      <c r="CX328" s="2"/>
      <c r="CY328" s="2">
        <v>8.4</v>
      </c>
      <c r="CZ328" s="2">
        <v>0.8</v>
      </c>
      <c r="DB328">
        <v>1939</v>
      </c>
      <c r="DC328">
        <v>33.899999999965097</v>
      </c>
      <c r="DH328">
        <v>327</v>
      </c>
    </row>
    <row r="329" spans="1:112">
      <c r="A329" s="1">
        <v>41236</v>
      </c>
      <c r="B329" s="2"/>
      <c r="C329" s="2">
        <v>2.4</v>
      </c>
      <c r="D329" s="2"/>
      <c r="E329" s="2">
        <v>25.1</v>
      </c>
      <c r="F329" s="2"/>
      <c r="G329" s="2">
        <v>0.4</v>
      </c>
      <c r="H329" s="2"/>
      <c r="I329" s="2">
        <v>1.5</v>
      </c>
      <c r="J329" s="2">
        <v>27.8</v>
      </c>
      <c r="K329" s="2"/>
      <c r="L329" s="2">
        <v>11</v>
      </c>
      <c r="M329" s="2"/>
      <c r="N329" s="2">
        <v>3.6</v>
      </c>
      <c r="O329" s="2">
        <v>5.6</v>
      </c>
      <c r="P329" s="2"/>
      <c r="Q329" s="2"/>
      <c r="R329" s="2"/>
      <c r="S329" s="2">
        <v>18.5</v>
      </c>
      <c r="T329" s="2">
        <v>0</v>
      </c>
      <c r="U329" s="2"/>
      <c r="V329" s="2">
        <v>1.5</v>
      </c>
      <c r="W329" s="2">
        <v>2.5</v>
      </c>
      <c r="X329" s="2"/>
      <c r="Y329" s="2">
        <v>18.699999999982499</v>
      </c>
      <c r="Z329" s="2">
        <v>26.899999999994201</v>
      </c>
      <c r="AA329" s="2">
        <v>5.0999999999985501</v>
      </c>
      <c r="AB329" s="2">
        <v>0</v>
      </c>
      <c r="AC329" s="2"/>
      <c r="AD329" s="2">
        <v>12.099999999991301</v>
      </c>
      <c r="AE329" s="2"/>
      <c r="AF329" s="2">
        <v>1.0999999999985499</v>
      </c>
      <c r="AG329" s="2"/>
      <c r="AH329" s="2">
        <v>0</v>
      </c>
      <c r="AI329" s="2">
        <v>7.5</v>
      </c>
      <c r="AJ329" s="2">
        <v>0.69999999999981799</v>
      </c>
      <c r="AK329" s="2"/>
      <c r="AL329" s="2">
        <v>6.29999999999563</v>
      </c>
      <c r="AM329" s="2"/>
      <c r="AN329" s="2"/>
      <c r="AO329" s="2"/>
      <c r="AP329" s="2">
        <v>1.6999999999989099</v>
      </c>
      <c r="AQ329" s="2">
        <v>19</v>
      </c>
      <c r="AR329" s="2"/>
      <c r="AS329" s="2">
        <v>3</v>
      </c>
      <c r="AT329" s="2">
        <v>2.0999999999985399</v>
      </c>
      <c r="AU329" s="2">
        <v>4.5999999999985501</v>
      </c>
      <c r="AV329" s="2"/>
      <c r="AW329" s="2">
        <v>0.5</v>
      </c>
      <c r="AX329" s="2"/>
      <c r="AY329" s="2"/>
      <c r="AZ329" s="2"/>
      <c r="BA329" s="2">
        <v>0.29999999999972699</v>
      </c>
      <c r="BB329" s="2"/>
      <c r="BC329" s="2">
        <v>6.1999999999970896</v>
      </c>
      <c r="BD329" s="2"/>
      <c r="BE329" s="2"/>
      <c r="BF329" s="2">
        <v>1.70000000000073</v>
      </c>
      <c r="BG329" s="2">
        <v>19</v>
      </c>
      <c r="BH329" s="2">
        <v>0.100000000000023</v>
      </c>
      <c r="BI329" s="2">
        <v>13.399999999994201</v>
      </c>
      <c r="BJ329" s="2"/>
      <c r="BK329" s="2"/>
      <c r="BL329" s="2"/>
      <c r="BM329" s="2"/>
      <c r="BN329" s="2">
        <v>21.200000000011599</v>
      </c>
      <c r="BO329" s="2">
        <v>29.700000000011599</v>
      </c>
      <c r="BP329" s="2"/>
      <c r="BQ329" s="2"/>
      <c r="BR329" s="2">
        <v>6.1999999999970896</v>
      </c>
      <c r="BS329" s="2"/>
      <c r="BT329" s="2"/>
      <c r="BU329" s="2"/>
      <c r="BV329" s="2"/>
      <c r="BW329" s="2">
        <v>0.29999999999972699</v>
      </c>
      <c r="BX329" s="2">
        <v>0.2</v>
      </c>
      <c r="BY329" s="2"/>
      <c r="BZ329" s="2"/>
      <c r="CA329" s="2">
        <v>28.9</v>
      </c>
      <c r="CB329" s="2">
        <v>26.2</v>
      </c>
      <c r="CC329" s="2"/>
      <c r="CD329" s="2"/>
      <c r="CE329" s="2">
        <v>3.2</v>
      </c>
      <c r="CF329" s="2">
        <v>2.4</v>
      </c>
      <c r="CG329" s="2"/>
      <c r="CH329" s="2">
        <v>1.3</v>
      </c>
      <c r="CI329" s="2"/>
      <c r="CJ329" s="2"/>
      <c r="CK329" s="2">
        <v>6.5</v>
      </c>
      <c r="CL329" s="2">
        <v>16.5</v>
      </c>
      <c r="CM329" s="2"/>
      <c r="CN329" s="2">
        <v>5</v>
      </c>
      <c r="CO329" s="2">
        <v>10.8</v>
      </c>
      <c r="CP329" s="2"/>
      <c r="CQ329" s="2">
        <v>0.9</v>
      </c>
      <c r="CR329" s="2">
        <v>14.4</v>
      </c>
      <c r="CS329" s="2"/>
      <c r="CT329" s="2"/>
      <c r="CU329" s="2">
        <v>4</v>
      </c>
      <c r="CV329" s="2"/>
      <c r="CW329" s="2">
        <v>5.6</v>
      </c>
      <c r="CX329" s="2">
        <v>0.9</v>
      </c>
      <c r="CY329" s="2">
        <v>0.5</v>
      </c>
      <c r="CZ329" s="2">
        <v>0.2</v>
      </c>
      <c r="DB329">
        <v>1976</v>
      </c>
      <c r="DC329">
        <v>29.700000000011599</v>
      </c>
      <c r="DH329">
        <v>328</v>
      </c>
    </row>
    <row r="330" spans="1:112">
      <c r="A330" s="1">
        <v>41237</v>
      </c>
      <c r="B330" s="2"/>
      <c r="C330" s="2"/>
      <c r="D330" s="2"/>
      <c r="E330" s="2">
        <v>0.4</v>
      </c>
      <c r="F330" s="2">
        <v>1.6</v>
      </c>
      <c r="G330" s="2"/>
      <c r="H330" s="2"/>
      <c r="I330" s="2">
        <v>2.8</v>
      </c>
      <c r="J330" s="2">
        <v>16.899999999999999</v>
      </c>
      <c r="K330" s="2">
        <v>8.3000000000000007</v>
      </c>
      <c r="L330" s="2">
        <v>1.7</v>
      </c>
      <c r="M330" s="2"/>
      <c r="N330" s="2"/>
      <c r="O330" s="2">
        <v>6.2</v>
      </c>
      <c r="P330" s="2">
        <v>42.7</v>
      </c>
      <c r="Q330" s="2"/>
      <c r="R330" s="2"/>
      <c r="S330" s="2">
        <v>0.3</v>
      </c>
      <c r="T330" s="2">
        <v>0.1</v>
      </c>
      <c r="U330" s="2">
        <v>18.100000000000001</v>
      </c>
      <c r="V330" s="2">
        <v>1.4</v>
      </c>
      <c r="W330" s="2">
        <v>31.1</v>
      </c>
      <c r="X330" s="2">
        <v>16.2</v>
      </c>
      <c r="Y330" s="2">
        <v>2.2999999999992702</v>
      </c>
      <c r="Z330" s="2"/>
      <c r="AA330" s="2">
        <v>20.399999999999999</v>
      </c>
      <c r="AB330" s="2">
        <v>5.5</v>
      </c>
      <c r="AC330" s="2"/>
      <c r="AD330" s="2"/>
      <c r="AE330" s="2">
        <v>4.0999999999999996</v>
      </c>
      <c r="AF330" s="2"/>
      <c r="AG330" s="2">
        <v>44.5</v>
      </c>
      <c r="AH330" s="2">
        <v>25.199999999982499</v>
      </c>
      <c r="AI330" s="2"/>
      <c r="AJ330" s="2"/>
      <c r="AK330" s="2"/>
      <c r="AL330" s="2">
        <v>1.39999999999964</v>
      </c>
      <c r="AM330" s="2"/>
      <c r="AN330" s="2"/>
      <c r="AO330" s="2"/>
      <c r="AP330" s="2">
        <v>11.6999999999971</v>
      </c>
      <c r="AQ330" s="2"/>
      <c r="AR330" s="2">
        <v>0.29999999999972699</v>
      </c>
      <c r="AS330" s="2"/>
      <c r="AT330" s="2"/>
      <c r="AU330" s="2">
        <v>2.8999999999978199</v>
      </c>
      <c r="AV330" s="2">
        <v>11.399999999994201</v>
      </c>
      <c r="AW330" s="2"/>
      <c r="AX330" s="2"/>
      <c r="AY330" s="2"/>
      <c r="AZ330" s="2"/>
      <c r="BA330" s="2">
        <v>0.29999999999972699</v>
      </c>
      <c r="BB330" s="2"/>
      <c r="BC330" s="2">
        <v>0</v>
      </c>
      <c r="BD330" s="2">
        <v>0.69999999999981799</v>
      </c>
      <c r="BE330" s="2"/>
      <c r="BF330" s="2">
        <v>6.6999999999970896</v>
      </c>
      <c r="BG330" s="2">
        <v>9.3000000000029104</v>
      </c>
      <c r="BH330" s="2"/>
      <c r="BI330" s="2">
        <v>19.799999999988401</v>
      </c>
      <c r="BJ330" s="2">
        <v>20.299999999988401</v>
      </c>
      <c r="BK330" s="2"/>
      <c r="BL330" s="2"/>
      <c r="BM330" s="2">
        <v>4.1999999999970896</v>
      </c>
      <c r="BN330" s="2">
        <v>16.600000000005799</v>
      </c>
      <c r="BO330" s="2">
        <v>18.899999999994201</v>
      </c>
      <c r="BP330" s="2">
        <v>0.69999999999981799</v>
      </c>
      <c r="BQ330" s="2"/>
      <c r="BR330" s="2">
        <v>2</v>
      </c>
      <c r="BS330" s="2"/>
      <c r="BT330" s="2"/>
      <c r="BU330" s="2"/>
      <c r="BV330" s="2"/>
      <c r="BW330" s="2"/>
      <c r="BX330" s="2"/>
      <c r="BY330" s="2"/>
      <c r="BZ330" s="2"/>
      <c r="CA330" s="2">
        <v>33.4</v>
      </c>
      <c r="CB330" s="2">
        <v>1.2</v>
      </c>
      <c r="CC330" s="2"/>
      <c r="CD330" s="2"/>
      <c r="CE330" s="2"/>
      <c r="CF330" s="2">
        <v>2.4</v>
      </c>
      <c r="CG330" s="2"/>
      <c r="CH330" s="2">
        <v>1.1000000000000001</v>
      </c>
      <c r="CI330" s="2"/>
      <c r="CJ330" s="2">
        <v>0.2</v>
      </c>
      <c r="CK330" s="2">
        <v>0.4</v>
      </c>
      <c r="CL330" s="2">
        <v>8</v>
      </c>
      <c r="CM330" s="2"/>
      <c r="CN330" s="2">
        <v>31.2</v>
      </c>
      <c r="CO330" s="2">
        <v>0.3</v>
      </c>
      <c r="CP330" s="2"/>
      <c r="CQ330" s="2">
        <v>7</v>
      </c>
      <c r="CR330" s="2">
        <v>4.5</v>
      </c>
      <c r="CS330" s="2"/>
      <c r="CT330" s="2"/>
      <c r="CU330" s="2"/>
      <c r="CV330" s="2"/>
      <c r="CW330" s="2"/>
      <c r="CX330" s="2"/>
      <c r="CY330" s="2">
        <v>7.5</v>
      </c>
      <c r="CZ330" s="2">
        <v>2.1</v>
      </c>
      <c r="DB330">
        <v>1942</v>
      </c>
      <c r="DC330">
        <v>44.5</v>
      </c>
      <c r="DH330">
        <v>329</v>
      </c>
    </row>
    <row r="331" spans="1:112">
      <c r="A331" s="1">
        <v>41238</v>
      </c>
      <c r="B331" s="2"/>
      <c r="C331" s="2"/>
      <c r="D331" s="2"/>
      <c r="E331" s="2">
        <v>1</v>
      </c>
      <c r="F331" s="2">
        <v>4</v>
      </c>
      <c r="G331" s="2"/>
      <c r="H331" s="2"/>
      <c r="I331" s="2">
        <v>0.6</v>
      </c>
      <c r="J331" s="2">
        <v>0.3</v>
      </c>
      <c r="K331" s="2">
        <v>4.0999999999999996</v>
      </c>
      <c r="L331" s="2"/>
      <c r="M331" s="2"/>
      <c r="N331" s="2"/>
      <c r="O331" s="2">
        <v>2.2999999999999998</v>
      </c>
      <c r="P331" s="2">
        <v>0.5</v>
      </c>
      <c r="Q331" s="2"/>
      <c r="R331" s="2"/>
      <c r="S331" s="2">
        <v>3.1</v>
      </c>
      <c r="T331" s="2">
        <v>58.2</v>
      </c>
      <c r="U331" s="2"/>
      <c r="V331" s="2">
        <v>6</v>
      </c>
      <c r="W331" s="2">
        <v>13.6</v>
      </c>
      <c r="X331" s="2"/>
      <c r="Y331" s="2">
        <v>17.399999999994201</v>
      </c>
      <c r="Z331" s="2">
        <v>2.6999999999970901</v>
      </c>
      <c r="AA331" s="2">
        <v>3.6999999999970901</v>
      </c>
      <c r="AB331" s="2">
        <v>6.1999999999970896</v>
      </c>
      <c r="AC331" s="2"/>
      <c r="AD331" s="2">
        <v>1.79999999999927</v>
      </c>
      <c r="AE331" s="2">
        <v>7.5999999999985501</v>
      </c>
      <c r="AF331" s="2">
        <v>8.3999999999941792</v>
      </c>
      <c r="AG331" s="2">
        <v>8.5</v>
      </c>
      <c r="AH331" s="2"/>
      <c r="AI331" s="2">
        <v>1.0999999999985499</v>
      </c>
      <c r="AJ331" s="2">
        <v>5.0999999999985501</v>
      </c>
      <c r="AK331" s="2"/>
      <c r="AL331" s="2">
        <v>38.099999999976703</v>
      </c>
      <c r="AM331" s="2">
        <v>13.3</v>
      </c>
      <c r="AN331" s="2"/>
      <c r="AO331" s="2"/>
      <c r="AP331" s="2">
        <v>3.3999999999978199</v>
      </c>
      <c r="AQ331" s="2"/>
      <c r="AR331" s="2">
        <v>6.5999999999985501</v>
      </c>
      <c r="AS331" s="2"/>
      <c r="AT331" s="2">
        <v>74.2</v>
      </c>
      <c r="AU331" s="2">
        <v>5.8999999999941801</v>
      </c>
      <c r="AV331" s="2">
        <v>2.5</v>
      </c>
      <c r="AW331" s="2"/>
      <c r="AX331" s="2"/>
      <c r="AY331" s="2"/>
      <c r="AZ331" s="2"/>
      <c r="BA331" s="2">
        <v>1</v>
      </c>
      <c r="BB331" s="2"/>
      <c r="BC331" s="2"/>
      <c r="BD331" s="2">
        <v>24.299999999988401</v>
      </c>
      <c r="BE331" s="2">
        <v>3.4000000000014601</v>
      </c>
      <c r="BF331" s="2">
        <v>7.5</v>
      </c>
      <c r="BG331" s="2">
        <v>2.7000000000007298</v>
      </c>
      <c r="BH331" s="2">
        <v>0.30000000000018201</v>
      </c>
      <c r="BI331" s="2">
        <v>9.6999999999970896</v>
      </c>
      <c r="BJ331" s="2">
        <v>0.60000000000036402</v>
      </c>
      <c r="BK331" s="2">
        <v>43</v>
      </c>
      <c r="BL331" s="2"/>
      <c r="BM331" s="2">
        <v>0.100000000000023</v>
      </c>
      <c r="BN331" s="2">
        <v>1.10000000000036</v>
      </c>
      <c r="BO331" s="2">
        <v>0.400000000000091</v>
      </c>
      <c r="BP331" s="2"/>
      <c r="BQ331" s="2"/>
      <c r="BR331" s="2"/>
      <c r="BS331" s="2"/>
      <c r="BT331" s="2">
        <v>3.2999999999992702</v>
      </c>
      <c r="BU331" s="2"/>
      <c r="BV331" s="2">
        <v>0.1</v>
      </c>
      <c r="BW331" s="2"/>
      <c r="BX331" s="2">
        <v>3.5</v>
      </c>
      <c r="BY331" s="2"/>
      <c r="BZ331" s="2"/>
      <c r="CA331" s="2">
        <v>23.6</v>
      </c>
      <c r="CB331" s="2">
        <v>33.4</v>
      </c>
      <c r="CC331" s="2">
        <v>5.0999999999999996</v>
      </c>
      <c r="CD331" s="2">
        <v>0.1</v>
      </c>
      <c r="CE331" s="2"/>
      <c r="CF331" s="2">
        <v>2.2999999999999998</v>
      </c>
      <c r="CG331" s="2">
        <v>0.6</v>
      </c>
      <c r="CH331" s="2"/>
      <c r="CI331" s="2">
        <v>13.5</v>
      </c>
      <c r="CJ331" s="2">
        <v>0.5</v>
      </c>
      <c r="CK331" s="2"/>
      <c r="CL331" s="2">
        <v>2</v>
      </c>
      <c r="CM331" s="2"/>
      <c r="CN331" s="2">
        <v>5.7</v>
      </c>
      <c r="CO331" s="2"/>
      <c r="CP331" s="2"/>
      <c r="CQ331" s="2">
        <v>2.6</v>
      </c>
      <c r="CR331" s="2">
        <v>8.6999999999999993</v>
      </c>
      <c r="CS331" s="2"/>
      <c r="CT331" s="2"/>
      <c r="CU331" s="2"/>
      <c r="CV331" s="2"/>
      <c r="CW331" s="2"/>
      <c r="CX331" s="2"/>
      <c r="CY331" s="2">
        <v>0.1</v>
      </c>
      <c r="CZ331" s="2">
        <v>5.4</v>
      </c>
      <c r="DB331">
        <v>1955</v>
      </c>
      <c r="DC331">
        <v>74.2</v>
      </c>
      <c r="DH331">
        <v>330</v>
      </c>
    </row>
    <row r="332" spans="1:112">
      <c r="A332" s="1">
        <v>41239</v>
      </c>
      <c r="B332" s="2">
        <v>13.5</v>
      </c>
      <c r="C332" s="2">
        <v>0.6</v>
      </c>
      <c r="D332" s="2"/>
      <c r="E332" s="2">
        <v>2.5</v>
      </c>
      <c r="F332" s="2">
        <v>14.4</v>
      </c>
      <c r="G332" s="2">
        <v>0.3</v>
      </c>
      <c r="H332" s="2"/>
      <c r="I332" s="2">
        <v>0.4</v>
      </c>
      <c r="J332" s="2"/>
      <c r="K332" s="2">
        <v>1.5</v>
      </c>
      <c r="L332" s="2">
        <v>0.2</v>
      </c>
      <c r="M332" s="2">
        <v>0.7</v>
      </c>
      <c r="N332" s="2"/>
      <c r="O332" s="2"/>
      <c r="P332" s="2">
        <v>27.5</v>
      </c>
      <c r="Q332" s="2"/>
      <c r="R332" s="2">
        <v>1.6</v>
      </c>
      <c r="S332" s="2">
        <v>29.1</v>
      </c>
      <c r="T332" s="2">
        <v>18.2</v>
      </c>
      <c r="U332" s="2"/>
      <c r="V332" s="2">
        <v>0.8</v>
      </c>
      <c r="W332" s="2">
        <v>1.2</v>
      </c>
      <c r="X332" s="2"/>
      <c r="Y332" s="2"/>
      <c r="Z332" s="2">
        <v>33.799999999988401</v>
      </c>
      <c r="AA332" s="2">
        <v>1.6999999999989099</v>
      </c>
      <c r="AB332" s="2">
        <v>6</v>
      </c>
      <c r="AC332" s="2"/>
      <c r="AD332" s="2">
        <v>14.599999999991301</v>
      </c>
      <c r="AE332" s="2">
        <v>5.79999999999563</v>
      </c>
      <c r="AF332" s="2">
        <v>24.899999999994201</v>
      </c>
      <c r="AG332" s="2"/>
      <c r="AH332" s="2">
        <v>1.8</v>
      </c>
      <c r="AI332" s="2"/>
      <c r="AJ332" s="2">
        <v>2.3999999999978199</v>
      </c>
      <c r="AK332" s="2"/>
      <c r="AL332" s="2">
        <v>9.6999999999970896</v>
      </c>
      <c r="AM332" s="2">
        <v>9.1999999999999993</v>
      </c>
      <c r="AN332" s="2"/>
      <c r="AO332" s="2"/>
      <c r="AP332" s="2"/>
      <c r="AQ332" s="2"/>
      <c r="AR332" s="2">
        <v>2.1</v>
      </c>
      <c r="AS332" s="2">
        <v>0.59999999999945397</v>
      </c>
      <c r="AT332" s="2">
        <v>37.199999999953398</v>
      </c>
      <c r="AU332" s="2"/>
      <c r="AV332" s="2"/>
      <c r="AW332" s="2">
        <v>6.6999999999970896</v>
      </c>
      <c r="AX332" s="2"/>
      <c r="AY332" s="2"/>
      <c r="AZ332" s="2">
        <v>1</v>
      </c>
      <c r="BA332" s="2">
        <v>1.39999999999964</v>
      </c>
      <c r="BB332" s="2"/>
      <c r="BC332" s="2"/>
      <c r="BD332" s="2"/>
      <c r="BE332" s="2">
        <v>34.700000000011599</v>
      </c>
      <c r="BF332" s="2"/>
      <c r="BG332" s="2">
        <v>27.299999999988401</v>
      </c>
      <c r="BH332" s="2">
        <v>0.100000000000023</v>
      </c>
      <c r="BI332" s="2">
        <v>1.39999999999964</v>
      </c>
      <c r="BJ332" s="2">
        <v>2.5</v>
      </c>
      <c r="BK332" s="2">
        <v>12.3000000000029</v>
      </c>
      <c r="BL332" s="2"/>
      <c r="BM332" s="2">
        <v>0</v>
      </c>
      <c r="BN332" s="2">
        <v>0.69999999999981799</v>
      </c>
      <c r="BO332" s="2"/>
      <c r="BP332" s="2">
        <v>0.30000000000018201</v>
      </c>
      <c r="BQ332" s="2"/>
      <c r="BR332" s="2">
        <v>4.5999999999985501</v>
      </c>
      <c r="BS332" s="2"/>
      <c r="BT332" s="2">
        <v>7.0999999999985501</v>
      </c>
      <c r="BU332" s="2"/>
      <c r="BV332" s="2"/>
      <c r="BW332" s="2"/>
      <c r="BX332" s="2"/>
      <c r="BY332" s="2">
        <v>3.3</v>
      </c>
      <c r="BZ332" s="2"/>
      <c r="CA332" s="2">
        <v>5.6</v>
      </c>
      <c r="CB332" s="2">
        <v>8.1999999999999993</v>
      </c>
      <c r="CC332" s="2"/>
      <c r="CD332" s="2">
        <v>1.5</v>
      </c>
      <c r="CE332" s="2"/>
      <c r="CF332" s="2">
        <v>3.4</v>
      </c>
      <c r="CG332" s="2">
        <v>8.4</v>
      </c>
      <c r="CH332" s="2"/>
      <c r="CI332" s="2">
        <v>11.7</v>
      </c>
      <c r="CJ332" s="2"/>
      <c r="CK332" s="2"/>
      <c r="CL332" s="2"/>
      <c r="CM332" s="2">
        <v>1.5</v>
      </c>
      <c r="CN332" s="2">
        <v>3.7</v>
      </c>
      <c r="CO332" s="2"/>
      <c r="CP332" s="2"/>
      <c r="CQ332" s="2"/>
      <c r="CR332" s="2">
        <v>1.7</v>
      </c>
      <c r="CS332" s="2"/>
      <c r="CT332" s="2">
        <v>1.7</v>
      </c>
      <c r="CU332" s="2">
        <v>21.2</v>
      </c>
      <c r="CV332" s="2"/>
      <c r="CW332" s="2">
        <v>2.2000000000000002</v>
      </c>
      <c r="CX332" s="2">
        <v>0.1</v>
      </c>
      <c r="CY332" s="2"/>
      <c r="CZ332" s="2">
        <v>2.4</v>
      </c>
      <c r="DB332">
        <v>1955</v>
      </c>
      <c r="DC332">
        <v>37.199999999953398</v>
      </c>
      <c r="DH332">
        <v>331</v>
      </c>
    </row>
    <row r="333" spans="1:112">
      <c r="A333" s="1">
        <v>41240</v>
      </c>
      <c r="B333" s="2"/>
      <c r="C333" s="2">
        <v>0.5</v>
      </c>
      <c r="D333" s="2"/>
      <c r="E333" s="2">
        <v>8.4</v>
      </c>
      <c r="F333" s="2">
        <v>27.5</v>
      </c>
      <c r="G333" s="2">
        <v>0.1</v>
      </c>
      <c r="H333" s="2"/>
      <c r="I333" s="2">
        <v>0.1</v>
      </c>
      <c r="J333" s="2"/>
      <c r="K333" s="2">
        <v>0.1</v>
      </c>
      <c r="L333" s="2"/>
      <c r="M333" s="2"/>
      <c r="N333" s="2"/>
      <c r="O333" s="2">
        <v>0.8</v>
      </c>
      <c r="P333" s="2">
        <v>3.3</v>
      </c>
      <c r="Q333" s="2"/>
      <c r="R333" s="2"/>
      <c r="S333" s="2">
        <v>4.7</v>
      </c>
      <c r="T333" s="2">
        <v>5.3</v>
      </c>
      <c r="U333" s="2"/>
      <c r="V333" s="2"/>
      <c r="W333" s="2"/>
      <c r="X333" s="2">
        <v>3.6</v>
      </c>
      <c r="Y333" s="2">
        <v>0.19999999999981799</v>
      </c>
      <c r="Z333" s="2">
        <v>11.099999999991301</v>
      </c>
      <c r="AA333" s="2"/>
      <c r="AB333" s="2">
        <v>2.2999999999992702</v>
      </c>
      <c r="AC333" s="2"/>
      <c r="AD333" s="2"/>
      <c r="AE333" s="2">
        <v>0.1</v>
      </c>
      <c r="AF333" s="2">
        <v>18.599999999976699</v>
      </c>
      <c r="AG333" s="2">
        <v>1.89999999999964</v>
      </c>
      <c r="AH333" s="2"/>
      <c r="AI333" s="2"/>
      <c r="AJ333" s="2">
        <v>6.5999999999985501</v>
      </c>
      <c r="AK333" s="2"/>
      <c r="AL333" s="2">
        <v>9.9999999999908995E-2</v>
      </c>
      <c r="AM333" s="2"/>
      <c r="AN333" s="2">
        <v>0.19999999999981799</v>
      </c>
      <c r="AO333" s="2">
        <v>19.5</v>
      </c>
      <c r="AP333" s="2">
        <v>13.599999999991301</v>
      </c>
      <c r="AQ333" s="2"/>
      <c r="AR333" s="2">
        <v>4.0999999999985501</v>
      </c>
      <c r="AS333" s="2">
        <v>0.39999999999963598</v>
      </c>
      <c r="AT333" s="2">
        <v>9.9999999999908995E-2</v>
      </c>
      <c r="AU333" s="2"/>
      <c r="AV333" s="2"/>
      <c r="AW333" s="2">
        <v>9</v>
      </c>
      <c r="AX333" s="2"/>
      <c r="AY333" s="2"/>
      <c r="AZ333" s="2"/>
      <c r="BA333" s="2">
        <v>1.0999999999985499</v>
      </c>
      <c r="BB333" s="2"/>
      <c r="BC333" s="2"/>
      <c r="BD333" s="2">
        <v>0.30000000000018201</v>
      </c>
      <c r="BE333" s="2">
        <v>18.799999999988401</v>
      </c>
      <c r="BF333" s="2"/>
      <c r="BG333" s="2">
        <v>10.600000000005799</v>
      </c>
      <c r="BH333" s="2">
        <v>20.100000000005799</v>
      </c>
      <c r="BI333" s="2">
        <v>0</v>
      </c>
      <c r="BJ333" s="2"/>
      <c r="BK333" s="2">
        <v>0.100000000000023</v>
      </c>
      <c r="BL333" s="2">
        <v>23</v>
      </c>
      <c r="BM333" s="2">
        <v>12.100000000005799</v>
      </c>
      <c r="BN333" s="2"/>
      <c r="BO333" s="2">
        <v>14.100000000005799</v>
      </c>
      <c r="BP333" s="2">
        <v>15.6999999999971</v>
      </c>
      <c r="BQ333" s="2"/>
      <c r="BR333" s="2">
        <v>0.100000000000023</v>
      </c>
      <c r="BS333" s="2"/>
      <c r="BT333" s="2">
        <v>10.600000000005799</v>
      </c>
      <c r="BU333" s="2"/>
      <c r="BV333" s="2"/>
      <c r="BW333" s="2">
        <v>0.5</v>
      </c>
      <c r="BX333" s="2">
        <v>51.5</v>
      </c>
      <c r="BY333" s="2"/>
      <c r="BZ333" s="2">
        <v>8.1</v>
      </c>
      <c r="CA333" s="2">
        <v>5.0999999999999996</v>
      </c>
      <c r="CB333" s="2"/>
      <c r="CC333" s="2">
        <v>0.1</v>
      </c>
      <c r="CD333" s="2">
        <v>6</v>
      </c>
      <c r="CE333" s="2">
        <v>0.3</v>
      </c>
      <c r="CF333" s="2">
        <v>1</v>
      </c>
      <c r="CG333" s="2">
        <v>4.7</v>
      </c>
      <c r="CH333" s="2"/>
      <c r="CI333" s="2"/>
      <c r="CJ333" s="2"/>
      <c r="CK333" s="2">
        <v>2.5</v>
      </c>
      <c r="CL333" s="2"/>
      <c r="CM333" s="2">
        <v>3.4</v>
      </c>
      <c r="CN333" s="2"/>
      <c r="CO333" s="2"/>
      <c r="CP333" s="2">
        <v>0.1</v>
      </c>
      <c r="CQ333" s="2"/>
      <c r="CR333" s="2">
        <v>0.3</v>
      </c>
      <c r="CS333" s="2"/>
      <c r="CT333" s="2">
        <v>1.1000000000000001</v>
      </c>
      <c r="CU333" s="2">
        <v>6.8</v>
      </c>
      <c r="CV333" s="2"/>
      <c r="CW333" s="2"/>
      <c r="CX333" s="2">
        <v>0.1</v>
      </c>
      <c r="CY333" s="2">
        <v>0.2</v>
      </c>
      <c r="CZ333" s="2">
        <v>6</v>
      </c>
      <c r="DB333">
        <v>1985</v>
      </c>
      <c r="DC333">
        <v>51.5</v>
      </c>
      <c r="DH333">
        <v>332</v>
      </c>
    </row>
    <row r="334" spans="1:112">
      <c r="A334" s="1">
        <v>41241</v>
      </c>
      <c r="B334" s="2">
        <v>1.6</v>
      </c>
      <c r="C334" s="2">
        <v>0.7</v>
      </c>
      <c r="D334" s="2"/>
      <c r="E334" s="2">
        <v>0.8</v>
      </c>
      <c r="F334" s="2">
        <v>16</v>
      </c>
      <c r="G334" s="2"/>
      <c r="H334" s="2"/>
      <c r="I334" s="2"/>
      <c r="J334" s="2"/>
      <c r="K334" s="2"/>
      <c r="L334" s="2"/>
      <c r="M334" s="2">
        <v>16.8</v>
      </c>
      <c r="N334" s="2"/>
      <c r="O334" s="2">
        <v>2.2000000000000002</v>
      </c>
      <c r="P334" s="2"/>
      <c r="Q334" s="2"/>
      <c r="R334" s="2">
        <v>10.8</v>
      </c>
      <c r="S334" s="2">
        <v>18</v>
      </c>
      <c r="T334" s="2">
        <v>38.799999999999997</v>
      </c>
      <c r="U334" s="2"/>
      <c r="V334" s="2"/>
      <c r="W334" s="2"/>
      <c r="X334" s="2">
        <v>26.8</v>
      </c>
      <c r="Y334" s="2">
        <v>0.4</v>
      </c>
      <c r="Z334" s="2">
        <v>2.5</v>
      </c>
      <c r="AA334" s="2"/>
      <c r="AB334" s="2">
        <v>14.799999999988399</v>
      </c>
      <c r="AC334" s="2"/>
      <c r="AD334" s="2"/>
      <c r="AE334" s="2">
        <v>9.9999999999908995E-2</v>
      </c>
      <c r="AF334" s="2"/>
      <c r="AG334" s="2">
        <v>10</v>
      </c>
      <c r="AH334" s="2">
        <v>29.199999999982499</v>
      </c>
      <c r="AI334" s="2"/>
      <c r="AJ334" s="2">
        <v>28.599999999976699</v>
      </c>
      <c r="AK334" s="2">
        <v>1.5</v>
      </c>
      <c r="AL334" s="2"/>
      <c r="AM334" s="2">
        <v>0</v>
      </c>
      <c r="AN334" s="2"/>
      <c r="AO334" s="2">
        <v>2.1999999999970901</v>
      </c>
      <c r="AP334" s="2">
        <v>1.29999999999927</v>
      </c>
      <c r="AQ334" s="2"/>
      <c r="AR334" s="2">
        <v>4.1999999999970896</v>
      </c>
      <c r="AS334" s="2">
        <v>0.79999999999927196</v>
      </c>
      <c r="AT334" s="2"/>
      <c r="AU334" s="2"/>
      <c r="AV334" s="2">
        <v>2.5</v>
      </c>
      <c r="AW334" s="2"/>
      <c r="AX334" s="2"/>
      <c r="AY334" s="2"/>
      <c r="AZ334" s="2"/>
      <c r="BA334" s="2"/>
      <c r="BB334" s="2">
        <v>2.6999999999970901</v>
      </c>
      <c r="BC334" s="2"/>
      <c r="BD334" s="2">
        <v>31.799999999988401</v>
      </c>
      <c r="BE334" s="2">
        <v>10.8000000000029</v>
      </c>
      <c r="BF334" s="2">
        <v>0.60000000000036402</v>
      </c>
      <c r="BG334" s="2">
        <v>17.700000000011599</v>
      </c>
      <c r="BH334" s="2"/>
      <c r="BI334" s="2">
        <v>1.89999999999964</v>
      </c>
      <c r="BJ334" s="2"/>
      <c r="BK334" s="2">
        <v>0.100000000000023</v>
      </c>
      <c r="BL334" s="2">
        <v>10.8000000000029</v>
      </c>
      <c r="BM334" s="2">
        <v>3</v>
      </c>
      <c r="BN334" s="2"/>
      <c r="BO334" s="2"/>
      <c r="BP334" s="2">
        <v>0.100000000000023</v>
      </c>
      <c r="BQ334" s="2">
        <v>40.200000000011599</v>
      </c>
      <c r="BR334" s="2">
        <v>17</v>
      </c>
      <c r="BS334" s="2">
        <v>8.5</v>
      </c>
      <c r="BT334" s="2">
        <v>0.60000000000036402</v>
      </c>
      <c r="BU334" s="2"/>
      <c r="BV334" s="2">
        <v>9.1999999999999993</v>
      </c>
      <c r="BW334" s="2">
        <v>0.59999999999945397</v>
      </c>
      <c r="BX334" s="2">
        <v>24.8</v>
      </c>
      <c r="BY334" s="2"/>
      <c r="BZ334" s="2">
        <v>0.3</v>
      </c>
      <c r="CA334" s="2">
        <v>0.1</v>
      </c>
      <c r="CB334" s="2"/>
      <c r="CC334" s="2">
        <v>29.4</v>
      </c>
      <c r="CD334" s="2">
        <v>3.5</v>
      </c>
      <c r="CE334" s="2"/>
      <c r="CF334" s="2">
        <v>1</v>
      </c>
      <c r="CG334" s="2">
        <v>0</v>
      </c>
      <c r="CH334" s="2"/>
      <c r="CI334" s="2"/>
      <c r="CJ334" s="2">
        <v>0.1</v>
      </c>
      <c r="CK334" s="2">
        <v>4.9000000000000004</v>
      </c>
      <c r="CL334" s="2"/>
      <c r="CM334" s="2">
        <v>25.6</v>
      </c>
      <c r="CN334" s="2"/>
      <c r="CO334" s="2"/>
      <c r="CP334" s="2"/>
      <c r="CQ334" s="2"/>
      <c r="CR334" s="2">
        <v>2.9</v>
      </c>
      <c r="CS334" s="2"/>
      <c r="CT334" s="2">
        <v>0.2</v>
      </c>
      <c r="CU334" s="2"/>
      <c r="CV334" s="2">
        <v>1.3</v>
      </c>
      <c r="CW334" s="2"/>
      <c r="CX334" s="2"/>
      <c r="CY334" s="2"/>
      <c r="CZ334" s="2">
        <v>1.5</v>
      </c>
      <c r="DB334">
        <v>1978</v>
      </c>
      <c r="DC334">
        <v>40.200000000011599</v>
      </c>
      <c r="DH334">
        <v>333</v>
      </c>
    </row>
    <row r="335" spans="1:112">
      <c r="A335" s="1">
        <v>41242</v>
      </c>
      <c r="B335" s="2"/>
      <c r="C335" s="2">
        <v>1.1000000000000001</v>
      </c>
      <c r="D335" s="2"/>
      <c r="E335" s="2"/>
      <c r="F335" s="2">
        <v>2.6</v>
      </c>
      <c r="G335" s="2">
        <v>1.8</v>
      </c>
      <c r="H335" s="2"/>
      <c r="I335" s="2">
        <v>0.8</v>
      </c>
      <c r="J335" s="2"/>
      <c r="K335" s="2"/>
      <c r="L335" s="2"/>
      <c r="M335" s="2">
        <v>17.600000000000001</v>
      </c>
      <c r="N335" s="2"/>
      <c r="O335" s="2"/>
      <c r="P335" s="2">
        <v>12.5</v>
      </c>
      <c r="Q335" s="2"/>
      <c r="R335" s="2"/>
      <c r="S335" s="2">
        <v>11.5</v>
      </c>
      <c r="T335" s="2">
        <v>4.8</v>
      </c>
      <c r="U335" s="2"/>
      <c r="V335" s="2"/>
      <c r="W335" s="2"/>
      <c r="X335" s="2">
        <v>14.5</v>
      </c>
      <c r="Y335" s="2"/>
      <c r="Z335" s="2">
        <v>6.0999999999985501</v>
      </c>
      <c r="AA335" s="2"/>
      <c r="AB335" s="2">
        <v>13.599999999991301</v>
      </c>
      <c r="AC335" s="2"/>
      <c r="AD335" s="2"/>
      <c r="AE335" s="2">
        <v>1.1999999999989099</v>
      </c>
      <c r="AF335" s="2">
        <v>3.3999999999978199</v>
      </c>
      <c r="AG335" s="2">
        <v>3.1999999999970901</v>
      </c>
      <c r="AH335" s="2"/>
      <c r="AI335" s="2">
        <v>0.39999999999963598</v>
      </c>
      <c r="AJ335" s="2">
        <v>2.0999999999985399</v>
      </c>
      <c r="AK335" s="2">
        <v>2.6999999999970901</v>
      </c>
      <c r="AL335" s="2"/>
      <c r="AM335" s="2">
        <v>0.59999999999945397</v>
      </c>
      <c r="AN335" s="2"/>
      <c r="AO335" s="2"/>
      <c r="AP335" s="2">
        <v>1.5</v>
      </c>
      <c r="AQ335" s="2"/>
      <c r="AR335" s="2"/>
      <c r="AS335" s="2"/>
      <c r="AT335" s="2"/>
      <c r="AU335" s="2"/>
      <c r="AV335" s="2">
        <v>5.6999999999970896</v>
      </c>
      <c r="AW335" s="2"/>
      <c r="AX335" s="2"/>
      <c r="AY335" s="2">
        <v>3.5999999999985399</v>
      </c>
      <c r="AZ335" s="2"/>
      <c r="BA335" s="2">
        <v>0.29999999999972699</v>
      </c>
      <c r="BB335" s="2"/>
      <c r="BC335" s="2">
        <v>0.400000000000091</v>
      </c>
      <c r="BD335" s="2">
        <v>4.1999999999970896</v>
      </c>
      <c r="BE335" s="2">
        <v>1.5</v>
      </c>
      <c r="BF335" s="2">
        <v>1.39999999999964</v>
      </c>
      <c r="BG335" s="2">
        <v>2.5</v>
      </c>
      <c r="BH335" s="2"/>
      <c r="BI335" s="2"/>
      <c r="BJ335" s="2">
        <v>3.7000000000007298</v>
      </c>
      <c r="BK335" s="2">
        <v>0.100000000000023</v>
      </c>
      <c r="BL335" s="2">
        <v>6.8000000000029104</v>
      </c>
      <c r="BM335" s="2">
        <v>7</v>
      </c>
      <c r="BN335" s="2">
        <v>0.200000000000045</v>
      </c>
      <c r="BO335" s="2">
        <v>7.8000000000029104</v>
      </c>
      <c r="BP335" s="2">
        <v>2</v>
      </c>
      <c r="BQ335" s="2">
        <v>10.1999999999971</v>
      </c>
      <c r="BR335" s="2">
        <v>0</v>
      </c>
      <c r="BS335" s="2">
        <v>0.200000000000045</v>
      </c>
      <c r="BT335" s="2">
        <v>17.399999999994201</v>
      </c>
      <c r="BU335" s="2"/>
      <c r="BV335" s="2"/>
      <c r="BW335" s="2"/>
      <c r="BX335" s="2">
        <v>13</v>
      </c>
      <c r="BY335" s="2"/>
      <c r="BZ335" s="2"/>
      <c r="CA335" s="2"/>
      <c r="CB335" s="2">
        <v>3.7</v>
      </c>
      <c r="CC335" s="2">
        <v>4.9000000000000004</v>
      </c>
      <c r="CD335" s="2">
        <v>7.7</v>
      </c>
      <c r="CE335" s="2">
        <v>6</v>
      </c>
      <c r="CF335" s="2">
        <v>6.2</v>
      </c>
      <c r="CG335" s="2">
        <v>0.8</v>
      </c>
      <c r="CH335" s="2">
        <v>2.8</v>
      </c>
      <c r="CI335" s="2"/>
      <c r="CJ335" s="2">
        <v>2</v>
      </c>
      <c r="CK335" s="2">
        <v>5.5</v>
      </c>
      <c r="CL335" s="2"/>
      <c r="CM335" s="2">
        <v>10.5</v>
      </c>
      <c r="CN335" s="2">
        <v>16.8</v>
      </c>
      <c r="CO335" s="2"/>
      <c r="CP335" s="2"/>
      <c r="CQ335" s="2">
        <v>0.2</v>
      </c>
      <c r="CR335" s="2">
        <v>1.9</v>
      </c>
      <c r="CS335" s="2"/>
      <c r="CT335" s="2"/>
      <c r="CU335" s="2">
        <v>3.4</v>
      </c>
      <c r="CV335" s="2">
        <v>12.2</v>
      </c>
      <c r="CW335" s="2"/>
      <c r="CX335" s="2"/>
      <c r="CY335" s="2"/>
      <c r="CZ335" s="2"/>
      <c r="DB335">
        <v>1922</v>
      </c>
      <c r="DC335">
        <v>17.600000000000001</v>
      </c>
      <c r="DH335">
        <v>334</v>
      </c>
    </row>
    <row r="336" spans="1:112">
      <c r="A336" s="1">
        <v>41243</v>
      </c>
      <c r="B336" s="2"/>
      <c r="C336" s="2">
        <v>4.7</v>
      </c>
      <c r="D336" s="2"/>
      <c r="E336" s="2"/>
      <c r="F336" s="2"/>
      <c r="G336" s="2">
        <v>1.1000000000000001</v>
      </c>
      <c r="H336" s="2"/>
      <c r="I336" s="2">
        <v>1.3</v>
      </c>
      <c r="J336" s="2"/>
      <c r="K336" s="2"/>
      <c r="L336" s="2">
        <v>0.8</v>
      </c>
      <c r="M336" s="2">
        <v>2.1</v>
      </c>
      <c r="N336" s="2"/>
      <c r="O336" s="2"/>
      <c r="P336" s="2">
        <v>2.1</v>
      </c>
      <c r="Q336" s="2"/>
      <c r="R336" s="2"/>
      <c r="S336" s="2">
        <v>14.5</v>
      </c>
      <c r="T336" s="2">
        <v>1.3</v>
      </c>
      <c r="U336" s="2"/>
      <c r="V336" s="2">
        <v>54.5</v>
      </c>
      <c r="W336" s="2"/>
      <c r="X336" s="2">
        <v>0.5</v>
      </c>
      <c r="Y336" s="2">
        <v>0.79999999999927196</v>
      </c>
      <c r="Z336" s="2">
        <v>1.39999999999964</v>
      </c>
      <c r="AA336" s="2">
        <v>10.799999999988399</v>
      </c>
      <c r="AB336" s="2">
        <v>7.7</v>
      </c>
      <c r="AC336" s="2">
        <v>1</v>
      </c>
      <c r="AD336" s="2"/>
      <c r="AE336" s="2">
        <v>12</v>
      </c>
      <c r="AF336" s="2"/>
      <c r="AG336" s="2">
        <v>7.1999999999970896</v>
      </c>
      <c r="AH336" s="2"/>
      <c r="AI336" s="2">
        <v>11.099999999991301</v>
      </c>
      <c r="AJ336" s="2"/>
      <c r="AK336" s="2"/>
      <c r="AL336" s="2">
        <v>0.29999999999972699</v>
      </c>
      <c r="AM336" s="2">
        <v>9.7999999999883602</v>
      </c>
      <c r="AN336" s="2">
        <v>34.5</v>
      </c>
      <c r="AO336" s="2"/>
      <c r="AP336" s="2"/>
      <c r="AQ336" s="2"/>
      <c r="AR336" s="2"/>
      <c r="AS336" s="2"/>
      <c r="AT336" s="2">
        <v>2.5</v>
      </c>
      <c r="AU336" s="2">
        <v>0.5</v>
      </c>
      <c r="AV336" s="2">
        <v>22</v>
      </c>
      <c r="AW336" s="2"/>
      <c r="AX336" s="2"/>
      <c r="AY336" s="2">
        <v>3.2999999999992702</v>
      </c>
      <c r="AZ336" s="2"/>
      <c r="BA336" s="2"/>
      <c r="BB336" s="2"/>
      <c r="BC336" s="2"/>
      <c r="BD336" s="2"/>
      <c r="BE336" s="2">
        <v>11.6999999999971</v>
      </c>
      <c r="BF336" s="2"/>
      <c r="BG336" s="2">
        <v>0.200000000000045</v>
      </c>
      <c r="BH336" s="2"/>
      <c r="BI336" s="2">
        <v>0</v>
      </c>
      <c r="BJ336" s="2">
        <v>0.100000000000023</v>
      </c>
      <c r="BK336" s="2">
        <v>0.100000000000023</v>
      </c>
      <c r="BL336" s="2">
        <v>12</v>
      </c>
      <c r="BM336" s="2">
        <v>22.299999999988401</v>
      </c>
      <c r="BN336" s="2"/>
      <c r="BO336" s="2">
        <v>0.89999999999963598</v>
      </c>
      <c r="BP336" s="2">
        <v>0.100000000000023</v>
      </c>
      <c r="BQ336" s="2">
        <v>4.5999999999985501</v>
      </c>
      <c r="BR336" s="2"/>
      <c r="BS336" s="2">
        <v>0</v>
      </c>
      <c r="BT336" s="2">
        <v>49.799999999988401</v>
      </c>
      <c r="BU336" s="2"/>
      <c r="BV336" s="2">
        <v>5.7</v>
      </c>
      <c r="BW336" s="2"/>
      <c r="BX336" s="2">
        <v>0.1</v>
      </c>
      <c r="BY336" s="2">
        <v>1</v>
      </c>
      <c r="BZ336" s="2">
        <v>0.8</v>
      </c>
      <c r="CA336" s="2"/>
      <c r="CB336" s="2">
        <v>7.5</v>
      </c>
      <c r="CC336" s="2">
        <v>10.3</v>
      </c>
      <c r="CD336" s="2">
        <v>12.4</v>
      </c>
      <c r="CE336" s="2">
        <v>20.8</v>
      </c>
      <c r="CF336" s="2">
        <v>4.5</v>
      </c>
      <c r="CG336" s="2">
        <v>6.4</v>
      </c>
      <c r="CH336" s="2">
        <v>1.5</v>
      </c>
      <c r="CI336" s="2"/>
      <c r="CJ336" s="2"/>
      <c r="CK336" s="2">
        <v>4.5</v>
      </c>
      <c r="CL336" s="2"/>
      <c r="CM336" s="2">
        <v>0.5</v>
      </c>
      <c r="CN336" s="2">
        <v>6.2</v>
      </c>
      <c r="CO336" s="2"/>
      <c r="CP336" s="2"/>
      <c r="CQ336" s="2"/>
      <c r="CR336" s="2"/>
      <c r="CS336" s="2">
        <v>0.1</v>
      </c>
      <c r="CT336" s="2">
        <v>7.3</v>
      </c>
      <c r="CU336" s="2"/>
      <c r="CV336" s="2"/>
      <c r="CW336" s="2"/>
      <c r="CX336" s="2"/>
      <c r="CY336" s="2">
        <v>5.2</v>
      </c>
      <c r="CZ336" s="2"/>
      <c r="DB336">
        <v>1931</v>
      </c>
      <c r="DC336">
        <v>54.5</v>
      </c>
      <c r="DH336">
        <v>335</v>
      </c>
    </row>
    <row r="337" spans="1:112">
      <c r="A337" s="1">
        <v>41244</v>
      </c>
      <c r="B337" s="2">
        <v>0.1</v>
      </c>
      <c r="C337" s="2"/>
      <c r="D337" s="2">
        <v>6.6</v>
      </c>
      <c r="E337" s="2">
        <v>0.1</v>
      </c>
      <c r="F337" s="2"/>
      <c r="G337" s="2">
        <v>3</v>
      </c>
      <c r="H337" s="2"/>
      <c r="I337" s="2">
        <v>9</v>
      </c>
      <c r="J337" s="2"/>
      <c r="K337" s="2"/>
      <c r="L337" s="2">
        <v>14</v>
      </c>
      <c r="M337" s="2">
        <v>0.8</v>
      </c>
      <c r="N337" s="2"/>
      <c r="O337" s="2"/>
      <c r="P337" s="2"/>
      <c r="Q337" s="2"/>
      <c r="R337" s="2">
        <v>0.8</v>
      </c>
      <c r="S337" s="2">
        <v>23.5</v>
      </c>
      <c r="T337" s="2"/>
      <c r="U337" s="2"/>
      <c r="V337" s="2">
        <v>10.6</v>
      </c>
      <c r="W337" s="2"/>
      <c r="X337" s="2"/>
      <c r="Y337" s="2"/>
      <c r="Z337" s="2"/>
      <c r="AA337" s="2">
        <v>7.1999999999970896</v>
      </c>
      <c r="AB337" s="2"/>
      <c r="AC337" s="2"/>
      <c r="AD337" s="2">
        <v>1.5</v>
      </c>
      <c r="AE337" s="2">
        <v>16.099999999976699</v>
      </c>
      <c r="AF337" s="2">
        <v>0.7</v>
      </c>
      <c r="AG337" s="2">
        <v>1.79999999999927</v>
      </c>
      <c r="AH337" s="2"/>
      <c r="AI337" s="2">
        <v>7.79999999999563</v>
      </c>
      <c r="AJ337" s="2">
        <v>0.19999999999981799</v>
      </c>
      <c r="AK337" s="2">
        <v>8.5999999999912706</v>
      </c>
      <c r="AL337" s="2"/>
      <c r="AM337" s="2">
        <v>4.3999999999941801</v>
      </c>
      <c r="AN337" s="2"/>
      <c r="AO337" s="2"/>
      <c r="AP337" s="2"/>
      <c r="AQ337" s="2"/>
      <c r="AR337" s="2"/>
      <c r="AS337" s="2"/>
      <c r="AT337" s="2"/>
      <c r="AU337" s="2">
        <v>1.5999999999985499</v>
      </c>
      <c r="AV337" s="2">
        <v>51.8</v>
      </c>
      <c r="AW337" s="2">
        <v>10.299999999988399</v>
      </c>
      <c r="AX337" s="2"/>
      <c r="AY337" s="2"/>
      <c r="AZ337" s="2"/>
      <c r="BA337" s="2">
        <v>8.7999999999883602</v>
      </c>
      <c r="BB337" s="2">
        <v>2.2999999999992702</v>
      </c>
      <c r="BC337" s="2">
        <v>5.0999999999985501</v>
      </c>
      <c r="BD337" s="2"/>
      <c r="BE337" s="2">
        <v>0.200000000000045</v>
      </c>
      <c r="BF337" s="2">
        <v>1.39999999999964</v>
      </c>
      <c r="BG337" s="2">
        <v>1</v>
      </c>
      <c r="BH337" s="2">
        <v>0.5</v>
      </c>
      <c r="BI337" s="2"/>
      <c r="BJ337" s="2">
        <v>0.200000000000045</v>
      </c>
      <c r="BK337" s="2"/>
      <c r="BL337" s="2">
        <v>7.5999999999985501</v>
      </c>
      <c r="BM337" s="2">
        <v>0.100000000000023</v>
      </c>
      <c r="BN337" s="2">
        <v>0</v>
      </c>
      <c r="BO337" s="2"/>
      <c r="BP337" s="2">
        <v>22</v>
      </c>
      <c r="BQ337" s="2"/>
      <c r="BR337" s="2">
        <v>0.100000000000023</v>
      </c>
      <c r="BS337" s="2"/>
      <c r="BT337" s="2">
        <v>5.9000000000014596</v>
      </c>
      <c r="BU337" s="2"/>
      <c r="BV337" s="2">
        <v>0.6</v>
      </c>
      <c r="BW337" s="2"/>
      <c r="BX337" s="2">
        <v>0.3</v>
      </c>
      <c r="BY337" s="2">
        <v>7.2</v>
      </c>
      <c r="BZ337" s="2">
        <v>0.7</v>
      </c>
      <c r="CA337" s="2">
        <v>0.7</v>
      </c>
      <c r="CB337" s="2">
        <v>4.5</v>
      </c>
      <c r="CC337" s="2">
        <v>23</v>
      </c>
      <c r="CD337" s="2">
        <v>5.9</v>
      </c>
      <c r="CE337" s="2">
        <v>2</v>
      </c>
      <c r="CF337" s="2">
        <v>4.5</v>
      </c>
      <c r="CG337" s="2">
        <v>15.6</v>
      </c>
      <c r="CH337" s="2">
        <v>0.2</v>
      </c>
      <c r="CI337" s="2">
        <v>2.5</v>
      </c>
      <c r="CJ337" s="2">
        <v>2.2000000000000002</v>
      </c>
      <c r="CK337" s="2"/>
      <c r="CL337" s="2"/>
      <c r="CM337" s="2"/>
      <c r="CN337" s="2">
        <v>32.9</v>
      </c>
      <c r="CO337" s="2"/>
      <c r="CP337" s="2"/>
      <c r="CQ337" s="2"/>
      <c r="CR337" s="2">
        <v>0.5</v>
      </c>
      <c r="CS337" s="2">
        <v>0.1</v>
      </c>
      <c r="CT337" s="2">
        <v>0.4</v>
      </c>
      <c r="CU337" s="2"/>
      <c r="CV337" s="2"/>
      <c r="CW337" s="2"/>
      <c r="CX337" s="2"/>
      <c r="CY337" s="2">
        <v>21.5</v>
      </c>
      <c r="CZ337" s="2">
        <v>0.2</v>
      </c>
      <c r="DB337">
        <v>1957</v>
      </c>
      <c r="DC337">
        <v>51.8</v>
      </c>
      <c r="DH337">
        <v>336</v>
      </c>
    </row>
    <row r="338" spans="1:112">
      <c r="A338" s="1">
        <v>41245</v>
      </c>
      <c r="B338" s="2">
        <v>2.1</v>
      </c>
      <c r="C338" s="2"/>
      <c r="D338" s="2"/>
      <c r="E338" s="2"/>
      <c r="F338" s="2"/>
      <c r="G338" s="2"/>
      <c r="H338" s="2"/>
      <c r="I338" s="2">
        <v>5</v>
      </c>
      <c r="J338" s="2"/>
      <c r="K338" s="2"/>
      <c r="L338" s="2">
        <v>0.8</v>
      </c>
      <c r="M338" s="2"/>
      <c r="N338" s="2"/>
      <c r="O338" s="2"/>
      <c r="P338" s="2"/>
      <c r="Q338" s="2"/>
      <c r="R338" s="2">
        <v>2.6</v>
      </c>
      <c r="S338" s="2">
        <v>37.1</v>
      </c>
      <c r="T338" s="2"/>
      <c r="U338" s="2">
        <v>14.1</v>
      </c>
      <c r="V338" s="2">
        <v>1</v>
      </c>
      <c r="W338" s="2"/>
      <c r="X338" s="2">
        <v>25</v>
      </c>
      <c r="Y338" s="2"/>
      <c r="Z338" s="2">
        <v>2.1999999999970901</v>
      </c>
      <c r="AA338" s="2">
        <v>9.7999999999883602</v>
      </c>
      <c r="AB338" s="2"/>
      <c r="AC338" s="2"/>
      <c r="AD338" s="2"/>
      <c r="AE338" s="2">
        <v>13.3</v>
      </c>
      <c r="AF338" s="2">
        <v>0.3</v>
      </c>
      <c r="AG338" s="2">
        <v>0.19999999999981799</v>
      </c>
      <c r="AH338" s="2">
        <v>12.899999999994201</v>
      </c>
      <c r="AI338" s="2">
        <v>7.1999999999970896</v>
      </c>
      <c r="AJ338" s="2"/>
      <c r="AK338" s="2">
        <v>11</v>
      </c>
      <c r="AL338" s="2"/>
      <c r="AM338" s="2">
        <v>7</v>
      </c>
      <c r="AN338" s="2"/>
      <c r="AO338" s="2"/>
      <c r="AP338" s="2"/>
      <c r="AQ338" s="2"/>
      <c r="AR338" s="2">
        <v>9.9999999999908995E-2</v>
      </c>
      <c r="AS338" s="2">
        <v>0.29999999999972699</v>
      </c>
      <c r="AT338" s="2"/>
      <c r="AU338" s="2">
        <v>1.29999999999927</v>
      </c>
      <c r="AV338" s="2">
        <v>1.29999999999927</v>
      </c>
      <c r="AW338" s="2">
        <v>16</v>
      </c>
      <c r="AX338" s="2"/>
      <c r="AY338" s="2"/>
      <c r="AZ338" s="2"/>
      <c r="BA338" s="2">
        <v>36.199999999953398</v>
      </c>
      <c r="BB338" s="2">
        <v>14.399999999994201</v>
      </c>
      <c r="BC338" s="2">
        <v>6.3000000000029104</v>
      </c>
      <c r="BD338" s="2">
        <v>0.80000000000018201</v>
      </c>
      <c r="BE338" s="2"/>
      <c r="BF338" s="2">
        <v>1.29999999999927</v>
      </c>
      <c r="BG338" s="2">
        <v>4</v>
      </c>
      <c r="BH338" s="2">
        <v>27</v>
      </c>
      <c r="BI338" s="2">
        <v>8.6999999999970896</v>
      </c>
      <c r="BJ338" s="2">
        <v>13.5</v>
      </c>
      <c r="BK338" s="2"/>
      <c r="BL338" s="2">
        <v>8.8000000000029104</v>
      </c>
      <c r="BM338" s="2">
        <v>0</v>
      </c>
      <c r="BN338" s="2"/>
      <c r="BO338" s="2">
        <v>3.7000000000007298</v>
      </c>
      <c r="BP338" s="2">
        <v>6</v>
      </c>
      <c r="BQ338" s="2">
        <v>2.2000000000007298</v>
      </c>
      <c r="BR338" s="2">
        <v>0.100000000000023</v>
      </c>
      <c r="BS338" s="2">
        <v>5</v>
      </c>
      <c r="BT338" s="2">
        <v>10.399999999994201</v>
      </c>
      <c r="BU338" s="2">
        <v>0</v>
      </c>
      <c r="BV338" s="2">
        <v>0.3</v>
      </c>
      <c r="BW338" s="2"/>
      <c r="BX338" s="2"/>
      <c r="BY338" s="2">
        <v>1.9</v>
      </c>
      <c r="BZ338" s="2">
        <v>42.5</v>
      </c>
      <c r="CA338" s="2">
        <v>1.9</v>
      </c>
      <c r="CB338" s="2">
        <v>7.2</v>
      </c>
      <c r="CC338" s="2">
        <v>1.1000000000000001</v>
      </c>
      <c r="CD338" s="2">
        <v>1.8</v>
      </c>
      <c r="CE338" s="2"/>
      <c r="CF338" s="2">
        <v>1.5</v>
      </c>
      <c r="CG338" s="2">
        <v>16.600000000000001</v>
      </c>
      <c r="CH338" s="2"/>
      <c r="CI338" s="2">
        <v>0.6</v>
      </c>
      <c r="CJ338" s="2">
        <v>2</v>
      </c>
      <c r="CK338" s="2">
        <v>1.5</v>
      </c>
      <c r="CL338" s="2"/>
      <c r="CM338" s="2"/>
      <c r="CN338" s="2">
        <v>28.7</v>
      </c>
      <c r="CO338" s="2"/>
      <c r="CP338" s="2">
        <v>6.8</v>
      </c>
      <c r="CQ338" s="2"/>
      <c r="CR338" s="2">
        <v>7.7</v>
      </c>
      <c r="CS338" s="2"/>
      <c r="CT338" s="2"/>
      <c r="CU338" s="2"/>
      <c r="CV338" s="2"/>
      <c r="CW338" s="2"/>
      <c r="CX338" s="2"/>
      <c r="CY338" s="2">
        <v>14.7</v>
      </c>
      <c r="CZ338" s="2">
        <v>9.8000000000000007</v>
      </c>
      <c r="DB338">
        <v>1987</v>
      </c>
      <c r="DC338">
        <v>42.5</v>
      </c>
      <c r="DH338">
        <v>337</v>
      </c>
    </row>
    <row r="339" spans="1:112">
      <c r="A339" s="1">
        <v>41246</v>
      </c>
      <c r="B339" s="2">
        <v>5.5</v>
      </c>
      <c r="C339" s="2"/>
      <c r="D339" s="2">
        <v>0.4</v>
      </c>
      <c r="E339" s="2"/>
      <c r="F339" s="2"/>
      <c r="G339" s="2"/>
      <c r="H339" s="2">
        <v>4.8</v>
      </c>
      <c r="I339" s="2">
        <v>6.8</v>
      </c>
      <c r="J339" s="2">
        <v>12.7</v>
      </c>
      <c r="K339" s="2">
        <v>0</v>
      </c>
      <c r="L339" s="2"/>
      <c r="M339" s="2"/>
      <c r="N339" s="2">
        <v>3.2</v>
      </c>
      <c r="O339" s="2"/>
      <c r="P339" s="2"/>
      <c r="Q339" s="2"/>
      <c r="R339" s="2">
        <v>0.2</v>
      </c>
      <c r="S339" s="2">
        <v>1.8</v>
      </c>
      <c r="T339" s="2"/>
      <c r="U339" s="2">
        <v>2.2000000000000002</v>
      </c>
      <c r="V339" s="2">
        <v>1.3</v>
      </c>
      <c r="W339" s="2"/>
      <c r="X339" s="2">
        <v>7.1</v>
      </c>
      <c r="Y339" s="2"/>
      <c r="Z339" s="2">
        <v>9.5</v>
      </c>
      <c r="AA339" s="2">
        <v>1.0999999999985499</v>
      </c>
      <c r="AB339" s="2"/>
      <c r="AC339" s="2">
        <v>0.79999999999927196</v>
      </c>
      <c r="AD339" s="2"/>
      <c r="AE339" s="2"/>
      <c r="AF339" s="2"/>
      <c r="AG339" s="2">
        <v>9.9999999999908995E-2</v>
      </c>
      <c r="AH339" s="2"/>
      <c r="AI339" s="2"/>
      <c r="AJ339" s="2"/>
      <c r="AK339" s="2">
        <v>1.29999999999927</v>
      </c>
      <c r="AL339" s="2">
        <v>4</v>
      </c>
      <c r="AM339" s="2">
        <v>4.6999999999970896</v>
      </c>
      <c r="AN339" s="2">
        <v>3.53999999999724</v>
      </c>
      <c r="AO339" s="2"/>
      <c r="AP339" s="2"/>
      <c r="AQ339" s="2">
        <v>5</v>
      </c>
      <c r="AR339" s="2">
        <v>0.29999999999972699</v>
      </c>
      <c r="AS339" s="2">
        <v>7.79999999999563</v>
      </c>
      <c r="AT339" s="2"/>
      <c r="AU339" s="2"/>
      <c r="AV339" s="2">
        <v>1.1999999999989099</v>
      </c>
      <c r="AW339" s="2">
        <v>0</v>
      </c>
      <c r="AX339" s="2"/>
      <c r="AY339" s="2"/>
      <c r="AZ339" s="2"/>
      <c r="BA339" s="2">
        <v>22.699999999982499</v>
      </c>
      <c r="BB339" s="2">
        <v>2.7999999999992702</v>
      </c>
      <c r="BC339" s="2"/>
      <c r="BD339" s="2">
        <v>0.30000000000018201</v>
      </c>
      <c r="BE339" s="2">
        <v>6.4000000000014596</v>
      </c>
      <c r="BF339" s="2"/>
      <c r="BG339" s="2">
        <v>9.5</v>
      </c>
      <c r="BH339" s="2">
        <v>24.799999999988401</v>
      </c>
      <c r="BI339" s="2">
        <v>0.80000000000018201</v>
      </c>
      <c r="BJ339" s="2">
        <v>0.100000000000023</v>
      </c>
      <c r="BK339" s="2">
        <v>0.100000000000023</v>
      </c>
      <c r="BL339" s="2">
        <v>2.0999999999985399</v>
      </c>
      <c r="BM339" s="2">
        <v>0.5</v>
      </c>
      <c r="BN339" s="2"/>
      <c r="BO339" s="2">
        <v>18.5</v>
      </c>
      <c r="BP339" s="2">
        <v>20.5</v>
      </c>
      <c r="BQ339" s="2">
        <v>0.5</v>
      </c>
      <c r="BR339" s="2"/>
      <c r="BS339" s="2">
        <v>8.5</v>
      </c>
      <c r="BT339" s="2">
        <v>13.600000000005799</v>
      </c>
      <c r="BU339" s="2">
        <v>1.1000000000002501</v>
      </c>
      <c r="BV339" s="2">
        <v>0</v>
      </c>
      <c r="BW339" s="2"/>
      <c r="BX339" s="2"/>
      <c r="BY339" s="2"/>
      <c r="BZ339" s="2">
        <v>5.3</v>
      </c>
      <c r="CA339" s="2">
        <v>3</v>
      </c>
      <c r="CB339" s="2"/>
      <c r="CC339" s="2">
        <v>4</v>
      </c>
      <c r="CD339" s="2"/>
      <c r="CE339" s="2"/>
      <c r="CF339" s="2"/>
      <c r="CG339" s="2">
        <v>15</v>
      </c>
      <c r="CH339" s="2"/>
      <c r="CI339" s="2">
        <v>5</v>
      </c>
      <c r="CJ339" s="2">
        <v>5.3</v>
      </c>
      <c r="CK339" s="2"/>
      <c r="CL339" s="2"/>
      <c r="CM339" s="2"/>
      <c r="CN339" s="2">
        <v>30</v>
      </c>
      <c r="CO339" s="2">
        <v>0.4</v>
      </c>
      <c r="CP339" s="2">
        <v>12.4</v>
      </c>
      <c r="CQ339" s="2"/>
      <c r="CR339" s="2"/>
      <c r="CS339" s="2"/>
      <c r="CT339" s="2"/>
      <c r="CU339" s="2"/>
      <c r="CV339" s="2">
        <v>1.1000000000000001</v>
      </c>
      <c r="CW339" s="2"/>
      <c r="CX339" s="2"/>
      <c r="CY339" s="2">
        <v>14.4</v>
      </c>
      <c r="CZ339" s="2"/>
      <c r="DB339">
        <v>2001</v>
      </c>
      <c r="DC339">
        <v>30</v>
      </c>
      <c r="DH339">
        <v>338</v>
      </c>
    </row>
    <row r="340" spans="1:112">
      <c r="A340" s="1">
        <v>41247</v>
      </c>
      <c r="B340" s="2"/>
      <c r="C340" s="2">
        <v>1.2</v>
      </c>
      <c r="D340" s="2"/>
      <c r="E340" s="2"/>
      <c r="F340" s="2">
        <v>0.8</v>
      </c>
      <c r="G340" s="2"/>
      <c r="H340" s="2">
        <v>8.8000000000000007</v>
      </c>
      <c r="I340" s="2">
        <v>3.6</v>
      </c>
      <c r="J340" s="2">
        <v>2.4</v>
      </c>
      <c r="K340" s="2"/>
      <c r="L340" s="2">
        <v>0.2</v>
      </c>
      <c r="M340" s="2">
        <v>12.8</v>
      </c>
      <c r="N340" s="2"/>
      <c r="O340" s="2"/>
      <c r="P340" s="2">
        <v>46</v>
      </c>
      <c r="Q340" s="2">
        <v>13.4</v>
      </c>
      <c r="R340" s="2"/>
      <c r="S340" s="2">
        <v>16</v>
      </c>
      <c r="T340" s="2"/>
      <c r="U340" s="2"/>
      <c r="V340" s="2"/>
      <c r="W340" s="2"/>
      <c r="X340" s="2">
        <v>0</v>
      </c>
      <c r="Y340" s="2"/>
      <c r="Z340" s="2"/>
      <c r="AA340" s="2">
        <v>13.099999999991301</v>
      </c>
      <c r="AB340" s="2"/>
      <c r="AC340" s="2"/>
      <c r="AD340" s="2"/>
      <c r="AE340" s="2"/>
      <c r="AF340" s="2"/>
      <c r="AG340" s="2">
        <v>3.3999999999978199</v>
      </c>
      <c r="AH340" s="2"/>
      <c r="AI340" s="2">
        <v>0.29999999999972699</v>
      </c>
      <c r="AJ340" s="2"/>
      <c r="AK340" s="2"/>
      <c r="AL340" s="2">
        <v>1.29999999999927</v>
      </c>
      <c r="AM340" s="2"/>
      <c r="AN340" s="2">
        <v>3</v>
      </c>
      <c r="AO340" s="2">
        <v>0.19999999999981799</v>
      </c>
      <c r="AP340" s="2">
        <v>0.29999999999972699</v>
      </c>
      <c r="AQ340" s="2"/>
      <c r="AR340" s="2">
        <v>0.19999999999981799</v>
      </c>
      <c r="AS340" s="2">
        <v>3</v>
      </c>
      <c r="AT340" s="2">
        <v>1.89999999999964</v>
      </c>
      <c r="AU340" s="2"/>
      <c r="AV340" s="2">
        <v>25</v>
      </c>
      <c r="AW340" s="2"/>
      <c r="AX340" s="2"/>
      <c r="AY340" s="2"/>
      <c r="AZ340" s="2"/>
      <c r="BA340" s="2">
        <v>29.099999999976699</v>
      </c>
      <c r="BB340" s="2"/>
      <c r="BC340" s="2">
        <v>4.9000000000014596</v>
      </c>
      <c r="BD340" s="2">
        <v>55.099999999976703</v>
      </c>
      <c r="BE340" s="2">
        <v>9.1999999999970896</v>
      </c>
      <c r="BF340" s="2">
        <v>5.3000000000029104</v>
      </c>
      <c r="BG340" s="2">
        <v>1.10000000000036</v>
      </c>
      <c r="BH340" s="2">
        <v>0.5</v>
      </c>
      <c r="BI340" s="2">
        <v>12</v>
      </c>
      <c r="BJ340" s="2"/>
      <c r="BK340" s="2">
        <v>0</v>
      </c>
      <c r="BL340" s="2">
        <v>5.8000000000029104</v>
      </c>
      <c r="BM340" s="2">
        <v>0.200000000000045</v>
      </c>
      <c r="BN340" s="2"/>
      <c r="BO340" s="2">
        <v>0.60000000000036402</v>
      </c>
      <c r="BP340" s="2">
        <v>4</v>
      </c>
      <c r="BQ340" s="2"/>
      <c r="BR340" s="2"/>
      <c r="BS340" s="2">
        <v>10.5</v>
      </c>
      <c r="BT340" s="2">
        <v>12</v>
      </c>
      <c r="BU340" s="2">
        <v>1.1000000000002501</v>
      </c>
      <c r="BV340" s="2">
        <v>0</v>
      </c>
      <c r="BW340" s="2">
        <v>9.9999999999908995E-2</v>
      </c>
      <c r="BX340" s="2"/>
      <c r="BY340" s="2"/>
      <c r="BZ340" s="2">
        <v>18.5</v>
      </c>
      <c r="CA340" s="2"/>
      <c r="CB340" s="2"/>
      <c r="CC340" s="2">
        <v>14.3</v>
      </c>
      <c r="CD340" s="2"/>
      <c r="CE340" s="2"/>
      <c r="CF340" s="2"/>
      <c r="CG340" s="2"/>
      <c r="CH340" s="2"/>
      <c r="CI340" s="2">
        <v>12.5</v>
      </c>
      <c r="CJ340" s="2">
        <v>8</v>
      </c>
      <c r="CK340" s="2">
        <v>0.5</v>
      </c>
      <c r="CL340" s="2"/>
      <c r="CM340" s="2"/>
      <c r="CN340" s="2">
        <v>9.6</v>
      </c>
      <c r="CO340" s="2"/>
      <c r="CP340" s="2"/>
      <c r="CQ340" s="2">
        <v>3</v>
      </c>
      <c r="CR340" s="2">
        <v>0.4</v>
      </c>
      <c r="CS340" s="2"/>
      <c r="CT340" s="2">
        <v>27.3</v>
      </c>
      <c r="CU340" s="2"/>
      <c r="CV340" s="2">
        <v>0.4</v>
      </c>
      <c r="CW340" s="2">
        <v>9.1</v>
      </c>
      <c r="CX340" s="2"/>
      <c r="CY340" s="2">
        <v>10</v>
      </c>
      <c r="CZ340" s="2"/>
      <c r="DB340">
        <v>1965</v>
      </c>
      <c r="DC340">
        <v>55.099999999976703</v>
      </c>
      <c r="DH340">
        <v>339</v>
      </c>
    </row>
    <row r="341" spans="1:112">
      <c r="A341" s="1">
        <v>41248</v>
      </c>
      <c r="B341" s="2"/>
      <c r="C341" s="2">
        <v>1.8</v>
      </c>
      <c r="D341" s="2"/>
      <c r="E341" s="2"/>
      <c r="F341" s="2">
        <v>0.2</v>
      </c>
      <c r="G341" s="2">
        <v>0.8</v>
      </c>
      <c r="H341" s="2"/>
      <c r="I341" s="2">
        <v>20.2</v>
      </c>
      <c r="J341" s="2"/>
      <c r="K341" s="2"/>
      <c r="L341" s="2"/>
      <c r="M341" s="2">
        <v>2.7</v>
      </c>
      <c r="N341" s="2">
        <v>12.8</v>
      </c>
      <c r="O341" s="2"/>
      <c r="P341" s="2">
        <v>28</v>
      </c>
      <c r="Q341" s="2"/>
      <c r="R341" s="2"/>
      <c r="S341" s="2">
        <v>14.5</v>
      </c>
      <c r="T341" s="2"/>
      <c r="U341" s="2"/>
      <c r="V341" s="2">
        <v>2.2000000000000002</v>
      </c>
      <c r="W341" s="2">
        <v>0.4</v>
      </c>
      <c r="X341" s="2"/>
      <c r="Y341" s="2">
        <v>0.5</v>
      </c>
      <c r="Z341" s="2">
        <v>11.5</v>
      </c>
      <c r="AA341" s="2">
        <v>2.1999999999970901</v>
      </c>
      <c r="AB341" s="2">
        <v>5.5</v>
      </c>
      <c r="AC341" s="2">
        <v>0.29999999999972699</v>
      </c>
      <c r="AD341" s="2">
        <v>1.5</v>
      </c>
      <c r="AE341" s="2">
        <v>5.5</v>
      </c>
      <c r="AF341" s="2">
        <v>0.19999999999981799</v>
      </c>
      <c r="AG341" s="2">
        <v>0.79999999999927196</v>
      </c>
      <c r="AH341" s="2"/>
      <c r="AI341" s="2"/>
      <c r="AJ341" s="2">
        <v>4.5</v>
      </c>
      <c r="AK341" s="2"/>
      <c r="AL341" s="2">
        <v>0.19999999999981799</v>
      </c>
      <c r="AM341" s="2"/>
      <c r="AN341" s="2"/>
      <c r="AO341" s="2"/>
      <c r="AP341" s="2"/>
      <c r="AQ341" s="2"/>
      <c r="AR341" s="2">
        <v>9.9999999999908995E-2</v>
      </c>
      <c r="AS341" s="2"/>
      <c r="AT341" s="2">
        <v>18.199999999982499</v>
      </c>
      <c r="AU341" s="2"/>
      <c r="AV341" s="2">
        <v>2.2999999999992702</v>
      </c>
      <c r="AW341" s="2"/>
      <c r="AX341" s="2">
        <v>4.8999999999941801</v>
      </c>
      <c r="AY341" s="2"/>
      <c r="AZ341" s="2">
        <v>0.29999999999972699</v>
      </c>
      <c r="BA341" s="2">
        <v>1</v>
      </c>
      <c r="BB341" s="2">
        <v>32.599999999976703</v>
      </c>
      <c r="BC341" s="2">
        <v>13.8000000000029</v>
      </c>
      <c r="BD341" s="2">
        <v>34.099999999976703</v>
      </c>
      <c r="BE341" s="2">
        <v>0.100000000000023</v>
      </c>
      <c r="BF341" s="2">
        <v>0.400000000000091</v>
      </c>
      <c r="BG341" s="2">
        <v>0.80000000000018201</v>
      </c>
      <c r="BH341" s="2">
        <v>0.200000000000045</v>
      </c>
      <c r="BI341" s="2">
        <v>26</v>
      </c>
      <c r="BJ341" s="2">
        <v>3.5</v>
      </c>
      <c r="BK341" s="2">
        <v>0</v>
      </c>
      <c r="BL341" s="2">
        <v>11.5</v>
      </c>
      <c r="BM341" s="2">
        <v>1</v>
      </c>
      <c r="BN341" s="2"/>
      <c r="BO341" s="2"/>
      <c r="BP341" s="2">
        <v>2.7000000000007298</v>
      </c>
      <c r="BQ341" s="2">
        <v>6.8000000000029104</v>
      </c>
      <c r="BR341" s="2">
        <v>0.100000000000023</v>
      </c>
      <c r="BS341" s="2">
        <v>36.400000000023297</v>
      </c>
      <c r="BT341" s="2">
        <v>19.5</v>
      </c>
      <c r="BU341" s="2">
        <v>1.2000000000003901</v>
      </c>
      <c r="BV341" s="2">
        <v>0</v>
      </c>
      <c r="BW341" s="2">
        <v>0</v>
      </c>
      <c r="BX341" s="2"/>
      <c r="BY341" s="2"/>
      <c r="BZ341" s="2"/>
      <c r="CA341" s="2">
        <v>10.3</v>
      </c>
      <c r="CB341" s="2"/>
      <c r="CC341" s="2">
        <v>1</v>
      </c>
      <c r="CD341" s="2">
        <v>2</v>
      </c>
      <c r="CE341" s="2"/>
      <c r="CF341" s="2"/>
      <c r="CG341" s="2"/>
      <c r="CH341" s="2">
        <v>1.2</v>
      </c>
      <c r="CI341" s="2">
        <v>2.2000000000000002</v>
      </c>
      <c r="CJ341" s="2">
        <v>1</v>
      </c>
      <c r="CK341" s="2">
        <v>3</v>
      </c>
      <c r="CL341" s="2"/>
      <c r="CM341" s="2"/>
      <c r="CN341" s="2">
        <v>9.3000000000000007</v>
      </c>
      <c r="CO341" s="2">
        <v>2.6</v>
      </c>
      <c r="CP341" s="2"/>
      <c r="CQ341" s="2"/>
      <c r="CR341" s="2"/>
      <c r="CS341" s="2"/>
      <c r="CT341" s="2">
        <v>14.7</v>
      </c>
      <c r="CU341" s="2"/>
      <c r="CV341" s="2">
        <v>1.2</v>
      </c>
      <c r="CW341" s="2">
        <v>3.7</v>
      </c>
      <c r="CX341" s="2"/>
      <c r="CY341" s="2">
        <v>7</v>
      </c>
      <c r="CZ341" s="2"/>
      <c r="DB341">
        <v>1980</v>
      </c>
      <c r="DC341">
        <v>36.400000000023297</v>
      </c>
      <c r="DH341">
        <v>340</v>
      </c>
    </row>
    <row r="342" spans="1:112">
      <c r="A342" s="1">
        <v>41249</v>
      </c>
      <c r="B342" s="2"/>
      <c r="C342" s="2">
        <v>8.1999999999999993</v>
      </c>
      <c r="D342" s="2"/>
      <c r="E342" s="2"/>
      <c r="F342" s="2">
        <v>0.1</v>
      </c>
      <c r="G342" s="2"/>
      <c r="H342" s="2">
        <v>6</v>
      </c>
      <c r="I342" s="2"/>
      <c r="J342" s="2"/>
      <c r="K342" s="2"/>
      <c r="L342" s="2"/>
      <c r="M342" s="2"/>
      <c r="N342" s="2"/>
      <c r="O342" s="2">
        <v>0.2</v>
      </c>
      <c r="P342" s="2">
        <v>38.700000000000003</v>
      </c>
      <c r="Q342" s="2"/>
      <c r="R342" s="2"/>
      <c r="S342" s="2">
        <v>6.4</v>
      </c>
      <c r="T342" s="2"/>
      <c r="U342" s="2"/>
      <c r="V342" s="2"/>
      <c r="W342" s="2"/>
      <c r="X342" s="2"/>
      <c r="Y342" s="2">
        <v>0</v>
      </c>
      <c r="Z342" s="2"/>
      <c r="AA342" s="2"/>
      <c r="AB342" s="2">
        <v>3.1999999999970901</v>
      </c>
      <c r="AC342" s="2">
        <v>0.39999999999963598</v>
      </c>
      <c r="AD342" s="2">
        <v>0.19999999999981799</v>
      </c>
      <c r="AE342" s="2">
        <v>10.599999999991301</v>
      </c>
      <c r="AF342" s="2"/>
      <c r="AG342" s="2"/>
      <c r="AH342" s="2"/>
      <c r="AI342" s="2">
        <v>0</v>
      </c>
      <c r="AJ342" s="2">
        <v>1.1999999999989099</v>
      </c>
      <c r="AK342" s="2"/>
      <c r="AL342" s="2">
        <v>2</v>
      </c>
      <c r="AM342" s="2">
        <v>1.5</v>
      </c>
      <c r="AN342" s="2">
        <v>3.2999999999992702</v>
      </c>
      <c r="AO342" s="2"/>
      <c r="AP342" s="2"/>
      <c r="AQ342" s="2"/>
      <c r="AR342" s="2">
        <v>0.29999999999972699</v>
      </c>
      <c r="AS342" s="2">
        <v>5.8999999999941801</v>
      </c>
      <c r="AT342" s="2"/>
      <c r="AU342" s="2">
        <v>0.5</v>
      </c>
      <c r="AV342" s="2">
        <v>30.299999999988401</v>
      </c>
      <c r="AW342" s="2">
        <v>10</v>
      </c>
      <c r="AX342" s="2">
        <v>0.29999999999972699</v>
      </c>
      <c r="AY342" s="2"/>
      <c r="AZ342" s="2"/>
      <c r="BA342" s="2">
        <v>14.899999999994201</v>
      </c>
      <c r="BB342" s="2">
        <v>59.299999999988401</v>
      </c>
      <c r="BC342" s="2">
        <v>2.2000000000007298</v>
      </c>
      <c r="BD342" s="2"/>
      <c r="BE342" s="2"/>
      <c r="BF342" s="2"/>
      <c r="BG342" s="2">
        <v>4.8000000000029104</v>
      </c>
      <c r="BH342" s="2">
        <v>0.100000000000023</v>
      </c>
      <c r="BI342" s="2">
        <v>2</v>
      </c>
      <c r="BJ342" s="2">
        <v>16.5</v>
      </c>
      <c r="BK342" s="2">
        <v>0</v>
      </c>
      <c r="BL342" s="2">
        <v>0.100000000000023</v>
      </c>
      <c r="BM342" s="2">
        <v>10.3000000000029</v>
      </c>
      <c r="BN342" s="2"/>
      <c r="BO342" s="2">
        <v>5.8000000000029104</v>
      </c>
      <c r="BP342" s="2">
        <v>0</v>
      </c>
      <c r="BQ342" s="2">
        <v>21.299999999988401</v>
      </c>
      <c r="BR342" s="2"/>
      <c r="BS342" s="2"/>
      <c r="BT342" s="2">
        <v>0.400000000000091</v>
      </c>
      <c r="BU342" s="2">
        <v>0.60000000000036402</v>
      </c>
      <c r="BV342" s="2">
        <v>3.9</v>
      </c>
      <c r="BW342" s="2"/>
      <c r="BX342" s="2"/>
      <c r="BY342" s="2"/>
      <c r="BZ342" s="2">
        <v>1.5</v>
      </c>
      <c r="CA342" s="2">
        <v>0.1</v>
      </c>
      <c r="CB342" s="2">
        <v>0.3</v>
      </c>
      <c r="CC342" s="2"/>
      <c r="CD342" s="2">
        <v>2.4</v>
      </c>
      <c r="CE342" s="2">
        <v>8.4</v>
      </c>
      <c r="CF342" s="2">
        <v>0.2</v>
      </c>
      <c r="CG342" s="2"/>
      <c r="CH342" s="2"/>
      <c r="CI342" s="2">
        <v>4.5</v>
      </c>
      <c r="CJ342" s="2">
        <v>24.5</v>
      </c>
      <c r="CK342" s="2">
        <v>9</v>
      </c>
      <c r="CL342" s="2">
        <v>3</v>
      </c>
      <c r="CM342" s="2"/>
      <c r="CN342" s="2">
        <v>3.7</v>
      </c>
      <c r="CO342" s="2">
        <v>2.6</v>
      </c>
      <c r="CP342" s="2"/>
      <c r="CQ342" s="2">
        <v>6.4</v>
      </c>
      <c r="CR342" s="2"/>
      <c r="CS342" s="2"/>
      <c r="CT342" s="2">
        <v>21.6</v>
      </c>
      <c r="CU342" s="2"/>
      <c r="CV342" s="2">
        <v>1.3</v>
      </c>
      <c r="CW342" s="2">
        <v>0.1</v>
      </c>
      <c r="CX342" s="2">
        <v>3.5</v>
      </c>
      <c r="CY342" s="2">
        <v>8.8000000000000007</v>
      </c>
      <c r="CZ342" s="2">
        <v>8</v>
      </c>
      <c r="DB342">
        <v>1963</v>
      </c>
      <c r="DC342">
        <v>59.299999999988401</v>
      </c>
      <c r="DH342">
        <v>341</v>
      </c>
    </row>
    <row r="343" spans="1:112">
      <c r="A343" s="1">
        <v>41250</v>
      </c>
      <c r="B343" s="2">
        <v>0.2</v>
      </c>
      <c r="C343" s="2">
        <v>0.5</v>
      </c>
      <c r="D343" s="2"/>
      <c r="E343" s="2">
        <v>4.8</v>
      </c>
      <c r="F343" s="2">
        <v>0.1</v>
      </c>
      <c r="G343" s="2"/>
      <c r="H343" s="2">
        <v>1.1000000000000001</v>
      </c>
      <c r="I343" s="2"/>
      <c r="J343" s="2"/>
      <c r="K343" s="2">
        <v>0.1</v>
      </c>
      <c r="L343" s="2">
        <v>0.6</v>
      </c>
      <c r="M343" s="2"/>
      <c r="N343" s="2"/>
      <c r="O343" s="2">
        <v>0.8</v>
      </c>
      <c r="P343" s="2">
        <v>13.8</v>
      </c>
      <c r="Q343" s="2">
        <v>21</v>
      </c>
      <c r="R343" s="2">
        <v>0.7</v>
      </c>
      <c r="S343" s="2">
        <v>6.7</v>
      </c>
      <c r="T343" s="2">
        <v>0.5</v>
      </c>
      <c r="U343" s="2">
        <v>3.4</v>
      </c>
      <c r="V343" s="2"/>
      <c r="W343" s="2"/>
      <c r="X343" s="2">
        <v>3.5</v>
      </c>
      <c r="Y343" s="2">
        <v>12.299999999988399</v>
      </c>
      <c r="Z343" s="2"/>
      <c r="AA343" s="2"/>
      <c r="AB343" s="2"/>
      <c r="AC343" s="2">
        <v>0.5</v>
      </c>
      <c r="AD343" s="2"/>
      <c r="AE343" s="2">
        <v>1</v>
      </c>
      <c r="AF343" s="2"/>
      <c r="AG343" s="2"/>
      <c r="AH343" s="2"/>
      <c r="AI343" s="2">
        <v>1.29999999999927</v>
      </c>
      <c r="AJ343" s="2">
        <v>0.19999999999981799</v>
      </c>
      <c r="AK343" s="2"/>
      <c r="AL343" s="2">
        <v>16</v>
      </c>
      <c r="AM343" s="2"/>
      <c r="AN343" s="2"/>
      <c r="AO343" s="2"/>
      <c r="AP343" s="2"/>
      <c r="AQ343" s="2">
        <v>10.599999999991301</v>
      </c>
      <c r="AR343" s="2">
        <v>0.19999999999981799</v>
      </c>
      <c r="AS343" s="2"/>
      <c r="AT343" s="2"/>
      <c r="AU343" s="2">
        <v>6.1999999999970896</v>
      </c>
      <c r="AV343" s="2">
        <v>9.6999999999970896</v>
      </c>
      <c r="AW343" s="2">
        <v>14</v>
      </c>
      <c r="AX343" s="2">
        <v>2.5</v>
      </c>
      <c r="AY343" s="2"/>
      <c r="AZ343" s="2"/>
      <c r="BA343" s="2">
        <v>15.5</v>
      </c>
      <c r="BB343" s="2">
        <v>7.3</v>
      </c>
      <c r="BC343" s="2">
        <v>20.100000000005799</v>
      </c>
      <c r="BD343" s="2"/>
      <c r="BE343" s="2">
        <v>16.299999999988401</v>
      </c>
      <c r="BF343" s="2"/>
      <c r="BG343" s="2">
        <v>0.400000000000091</v>
      </c>
      <c r="BH343" s="2">
        <v>1.10000000000036</v>
      </c>
      <c r="BI343" s="2">
        <v>0.200000000000045</v>
      </c>
      <c r="BJ343" s="2">
        <v>19</v>
      </c>
      <c r="BK343" s="2">
        <v>0.100000000000023</v>
      </c>
      <c r="BL343" s="2"/>
      <c r="BM343" s="2">
        <v>5.3000000000029104</v>
      </c>
      <c r="BN343" s="2">
        <v>16.700000000011599</v>
      </c>
      <c r="BO343" s="2"/>
      <c r="BP343" s="2">
        <v>6.5999999999985501</v>
      </c>
      <c r="BQ343" s="2">
        <v>8.6999999999970896</v>
      </c>
      <c r="BR343" s="2"/>
      <c r="BS343" s="2">
        <v>0.200000000000045</v>
      </c>
      <c r="BT343" s="2"/>
      <c r="BU343" s="2"/>
      <c r="BV343" s="2">
        <v>4.8</v>
      </c>
      <c r="BW343" s="2"/>
      <c r="BX343" s="2"/>
      <c r="BY343" s="2">
        <v>0.1</v>
      </c>
      <c r="BZ343" s="2"/>
      <c r="CA343" s="2">
        <v>23.3</v>
      </c>
      <c r="CB343" s="2">
        <v>0.5</v>
      </c>
      <c r="CC343" s="2">
        <v>8.9</v>
      </c>
      <c r="CD343" s="2">
        <v>66</v>
      </c>
      <c r="CE343" s="2">
        <v>3.3</v>
      </c>
      <c r="CF343" s="2"/>
      <c r="CG343" s="2">
        <v>11</v>
      </c>
      <c r="CH343" s="2"/>
      <c r="CI343" s="2">
        <v>8.3000000000000007</v>
      </c>
      <c r="CJ343" s="2">
        <v>46</v>
      </c>
      <c r="CK343" s="2">
        <v>10</v>
      </c>
      <c r="CL343" s="2"/>
      <c r="CM343" s="2">
        <v>7.4</v>
      </c>
      <c r="CN343" s="2">
        <v>38.4</v>
      </c>
      <c r="CO343" s="2">
        <v>8.4</v>
      </c>
      <c r="CP343" s="2">
        <v>19.7</v>
      </c>
      <c r="CQ343" s="2">
        <v>8.8000000000000007</v>
      </c>
      <c r="CR343" s="2"/>
      <c r="CS343" s="2"/>
      <c r="CT343" s="2">
        <v>1.1000000000000001</v>
      </c>
      <c r="CU343" s="2">
        <v>1.4</v>
      </c>
      <c r="CV343" s="2"/>
      <c r="CW343" s="2"/>
      <c r="CX343" s="2">
        <v>26.6</v>
      </c>
      <c r="CY343" s="2">
        <v>10.199999999999999</v>
      </c>
      <c r="CZ343" s="2">
        <v>2.9</v>
      </c>
      <c r="DB343">
        <v>1991</v>
      </c>
      <c r="DC343">
        <v>66</v>
      </c>
      <c r="DH343">
        <v>342</v>
      </c>
    </row>
    <row r="344" spans="1:112">
      <c r="A344" s="1">
        <v>41251</v>
      </c>
      <c r="B344" s="2">
        <v>0.3</v>
      </c>
      <c r="C344" s="2">
        <v>8.6999999999999993</v>
      </c>
      <c r="D344" s="2">
        <v>0.4</v>
      </c>
      <c r="E344" s="2">
        <v>0.2</v>
      </c>
      <c r="F344" s="2"/>
      <c r="G344" s="2"/>
      <c r="H344" s="2">
        <v>2.6</v>
      </c>
      <c r="I344" s="2"/>
      <c r="J344" s="2">
        <v>19.899999999999999</v>
      </c>
      <c r="K344" s="2"/>
      <c r="L344" s="2">
        <v>1.5</v>
      </c>
      <c r="M344" s="2">
        <v>5.7</v>
      </c>
      <c r="N344" s="2"/>
      <c r="O344" s="2">
        <v>5.3</v>
      </c>
      <c r="P344" s="2">
        <v>20.100000000000001</v>
      </c>
      <c r="Q344" s="2">
        <v>4</v>
      </c>
      <c r="R344" s="2">
        <v>1.7</v>
      </c>
      <c r="S344" s="2">
        <v>4</v>
      </c>
      <c r="T344" s="2">
        <v>0.5</v>
      </c>
      <c r="U344" s="2">
        <v>3.7</v>
      </c>
      <c r="V344" s="2">
        <v>2.7</v>
      </c>
      <c r="W344" s="2">
        <v>0</v>
      </c>
      <c r="X344" s="2">
        <v>0.2</v>
      </c>
      <c r="Y344" s="2"/>
      <c r="Z344" s="2">
        <v>0.19999999999981799</v>
      </c>
      <c r="AA344" s="2"/>
      <c r="AB344" s="2"/>
      <c r="AC344" s="2">
        <v>4.5</v>
      </c>
      <c r="AD344" s="2">
        <v>24.599999999976699</v>
      </c>
      <c r="AE344" s="2">
        <v>9</v>
      </c>
      <c r="AF344" s="2">
        <v>1.39999999999964</v>
      </c>
      <c r="AG344" s="2"/>
      <c r="AH344" s="2"/>
      <c r="AI344" s="2">
        <v>2.2999999999992702</v>
      </c>
      <c r="AJ344" s="2">
        <v>4.1999999999970896</v>
      </c>
      <c r="AK344" s="2">
        <v>2.3999999999978199</v>
      </c>
      <c r="AL344" s="2">
        <v>9.3999999999941792</v>
      </c>
      <c r="AM344" s="2">
        <v>1.5</v>
      </c>
      <c r="AN344" s="2"/>
      <c r="AO344" s="2"/>
      <c r="AP344" s="2"/>
      <c r="AQ344" s="2">
        <v>8.2999999999883602</v>
      </c>
      <c r="AR344" s="2"/>
      <c r="AS344" s="2">
        <v>24.099999999976699</v>
      </c>
      <c r="AT344" s="2"/>
      <c r="AU344" s="2">
        <v>5.29999999999563</v>
      </c>
      <c r="AV344" s="2"/>
      <c r="AW344" s="2"/>
      <c r="AX344" s="2">
        <v>0.39999999999963598</v>
      </c>
      <c r="AY344" s="2"/>
      <c r="AZ344" s="2"/>
      <c r="BA344" s="2">
        <v>4.3999999999941801</v>
      </c>
      <c r="BB344" s="2">
        <v>9.9999999999908995E-2</v>
      </c>
      <c r="BC344" s="2">
        <v>29.200000000011599</v>
      </c>
      <c r="BD344" s="2"/>
      <c r="BE344" s="2">
        <v>19.5</v>
      </c>
      <c r="BF344" s="2"/>
      <c r="BG344" s="2">
        <v>0.200000000000045</v>
      </c>
      <c r="BH344" s="2">
        <v>0.200000000000045</v>
      </c>
      <c r="BI344" s="2">
        <v>0.400000000000091</v>
      </c>
      <c r="BJ344" s="2"/>
      <c r="BK344" s="2">
        <v>0.100000000000023</v>
      </c>
      <c r="BL344" s="2">
        <v>0.100000000000023</v>
      </c>
      <c r="BM344" s="2">
        <v>11</v>
      </c>
      <c r="BN344" s="2"/>
      <c r="BO344" s="2">
        <v>18.899999999994201</v>
      </c>
      <c r="BP344" s="2">
        <v>6</v>
      </c>
      <c r="BQ344" s="2">
        <v>17.5</v>
      </c>
      <c r="BR344" s="2"/>
      <c r="BS344" s="2">
        <v>13.6999999999971</v>
      </c>
      <c r="BT344" s="2"/>
      <c r="BU344" s="2"/>
      <c r="BV344" s="2">
        <v>0.1</v>
      </c>
      <c r="BW344" s="2"/>
      <c r="BX344" s="2"/>
      <c r="BY344" s="2"/>
      <c r="BZ344" s="2">
        <v>1.9</v>
      </c>
      <c r="CA344" s="2">
        <v>28</v>
      </c>
      <c r="CB344" s="2"/>
      <c r="CC344" s="2">
        <v>8.5</v>
      </c>
      <c r="CD344" s="2">
        <v>7.5</v>
      </c>
      <c r="CE344" s="2"/>
      <c r="CF344" s="2">
        <v>11.9</v>
      </c>
      <c r="CG344" s="2"/>
      <c r="CH344" s="2">
        <v>0</v>
      </c>
      <c r="CI344" s="2">
        <v>4.5</v>
      </c>
      <c r="CJ344" s="2">
        <v>23.5</v>
      </c>
      <c r="CK344" s="2">
        <v>19</v>
      </c>
      <c r="CL344" s="2"/>
      <c r="CM344" s="2">
        <v>1</v>
      </c>
      <c r="CN344" s="2">
        <v>28.5</v>
      </c>
      <c r="CO344" s="2">
        <v>22</v>
      </c>
      <c r="CP344" s="2">
        <v>0.2</v>
      </c>
      <c r="CQ344" s="2"/>
      <c r="CR344" s="2">
        <v>2.4</v>
      </c>
      <c r="CS344" s="2"/>
      <c r="CT344" s="2"/>
      <c r="CU344" s="2">
        <v>2.5</v>
      </c>
      <c r="CV344" s="2">
        <v>3.2</v>
      </c>
      <c r="CW344" s="2"/>
      <c r="CX344" s="2">
        <v>1.8</v>
      </c>
      <c r="CY344" s="2"/>
      <c r="CZ344" s="2">
        <v>1.8</v>
      </c>
      <c r="DB344">
        <v>1964</v>
      </c>
      <c r="DC344">
        <v>29.200000000011599</v>
      </c>
      <c r="DH344">
        <v>343</v>
      </c>
    </row>
    <row r="345" spans="1:112">
      <c r="A345" s="1">
        <v>41252</v>
      </c>
      <c r="B345" s="2"/>
      <c r="C345" s="2">
        <v>6.6</v>
      </c>
      <c r="D345" s="2">
        <v>29.3</v>
      </c>
      <c r="E345" s="2">
        <v>0.2</v>
      </c>
      <c r="F345" s="2"/>
      <c r="G345" s="2">
        <v>1.8</v>
      </c>
      <c r="H345" s="2"/>
      <c r="I345" s="2"/>
      <c r="J345" s="2"/>
      <c r="K345" s="2">
        <v>7.8</v>
      </c>
      <c r="L345" s="2"/>
      <c r="M345" s="2">
        <v>10.7</v>
      </c>
      <c r="N345" s="2">
        <v>0.5</v>
      </c>
      <c r="O345" s="2">
        <v>33</v>
      </c>
      <c r="P345" s="2">
        <v>2.7</v>
      </c>
      <c r="Q345" s="2">
        <v>15.5</v>
      </c>
      <c r="R345" s="2">
        <v>15.8</v>
      </c>
      <c r="S345" s="2"/>
      <c r="T345" s="2"/>
      <c r="U345" s="2">
        <v>3</v>
      </c>
      <c r="V345" s="2"/>
      <c r="W345" s="2"/>
      <c r="X345" s="2">
        <v>4</v>
      </c>
      <c r="Y345" s="2">
        <v>1</v>
      </c>
      <c r="Z345" s="2"/>
      <c r="AA345" s="2"/>
      <c r="AB345" s="2"/>
      <c r="AC345" s="2">
        <v>4.79999999999563</v>
      </c>
      <c r="AD345" s="2">
        <v>10</v>
      </c>
      <c r="AE345" s="2">
        <v>1</v>
      </c>
      <c r="AF345" s="2">
        <v>28.699999999982499</v>
      </c>
      <c r="AG345" s="2"/>
      <c r="AH345" s="2">
        <v>4.5</v>
      </c>
      <c r="AI345" s="2"/>
      <c r="AJ345" s="2">
        <v>11.5</v>
      </c>
      <c r="AK345" s="2">
        <v>2.2999999999992702</v>
      </c>
      <c r="AL345" s="2">
        <v>0.39999999999963598</v>
      </c>
      <c r="AM345" s="2">
        <v>2.5999999999985399</v>
      </c>
      <c r="AN345" s="2"/>
      <c r="AO345" s="2"/>
      <c r="AP345" s="2">
        <v>1</v>
      </c>
      <c r="AQ345" s="2"/>
      <c r="AR345" s="2"/>
      <c r="AS345" s="2">
        <v>2.1999999999970901</v>
      </c>
      <c r="AT345" s="2"/>
      <c r="AU345" s="2">
        <v>3.1999999999970901</v>
      </c>
      <c r="AV345" s="2"/>
      <c r="AW345" s="2"/>
      <c r="AX345" s="2">
        <v>2.0999999999985399</v>
      </c>
      <c r="AY345" s="2"/>
      <c r="AZ345" s="2">
        <v>19</v>
      </c>
      <c r="BA345" s="2">
        <v>8.0999999999912706</v>
      </c>
      <c r="BB345" s="2">
        <v>0.5</v>
      </c>
      <c r="BC345" s="2">
        <v>27.5</v>
      </c>
      <c r="BD345" s="2"/>
      <c r="BE345" s="2">
        <v>0.400000000000091</v>
      </c>
      <c r="BF345" s="2">
        <v>6.8000000000029104</v>
      </c>
      <c r="BG345" s="2">
        <v>36.799999999988401</v>
      </c>
      <c r="BH345" s="2">
        <v>3.0999999999985399</v>
      </c>
      <c r="BI345" s="2">
        <v>1</v>
      </c>
      <c r="BJ345" s="2">
        <v>2.7999999999992702</v>
      </c>
      <c r="BK345" s="2">
        <v>0.100000000000023</v>
      </c>
      <c r="BL345" s="2">
        <v>0.100000000000023</v>
      </c>
      <c r="BM345" s="2">
        <v>11</v>
      </c>
      <c r="BN345" s="2">
        <v>0.100000000000023</v>
      </c>
      <c r="BO345" s="2"/>
      <c r="BP345" s="2"/>
      <c r="BQ345" s="2"/>
      <c r="BR345" s="2"/>
      <c r="BS345" s="2">
        <v>24.100000000005799</v>
      </c>
      <c r="BT345" s="2"/>
      <c r="BU345" s="2"/>
      <c r="BV345" s="2">
        <v>8.9</v>
      </c>
      <c r="BW345" s="2"/>
      <c r="BX345" s="2"/>
      <c r="BY345" s="2"/>
      <c r="BZ345" s="2">
        <v>58.5</v>
      </c>
      <c r="CA345" s="2">
        <v>13</v>
      </c>
      <c r="CB345" s="2">
        <v>27.4</v>
      </c>
      <c r="CC345" s="2"/>
      <c r="CD345" s="2">
        <v>1.1000000000000001</v>
      </c>
      <c r="CE345" s="2">
        <v>4.3</v>
      </c>
      <c r="CF345" s="2"/>
      <c r="CG345" s="2"/>
      <c r="CH345" s="2">
        <v>3.4</v>
      </c>
      <c r="CI345" s="2">
        <v>1</v>
      </c>
      <c r="CJ345" s="2"/>
      <c r="CK345" s="2">
        <v>39</v>
      </c>
      <c r="CL345" s="2"/>
      <c r="CM345" s="2"/>
      <c r="CN345" s="2">
        <v>29.7</v>
      </c>
      <c r="CO345" s="2">
        <v>17</v>
      </c>
      <c r="CP345" s="2"/>
      <c r="CQ345" s="2"/>
      <c r="CR345" s="2"/>
      <c r="CS345" s="2"/>
      <c r="CT345" s="2">
        <v>2.7</v>
      </c>
      <c r="CU345" s="2">
        <v>5</v>
      </c>
      <c r="CV345" s="2">
        <v>0.5</v>
      </c>
      <c r="CW345" s="2">
        <v>21.5</v>
      </c>
      <c r="CX345" s="2"/>
      <c r="CY345" s="2">
        <v>9.5</v>
      </c>
      <c r="CZ345" s="2">
        <v>4.9000000000000004</v>
      </c>
      <c r="DB345">
        <v>1987</v>
      </c>
      <c r="DC345">
        <v>58.5</v>
      </c>
      <c r="DH345">
        <v>344</v>
      </c>
    </row>
    <row r="346" spans="1:112">
      <c r="A346" s="1">
        <v>41253</v>
      </c>
      <c r="B346" s="2"/>
      <c r="C346" s="2"/>
      <c r="D346" s="2">
        <v>2</v>
      </c>
      <c r="E346" s="2">
        <v>0.3</v>
      </c>
      <c r="F346" s="2"/>
      <c r="G346" s="2"/>
      <c r="H346" s="2"/>
      <c r="I346" s="2">
        <v>0.2</v>
      </c>
      <c r="J346" s="2">
        <v>4.3</v>
      </c>
      <c r="K346" s="2">
        <v>0.8</v>
      </c>
      <c r="L346" s="2">
        <v>3.7</v>
      </c>
      <c r="M346" s="2"/>
      <c r="N346" s="2"/>
      <c r="O346" s="2">
        <v>11.5</v>
      </c>
      <c r="P346" s="2">
        <v>2.2000000000000002</v>
      </c>
      <c r="Q346" s="2">
        <v>6.5</v>
      </c>
      <c r="R346" s="2">
        <v>4.2</v>
      </c>
      <c r="S346" s="2"/>
      <c r="T346" s="2">
        <v>0</v>
      </c>
      <c r="U346" s="2"/>
      <c r="V346" s="2"/>
      <c r="W346" s="2">
        <v>0.3</v>
      </c>
      <c r="X346" s="2">
        <v>20.6</v>
      </c>
      <c r="Y346" s="2"/>
      <c r="Z346" s="2">
        <v>8.5</v>
      </c>
      <c r="AA346" s="2"/>
      <c r="AB346" s="2"/>
      <c r="AC346" s="2">
        <v>0.59999999999945397</v>
      </c>
      <c r="AD346" s="2">
        <v>22.5</v>
      </c>
      <c r="AE346" s="2">
        <v>13.899999999994201</v>
      </c>
      <c r="AF346" s="2">
        <v>1</v>
      </c>
      <c r="AG346" s="2">
        <v>0</v>
      </c>
      <c r="AH346" s="2">
        <v>0.29999999999972699</v>
      </c>
      <c r="AI346" s="2"/>
      <c r="AJ346" s="2">
        <v>0.29999999999972699</v>
      </c>
      <c r="AK346" s="2">
        <v>1.1999999999989099</v>
      </c>
      <c r="AL346" s="2">
        <v>0.5</v>
      </c>
      <c r="AM346" s="2"/>
      <c r="AN346" s="2">
        <v>0.89999999999963598</v>
      </c>
      <c r="AO346" s="2"/>
      <c r="AP346" s="2">
        <v>1.6999999999989099</v>
      </c>
      <c r="AQ346" s="2">
        <v>1.0999999999985499</v>
      </c>
      <c r="AR346" s="2"/>
      <c r="AS346" s="2"/>
      <c r="AT346" s="2"/>
      <c r="AU346" s="2"/>
      <c r="AV346" s="2">
        <v>6.0999999999985501</v>
      </c>
      <c r="AW346" s="2"/>
      <c r="AX346" s="2">
        <v>5</v>
      </c>
      <c r="AY346" s="2"/>
      <c r="AZ346" s="2">
        <v>10.099999999991301</v>
      </c>
      <c r="BA346" s="2">
        <v>0.5</v>
      </c>
      <c r="BB346" s="2">
        <v>1</v>
      </c>
      <c r="BC346" s="2">
        <v>4.1999999999970896</v>
      </c>
      <c r="BD346" s="2">
        <v>0.30000000000018201</v>
      </c>
      <c r="BE346" s="2"/>
      <c r="BF346" s="2">
        <v>4.3000000000029104</v>
      </c>
      <c r="BG346" s="2">
        <v>23.5</v>
      </c>
      <c r="BH346" s="2">
        <v>0.100000000000023</v>
      </c>
      <c r="BI346" s="2">
        <v>6.5</v>
      </c>
      <c r="BJ346" s="2">
        <v>12.1999999999971</v>
      </c>
      <c r="BK346" s="2">
        <v>0.100000000000023</v>
      </c>
      <c r="BL346" s="2">
        <v>6.6999999999970896</v>
      </c>
      <c r="BM346" s="2">
        <v>13.6999999999971</v>
      </c>
      <c r="BN346" s="2"/>
      <c r="BO346" s="2"/>
      <c r="BP346" s="2">
        <v>5.4000000000014596</v>
      </c>
      <c r="BQ346" s="2">
        <v>0.200000000000045</v>
      </c>
      <c r="BR346" s="2"/>
      <c r="BS346" s="2">
        <v>3.9000000000014601</v>
      </c>
      <c r="BT346" s="2"/>
      <c r="BU346" s="2"/>
      <c r="BV346" s="2">
        <v>0.1</v>
      </c>
      <c r="BW346" s="2"/>
      <c r="BX346" s="2">
        <v>1.6</v>
      </c>
      <c r="BY346" s="2">
        <v>0.1</v>
      </c>
      <c r="BZ346" s="2">
        <v>1.5</v>
      </c>
      <c r="CA346" s="2">
        <v>9.4</v>
      </c>
      <c r="CB346" s="2">
        <v>3.2</v>
      </c>
      <c r="CC346" s="2"/>
      <c r="CD346" s="2">
        <v>14.5</v>
      </c>
      <c r="CE346" s="2">
        <v>2.2999999999999998</v>
      </c>
      <c r="CF346" s="2"/>
      <c r="CG346" s="2">
        <v>0.5</v>
      </c>
      <c r="CH346" s="2">
        <v>5.5</v>
      </c>
      <c r="CI346" s="2"/>
      <c r="CJ346" s="2"/>
      <c r="CK346" s="2"/>
      <c r="CL346" s="2"/>
      <c r="CM346" s="2"/>
      <c r="CN346" s="2">
        <v>0.8</v>
      </c>
      <c r="CO346" s="2">
        <v>5</v>
      </c>
      <c r="CP346" s="2"/>
      <c r="CQ346" s="2"/>
      <c r="CR346" s="2">
        <v>0.9</v>
      </c>
      <c r="CS346" s="2"/>
      <c r="CT346" s="2">
        <v>0.7</v>
      </c>
      <c r="CU346" s="2"/>
      <c r="CV346" s="2">
        <v>6.7</v>
      </c>
      <c r="CW346" s="2">
        <v>28.5</v>
      </c>
      <c r="CX346" s="2"/>
      <c r="CY346" s="2">
        <v>11.4</v>
      </c>
      <c r="CZ346" s="2">
        <v>14</v>
      </c>
      <c r="DB346">
        <v>2010</v>
      </c>
      <c r="DC346">
        <v>28.5</v>
      </c>
      <c r="DH346">
        <v>345</v>
      </c>
    </row>
    <row r="347" spans="1:112">
      <c r="A347" s="1">
        <v>41254</v>
      </c>
      <c r="B347" s="2"/>
      <c r="C347" s="2"/>
      <c r="D347" s="2">
        <v>1.3</v>
      </c>
      <c r="E347" s="2"/>
      <c r="F347" s="2">
        <v>0.1</v>
      </c>
      <c r="G347" s="2"/>
      <c r="H347" s="2"/>
      <c r="I347" s="2"/>
      <c r="J347" s="2">
        <v>1.1000000000000001</v>
      </c>
      <c r="K347" s="2"/>
      <c r="L347" s="2">
        <v>38.6</v>
      </c>
      <c r="M347" s="2">
        <v>18.3</v>
      </c>
      <c r="N347" s="2">
        <v>47.2</v>
      </c>
      <c r="O347" s="2">
        <v>6.3</v>
      </c>
      <c r="P347" s="2"/>
      <c r="Q347" s="2">
        <v>11.9</v>
      </c>
      <c r="R347" s="2"/>
      <c r="S347" s="2">
        <v>6</v>
      </c>
      <c r="T347" s="2"/>
      <c r="U347" s="2">
        <v>12</v>
      </c>
      <c r="V347" s="2">
        <v>3.8</v>
      </c>
      <c r="W347" s="2">
        <v>4.5</v>
      </c>
      <c r="X347" s="2"/>
      <c r="Y347" s="2"/>
      <c r="Z347" s="2">
        <v>7</v>
      </c>
      <c r="AA347" s="2"/>
      <c r="AB347" s="2"/>
      <c r="AC347" s="2"/>
      <c r="AD347" s="2">
        <v>3.2999999999992702</v>
      </c>
      <c r="AE347" s="2">
        <v>2</v>
      </c>
      <c r="AF347" s="2"/>
      <c r="AG347" s="2"/>
      <c r="AH347" s="2">
        <v>7.6999999999970896</v>
      </c>
      <c r="AI347" s="2">
        <v>0.29999999999972699</v>
      </c>
      <c r="AJ347" s="2">
        <v>7.5</v>
      </c>
      <c r="AK347" s="2"/>
      <c r="AL347" s="2"/>
      <c r="AM347" s="2"/>
      <c r="AN347" s="2">
        <v>1</v>
      </c>
      <c r="AO347" s="2">
        <v>0.69999999999981799</v>
      </c>
      <c r="AP347" s="2">
        <v>22</v>
      </c>
      <c r="AQ347" s="2"/>
      <c r="AR347" s="2">
        <v>2.3999999999978199</v>
      </c>
      <c r="AS347" s="2"/>
      <c r="AT347" s="2">
        <v>0.19999999999981799</v>
      </c>
      <c r="AU347" s="2">
        <v>4.3999999999941801</v>
      </c>
      <c r="AV347" s="2">
        <v>0.59999999999945397</v>
      </c>
      <c r="AW347" s="2">
        <v>1.1999999999989099</v>
      </c>
      <c r="AX347" s="2"/>
      <c r="AY347" s="2">
        <v>1.0999999999985499</v>
      </c>
      <c r="AZ347" s="2">
        <v>1.6999999999989099</v>
      </c>
      <c r="BA347" s="2"/>
      <c r="BB347" s="2"/>
      <c r="BC347" s="2">
        <v>0.30000000000018201</v>
      </c>
      <c r="BD347" s="2">
        <v>0.30000000000018201</v>
      </c>
      <c r="BE347" s="2">
        <v>1.79999999999927</v>
      </c>
      <c r="BF347" s="2">
        <v>0.5</v>
      </c>
      <c r="BG347" s="2">
        <v>0.200000000000045</v>
      </c>
      <c r="BH347" s="2">
        <v>14.1999999999971</v>
      </c>
      <c r="BI347" s="2">
        <v>3.2000000000007298</v>
      </c>
      <c r="BJ347" s="2">
        <v>37.5</v>
      </c>
      <c r="BK347" s="2">
        <v>0.69999999999981799</v>
      </c>
      <c r="BL347" s="2">
        <v>0.200000000000045</v>
      </c>
      <c r="BM347" s="2">
        <v>1.5</v>
      </c>
      <c r="BN347" s="2"/>
      <c r="BO347" s="2">
        <v>39.400000000023297</v>
      </c>
      <c r="BP347" s="2">
        <v>3.5</v>
      </c>
      <c r="BQ347" s="2">
        <v>0.200000000000045</v>
      </c>
      <c r="BR347" s="2">
        <v>0.100000000000023</v>
      </c>
      <c r="BS347" s="2"/>
      <c r="BT347" s="2">
        <v>0</v>
      </c>
      <c r="BU347" s="2">
        <v>0</v>
      </c>
      <c r="BV347" s="2"/>
      <c r="BW347" s="2">
        <v>13.5</v>
      </c>
      <c r="BX347" s="2">
        <v>0.4</v>
      </c>
      <c r="BY347" s="2">
        <v>1.1000000000000001</v>
      </c>
      <c r="BZ347" s="2"/>
      <c r="CA347" s="2"/>
      <c r="CB347" s="2"/>
      <c r="CC347" s="2"/>
      <c r="CD347" s="2"/>
      <c r="CE347" s="2">
        <v>0.8</v>
      </c>
      <c r="CF347" s="2"/>
      <c r="CG347" s="2">
        <v>4</v>
      </c>
      <c r="CH347" s="2">
        <v>0.3</v>
      </c>
      <c r="CI347" s="2"/>
      <c r="CJ347" s="2"/>
      <c r="CK347" s="2">
        <v>16</v>
      </c>
      <c r="CL347" s="2"/>
      <c r="CM347" s="2">
        <v>7</v>
      </c>
      <c r="CN347" s="2">
        <v>0.7</v>
      </c>
      <c r="CO347" s="2">
        <v>5.6</v>
      </c>
      <c r="CP347" s="2"/>
      <c r="CQ347" s="2"/>
      <c r="CR347" s="2"/>
      <c r="CS347" s="2">
        <v>2.1</v>
      </c>
      <c r="CT347" s="2">
        <v>0.6</v>
      </c>
      <c r="CU347" s="2"/>
      <c r="CV347" s="2">
        <v>26</v>
      </c>
      <c r="CW347" s="2">
        <v>13.6</v>
      </c>
      <c r="CX347" s="2"/>
      <c r="CY347" s="2">
        <v>5.2</v>
      </c>
      <c r="CZ347" s="2">
        <v>10.199999999999999</v>
      </c>
      <c r="DB347">
        <v>1923</v>
      </c>
      <c r="DC347">
        <v>47.2</v>
      </c>
      <c r="DH347">
        <v>346</v>
      </c>
    </row>
    <row r="348" spans="1:112">
      <c r="A348" s="1">
        <v>41255</v>
      </c>
      <c r="B348" s="2">
        <v>21</v>
      </c>
      <c r="C348" s="2">
        <v>6</v>
      </c>
      <c r="D348" s="2">
        <v>18.399999999999999</v>
      </c>
      <c r="E348" s="2"/>
      <c r="F348" s="2"/>
      <c r="G348" s="2">
        <v>4</v>
      </c>
      <c r="H348" s="2"/>
      <c r="I348" s="2"/>
      <c r="J348" s="2">
        <v>11.5</v>
      </c>
      <c r="K348" s="2">
        <v>12.3</v>
      </c>
      <c r="L348" s="2"/>
      <c r="M348" s="2">
        <v>25.9</v>
      </c>
      <c r="N348" s="2"/>
      <c r="O348" s="2">
        <v>3.5</v>
      </c>
      <c r="P348" s="2">
        <v>3.3</v>
      </c>
      <c r="Q348" s="2">
        <v>0.9</v>
      </c>
      <c r="R348" s="2">
        <v>0.8</v>
      </c>
      <c r="S348" s="2">
        <v>0.3</v>
      </c>
      <c r="T348" s="2">
        <v>0.7</v>
      </c>
      <c r="U348" s="2">
        <v>17.899999999999999</v>
      </c>
      <c r="V348" s="2">
        <v>40.1</v>
      </c>
      <c r="W348" s="2">
        <v>2.5</v>
      </c>
      <c r="X348" s="2">
        <v>10.5</v>
      </c>
      <c r="Y348" s="2">
        <v>1.79999999999927</v>
      </c>
      <c r="Z348" s="2">
        <v>5</v>
      </c>
      <c r="AA348" s="2"/>
      <c r="AB348" s="2">
        <v>0.39999999999963598</v>
      </c>
      <c r="AC348" s="2">
        <v>1.79999999999927</v>
      </c>
      <c r="AD348" s="2"/>
      <c r="AE348" s="2">
        <v>44.299999999988401</v>
      </c>
      <c r="AF348" s="2">
        <v>1</v>
      </c>
      <c r="AG348" s="2"/>
      <c r="AH348" s="2">
        <v>16.699999999982499</v>
      </c>
      <c r="AI348" s="2"/>
      <c r="AJ348" s="2">
        <v>1.89999999999964</v>
      </c>
      <c r="AK348" s="2">
        <v>6</v>
      </c>
      <c r="AL348" s="2"/>
      <c r="AM348" s="2"/>
      <c r="AN348" s="2">
        <v>0</v>
      </c>
      <c r="AO348" s="2"/>
      <c r="AP348" s="2">
        <v>41.599999999976703</v>
      </c>
      <c r="AQ348" s="2"/>
      <c r="AR348" s="2">
        <v>1.89999999999964</v>
      </c>
      <c r="AS348" s="2"/>
      <c r="AT348" s="2">
        <v>6</v>
      </c>
      <c r="AU348" s="2">
        <v>2.5</v>
      </c>
      <c r="AV348" s="2">
        <v>1.89999999999964</v>
      </c>
      <c r="AW348" s="2">
        <v>9</v>
      </c>
      <c r="AX348" s="2"/>
      <c r="AY348" s="2">
        <v>0.29999999999972699</v>
      </c>
      <c r="AZ348" s="2">
        <v>2.5999999999985399</v>
      </c>
      <c r="BA348" s="2"/>
      <c r="BB348" s="2">
        <v>2.0999999999985399</v>
      </c>
      <c r="BC348" s="2">
        <v>10</v>
      </c>
      <c r="BD348" s="2">
        <v>4.6999999999970896</v>
      </c>
      <c r="BE348" s="2">
        <v>11.8000000000029</v>
      </c>
      <c r="BF348" s="2">
        <v>0.400000000000091</v>
      </c>
      <c r="BG348" s="2"/>
      <c r="BH348" s="2">
        <v>15.6999999999971</v>
      </c>
      <c r="BI348" s="2">
        <v>17.299999999988401</v>
      </c>
      <c r="BJ348" s="2"/>
      <c r="BK348" s="2">
        <v>0.100000000000023</v>
      </c>
      <c r="BL348" s="2"/>
      <c r="BM348" s="2">
        <v>0.100000000000023</v>
      </c>
      <c r="BN348" s="2"/>
      <c r="BO348" s="2">
        <v>13.8000000000029</v>
      </c>
      <c r="BP348" s="2">
        <v>2.5</v>
      </c>
      <c r="BQ348" s="2"/>
      <c r="BR348" s="2">
        <v>29</v>
      </c>
      <c r="BS348" s="2"/>
      <c r="BT348" s="2">
        <v>1.79999999999927</v>
      </c>
      <c r="BU348" s="2"/>
      <c r="BV348" s="2">
        <v>14.9</v>
      </c>
      <c r="BW348" s="2">
        <v>7.3999999999941801</v>
      </c>
      <c r="BX348" s="2">
        <v>1.5</v>
      </c>
      <c r="BY348" s="2">
        <v>3.6</v>
      </c>
      <c r="BZ348" s="2"/>
      <c r="CA348" s="2"/>
      <c r="CB348" s="2"/>
      <c r="CC348" s="2">
        <v>3</v>
      </c>
      <c r="CD348" s="2">
        <v>3</v>
      </c>
      <c r="CE348" s="2">
        <v>0.2</v>
      </c>
      <c r="CF348" s="2">
        <v>29.5</v>
      </c>
      <c r="CG348" s="2"/>
      <c r="CH348" s="2">
        <v>0</v>
      </c>
      <c r="CI348" s="2">
        <v>2</v>
      </c>
      <c r="CJ348" s="2"/>
      <c r="CK348" s="2">
        <v>1</v>
      </c>
      <c r="CL348" s="2"/>
      <c r="CM348" s="2">
        <v>5</v>
      </c>
      <c r="CN348" s="2">
        <v>5.5</v>
      </c>
      <c r="CO348" s="2">
        <v>0.1</v>
      </c>
      <c r="CP348" s="2"/>
      <c r="CQ348" s="2"/>
      <c r="CR348" s="2">
        <v>0.1</v>
      </c>
      <c r="CS348" s="2">
        <v>1</v>
      </c>
      <c r="CT348" s="2">
        <v>1.4</v>
      </c>
      <c r="CU348" s="2">
        <v>3.2</v>
      </c>
      <c r="CV348" s="2">
        <v>31.3</v>
      </c>
      <c r="CW348" s="2"/>
      <c r="CX348" s="2"/>
      <c r="CY348" s="2">
        <v>0.2</v>
      </c>
      <c r="CZ348" s="2">
        <v>0.5</v>
      </c>
      <c r="DB348">
        <v>1940</v>
      </c>
      <c r="DC348">
        <v>44.299999999988401</v>
      </c>
      <c r="DH348">
        <v>347</v>
      </c>
    </row>
    <row r="349" spans="1:112">
      <c r="A349" s="1">
        <v>41256</v>
      </c>
      <c r="B349" s="2"/>
      <c r="C349" s="2"/>
      <c r="D349" s="2">
        <v>10.8</v>
      </c>
      <c r="E349" s="2"/>
      <c r="F349" s="2"/>
      <c r="G349" s="2">
        <v>0.6</v>
      </c>
      <c r="H349" s="2"/>
      <c r="I349" s="2"/>
      <c r="J349" s="2">
        <v>4.5</v>
      </c>
      <c r="K349" s="2">
        <v>2</v>
      </c>
      <c r="L349" s="2">
        <v>0.7</v>
      </c>
      <c r="M349" s="2">
        <v>3.9</v>
      </c>
      <c r="N349" s="2"/>
      <c r="O349" s="2">
        <v>3.2</v>
      </c>
      <c r="P349" s="2">
        <v>13.4</v>
      </c>
      <c r="Q349" s="2"/>
      <c r="R349" s="2">
        <v>0.8</v>
      </c>
      <c r="S349" s="2">
        <v>5.7</v>
      </c>
      <c r="T349" s="2">
        <v>11.5</v>
      </c>
      <c r="U349" s="2">
        <v>2.8</v>
      </c>
      <c r="V349" s="2"/>
      <c r="W349" s="2">
        <v>0.2</v>
      </c>
      <c r="X349" s="2">
        <v>0.1</v>
      </c>
      <c r="Y349" s="2"/>
      <c r="Z349" s="2">
        <v>20.099999999976699</v>
      </c>
      <c r="AA349" s="2"/>
      <c r="AB349" s="2"/>
      <c r="AC349" s="2">
        <v>2.5</v>
      </c>
      <c r="AD349" s="2">
        <v>10.799999999988399</v>
      </c>
      <c r="AE349" s="2">
        <v>26.899999999994201</v>
      </c>
      <c r="AF349" s="2"/>
      <c r="AG349" s="2"/>
      <c r="AH349" s="2">
        <v>0.59999999999945397</v>
      </c>
      <c r="AI349" s="2">
        <v>0.29999999999972699</v>
      </c>
      <c r="AJ349" s="2">
        <v>0</v>
      </c>
      <c r="AK349" s="2">
        <v>25.799999999988401</v>
      </c>
      <c r="AL349" s="2">
        <v>7</v>
      </c>
      <c r="AM349" s="2">
        <v>6.3999999999941801</v>
      </c>
      <c r="AN349" s="2">
        <v>0.19999999999981799</v>
      </c>
      <c r="AO349" s="2"/>
      <c r="AP349" s="2">
        <v>1</v>
      </c>
      <c r="AQ349" s="2"/>
      <c r="AR349" s="2">
        <v>3.3999999999978199</v>
      </c>
      <c r="AS349" s="2"/>
      <c r="AT349" s="2">
        <v>1</v>
      </c>
      <c r="AU349" s="2"/>
      <c r="AV349" s="2"/>
      <c r="AW349" s="2">
        <v>4.5</v>
      </c>
      <c r="AX349" s="2"/>
      <c r="AY349" s="2">
        <v>8</v>
      </c>
      <c r="AZ349" s="2">
        <v>4.79999999999563</v>
      </c>
      <c r="BA349" s="2"/>
      <c r="BB349" s="2">
        <v>18.5</v>
      </c>
      <c r="BC349" s="2"/>
      <c r="BD349" s="2">
        <v>9.3999999999941792</v>
      </c>
      <c r="BE349" s="2"/>
      <c r="BF349" s="2">
        <v>22</v>
      </c>
      <c r="BG349" s="2">
        <v>5.0999999999985501</v>
      </c>
      <c r="BH349" s="2">
        <v>0.200000000000045</v>
      </c>
      <c r="BI349" s="2">
        <v>0.200000000000045</v>
      </c>
      <c r="BJ349" s="2">
        <v>5</v>
      </c>
      <c r="BK349" s="2">
        <v>0.60000000000036402</v>
      </c>
      <c r="BL349" s="2">
        <v>0.100000000000023</v>
      </c>
      <c r="BM349" s="2"/>
      <c r="BN349" s="2"/>
      <c r="BO349" s="2">
        <v>27</v>
      </c>
      <c r="BP349" s="2">
        <v>16.299999999988401</v>
      </c>
      <c r="BQ349" s="2">
        <v>7.5</v>
      </c>
      <c r="BR349" s="2">
        <v>18.600000000005799</v>
      </c>
      <c r="BS349" s="2">
        <v>0.100000000000023</v>
      </c>
      <c r="BT349" s="2">
        <v>10.399999999994201</v>
      </c>
      <c r="BU349" s="2">
        <v>0</v>
      </c>
      <c r="BV349" s="2"/>
      <c r="BW349" s="2">
        <v>9.9999999999908995E-2</v>
      </c>
      <c r="BX349" s="2">
        <v>0.2</v>
      </c>
      <c r="BY349" s="2">
        <v>0.1</v>
      </c>
      <c r="BZ349" s="2"/>
      <c r="CA349" s="2">
        <v>0.5</v>
      </c>
      <c r="CB349" s="2"/>
      <c r="CC349" s="2"/>
      <c r="CD349" s="2">
        <v>0.3</v>
      </c>
      <c r="CE349" s="2">
        <v>30</v>
      </c>
      <c r="CF349" s="2"/>
      <c r="CG349" s="2"/>
      <c r="CH349" s="2"/>
      <c r="CI349" s="2"/>
      <c r="CJ349" s="2">
        <v>16.7</v>
      </c>
      <c r="CK349" s="2"/>
      <c r="CL349" s="2">
        <v>8.5</v>
      </c>
      <c r="CM349" s="2"/>
      <c r="CN349" s="2">
        <v>6.4</v>
      </c>
      <c r="CO349" s="2"/>
      <c r="CP349" s="2">
        <v>2.9</v>
      </c>
      <c r="CQ349" s="2"/>
      <c r="CR349" s="2"/>
      <c r="CS349" s="2"/>
      <c r="CT349" s="2">
        <v>2.6</v>
      </c>
      <c r="CU349" s="2">
        <v>0.1</v>
      </c>
      <c r="CV349" s="2">
        <v>11.4</v>
      </c>
      <c r="CW349" s="2">
        <v>5.3</v>
      </c>
      <c r="CX349" s="2">
        <v>0.1</v>
      </c>
      <c r="CY349" s="2"/>
      <c r="CZ349" s="2">
        <v>1.7</v>
      </c>
      <c r="DB349">
        <v>1992</v>
      </c>
      <c r="DC349">
        <v>30</v>
      </c>
      <c r="DH349">
        <v>348</v>
      </c>
    </row>
    <row r="350" spans="1:112">
      <c r="A350" s="1">
        <v>41257</v>
      </c>
      <c r="B350" s="2">
        <v>3.4</v>
      </c>
      <c r="C350" s="2"/>
      <c r="D350" s="2"/>
      <c r="E350" s="2"/>
      <c r="F350" s="2"/>
      <c r="G350" s="2"/>
      <c r="H350" s="2"/>
      <c r="I350" s="2">
        <v>8.4</v>
      </c>
      <c r="J350" s="2">
        <v>0.8</v>
      </c>
      <c r="K350" s="2">
        <v>0.8</v>
      </c>
      <c r="L350" s="2"/>
      <c r="M350" s="2">
        <v>0.5</v>
      </c>
      <c r="N350" s="2">
        <v>3.2</v>
      </c>
      <c r="O350" s="2">
        <v>0.3</v>
      </c>
      <c r="P350" s="2">
        <v>14.6</v>
      </c>
      <c r="Q350" s="2"/>
      <c r="R350" s="2">
        <v>26.4</v>
      </c>
      <c r="S350" s="2">
        <v>20.5</v>
      </c>
      <c r="T350" s="2">
        <v>9.9</v>
      </c>
      <c r="U350" s="2"/>
      <c r="V350" s="2"/>
      <c r="W350" s="2"/>
      <c r="X350" s="2">
        <v>48</v>
      </c>
      <c r="Y350" s="2"/>
      <c r="Z350" s="2">
        <v>2</v>
      </c>
      <c r="AA350" s="2"/>
      <c r="AB350" s="2">
        <v>3.3999999999978199</v>
      </c>
      <c r="AC350" s="2">
        <v>2</v>
      </c>
      <c r="AD350" s="2">
        <v>3.1999999999970901</v>
      </c>
      <c r="AE350" s="2">
        <v>17.599999999976699</v>
      </c>
      <c r="AF350" s="2">
        <v>2</v>
      </c>
      <c r="AG350" s="2"/>
      <c r="AH350" s="2">
        <v>1.5</v>
      </c>
      <c r="AI350" s="2">
        <v>0.19999999999981799</v>
      </c>
      <c r="AJ350" s="2"/>
      <c r="AK350" s="2">
        <v>4.5</v>
      </c>
      <c r="AL350" s="2"/>
      <c r="AM350" s="2">
        <v>4.1999999999970896</v>
      </c>
      <c r="AN350" s="2">
        <v>27</v>
      </c>
      <c r="AO350" s="2"/>
      <c r="AP350" s="2">
        <v>4.9000000000000004</v>
      </c>
      <c r="AQ350" s="2"/>
      <c r="AR350" s="2">
        <v>1.29999999999927</v>
      </c>
      <c r="AS350" s="2"/>
      <c r="AT350" s="2">
        <v>2.8999999999978199</v>
      </c>
      <c r="AU350" s="2">
        <v>1.1999999999989099</v>
      </c>
      <c r="AV350" s="2"/>
      <c r="AW350" s="2"/>
      <c r="AX350" s="2">
        <v>2.5</v>
      </c>
      <c r="AY350" s="2">
        <v>9.0999999999912706</v>
      </c>
      <c r="AZ350" s="2"/>
      <c r="BA350" s="2"/>
      <c r="BB350" s="2">
        <v>12.599999999991301</v>
      </c>
      <c r="BC350" s="2"/>
      <c r="BD350" s="2">
        <v>3.2999999999992702</v>
      </c>
      <c r="BE350" s="2">
        <v>9.8000000000029104</v>
      </c>
      <c r="BF350" s="2">
        <v>13.5</v>
      </c>
      <c r="BG350" s="2">
        <v>5.3000000000029104</v>
      </c>
      <c r="BH350" s="2"/>
      <c r="BI350" s="2"/>
      <c r="BJ350" s="2">
        <v>0</v>
      </c>
      <c r="BK350" s="2"/>
      <c r="BL350" s="2">
        <v>0.69999999999981799</v>
      </c>
      <c r="BM350" s="2">
        <v>0.100000000000023</v>
      </c>
      <c r="BN350" s="2">
        <v>8.3999999999941792</v>
      </c>
      <c r="BO350" s="2">
        <v>0.30000000000018201</v>
      </c>
      <c r="BP350" s="2">
        <v>4</v>
      </c>
      <c r="BQ350" s="2">
        <v>19</v>
      </c>
      <c r="BR350" s="2">
        <v>0.100000000000023</v>
      </c>
      <c r="BS350" s="2"/>
      <c r="BT350" s="2">
        <v>36.700000000011599</v>
      </c>
      <c r="BU350" s="2">
        <v>1.20000000000073</v>
      </c>
      <c r="BV350" s="2"/>
      <c r="BW350" s="2">
        <v>0.59999999999945397</v>
      </c>
      <c r="BX350" s="2">
        <v>0.6</v>
      </c>
      <c r="BY350" s="2"/>
      <c r="BZ350" s="2">
        <v>2.2999999999999998</v>
      </c>
      <c r="CA350" s="2">
        <v>2</v>
      </c>
      <c r="CB350" s="2"/>
      <c r="CC350" s="2">
        <v>19</v>
      </c>
      <c r="CD350" s="2"/>
      <c r="CE350" s="2">
        <v>4</v>
      </c>
      <c r="CF350" s="2"/>
      <c r="CG350" s="2">
        <v>1.6</v>
      </c>
      <c r="CH350" s="2">
        <v>0.3</v>
      </c>
      <c r="CI350" s="2">
        <v>1</v>
      </c>
      <c r="CJ350" s="2">
        <v>24.5</v>
      </c>
      <c r="CK350" s="2"/>
      <c r="CL350" s="2">
        <v>3.2</v>
      </c>
      <c r="CM350" s="2"/>
      <c r="CN350" s="2">
        <v>0</v>
      </c>
      <c r="CO350" s="2">
        <v>0.9</v>
      </c>
      <c r="CP350" s="2"/>
      <c r="CQ350" s="2">
        <v>0.5</v>
      </c>
      <c r="CR350" s="2">
        <v>0.3</v>
      </c>
      <c r="CS350" s="2"/>
      <c r="CT350" s="2">
        <v>0.1</v>
      </c>
      <c r="CU350" s="2"/>
      <c r="CV350" s="2"/>
      <c r="CW350" s="2"/>
      <c r="CX350" s="2"/>
      <c r="CY350" s="2"/>
      <c r="CZ350" s="2"/>
      <c r="DB350">
        <v>1933</v>
      </c>
      <c r="DC350">
        <v>48</v>
      </c>
      <c r="DH350">
        <v>349</v>
      </c>
    </row>
    <row r="351" spans="1:112">
      <c r="A351" s="1">
        <v>41258</v>
      </c>
      <c r="B351" s="2"/>
      <c r="C351" s="2"/>
      <c r="D351" s="2">
        <v>4.8</v>
      </c>
      <c r="E351" s="2"/>
      <c r="F351" s="2"/>
      <c r="G351" s="2"/>
      <c r="H351" s="2"/>
      <c r="I351" s="2">
        <v>1.5</v>
      </c>
      <c r="J351" s="2">
        <v>15.2</v>
      </c>
      <c r="K351" s="2"/>
      <c r="L351" s="2">
        <v>3.5</v>
      </c>
      <c r="M351" s="2"/>
      <c r="N351" s="2">
        <v>14.2</v>
      </c>
      <c r="O351" s="2">
        <v>1.4</v>
      </c>
      <c r="P351" s="2">
        <v>0.5</v>
      </c>
      <c r="Q351" s="2"/>
      <c r="R351" s="2">
        <v>0.8</v>
      </c>
      <c r="S351" s="2">
        <v>13.8</v>
      </c>
      <c r="T351" s="2">
        <v>5.8</v>
      </c>
      <c r="U351" s="2"/>
      <c r="V351" s="2"/>
      <c r="W351" s="2"/>
      <c r="X351" s="2">
        <v>21</v>
      </c>
      <c r="Y351" s="2"/>
      <c r="Z351" s="2">
        <v>3.5</v>
      </c>
      <c r="AA351" s="2"/>
      <c r="AB351" s="2"/>
      <c r="AC351" s="2">
        <v>6.5</v>
      </c>
      <c r="AD351" s="2"/>
      <c r="AE351" s="2">
        <v>27.5</v>
      </c>
      <c r="AF351" s="2"/>
      <c r="AG351" s="2"/>
      <c r="AH351" s="2">
        <v>11</v>
      </c>
      <c r="AI351" s="2">
        <v>7.1999999999970896</v>
      </c>
      <c r="AJ351" s="2"/>
      <c r="AK351" s="2">
        <v>4.79999999999563</v>
      </c>
      <c r="AL351" s="2">
        <v>9.3999999999941792</v>
      </c>
      <c r="AM351" s="2">
        <v>7.6999999999970896</v>
      </c>
      <c r="AN351" s="2"/>
      <c r="AO351" s="2"/>
      <c r="AP351" s="2">
        <v>9.5999999999912706</v>
      </c>
      <c r="AQ351" s="2"/>
      <c r="AR351" s="2">
        <v>13</v>
      </c>
      <c r="AS351" s="2"/>
      <c r="AT351" s="2"/>
      <c r="AU351" s="2"/>
      <c r="AV351" s="2">
        <v>5.5999999999985501</v>
      </c>
      <c r="AW351" s="2">
        <v>0.29999999999972699</v>
      </c>
      <c r="AX351" s="2">
        <v>2.0999999999985399</v>
      </c>
      <c r="AY351" s="2"/>
      <c r="AZ351" s="2">
        <v>5</v>
      </c>
      <c r="BA351" s="2">
        <v>12.599999999991301</v>
      </c>
      <c r="BB351" s="2"/>
      <c r="BC351" s="2"/>
      <c r="BD351" s="2">
        <v>8.5</v>
      </c>
      <c r="BE351" s="2">
        <v>3.9000000000014601</v>
      </c>
      <c r="BF351" s="2">
        <v>11.100000000005799</v>
      </c>
      <c r="BG351" s="2"/>
      <c r="BH351" s="2">
        <v>1.60000000000036</v>
      </c>
      <c r="BI351" s="2"/>
      <c r="BJ351" s="2">
        <v>2.5999999999985399</v>
      </c>
      <c r="BK351" s="2"/>
      <c r="BL351" s="2">
        <v>12</v>
      </c>
      <c r="BM351" s="2">
        <v>0.400000000000091</v>
      </c>
      <c r="BN351" s="2">
        <v>4.0999999999985501</v>
      </c>
      <c r="BO351" s="2"/>
      <c r="BP351" s="2">
        <v>16.5</v>
      </c>
      <c r="BQ351" s="2">
        <v>13.899999999994201</v>
      </c>
      <c r="BR351" s="2">
        <v>0.30000000000018201</v>
      </c>
      <c r="BS351" s="2"/>
      <c r="BT351" s="2">
        <v>35.299999999988401</v>
      </c>
      <c r="BU351" s="2">
        <v>36.6999999999964</v>
      </c>
      <c r="BV351" s="2"/>
      <c r="BW351" s="2">
        <v>2.1999999999970901</v>
      </c>
      <c r="BX351" s="2">
        <v>0.2</v>
      </c>
      <c r="BY351" s="2"/>
      <c r="BZ351" s="2">
        <v>4.7</v>
      </c>
      <c r="CA351" s="2"/>
      <c r="CB351" s="2"/>
      <c r="CC351" s="2">
        <v>20.3</v>
      </c>
      <c r="CD351" s="2"/>
      <c r="CE351" s="2">
        <v>4.8</v>
      </c>
      <c r="CF351" s="2"/>
      <c r="CG351" s="2">
        <v>28.5</v>
      </c>
      <c r="CH351" s="2">
        <v>0.3</v>
      </c>
      <c r="CI351" s="2">
        <v>2.5</v>
      </c>
      <c r="CJ351" s="2">
        <v>7.5</v>
      </c>
      <c r="CK351" s="2">
        <v>0.5</v>
      </c>
      <c r="CL351" s="2"/>
      <c r="CM351" s="2"/>
      <c r="CN351" s="2">
        <v>0.2</v>
      </c>
      <c r="CO351" s="2">
        <v>1.9</v>
      </c>
      <c r="CP351" s="2">
        <v>25.1</v>
      </c>
      <c r="CQ351" s="2">
        <v>0.3</v>
      </c>
      <c r="CR351" s="2">
        <v>2.4</v>
      </c>
      <c r="CS351" s="2"/>
      <c r="CT351" s="2"/>
      <c r="CU351" s="2">
        <v>0.1</v>
      </c>
      <c r="CV351" s="2">
        <v>0.2</v>
      </c>
      <c r="CW351" s="2">
        <v>2.6</v>
      </c>
      <c r="CX351" s="2"/>
      <c r="CY351" s="2"/>
      <c r="CZ351" s="2">
        <v>0.2</v>
      </c>
      <c r="DB351">
        <v>1982</v>
      </c>
      <c r="DC351">
        <v>36.6999999999964</v>
      </c>
      <c r="DH351">
        <v>350</v>
      </c>
    </row>
    <row r="352" spans="1:112">
      <c r="A352" s="1">
        <v>41259</v>
      </c>
      <c r="B352" s="2"/>
      <c r="C352" s="2"/>
      <c r="D352" s="2">
        <v>8.6999999999999993</v>
      </c>
      <c r="E352" s="2"/>
      <c r="F352" s="2"/>
      <c r="G352" s="2">
        <v>8.1999999999999993</v>
      </c>
      <c r="H352" s="2">
        <v>1.1000000000000001</v>
      </c>
      <c r="I352" s="2"/>
      <c r="J352" s="2">
        <v>16.7</v>
      </c>
      <c r="K352" s="2"/>
      <c r="L352" s="2">
        <v>3.7</v>
      </c>
      <c r="M352" s="2"/>
      <c r="N352" s="2"/>
      <c r="O352" s="2"/>
      <c r="P352" s="2">
        <v>11.1</v>
      </c>
      <c r="Q352" s="2"/>
      <c r="R352" s="2">
        <v>5.7</v>
      </c>
      <c r="S352" s="2">
        <v>1.5</v>
      </c>
      <c r="T352" s="2"/>
      <c r="U352" s="2">
        <v>9.3000000000000007</v>
      </c>
      <c r="V352" s="2"/>
      <c r="W352" s="2"/>
      <c r="X352" s="2">
        <v>26</v>
      </c>
      <c r="Y352" s="2"/>
      <c r="Z352" s="2">
        <v>1.5999999999985499</v>
      </c>
      <c r="AA352" s="2"/>
      <c r="AB352" s="2"/>
      <c r="AC352" s="2">
        <v>8.1999999999970896</v>
      </c>
      <c r="AD352" s="2">
        <v>13.5</v>
      </c>
      <c r="AE352" s="2">
        <v>0.19999999999981799</v>
      </c>
      <c r="AF352" s="2"/>
      <c r="AG352" s="2"/>
      <c r="AH352" s="2">
        <v>4</v>
      </c>
      <c r="AI352" s="2">
        <v>28.599999999976699</v>
      </c>
      <c r="AJ352" s="2"/>
      <c r="AK352" s="2">
        <v>6</v>
      </c>
      <c r="AL352" s="2">
        <v>8</v>
      </c>
      <c r="AM352" s="2">
        <v>35.5</v>
      </c>
      <c r="AN352" s="2">
        <v>5</v>
      </c>
      <c r="AO352" s="2"/>
      <c r="AP352" s="2">
        <v>7.29999999999563</v>
      </c>
      <c r="AQ352" s="2">
        <v>1.0999999999985499</v>
      </c>
      <c r="AR352" s="2">
        <v>7.1</v>
      </c>
      <c r="AS352" s="2">
        <v>1.29999999999927</v>
      </c>
      <c r="AT352" s="2">
        <v>14</v>
      </c>
      <c r="AU352" s="2"/>
      <c r="AV352" s="2">
        <v>0.39999999999963598</v>
      </c>
      <c r="AW352" s="2">
        <v>6.29999999999563</v>
      </c>
      <c r="AX352" s="2">
        <v>22.099999999976699</v>
      </c>
      <c r="AY352" s="2"/>
      <c r="AZ352" s="2">
        <v>26.5</v>
      </c>
      <c r="BA352" s="2"/>
      <c r="BB352" s="2"/>
      <c r="BC352" s="2"/>
      <c r="BD352" s="2">
        <v>2.7000000000007298</v>
      </c>
      <c r="BE352" s="2">
        <v>50.599999999976703</v>
      </c>
      <c r="BF352" s="2">
        <v>1.39999999999964</v>
      </c>
      <c r="BG352" s="2">
        <v>0.400000000000091</v>
      </c>
      <c r="BH352" s="2">
        <v>13</v>
      </c>
      <c r="BI352" s="2">
        <v>12</v>
      </c>
      <c r="BJ352" s="2"/>
      <c r="BK352" s="2"/>
      <c r="BL352" s="2">
        <v>5.3000000000029104</v>
      </c>
      <c r="BM352" s="2">
        <v>21</v>
      </c>
      <c r="BN352" s="2"/>
      <c r="BO352" s="2"/>
      <c r="BP352" s="2">
        <v>2.2999999999992702</v>
      </c>
      <c r="BQ352" s="2"/>
      <c r="BR352" s="2">
        <v>0</v>
      </c>
      <c r="BS352" s="2"/>
      <c r="BT352" s="2">
        <v>2.9000000000014601</v>
      </c>
      <c r="BU352" s="2"/>
      <c r="BV352" s="2">
        <v>1.8</v>
      </c>
      <c r="BW352" s="2">
        <v>0.19999999999981799</v>
      </c>
      <c r="BX352" s="2">
        <v>1.3</v>
      </c>
      <c r="BY352" s="2"/>
      <c r="BZ352" s="2">
        <v>8.3000000000000007</v>
      </c>
      <c r="CA352" s="2">
        <v>1.2</v>
      </c>
      <c r="CB352" s="2"/>
      <c r="CC352" s="2">
        <v>6.5</v>
      </c>
      <c r="CD352" s="2"/>
      <c r="CE352" s="2">
        <v>17.3</v>
      </c>
      <c r="CF352" s="2">
        <v>0.1</v>
      </c>
      <c r="CG352" s="2">
        <v>1.6</v>
      </c>
      <c r="CH352" s="2">
        <v>0.8</v>
      </c>
      <c r="CI352" s="2"/>
      <c r="CJ352" s="2">
        <v>22.5</v>
      </c>
      <c r="CK352" s="2">
        <v>0.3</v>
      </c>
      <c r="CL352" s="2"/>
      <c r="CM352" s="2">
        <v>8.6</v>
      </c>
      <c r="CN352" s="2">
        <v>30</v>
      </c>
      <c r="CO352" s="2"/>
      <c r="CP352" s="2">
        <v>17.2</v>
      </c>
      <c r="CQ352" s="2"/>
      <c r="CR352" s="2">
        <v>10.4</v>
      </c>
      <c r="CS352" s="2"/>
      <c r="CT352" s="2">
        <v>2.8</v>
      </c>
      <c r="CU352" s="2">
        <v>0.1</v>
      </c>
      <c r="CV352" s="2">
        <v>5.9</v>
      </c>
      <c r="CW352" s="2"/>
      <c r="CX352" s="2">
        <v>5.6</v>
      </c>
      <c r="CY352" s="2">
        <v>4.9000000000000004</v>
      </c>
      <c r="CZ352" s="2">
        <v>9.5</v>
      </c>
      <c r="DB352">
        <v>1966</v>
      </c>
      <c r="DC352">
        <v>50.599999999976703</v>
      </c>
      <c r="DH352">
        <v>351</v>
      </c>
    </row>
    <row r="353" spans="1:112">
      <c r="A353" s="1">
        <v>41260</v>
      </c>
      <c r="B353" s="2"/>
      <c r="C353" s="2"/>
      <c r="D353" s="2"/>
      <c r="E353" s="2"/>
      <c r="F353" s="2"/>
      <c r="G353" s="2"/>
      <c r="H353" s="2"/>
      <c r="I353" s="2"/>
      <c r="J353" s="2">
        <v>17.3</v>
      </c>
      <c r="K353" s="2"/>
      <c r="L353" s="2">
        <v>0.1</v>
      </c>
      <c r="M353" s="2"/>
      <c r="N353" s="2">
        <v>4.4000000000000004</v>
      </c>
      <c r="O353" s="2">
        <v>2.8</v>
      </c>
      <c r="P353" s="2">
        <v>22.2</v>
      </c>
      <c r="Q353" s="2"/>
      <c r="R353" s="2">
        <v>12.4</v>
      </c>
      <c r="S353" s="2">
        <v>4.9000000000000004</v>
      </c>
      <c r="T353" s="2">
        <v>4.3</v>
      </c>
      <c r="U353" s="2">
        <v>2.7</v>
      </c>
      <c r="V353" s="2">
        <v>1</v>
      </c>
      <c r="W353" s="2">
        <v>1.5</v>
      </c>
      <c r="X353" s="2">
        <v>2</v>
      </c>
      <c r="Y353" s="2">
        <v>2</v>
      </c>
      <c r="Z353" s="2">
        <v>5</v>
      </c>
      <c r="AA353" s="2"/>
      <c r="AB353" s="2"/>
      <c r="AC353" s="2">
        <v>7.5</v>
      </c>
      <c r="AD353" s="2">
        <v>3.7999999999992702</v>
      </c>
      <c r="AE353" s="2">
        <v>4.3999999999941801</v>
      </c>
      <c r="AF353" s="2"/>
      <c r="AG353" s="2"/>
      <c r="AH353" s="2">
        <v>17</v>
      </c>
      <c r="AI353" s="2">
        <v>1.39999999999964</v>
      </c>
      <c r="AJ353" s="2"/>
      <c r="AK353" s="2">
        <v>2.0999999999985399</v>
      </c>
      <c r="AL353" s="2">
        <v>16.5</v>
      </c>
      <c r="AM353" s="2">
        <v>30.3</v>
      </c>
      <c r="AN353" s="2">
        <v>7.1999999999970896</v>
      </c>
      <c r="AO353" s="2"/>
      <c r="AP353" s="2">
        <v>16</v>
      </c>
      <c r="AQ353" s="2">
        <v>1.89999999999964</v>
      </c>
      <c r="AR353" s="2">
        <v>14.7</v>
      </c>
      <c r="AS353" s="2">
        <v>4.5</v>
      </c>
      <c r="AT353" s="2"/>
      <c r="AU353" s="2"/>
      <c r="AV353" s="2">
        <v>4.5999999999985501</v>
      </c>
      <c r="AW353" s="2"/>
      <c r="AX353" s="2"/>
      <c r="AY353" s="2"/>
      <c r="AZ353" s="2">
        <v>3.5</v>
      </c>
      <c r="BA353" s="2">
        <v>4.79999999999563</v>
      </c>
      <c r="BB353" s="2">
        <v>56.899999999965097</v>
      </c>
      <c r="BC353" s="2"/>
      <c r="BD353" s="2"/>
      <c r="BE353" s="2">
        <v>2.5</v>
      </c>
      <c r="BF353" s="2"/>
      <c r="BG353" s="2">
        <v>0</v>
      </c>
      <c r="BH353" s="2">
        <v>18</v>
      </c>
      <c r="BI353" s="2">
        <v>7.1999999999970896</v>
      </c>
      <c r="BJ353" s="2">
        <v>9.3999999999941792</v>
      </c>
      <c r="BK353" s="2"/>
      <c r="BL353" s="2"/>
      <c r="BM353" s="2">
        <v>2</v>
      </c>
      <c r="BN353" s="2"/>
      <c r="BO353" s="2">
        <v>0.5</v>
      </c>
      <c r="BP353" s="2">
        <v>3.7000000000007298</v>
      </c>
      <c r="BQ353" s="2"/>
      <c r="BR353" s="2">
        <v>3.5</v>
      </c>
      <c r="BS353" s="2"/>
      <c r="BT353" s="2">
        <v>9.8000000000029104</v>
      </c>
      <c r="BU353" s="2"/>
      <c r="BV353" s="2">
        <v>0.5</v>
      </c>
      <c r="BW353" s="2"/>
      <c r="BX353" s="2"/>
      <c r="BY353" s="2">
        <v>18.5</v>
      </c>
      <c r="BZ353" s="2">
        <v>0.3</v>
      </c>
      <c r="CA353" s="2">
        <v>67</v>
      </c>
      <c r="CB353" s="2"/>
      <c r="CC353" s="2"/>
      <c r="CD353" s="2"/>
      <c r="CE353" s="2">
        <v>8.6999999999999993</v>
      </c>
      <c r="CF353" s="2">
        <v>0.2</v>
      </c>
      <c r="CG353" s="2">
        <v>0.2</v>
      </c>
      <c r="CH353" s="2">
        <v>0.2</v>
      </c>
      <c r="CI353" s="2"/>
      <c r="CJ353" s="2">
        <v>7</v>
      </c>
      <c r="CK353" s="2">
        <v>0.7</v>
      </c>
      <c r="CL353" s="2"/>
      <c r="CM353" s="2"/>
      <c r="CN353" s="2">
        <v>34.6</v>
      </c>
      <c r="CO353" s="2"/>
      <c r="CP353" s="2">
        <v>5.5</v>
      </c>
      <c r="CQ353" s="2"/>
      <c r="CR353" s="2">
        <v>23.3</v>
      </c>
      <c r="CS353" s="2"/>
      <c r="CT353" s="2">
        <v>2.6</v>
      </c>
      <c r="CU353" s="2"/>
      <c r="CV353" s="2">
        <v>2.1</v>
      </c>
      <c r="CW353" s="2">
        <v>3</v>
      </c>
      <c r="CX353" s="2">
        <v>6.5</v>
      </c>
      <c r="CY353" s="2">
        <v>8.5</v>
      </c>
      <c r="CZ353" s="2">
        <v>2.8</v>
      </c>
      <c r="DB353">
        <v>1988</v>
      </c>
      <c r="DC353">
        <v>67</v>
      </c>
      <c r="DH353">
        <v>352</v>
      </c>
    </row>
    <row r="354" spans="1:112">
      <c r="A354" s="1">
        <v>41261</v>
      </c>
      <c r="B354" s="2"/>
      <c r="C354" s="2"/>
      <c r="D354" s="2"/>
      <c r="E354" s="2">
        <v>2.2999999999999998</v>
      </c>
      <c r="F354" s="2">
        <v>0.3</v>
      </c>
      <c r="G354" s="2">
        <v>1.1000000000000001</v>
      </c>
      <c r="H354" s="2"/>
      <c r="I354" s="2"/>
      <c r="J354" s="2">
        <v>2.4</v>
      </c>
      <c r="K354" s="2"/>
      <c r="L354" s="2"/>
      <c r="M354" s="2"/>
      <c r="N354" s="2"/>
      <c r="O354" s="2">
        <v>2</v>
      </c>
      <c r="P354" s="2">
        <v>1.3</v>
      </c>
      <c r="Q354" s="2"/>
      <c r="R354" s="2">
        <v>35.4</v>
      </c>
      <c r="S354" s="2">
        <v>3.4</v>
      </c>
      <c r="T354" s="2">
        <v>9.3000000000000007</v>
      </c>
      <c r="U354" s="2"/>
      <c r="V354" s="2">
        <v>7.9</v>
      </c>
      <c r="W354" s="2">
        <v>9.8000000000000007</v>
      </c>
      <c r="X354" s="2">
        <v>2</v>
      </c>
      <c r="Y354" s="2">
        <v>4.5</v>
      </c>
      <c r="Z354" s="2"/>
      <c r="AA354" s="2">
        <v>13.099999999991301</v>
      </c>
      <c r="AB354" s="2"/>
      <c r="AC354" s="2">
        <v>13.299999999988399</v>
      </c>
      <c r="AD354" s="2"/>
      <c r="AE354" s="2">
        <v>14.5</v>
      </c>
      <c r="AF354" s="2">
        <v>2.7999999999992702</v>
      </c>
      <c r="AG354" s="2"/>
      <c r="AH354" s="2">
        <v>13</v>
      </c>
      <c r="AI354" s="2">
        <v>6.8999999999941801</v>
      </c>
      <c r="AJ354" s="2"/>
      <c r="AK354" s="2">
        <v>5.79999999999563</v>
      </c>
      <c r="AL354" s="2">
        <v>10.6999999999971</v>
      </c>
      <c r="AM354" s="2">
        <v>2.1999999999970901</v>
      </c>
      <c r="AN354" s="2">
        <v>1.79999999999927</v>
      </c>
      <c r="AO354" s="2"/>
      <c r="AP354" s="2">
        <v>8.7999999999883602</v>
      </c>
      <c r="AQ354" s="2"/>
      <c r="AR354" s="2">
        <v>2.5</v>
      </c>
      <c r="AS354" s="2">
        <v>4.6999999999970896</v>
      </c>
      <c r="AT354" s="2">
        <v>1</v>
      </c>
      <c r="AU354" s="2">
        <v>4</v>
      </c>
      <c r="AV354" s="2">
        <v>9.5999999999912706</v>
      </c>
      <c r="AW354" s="2"/>
      <c r="AX354" s="2">
        <v>9.9999999999908995E-2</v>
      </c>
      <c r="AY354" s="2"/>
      <c r="AZ354" s="2">
        <v>0.5</v>
      </c>
      <c r="BA354" s="2">
        <v>34.799999999988401</v>
      </c>
      <c r="BB354" s="2">
        <v>58.199999999953398</v>
      </c>
      <c r="BC354" s="2"/>
      <c r="BD354" s="2"/>
      <c r="BE354" s="2">
        <v>4.9000000000014596</v>
      </c>
      <c r="BF354" s="2">
        <v>1.89999999999964</v>
      </c>
      <c r="BG354" s="2"/>
      <c r="BH354" s="2"/>
      <c r="BI354" s="2">
        <v>0.100000000000023</v>
      </c>
      <c r="BJ354" s="2"/>
      <c r="BK354" s="2"/>
      <c r="BL354" s="2">
        <v>0.200000000000045</v>
      </c>
      <c r="BM354" s="2">
        <v>0.89999999999963598</v>
      </c>
      <c r="BN354" s="2">
        <v>28</v>
      </c>
      <c r="BO354" s="2"/>
      <c r="BP354" s="2">
        <v>0.200000000000045</v>
      </c>
      <c r="BQ354" s="2">
        <v>0.5</v>
      </c>
      <c r="BR354" s="2"/>
      <c r="BS354" s="2"/>
      <c r="BT354" s="2"/>
      <c r="BU354" s="2">
        <v>4.50000000000023</v>
      </c>
      <c r="BV354" s="2">
        <v>1.9</v>
      </c>
      <c r="BW354" s="2"/>
      <c r="BX354" s="2">
        <v>0.6</v>
      </c>
      <c r="BY354" s="2">
        <v>10.6</v>
      </c>
      <c r="BZ354" s="2"/>
      <c r="CA354" s="2">
        <v>2.6</v>
      </c>
      <c r="CB354" s="2"/>
      <c r="CC354" s="2"/>
      <c r="CD354" s="2">
        <v>1.2</v>
      </c>
      <c r="CE354" s="2">
        <v>1</v>
      </c>
      <c r="CF354" s="2"/>
      <c r="CG354" s="2">
        <v>17.5</v>
      </c>
      <c r="CH354" s="2"/>
      <c r="CI354" s="2"/>
      <c r="CJ354" s="2">
        <v>16</v>
      </c>
      <c r="CK354" s="2"/>
      <c r="CL354" s="2"/>
      <c r="CM354" s="2">
        <v>8.5</v>
      </c>
      <c r="CN354" s="2">
        <v>12.4</v>
      </c>
      <c r="CO354" s="2"/>
      <c r="CP354" s="2">
        <v>0.3</v>
      </c>
      <c r="CQ354" s="2"/>
      <c r="CR354" s="2">
        <v>41.3</v>
      </c>
      <c r="CS354" s="2"/>
      <c r="CT354" s="2"/>
      <c r="CU354" s="2">
        <v>0.5</v>
      </c>
      <c r="CV354" s="2">
        <v>40.6</v>
      </c>
      <c r="CW354" s="2"/>
      <c r="CX354" s="2">
        <v>8.6</v>
      </c>
      <c r="CY354" s="2">
        <v>6</v>
      </c>
      <c r="CZ354" s="2">
        <v>0.2</v>
      </c>
      <c r="DB354">
        <v>1963</v>
      </c>
      <c r="DC354">
        <v>58.199999999953398</v>
      </c>
      <c r="DH354">
        <v>353</v>
      </c>
    </row>
    <row r="355" spans="1:112">
      <c r="A355" s="1">
        <v>41262</v>
      </c>
      <c r="B355" s="2">
        <v>7.4</v>
      </c>
      <c r="C355" s="2"/>
      <c r="D355" s="2"/>
      <c r="E355" s="2">
        <v>2.8</v>
      </c>
      <c r="F355" s="2"/>
      <c r="G355" s="2">
        <v>1.6</v>
      </c>
      <c r="H355" s="2">
        <v>2.4</v>
      </c>
      <c r="I355" s="2"/>
      <c r="J355" s="2"/>
      <c r="K355" s="2">
        <v>0.4</v>
      </c>
      <c r="L355" s="2"/>
      <c r="M355" s="2">
        <v>0.7</v>
      </c>
      <c r="N355" s="2">
        <v>0.7</v>
      </c>
      <c r="O355" s="2">
        <v>10</v>
      </c>
      <c r="P355" s="2"/>
      <c r="Q355" s="2"/>
      <c r="R355" s="2">
        <v>3.1</v>
      </c>
      <c r="S355" s="2">
        <v>2.7</v>
      </c>
      <c r="T355" s="2">
        <v>14.5</v>
      </c>
      <c r="U355" s="2">
        <v>0</v>
      </c>
      <c r="V355" s="2">
        <v>8</v>
      </c>
      <c r="W355" s="2">
        <v>11.5</v>
      </c>
      <c r="X355" s="2">
        <v>9</v>
      </c>
      <c r="Y355" s="2"/>
      <c r="Z355" s="2">
        <v>4.79999999999563</v>
      </c>
      <c r="AA355" s="2">
        <v>0.79999999999927196</v>
      </c>
      <c r="AB355" s="2">
        <v>7.79999999999563</v>
      </c>
      <c r="AC355" s="2">
        <v>5.1999999999970896</v>
      </c>
      <c r="AD355" s="2">
        <v>0</v>
      </c>
      <c r="AE355" s="2">
        <v>2.0999999999985399</v>
      </c>
      <c r="AF355" s="2"/>
      <c r="AG355" s="2"/>
      <c r="AH355" s="2">
        <v>2</v>
      </c>
      <c r="AI355" s="2">
        <v>2.6999999999970901</v>
      </c>
      <c r="AJ355" s="2"/>
      <c r="AK355" s="2">
        <v>3.5</v>
      </c>
      <c r="AL355" s="2">
        <v>5.29999999999563</v>
      </c>
      <c r="AM355" s="2">
        <v>7</v>
      </c>
      <c r="AN355" s="2">
        <v>8.8999999999941792</v>
      </c>
      <c r="AO355" s="2">
        <v>5</v>
      </c>
      <c r="AP355" s="2">
        <v>13</v>
      </c>
      <c r="AQ355" s="2"/>
      <c r="AR355" s="2">
        <v>2.8999999999978199</v>
      </c>
      <c r="AS355" s="2">
        <v>0.29999999999972699</v>
      </c>
      <c r="AT355" s="2"/>
      <c r="AU355" s="2">
        <v>4.3999999999941801</v>
      </c>
      <c r="AV355" s="2">
        <v>13.5</v>
      </c>
      <c r="AW355" s="2"/>
      <c r="AX355" s="2">
        <v>2.5</v>
      </c>
      <c r="AY355" s="2">
        <v>16</v>
      </c>
      <c r="AZ355" s="2">
        <v>0.39999999999963598</v>
      </c>
      <c r="BA355" s="2">
        <v>7.1999999999970896</v>
      </c>
      <c r="BB355" s="2">
        <v>3.0999999999985399</v>
      </c>
      <c r="BC355" s="2"/>
      <c r="BD355" s="2">
        <v>4.6999999999970896</v>
      </c>
      <c r="BE355" s="2">
        <v>13.3000000000029</v>
      </c>
      <c r="BF355" s="2">
        <v>7.7</v>
      </c>
      <c r="BG355" s="2"/>
      <c r="BH355" s="2">
        <v>5.1999999999970896</v>
      </c>
      <c r="BI355" s="2"/>
      <c r="BJ355" s="2">
        <v>0.100000000000023</v>
      </c>
      <c r="BK355" s="2">
        <v>4.3000000000029104</v>
      </c>
      <c r="BL355" s="2">
        <v>0.100000000000023</v>
      </c>
      <c r="BM355" s="2">
        <v>6.1999999999970896</v>
      </c>
      <c r="BN355" s="2">
        <v>28.799999999988401</v>
      </c>
      <c r="BO355" s="2"/>
      <c r="BP355" s="2">
        <v>0.100000000000023</v>
      </c>
      <c r="BQ355" s="2">
        <v>0.400000000000091</v>
      </c>
      <c r="BR355" s="2"/>
      <c r="BS355" s="2"/>
      <c r="BT355" s="2"/>
      <c r="BU355" s="2">
        <v>2.900000000001</v>
      </c>
      <c r="BV355" s="2">
        <v>0</v>
      </c>
      <c r="BW355" s="2"/>
      <c r="BX355" s="2"/>
      <c r="BY355" s="2">
        <v>2.8</v>
      </c>
      <c r="BZ355" s="2">
        <v>0.4</v>
      </c>
      <c r="CA355" s="2"/>
      <c r="CB355" s="2"/>
      <c r="CC355" s="2"/>
      <c r="CD355" s="2">
        <v>0.3</v>
      </c>
      <c r="CE355" s="2">
        <v>0.2</v>
      </c>
      <c r="CF355" s="2"/>
      <c r="CG355" s="2">
        <v>3.7</v>
      </c>
      <c r="CH355" s="2">
        <v>12.4</v>
      </c>
      <c r="CI355" s="2"/>
      <c r="CJ355" s="2"/>
      <c r="CK355" s="2">
        <v>4.8</v>
      </c>
      <c r="CL355" s="2"/>
      <c r="CM355" s="2">
        <v>3.5</v>
      </c>
      <c r="CN355" s="2">
        <v>0.1</v>
      </c>
      <c r="CO355" s="2">
        <v>8.6999999999999993</v>
      </c>
      <c r="CP355" s="2">
        <v>0.1</v>
      </c>
      <c r="CQ355" s="2">
        <v>0.3</v>
      </c>
      <c r="CR355" s="2">
        <v>1.8</v>
      </c>
      <c r="CS355" s="2"/>
      <c r="CT355" s="2">
        <v>0.7</v>
      </c>
      <c r="CU355" s="2">
        <v>6.6</v>
      </c>
      <c r="CV355" s="2"/>
      <c r="CW355" s="2">
        <v>4.5999999999999996</v>
      </c>
      <c r="CX355" s="2">
        <v>2.2999999999999998</v>
      </c>
      <c r="CY355" s="2">
        <v>0.9</v>
      </c>
      <c r="CZ355" s="2"/>
      <c r="DB355">
        <v>1975</v>
      </c>
      <c r="DC355">
        <v>28.799999999988401</v>
      </c>
      <c r="DH355">
        <v>354</v>
      </c>
    </row>
    <row r="356" spans="1:112">
      <c r="A356" s="1">
        <v>41263</v>
      </c>
      <c r="B356" s="2"/>
      <c r="C356" s="2"/>
      <c r="D356" s="2">
        <v>0.6</v>
      </c>
      <c r="E356" s="2">
        <v>8.6</v>
      </c>
      <c r="F356" s="2"/>
      <c r="G356" s="2">
        <v>0.4</v>
      </c>
      <c r="H356" s="2">
        <v>0.6</v>
      </c>
      <c r="I356" s="2">
        <v>10.8</v>
      </c>
      <c r="J356" s="2"/>
      <c r="K356" s="2"/>
      <c r="L356" s="2"/>
      <c r="M356" s="2"/>
      <c r="N356" s="2">
        <v>4.5</v>
      </c>
      <c r="O356" s="2"/>
      <c r="P356" s="2"/>
      <c r="Q356" s="2">
        <v>5</v>
      </c>
      <c r="R356" s="2"/>
      <c r="S356" s="2">
        <v>2.6</v>
      </c>
      <c r="T356" s="2">
        <v>1.6</v>
      </c>
      <c r="U356" s="2">
        <v>1.6</v>
      </c>
      <c r="V356" s="2"/>
      <c r="W356" s="2">
        <v>5</v>
      </c>
      <c r="X356" s="2">
        <v>21</v>
      </c>
      <c r="Y356" s="2">
        <v>1.29999999999927</v>
      </c>
      <c r="Z356" s="2">
        <v>1.1999999999989099</v>
      </c>
      <c r="AA356" s="2">
        <v>7.29999999999563</v>
      </c>
      <c r="AB356" s="2">
        <v>0.79999999999927196</v>
      </c>
      <c r="AC356" s="2"/>
      <c r="AD356" s="2">
        <v>0.5</v>
      </c>
      <c r="AE356" s="2">
        <v>9.5</v>
      </c>
      <c r="AF356" s="2"/>
      <c r="AG356" s="2"/>
      <c r="AH356" s="2"/>
      <c r="AI356" s="2">
        <v>9.7999999999883602</v>
      </c>
      <c r="AJ356" s="2"/>
      <c r="AK356" s="2"/>
      <c r="AL356" s="2">
        <v>3.5</v>
      </c>
      <c r="AM356" s="2">
        <v>5.79999999999563</v>
      </c>
      <c r="AN356" s="2">
        <v>0.69999999999981799</v>
      </c>
      <c r="AO356" s="2">
        <v>21.5</v>
      </c>
      <c r="AP356" s="2">
        <v>18.299999999988401</v>
      </c>
      <c r="AQ356" s="2"/>
      <c r="AR356" s="2">
        <v>1.0999999999985499</v>
      </c>
      <c r="AS356" s="2">
        <v>1</v>
      </c>
      <c r="AT356" s="2"/>
      <c r="AU356" s="2">
        <v>12.799999999988399</v>
      </c>
      <c r="AV356" s="2">
        <v>1.5999999999985499</v>
      </c>
      <c r="AW356" s="2"/>
      <c r="AX356" s="2">
        <v>0.69999999999981799</v>
      </c>
      <c r="AY356" s="2">
        <v>8.2999999999883602</v>
      </c>
      <c r="AZ356" s="2">
        <v>0.39999999999963598</v>
      </c>
      <c r="BA356" s="2">
        <v>1.5999999999985499</v>
      </c>
      <c r="BB356" s="2">
        <v>0.39999999999963598</v>
      </c>
      <c r="BC356" s="2">
        <v>16.200000000011599</v>
      </c>
      <c r="BD356" s="2"/>
      <c r="BE356" s="2"/>
      <c r="BF356" s="2">
        <v>12.399999999994201</v>
      </c>
      <c r="BG356" s="2"/>
      <c r="BH356" s="2">
        <v>3.2000000000007298</v>
      </c>
      <c r="BI356" s="2">
        <v>0</v>
      </c>
      <c r="BJ356" s="2"/>
      <c r="BK356" s="2">
        <v>4.5</v>
      </c>
      <c r="BL356" s="2">
        <v>0.100000000000023</v>
      </c>
      <c r="BM356" s="2">
        <v>0.89999999999963598</v>
      </c>
      <c r="BN356" s="2">
        <v>11.8000000000029</v>
      </c>
      <c r="BO356" s="2"/>
      <c r="BP356" s="2">
        <v>0</v>
      </c>
      <c r="BQ356" s="2">
        <v>4.8000000000029104</v>
      </c>
      <c r="BR356" s="2"/>
      <c r="BS356" s="2"/>
      <c r="BT356" s="2">
        <v>27.700000000011599</v>
      </c>
      <c r="BU356" s="2">
        <v>8.4999999999980709</v>
      </c>
      <c r="BV356" s="2"/>
      <c r="BW356" s="2"/>
      <c r="BX356" s="2">
        <v>16.600000000000001</v>
      </c>
      <c r="BY356" s="2">
        <v>11.8</v>
      </c>
      <c r="BZ356" s="2">
        <v>5.5</v>
      </c>
      <c r="CA356" s="2"/>
      <c r="CB356" s="2"/>
      <c r="CC356" s="2">
        <v>10.5</v>
      </c>
      <c r="CD356" s="2">
        <v>0.6</v>
      </c>
      <c r="CE356" s="2">
        <v>0.9</v>
      </c>
      <c r="CF356" s="2"/>
      <c r="CG356" s="2">
        <v>2.4</v>
      </c>
      <c r="CH356" s="2">
        <v>15.3</v>
      </c>
      <c r="CI356" s="2"/>
      <c r="CJ356" s="2"/>
      <c r="CK356" s="2"/>
      <c r="CL356" s="2">
        <v>3.5</v>
      </c>
      <c r="CM356" s="2">
        <v>18.5</v>
      </c>
      <c r="CN356" s="2"/>
      <c r="CO356" s="2">
        <v>3</v>
      </c>
      <c r="CP356" s="2"/>
      <c r="CQ356" s="2">
        <v>4.5</v>
      </c>
      <c r="CR356" s="2"/>
      <c r="CS356" s="2">
        <v>21.1</v>
      </c>
      <c r="CT356" s="2">
        <v>0.2</v>
      </c>
      <c r="CU356" s="2">
        <v>23.9</v>
      </c>
      <c r="CV356" s="2">
        <v>28.2</v>
      </c>
      <c r="CW356" s="2"/>
      <c r="CX356" s="2">
        <v>9.8000000000000007</v>
      </c>
      <c r="CY356" s="2">
        <v>14.7</v>
      </c>
      <c r="CZ356" s="2"/>
      <c r="DB356">
        <v>2009</v>
      </c>
      <c r="DC356">
        <v>28.2</v>
      </c>
      <c r="DH356">
        <v>355</v>
      </c>
    </row>
    <row r="357" spans="1:112">
      <c r="A357" s="1">
        <v>41264</v>
      </c>
      <c r="B357" s="2">
        <v>5.2</v>
      </c>
      <c r="C357" s="2"/>
      <c r="D357" s="2"/>
      <c r="E357" s="2">
        <v>0.6</v>
      </c>
      <c r="F357" s="2">
        <v>14.3</v>
      </c>
      <c r="G357" s="2">
        <v>4.2</v>
      </c>
      <c r="H357" s="2"/>
      <c r="I357" s="2">
        <v>43.3</v>
      </c>
      <c r="J357" s="2"/>
      <c r="K357" s="2"/>
      <c r="L357" s="2"/>
      <c r="M357" s="2"/>
      <c r="N357" s="2">
        <v>14.7</v>
      </c>
      <c r="O357" s="2"/>
      <c r="P357" s="2">
        <v>2.2000000000000002</v>
      </c>
      <c r="Q357" s="2">
        <v>12.8</v>
      </c>
      <c r="R357" s="2"/>
      <c r="S357" s="2">
        <v>7.9</v>
      </c>
      <c r="T357" s="2">
        <v>7</v>
      </c>
      <c r="U357" s="2">
        <v>0</v>
      </c>
      <c r="V357" s="2">
        <v>5.5</v>
      </c>
      <c r="W357" s="2"/>
      <c r="X357" s="2">
        <v>0</v>
      </c>
      <c r="Y357" s="2">
        <v>7.79999999999563</v>
      </c>
      <c r="Z357" s="2">
        <v>0.39999999999963598</v>
      </c>
      <c r="AA357" s="2">
        <v>14.799999999988399</v>
      </c>
      <c r="AB357" s="2">
        <v>37</v>
      </c>
      <c r="AC357" s="2">
        <v>9.0999999999912706</v>
      </c>
      <c r="AD357" s="2">
        <v>28.199999999982499</v>
      </c>
      <c r="AE357" s="2">
        <v>1.39999999999964</v>
      </c>
      <c r="AF357" s="2">
        <v>7.79999999999563</v>
      </c>
      <c r="AG357" s="2"/>
      <c r="AH357" s="2"/>
      <c r="AI357" s="2">
        <v>13.3</v>
      </c>
      <c r="AJ357" s="2"/>
      <c r="AK357" s="2"/>
      <c r="AL357" s="2">
        <v>27.299999999988401</v>
      </c>
      <c r="AM357" s="2">
        <v>0.5</v>
      </c>
      <c r="AN357" s="2">
        <v>0.5</v>
      </c>
      <c r="AO357" s="2">
        <v>8.8999999999941792</v>
      </c>
      <c r="AP357" s="2"/>
      <c r="AQ357" s="2">
        <v>0</v>
      </c>
      <c r="AR357" s="2"/>
      <c r="AS357" s="2">
        <v>0.89999999999963598</v>
      </c>
      <c r="AT357" s="2"/>
      <c r="AU357" s="2">
        <v>0</v>
      </c>
      <c r="AV357" s="2"/>
      <c r="AW357" s="2"/>
      <c r="AX357" s="2">
        <v>0.89999999999963598</v>
      </c>
      <c r="AY357" s="2"/>
      <c r="AZ357" s="2">
        <v>2.7999999999992702</v>
      </c>
      <c r="BA357" s="2">
        <v>2.2999999999992702</v>
      </c>
      <c r="BB357" s="2"/>
      <c r="BC357" s="2">
        <v>14.6999999999971</v>
      </c>
      <c r="BD357" s="2"/>
      <c r="BE357" s="2">
        <v>5.4000000000014596</v>
      </c>
      <c r="BF357" s="2">
        <v>14.7</v>
      </c>
      <c r="BG357" s="2">
        <v>0.5</v>
      </c>
      <c r="BH357" s="2">
        <v>2.4000000000014601</v>
      </c>
      <c r="BI357" s="2"/>
      <c r="BJ357" s="2">
        <v>9.1999999999970896</v>
      </c>
      <c r="BK357" s="2">
        <v>0</v>
      </c>
      <c r="BL357" s="2"/>
      <c r="BM357" s="2"/>
      <c r="BN357" s="2">
        <v>1.5</v>
      </c>
      <c r="BO357" s="2"/>
      <c r="BP357" s="2">
        <v>2.4000000000014601</v>
      </c>
      <c r="BQ357" s="2"/>
      <c r="BR357" s="2">
        <v>0.100000000000023</v>
      </c>
      <c r="BS357" s="2">
        <v>1.29999999999927</v>
      </c>
      <c r="BT357" s="2">
        <v>0.100000000000023</v>
      </c>
      <c r="BU357" s="2">
        <v>2</v>
      </c>
      <c r="BV357" s="2"/>
      <c r="BW357" s="2">
        <v>4.2999999999956398</v>
      </c>
      <c r="BX357" s="2">
        <v>6.4</v>
      </c>
      <c r="BY357" s="2"/>
      <c r="BZ357" s="2">
        <v>0.2</v>
      </c>
      <c r="CA357" s="2">
        <v>16.100000000000001</v>
      </c>
      <c r="CB357" s="2">
        <v>0.1</v>
      </c>
      <c r="CC357" s="2">
        <v>2</v>
      </c>
      <c r="CD357" s="2">
        <v>0.3</v>
      </c>
      <c r="CE357" s="2"/>
      <c r="CF357" s="2"/>
      <c r="CG357" s="2">
        <v>5.4</v>
      </c>
      <c r="CH357" s="2"/>
      <c r="CI357" s="2">
        <v>10.8</v>
      </c>
      <c r="CJ357" s="2">
        <v>5</v>
      </c>
      <c r="CK357" s="2"/>
      <c r="CL357" s="2">
        <v>17</v>
      </c>
      <c r="CM357" s="2">
        <v>2.5</v>
      </c>
      <c r="CN357" s="2">
        <v>9.4</v>
      </c>
      <c r="CO357" s="2"/>
      <c r="CP357" s="2"/>
      <c r="CQ357" s="2">
        <v>14.8</v>
      </c>
      <c r="CR357" s="2"/>
      <c r="CS357" s="2">
        <v>1.3</v>
      </c>
      <c r="CT357" s="2"/>
      <c r="CU357" s="2">
        <v>11.9</v>
      </c>
      <c r="CV357" s="2"/>
      <c r="CW357" s="2"/>
      <c r="CX357" s="2">
        <v>2.5</v>
      </c>
      <c r="CY357" s="2">
        <v>0.3</v>
      </c>
      <c r="CZ357" s="2"/>
      <c r="DB357">
        <v>1918</v>
      </c>
      <c r="DC357">
        <v>43.3</v>
      </c>
      <c r="DH357">
        <v>356</v>
      </c>
    </row>
    <row r="358" spans="1:112">
      <c r="A358" s="1">
        <v>41265</v>
      </c>
      <c r="B358" s="2">
        <v>10.4</v>
      </c>
      <c r="C358" s="2"/>
      <c r="D358" s="2"/>
      <c r="E358" s="2"/>
      <c r="F358" s="2">
        <v>3.6</v>
      </c>
      <c r="G358" s="2">
        <v>3.5</v>
      </c>
      <c r="H358" s="2"/>
      <c r="I358" s="2">
        <v>20.5</v>
      </c>
      <c r="J358" s="2">
        <v>15</v>
      </c>
      <c r="K358" s="2"/>
      <c r="L358" s="2"/>
      <c r="M358" s="2"/>
      <c r="N358" s="2">
        <v>30.5</v>
      </c>
      <c r="O358" s="2">
        <v>3.9</v>
      </c>
      <c r="P358" s="2"/>
      <c r="Q358" s="2"/>
      <c r="R358" s="2"/>
      <c r="S358" s="2">
        <v>16.7</v>
      </c>
      <c r="T358" s="2">
        <v>6</v>
      </c>
      <c r="U358" s="2"/>
      <c r="V358" s="2">
        <v>10.5</v>
      </c>
      <c r="W358" s="2"/>
      <c r="X358" s="2">
        <v>20</v>
      </c>
      <c r="Y358" s="2">
        <v>17.899999999994201</v>
      </c>
      <c r="Z358" s="2">
        <v>19.199999999982499</v>
      </c>
      <c r="AA358" s="2">
        <v>5.1999999999970896</v>
      </c>
      <c r="AB358" s="2">
        <v>24.799999999988401</v>
      </c>
      <c r="AC358" s="2">
        <v>1.29999999999927</v>
      </c>
      <c r="AD358" s="2">
        <v>3</v>
      </c>
      <c r="AE358" s="2">
        <v>0</v>
      </c>
      <c r="AF358" s="2">
        <v>1.29999999999927</v>
      </c>
      <c r="AG358" s="2">
        <v>3.7999999999992702</v>
      </c>
      <c r="AH358" s="2">
        <v>9.9999999999908995E-2</v>
      </c>
      <c r="AI358" s="2">
        <v>15</v>
      </c>
      <c r="AJ358" s="2"/>
      <c r="AK358" s="2"/>
      <c r="AL358" s="2">
        <v>1.89999999999964</v>
      </c>
      <c r="AM358" s="2">
        <v>2.3999999999978199</v>
      </c>
      <c r="AN358" s="2"/>
      <c r="AO358" s="2"/>
      <c r="AP358" s="2"/>
      <c r="AQ358" s="2">
        <v>7.79999999999563</v>
      </c>
      <c r="AR358" s="2">
        <v>9.9999999999908995E-2</v>
      </c>
      <c r="AS358" s="2">
        <v>1.1999999999989099</v>
      </c>
      <c r="AT358" s="2">
        <v>4.79999999999563</v>
      </c>
      <c r="AU358" s="2"/>
      <c r="AV358" s="2"/>
      <c r="AW358" s="2"/>
      <c r="AX358" s="2">
        <v>3.3999999999978199</v>
      </c>
      <c r="AY358" s="2">
        <v>4</v>
      </c>
      <c r="AZ358" s="2"/>
      <c r="BA358" s="2">
        <v>9.5</v>
      </c>
      <c r="BB358" s="2">
        <v>9.9999999999908995E-2</v>
      </c>
      <c r="BC358" s="2">
        <v>3.2000000000007298</v>
      </c>
      <c r="BD358" s="2">
        <v>0.69999999999981799</v>
      </c>
      <c r="BE358" s="2">
        <v>9.1999999999970896</v>
      </c>
      <c r="BF358" s="2">
        <v>0.5</v>
      </c>
      <c r="BG358" s="2">
        <v>0.60000000000036402</v>
      </c>
      <c r="BH358" s="2">
        <v>8.3999999999941792</v>
      </c>
      <c r="BI358" s="2">
        <v>0.200000000000045</v>
      </c>
      <c r="BJ358" s="2">
        <v>0</v>
      </c>
      <c r="BK358" s="2">
        <v>0.60000000000036402</v>
      </c>
      <c r="BL358" s="2"/>
      <c r="BM358" s="2"/>
      <c r="BN358" s="2">
        <v>0</v>
      </c>
      <c r="BO358" s="2">
        <v>2.7999999999992702</v>
      </c>
      <c r="BP358" s="2">
        <v>1.79999999999927</v>
      </c>
      <c r="BQ358" s="2">
        <v>0.100000000000023</v>
      </c>
      <c r="BR358" s="2">
        <v>0.100000000000023</v>
      </c>
      <c r="BS358" s="2">
        <v>1.89999999999964</v>
      </c>
      <c r="BT358" s="2"/>
      <c r="BU358" s="2"/>
      <c r="BV358" s="2"/>
      <c r="BW358" s="2">
        <v>0.69999999999981799</v>
      </c>
      <c r="BX358" s="2">
        <v>5.5</v>
      </c>
      <c r="BY358" s="2">
        <v>19.8</v>
      </c>
      <c r="BZ358" s="2">
        <v>10.1</v>
      </c>
      <c r="CA358" s="2"/>
      <c r="CB358" s="2"/>
      <c r="CC358" s="2"/>
      <c r="CD358" s="2">
        <v>4</v>
      </c>
      <c r="CE358" s="2">
        <v>1.9</v>
      </c>
      <c r="CF358" s="2">
        <v>1.2</v>
      </c>
      <c r="CG358" s="2">
        <v>0.8</v>
      </c>
      <c r="CH358" s="2"/>
      <c r="CI358" s="2">
        <v>5.5</v>
      </c>
      <c r="CJ358" s="2">
        <v>1</v>
      </c>
      <c r="CK358" s="2">
        <v>7.4</v>
      </c>
      <c r="CL358" s="2">
        <v>50.1</v>
      </c>
      <c r="CM358" s="2">
        <v>10</v>
      </c>
      <c r="CN358" s="2">
        <v>1</v>
      </c>
      <c r="CO358" s="2"/>
      <c r="CP358" s="2"/>
      <c r="CQ358" s="2">
        <v>10.4</v>
      </c>
      <c r="CR358" s="2">
        <v>1</v>
      </c>
      <c r="CS358" s="2">
        <v>0.1</v>
      </c>
      <c r="CT358" s="2"/>
      <c r="CU358" s="2">
        <v>7.9</v>
      </c>
      <c r="CV358" s="2"/>
      <c r="CW358" s="2"/>
      <c r="CX358" s="2">
        <v>1.4</v>
      </c>
      <c r="CY358" s="2">
        <v>3.9</v>
      </c>
      <c r="CZ358" s="2"/>
      <c r="DB358">
        <v>1999</v>
      </c>
      <c r="DC358">
        <v>50.1</v>
      </c>
      <c r="DH358">
        <v>357</v>
      </c>
    </row>
    <row r="359" spans="1:112">
      <c r="A359" s="1">
        <v>41266</v>
      </c>
      <c r="B359" s="2"/>
      <c r="C359" s="2"/>
      <c r="D359" s="2"/>
      <c r="E359" s="2"/>
      <c r="F359" s="2">
        <v>2.5</v>
      </c>
      <c r="G359" s="2">
        <v>2.1</v>
      </c>
      <c r="H359" s="2">
        <v>2.7</v>
      </c>
      <c r="I359" s="2"/>
      <c r="J359" s="2">
        <v>10</v>
      </c>
      <c r="K359" s="2"/>
      <c r="L359" s="2"/>
      <c r="M359" s="2"/>
      <c r="N359" s="2">
        <v>1</v>
      </c>
      <c r="O359" s="2"/>
      <c r="P359" s="2"/>
      <c r="Q359" s="2">
        <v>18.5</v>
      </c>
      <c r="R359" s="2"/>
      <c r="S359" s="2"/>
      <c r="T359" s="2"/>
      <c r="U359" s="2">
        <v>2.7</v>
      </c>
      <c r="V359" s="2">
        <v>2.5</v>
      </c>
      <c r="W359" s="2"/>
      <c r="X359" s="2">
        <v>0</v>
      </c>
      <c r="Y359" s="2">
        <v>6.5</v>
      </c>
      <c r="Z359" s="2"/>
      <c r="AA359" s="2"/>
      <c r="AB359" s="2">
        <v>3.8</v>
      </c>
      <c r="AC359" s="2">
        <v>2.6999999999970901</v>
      </c>
      <c r="AD359" s="2"/>
      <c r="AE359" s="2">
        <v>9.1999999999970896</v>
      </c>
      <c r="AF359" s="2"/>
      <c r="AG359" s="2">
        <v>0.29999999999972699</v>
      </c>
      <c r="AH359" s="2"/>
      <c r="AI359" s="2">
        <v>1.6999999999989099</v>
      </c>
      <c r="AJ359" s="2"/>
      <c r="AK359" s="2"/>
      <c r="AL359" s="2">
        <v>0.39999999999963598</v>
      </c>
      <c r="AM359" s="2">
        <v>0</v>
      </c>
      <c r="AN359" s="2">
        <v>14.599999999991301</v>
      </c>
      <c r="AO359" s="2"/>
      <c r="AP359" s="2"/>
      <c r="AQ359" s="2">
        <v>12.6999999999971</v>
      </c>
      <c r="AR359" s="2">
        <v>9.5</v>
      </c>
      <c r="AS359" s="2">
        <v>8.7999999999883602</v>
      </c>
      <c r="AT359" s="2">
        <v>13.5</v>
      </c>
      <c r="AU359" s="2"/>
      <c r="AV359" s="2"/>
      <c r="AW359" s="2"/>
      <c r="AX359" s="2">
        <v>4.5999999999985501</v>
      </c>
      <c r="AY359" s="2">
        <v>3.5</v>
      </c>
      <c r="AZ359" s="2"/>
      <c r="BA359" s="2">
        <v>7.3</v>
      </c>
      <c r="BB359" s="2">
        <v>2</v>
      </c>
      <c r="BC359" s="2">
        <v>0.200000000000045</v>
      </c>
      <c r="BD359" s="2">
        <v>9.3999999999941792</v>
      </c>
      <c r="BE359" s="2">
        <v>1.10000000000036</v>
      </c>
      <c r="BF359" s="2"/>
      <c r="BG359" s="2">
        <v>8</v>
      </c>
      <c r="BH359" s="2">
        <v>1.10000000000036</v>
      </c>
      <c r="BI359" s="2">
        <v>3.0999999999985399</v>
      </c>
      <c r="BJ359" s="2">
        <v>0</v>
      </c>
      <c r="BK359" s="2">
        <v>0.100000000000023</v>
      </c>
      <c r="BL359" s="2"/>
      <c r="BM359" s="2">
        <v>0.100000000000023</v>
      </c>
      <c r="BN359" s="2">
        <v>0.100000000000023</v>
      </c>
      <c r="BO359" s="2">
        <v>1</v>
      </c>
      <c r="BP359" s="2"/>
      <c r="BQ359" s="2"/>
      <c r="BR359" s="2"/>
      <c r="BS359" s="2">
        <v>1</v>
      </c>
      <c r="BT359" s="2">
        <v>0</v>
      </c>
      <c r="BU359" s="2"/>
      <c r="BV359" s="2">
        <v>0</v>
      </c>
      <c r="BW359" s="2">
        <v>1</v>
      </c>
      <c r="BX359" s="2">
        <v>4</v>
      </c>
      <c r="BY359" s="2">
        <v>6.4</v>
      </c>
      <c r="BZ359" s="2">
        <v>14.3</v>
      </c>
      <c r="CA359" s="2"/>
      <c r="CB359" s="2">
        <v>0.1</v>
      </c>
      <c r="CC359" s="2">
        <v>23.8</v>
      </c>
      <c r="CD359" s="2">
        <v>1.4</v>
      </c>
      <c r="CE359" s="2">
        <v>5.3</v>
      </c>
      <c r="CF359" s="2">
        <v>0.3</v>
      </c>
      <c r="CG359" s="2">
        <v>4.4000000000000004</v>
      </c>
      <c r="CH359" s="2"/>
      <c r="CI359" s="2"/>
      <c r="CJ359" s="2">
        <v>3.5</v>
      </c>
      <c r="CK359" s="2">
        <v>25.5</v>
      </c>
      <c r="CL359" s="2">
        <v>22.5</v>
      </c>
      <c r="CM359" s="2">
        <v>11</v>
      </c>
      <c r="CN359" s="2">
        <v>10.6</v>
      </c>
      <c r="CO359" s="2">
        <v>8.8000000000000007</v>
      </c>
      <c r="CP359" s="2">
        <v>1.7</v>
      </c>
      <c r="CQ359" s="2">
        <v>1.2</v>
      </c>
      <c r="CR359" s="2">
        <v>2.8</v>
      </c>
      <c r="CS359" s="2">
        <v>0.4</v>
      </c>
      <c r="CT359" s="2"/>
      <c r="CU359" s="2">
        <v>2.5</v>
      </c>
      <c r="CV359" s="2"/>
      <c r="CW359" s="2"/>
      <c r="CX359" s="2">
        <v>36.6</v>
      </c>
      <c r="CY359" s="2">
        <v>0.4</v>
      </c>
      <c r="CZ359" s="2"/>
      <c r="DB359">
        <v>2011</v>
      </c>
      <c r="DC359">
        <v>36.6</v>
      </c>
      <c r="DH359">
        <v>358</v>
      </c>
    </row>
    <row r="360" spans="1:112">
      <c r="A360" s="1">
        <v>41267</v>
      </c>
      <c r="B360" s="2"/>
      <c r="C360" s="2">
        <v>8.1</v>
      </c>
      <c r="D360" s="2"/>
      <c r="E360" s="2">
        <v>3.7</v>
      </c>
      <c r="F360" s="2">
        <v>14.6</v>
      </c>
      <c r="G360" s="2"/>
      <c r="H360" s="2">
        <v>5.8</v>
      </c>
      <c r="I360" s="2"/>
      <c r="J360" s="2"/>
      <c r="K360" s="2">
        <v>1</v>
      </c>
      <c r="L360" s="2"/>
      <c r="M360" s="2"/>
      <c r="N360" s="2">
        <v>21.5</v>
      </c>
      <c r="O360" s="2">
        <v>2.8</v>
      </c>
      <c r="P360" s="2">
        <v>1.4</v>
      </c>
      <c r="Q360" s="2">
        <v>10.199999999999999</v>
      </c>
      <c r="R360" s="2">
        <v>9.1999999999999993</v>
      </c>
      <c r="S360" s="2">
        <v>1.7</v>
      </c>
      <c r="T360" s="2"/>
      <c r="U360" s="2">
        <v>3.6</v>
      </c>
      <c r="V360" s="2"/>
      <c r="W360" s="2">
        <v>0.6</v>
      </c>
      <c r="X360" s="2"/>
      <c r="Y360" s="2">
        <v>0.19999999999981799</v>
      </c>
      <c r="Z360" s="2"/>
      <c r="AA360" s="2">
        <v>2.6999999999970901</v>
      </c>
      <c r="AB360" s="2">
        <v>0.3</v>
      </c>
      <c r="AC360" s="2">
        <v>2.0999999999985399</v>
      </c>
      <c r="AD360" s="2"/>
      <c r="AE360" s="2">
        <v>4</v>
      </c>
      <c r="AF360" s="2"/>
      <c r="AG360" s="2">
        <v>4</v>
      </c>
      <c r="AH360" s="2"/>
      <c r="AI360" s="2">
        <v>2.0999999999985399</v>
      </c>
      <c r="AJ360" s="2"/>
      <c r="AK360" s="2">
        <v>5.6999999999970896</v>
      </c>
      <c r="AL360" s="2"/>
      <c r="AM360" s="2"/>
      <c r="AN360" s="2">
        <v>15.299999999988399</v>
      </c>
      <c r="AO360" s="2"/>
      <c r="AP360" s="2"/>
      <c r="AQ360" s="2">
        <v>10.1999999999971</v>
      </c>
      <c r="AR360" s="2">
        <v>3.7999999999992702</v>
      </c>
      <c r="AS360" s="2">
        <v>16</v>
      </c>
      <c r="AT360" s="2">
        <v>0.89999999999963598</v>
      </c>
      <c r="AU360" s="2">
        <v>1.79999999999927</v>
      </c>
      <c r="AV360" s="2"/>
      <c r="AW360" s="2"/>
      <c r="AX360" s="2"/>
      <c r="AY360" s="2">
        <v>8.7999999999883602</v>
      </c>
      <c r="AZ360" s="2">
        <v>10.6999999999971</v>
      </c>
      <c r="BA360" s="2">
        <v>3.9</v>
      </c>
      <c r="BB360" s="2"/>
      <c r="BC360" s="2"/>
      <c r="BD360" s="2">
        <v>2.0999999999985399</v>
      </c>
      <c r="BE360" s="2">
        <v>6.8000000000029104</v>
      </c>
      <c r="BF360" s="2"/>
      <c r="BG360" s="2">
        <v>4.4000000000014596</v>
      </c>
      <c r="BH360" s="2">
        <v>0.200000000000045</v>
      </c>
      <c r="BI360" s="2">
        <v>0.5</v>
      </c>
      <c r="BJ360" s="2">
        <v>0.69999999999981799</v>
      </c>
      <c r="BK360" s="2">
        <v>0.100000000000023</v>
      </c>
      <c r="BL360" s="2"/>
      <c r="BM360" s="2">
        <v>0.100000000000023</v>
      </c>
      <c r="BN360" s="2"/>
      <c r="BO360" s="2">
        <v>0.5</v>
      </c>
      <c r="BP360" s="2"/>
      <c r="BQ360" s="2">
        <v>0.69999999999981799</v>
      </c>
      <c r="BR360" s="2"/>
      <c r="BS360" s="2">
        <v>1.5</v>
      </c>
      <c r="BT360" s="2">
        <v>0.30000000000018201</v>
      </c>
      <c r="BU360" s="2">
        <v>4.5999999999996799</v>
      </c>
      <c r="BV360" s="2">
        <v>1.1000000000000001</v>
      </c>
      <c r="BW360" s="2">
        <v>0.19999999999981799</v>
      </c>
      <c r="BX360" s="2"/>
      <c r="BY360" s="2">
        <v>2.9</v>
      </c>
      <c r="BZ360" s="2">
        <v>13.2</v>
      </c>
      <c r="CA360" s="2"/>
      <c r="CB360" s="2">
        <v>2.2000000000000002</v>
      </c>
      <c r="CC360" s="2">
        <v>9.5</v>
      </c>
      <c r="CD360" s="2">
        <v>0.2</v>
      </c>
      <c r="CE360" s="2">
        <v>2.5</v>
      </c>
      <c r="CF360" s="2"/>
      <c r="CG360" s="2"/>
      <c r="CH360" s="2"/>
      <c r="CI360" s="2">
        <v>6.1</v>
      </c>
      <c r="CJ360" s="2">
        <v>1.5</v>
      </c>
      <c r="CK360" s="2">
        <v>11.5</v>
      </c>
      <c r="CL360" s="2">
        <v>5.5</v>
      </c>
      <c r="CM360" s="2"/>
      <c r="CN360" s="2">
        <v>38.299999999999997</v>
      </c>
      <c r="CO360" s="2">
        <v>1.7</v>
      </c>
      <c r="CP360" s="2">
        <v>2.4</v>
      </c>
      <c r="CQ360" s="2"/>
      <c r="CR360" s="2">
        <v>12.6</v>
      </c>
      <c r="CS360" s="2">
        <v>0.3</v>
      </c>
      <c r="CT360" s="2">
        <v>0.1</v>
      </c>
      <c r="CU360" s="2">
        <v>3.8</v>
      </c>
      <c r="CV360" s="2"/>
      <c r="CW360" s="2"/>
      <c r="CX360" s="2">
        <v>1.8</v>
      </c>
      <c r="CY360" s="2">
        <v>0.2</v>
      </c>
      <c r="CZ360" s="2"/>
      <c r="DB360">
        <v>2001</v>
      </c>
      <c r="DC360">
        <v>38.299999999999997</v>
      </c>
      <c r="DH360">
        <v>359</v>
      </c>
    </row>
    <row r="361" spans="1:112">
      <c r="A361" s="1">
        <v>41268</v>
      </c>
      <c r="B361" s="2">
        <v>0.8</v>
      </c>
      <c r="C361" s="2"/>
      <c r="D361" s="2"/>
      <c r="E361" s="2"/>
      <c r="F361" s="2"/>
      <c r="G361" s="2"/>
      <c r="H361" s="2">
        <v>4.8</v>
      </c>
      <c r="I361" s="2"/>
      <c r="J361" s="2"/>
      <c r="K361" s="2">
        <v>0.9</v>
      </c>
      <c r="L361" s="2"/>
      <c r="M361" s="2"/>
      <c r="N361" s="2">
        <v>12.5</v>
      </c>
      <c r="O361" s="2">
        <v>1.7</v>
      </c>
      <c r="P361" s="2"/>
      <c r="Q361" s="2">
        <v>0.9</v>
      </c>
      <c r="R361" s="2">
        <v>16.2</v>
      </c>
      <c r="S361" s="2"/>
      <c r="T361" s="2"/>
      <c r="U361" s="2">
        <v>0.4</v>
      </c>
      <c r="V361" s="2"/>
      <c r="W361" s="2">
        <v>11.2</v>
      </c>
      <c r="X361" s="2"/>
      <c r="Y361" s="2"/>
      <c r="Z361" s="2"/>
      <c r="AA361" s="2">
        <v>3.3999999999978199</v>
      </c>
      <c r="AB361" s="2">
        <v>5.9</v>
      </c>
      <c r="AC361" s="2"/>
      <c r="AD361" s="2"/>
      <c r="AE361" s="2">
        <v>28.599999999976699</v>
      </c>
      <c r="AF361" s="2"/>
      <c r="AG361" s="2"/>
      <c r="AH361" s="2"/>
      <c r="AI361" s="2">
        <v>3.5999999999985399</v>
      </c>
      <c r="AJ361" s="2"/>
      <c r="AK361" s="2">
        <v>1</v>
      </c>
      <c r="AL361" s="2"/>
      <c r="AM361" s="2">
        <v>0</v>
      </c>
      <c r="AN361" s="2">
        <v>2.8999999999978199</v>
      </c>
      <c r="AO361" s="2">
        <v>2</v>
      </c>
      <c r="AP361" s="2"/>
      <c r="AQ361" s="2">
        <v>32</v>
      </c>
      <c r="AR361" s="2">
        <v>7</v>
      </c>
      <c r="AS361" s="2"/>
      <c r="AT361" s="2">
        <v>1.29999999999927</v>
      </c>
      <c r="AU361" s="2">
        <v>1.89999999999964</v>
      </c>
      <c r="AV361" s="2"/>
      <c r="AW361" s="2">
        <v>13.6999999999971</v>
      </c>
      <c r="AX361" s="2">
        <v>3</v>
      </c>
      <c r="AY361" s="2"/>
      <c r="AZ361" s="2">
        <v>27.299999999988401</v>
      </c>
      <c r="BA361" s="2">
        <v>1.0999999999985499</v>
      </c>
      <c r="BB361" s="2"/>
      <c r="BC361" s="2">
        <v>1</v>
      </c>
      <c r="BD361" s="2">
        <v>12.1999999999971</v>
      </c>
      <c r="BE361" s="2">
        <v>4.5</v>
      </c>
      <c r="BF361" s="2"/>
      <c r="BG361" s="2">
        <v>30.799999999988401</v>
      </c>
      <c r="BH361" s="2">
        <v>6.0999999999985501</v>
      </c>
      <c r="BI361" s="2">
        <v>2</v>
      </c>
      <c r="BJ361" s="2"/>
      <c r="BK361" s="2"/>
      <c r="BL361" s="2"/>
      <c r="BM361" s="2">
        <v>0.30000000000018201</v>
      </c>
      <c r="BN361" s="2">
        <v>3.7999999999992702</v>
      </c>
      <c r="BO361" s="2">
        <v>0.100000000000023</v>
      </c>
      <c r="BP361" s="2">
        <v>5.3000000000029104</v>
      </c>
      <c r="BQ361" s="2">
        <v>0.30000000000018201</v>
      </c>
      <c r="BR361" s="2">
        <v>9</v>
      </c>
      <c r="BS361" s="2"/>
      <c r="BT361" s="2">
        <v>19.399999999994201</v>
      </c>
      <c r="BU361" s="2">
        <v>0.50000000000011402</v>
      </c>
      <c r="BV361" s="2"/>
      <c r="BW361" s="2">
        <v>2.0999999999985399</v>
      </c>
      <c r="BX361" s="2">
        <v>0</v>
      </c>
      <c r="BY361" s="2">
        <v>18.3</v>
      </c>
      <c r="BZ361" s="2">
        <v>2</v>
      </c>
      <c r="CA361" s="2">
        <v>3</v>
      </c>
      <c r="CB361" s="2">
        <v>9.6999999999999993</v>
      </c>
      <c r="CC361" s="2">
        <v>1.2</v>
      </c>
      <c r="CD361" s="2">
        <v>12.2</v>
      </c>
      <c r="CE361" s="2">
        <v>0.5</v>
      </c>
      <c r="CF361" s="2">
        <v>0.3</v>
      </c>
      <c r="CG361" s="2">
        <v>4.5</v>
      </c>
      <c r="CH361" s="2">
        <v>0.6</v>
      </c>
      <c r="CI361" s="2">
        <v>41.3</v>
      </c>
      <c r="CJ361" s="2"/>
      <c r="CK361" s="2"/>
      <c r="CL361" s="2">
        <v>3.5</v>
      </c>
      <c r="CM361" s="2"/>
      <c r="CN361" s="2">
        <v>23.1</v>
      </c>
      <c r="CO361" s="2">
        <v>0</v>
      </c>
      <c r="CP361" s="2">
        <v>24</v>
      </c>
      <c r="CQ361" s="2"/>
      <c r="CR361" s="2"/>
      <c r="CS361" s="2">
        <v>1.9</v>
      </c>
      <c r="CT361" s="2"/>
      <c r="CU361" s="2"/>
      <c r="CV361" s="2">
        <v>0.5</v>
      </c>
      <c r="CW361" s="2">
        <v>10.6</v>
      </c>
      <c r="CX361" s="2"/>
      <c r="CY361" s="2"/>
      <c r="CZ361" s="2"/>
      <c r="DB361">
        <v>1996</v>
      </c>
      <c r="DC361">
        <v>41.3</v>
      </c>
      <c r="DH361">
        <v>360</v>
      </c>
    </row>
    <row r="362" spans="1:112">
      <c r="A362" s="1">
        <v>41269</v>
      </c>
      <c r="B362" s="2"/>
      <c r="C362" s="2"/>
      <c r="D362" s="2">
        <v>68</v>
      </c>
      <c r="E362" s="2"/>
      <c r="F362" s="2">
        <v>3.2</v>
      </c>
      <c r="G362" s="2"/>
      <c r="H362" s="2"/>
      <c r="I362" s="2"/>
      <c r="J362" s="2"/>
      <c r="K362" s="2">
        <v>0.2</v>
      </c>
      <c r="L362" s="2"/>
      <c r="M362" s="2">
        <v>0.2</v>
      </c>
      <c r="N362" s="2"/>
      <c r="O362" s="2"/>
      <c r="P362" s="2">
        <v>2.2000000000000002</v>
      </c>
      <c r="Q362" s="2">
        <v>11</v>
      </c>
      <c r="R362" s="2"/>
      <c r="S362" s="2"/>
      <c r="T362" s="2">
        <v>0.5</v>
      </c>
      <c r="U362" s="2">
        <v>0.5</v>
      </c>
      <c r="V362" s="2"/>
      <c r="W362" s="2">
        <v>14.1</v>
      </c>
      <c r="X362" s="2"/>
      <c r="Y362" s="2">
        <v>10.399999999994201</v>
      </c>
      <c r="Z362" s="2"/>
      <c r="AA362" s="2">
        <v>6.5999999999985501</v>
      </c>
      <c r="AB362" s="2">
        <v>12.599999999991301</v>
      </c>
      <c r="AC362" s="2">
        <v>7.79999999999563</v>
      </c>
      <c r="AD362" s="2">
        <v>1.5999999999985499</v>
      </c>
      <c r="AE362" s="2">
        <v>14.599999999991301</v>
      </c>
      <c r="AF362" s="2">
        <v>17.2</v>
      </c>
      <c r="AG362" s="2">
        <v>0.59999999999945397</v>
      </c>
      <c r="AH362" s="2"/>
      <c r="AI362" s="2">
        <v>7.5</v>
      </c>
      <c r="AJ362" s="2">
        <v>0.79999999999927196</v>
      </c>
      <c r="AK362" s="2">
        <v>3.1999999999970901</v>
      </c>
      <c r="AL362" s="2">
        <v>0.79999999999927196</v>
      </c>
      <c r="AM362" s="2">
        <v>6</v>
      </c>
      <c r="AN362" s="2">
        <v>3</v>
      </c>
      <c r="AO362" s="2"/>
      <c r="AP362" s="2"/>
      <c r="AQ362" s="2">
        <v>2.1999999999970901</v>
      </c>
      <c r="AR362" s="2"/>
      <c r="AS362" s="2">
        <v>9.9999999999908995E-2</v>
      </c>
      <c r="AT362" s="2">
        <v>3.1999999999970901</v>
      </c>
      <c r="AU362" s="2">
        <v>7.5</v>
      </c>
      <c r="AV362" s="2"/>
      <c r="AW362" s="2">
        <v>12.899999999994201</v>
      </c>
      <c r="AX362" s="2">
        <v>2.8999999999978199</v>
      </c>
      <c r="AY362" s="2"/>
      <c r="AZ362" s="2">
        <v>21.899999999994201</v>
      </c>
      <c r="BA362" s="2">
        <v>9.8999999999941792</v>
      </c>
      <c r="BB362" s="2"/>
      <c r="BC362" s="2">
        <v>5.5</v>
      </c>
      <c r="BD362" s="2">
        <v>6.4000000000014596</v>
      </c>
      <c r="BE362" s="2">
        <v>12.600000000005799</v>
      </c>
      <c r="BF362" s="2"/>
      <c r="BG362" s="2">
        <v>0.100000000000023</v>
      </c>
      <c r="BH362" s="2">
        <v>8.3000000000029104</v>
      </c>
      <c r="BI362" s="2">
        <v>12.100000000005799</v>
      </c>
      <c r="BJ362" s="2">
        <v>0.100000000000023</v>
      </c>
      <c r="BK362" s="2">
        <v>0.100000000000023</v>
      </c>
      <c r="BL362" s="2"/>
      <c r="BM362" s="2">
        <v>0.100000000000023</v>
      </c>
      <c r="BN362" s="2">
        <v>6.5</v>
      </c>
      <c r="BO362" s="2"/>
      <c r="BP362" s="2">
        <v>4</v>
      </c>
      <c r="BQ362" s="2"/>
      <c r="BR362" s="2">
        <v>8</v>
      </c>
      <c r="BS362" s="2">
        <v>8.6000000000058208</v>
      </c>
      <c r="BT362" s="2">
        <v>5.5999999999985501</v>
      </c>
      <c r="BU362" s="2">
        <v>6.3000000000009804</v>
      </c>
      <c r="BV362" s="2"/>
      <c r="BW362" s="2">
        <v>1.6999999999989099</v>
      </c>
      <c r="BX362" s="2"/>
      <c r="BY362" s="2">
        <v>6.3</v>
      </c>
      <c r="BZ362" s="2">
        <v>0.7</v>
      </c>
      <c r="CA362" s="2">
        <v>0.4</v>
      </c>
      <c r="CB362" s="2">
        <v>0.3</v>
      </c>
      <c r="CC362" s="2"/>
      <c r="CD362" s="2">
        <v>0</v>
      </c>
      <c r="CE362" s="2">
        <v>1.7</v>
      </c>
      <c r="CF362" s="2"/>
      <c r="CG362" s="2"/>
      <c r="CH362" s="2"/>
      <c r="CI362" s="2">
        <v>26.2</v>
      </c>
      <c r="CJ362" s="2"/>
      <c r="CK362" s="2"/>
      <c r="CL362" s="2"/>
      <c r="CM362" s="2">
        <v>0.5</v>
      </c>
      <c r="CN362" s="2"/>
      <c r="CO362" s="2"/>
      <c r="CP362" s="2">
        <v>9.4</v>
      </c>
      <c r="CQ362" s="2"/>
      <c r="CR362" s="2">
        <v>0.9</v>
      </c>
      <c r="CS362" s="2">
        <v>1</v>
      </c>
      <c r="CT362" s="2"/>
      <c r="CU362" s="2">
        <v>4.4000000000000004</v>
      </c>
      <c r="CV362" s="2">
        <v>9.6</v>
      </c>
      <c r="CW362" s="2">
        <v>13.3</v>
      </c>
      <c r="CX362" s="2"/>
      <c r="CY362" s="2"/>
      <c r="CZ362" s="2"/>
      <c r="DB362">
        <v>1913</v>
      </c>
      <c r="DC362">
        <v>68</v>
      </c>
      <c r="DH362">
        <v>361</v>
      </c>
    </row>
    <row r="363" spans="1:112">
      <c r="A363" s="1">
        <v>41270</v>
      </c>
      <c r="B363" s="2"/>
      <c r="C363" s="2">
        <v>8.6</v>
      </c>
      <c r="D363" s="2">
        <v>3.4</v>
      </c>
      <c r="E363" s="2"/>
      <c r="F363" s="2">
        <v>1</v>
      </c>
      <c r="G363" s="2"/>
      <c r="H363" s="2"/>
      <c r="I363" s="2"/>
      <c r="J363" s="2">
        <v>17.5</v>
      </c>
      <c r="K363" s="2"/>
      <c r="L363" s="2">
        <v>0.7</v>
      </c>
      <c r="M363" s="2">
        <v>4.4000000000000004</v>
      </c>
      <c r="N363" s="2">
        <v>7.5</v>
      </c>
      <c r="O363" s="2"/>
      <c r="P363" s="2">
        <v>2</v>
      </c>
      <c r="Q363" s="2"/>
      <c r="R363" s="2">
        <v>5.0999999999999996</v>
      </c>
      <c r="S363" s="2"/>
      <c r="T363" s="2"/>
      <c r="U363" s="2">
        <v>2.1</v>
      </c>
      <c r="V363" s="2"/>
      <c r="W363" s="2">
        <v>0.5</v>
      </c>
      <c r="X363" s="2">
        <v>9</v>
      </c>
      <c r="Y363" s="2">
        <v>6.3999999999941801</v>
      </c>
      <c r="Z363" s="2">
        <v>0.19999999999981799</v>
      </c>
      <c r="AA363" s="2">
        <v>3.4</v>
      </c>
      <c r="AB363" s="2">
        <v>14.599999999991301</v>
      </c>
      <c r="AC363" s="2">
        <v>3.6999999999970901</v>
      </c>
      <c r="AD363" s="2">
        <v>56.5</v>
      </c>
      <c r="AE363" s="2">
        <v>6.29999999999563</v>
      </c>
      <c r="AF363" s="2">
        <v>3</v>
      </c>
      <c r="AG363" s="2"/>
      <c r="AH363" s="2">
        <v>10</v>
      </c>
      <c r="AI363" s="2">
        <v>8.6999999999970896</v>
      </c>
      <c r="AJ363" s="2">
        <v>1.6999999999989099</v>
      </c>
      <c r="AK363" s="2">
        <v>10.799999999988399</v>
      </c>
      <c r="AL363" s="2">
        <v>7</v>
      </c>
      <c r="AM363" s="2">
        <v>31</v>
      </c>
      <c r="AN363" s="2">
        <v>0.2</v>
      </c>
      <c r="AO363" s="2"/>
      <c r="AP363" s="2"/>
      <c r="AQ363" s="2"/>
      <c r="AR363" s="2"/>
      <c r="AS363" s="2"/>
      <c r="AT363" s="2">
        <v>9.0999999999912706</v>
      </c>
      <c r="AU363" s="2"/>
      <c r="AV363" s="2"/>
      <c r="AW363" s="2">
        <v>3.2999999999992702</v>
      </c>
      <c r="AX363" s="2"/>
      <c r="AY363" s="2">
        <v>26.899999999994201</v>
      </c>
      <c r="AZ363" s="2"/>
      <c r="BA363" s="2">
        <v>22.899999999994201</v>
      </c>
      <c r="BB363" s="2"/>
      <c r="BC363" s="2">
        <v>25.700000000011599</v>
      </c>
      <c r="BD363" s="2"/>
      <c r="BE363" s="2"/>
      <c r="BF363" s="2"/>
      <c r="BG363" s="2">
        <v>9.3000000000029104</v>
      </c>
      <c r="BH363" s="2">
        <v>0.5</v>
      </c>
      <c r="BI363" s="2">
        <v>0.100000000000023</v>
      </c>
      <c r="BJ363" s="2"/>
      <c r="BK363" s="2">
        <v>9.1000000000058208</v>
      </c>
      <c r="BL363" s="2">
        <v>0</v>
      </c>
      <c r="BM363" s="2"/>
      <c r="BN363" s="2">
        <v>0.80000000000018201</v>
      </c>
      <c r="BO363" s="2">
        <v>1</v>
      </c>
      <c r="BP363" s="2"/>
      <c r="BQ363" s="2"/>
      <c r="BR363" s="2">
        <v>43</v>
      </c>
      <c r="BS363" s="2">
        <v>0.69999999999981799</v>
      </c>
      <c r="BT363" s="2">
        <v>11.399999999994201</v>
      </c>
      <c r="BU363" s="2">
        <v>15.600000000005799</v>
      </c>
      <c r="BV363" s="2"/>
      <c r="BW363" s="2">
        <v>0.5</v>
      </c>
      <c r="BX363" s="2">
        <v>36</v>
      </c>
      <c r="BY363" s="2">
        <v>0.8</v>
      </c>
      <c r="BZ363" s="2"/>
      <c r="CA363" s="2"/>
      <c r="CB363" s="2">
        <v>5.6</v>
      </c>
      <c r="CC363" s="2">
        <v>0.3</v>
      </c>
      <c r="CD363" s="2">
        <v>24.5</v>
      </c>
      <c r="CE363" s="2"/>
      <c r="CF363" s="2">
        <v>10.199999999999999</v>
      </c>
      <c r="CG363" s="2">
        <v>12.4</v>
      </c>
      <c r="CH363" s="2"/>
      <c r="CI363" s="2">
        <v>15.5</v>
      </c>
      <c r="CJ363" s="2"/>
      <c r="CK363" s="2"/>
      <c r="CL363" s="2">
        <v>15</v>
      </c>
      <c r="CM363" s="2"/>
      <c r="CN363" s="2">
        <v>3.6</v>
      </c>
      <c r="CO363" s="2"/>
      <c r="CP363" s="2"/>
      <c r="CQ363" s="2"/>
      <c r="CR363" s="2">
        <v>1.2</v>
      </c>
      <c r="CS363" s="2"/>
      <c r="CT363" s="2"/>
      <c r="CU363" s="2">
        <v>2</v>
      </c>
      <c r="CV363" s="2">
        <v>2</v>
      </c>
      <c r="CW363" s="2">
        <v>7.8</v>
      </c>
      <c r="CX363" s="2"/>
      <c r="CY363" s="2"/>
      <c r="CZ363" s="2"/>
      <c r="DB363">
        <v>1939</v>
      </c>
      <c r="DC363">
        <v>56.5</v>
      </c>
      <c r="DH363">
        <v>362</v>
      </c>
    </row>
    <row r="364" spans="1:112">
      <c r="A364" s="1">
        <v>41271</v>
      </c>
      <c r="B364" s="2">
        <v>17.899999999999999</v>
      </c>
      <c r="C364" s="2"/>
      <c r="D364" s="2"/>
      <c r="E364" s="2">
        <v>0.4</v>
      </c>
      <c r="F364" s="2"/>
      <c r="G364" s="2">
        <v>6.8</v>
      </c>
      <c r="H364" s="2"/>
      <c r="I364" s="2">
        <v>1</v>
      </c>
      <c r="J364" s="2"/>
      <c r="K364" s="2"/>
      <c r="L364" s="2"/>
      <c r="M364" s="2">
        <v>1.9</v>
      </c>
      <c r="N364" s="2">
        <v>20</v>
      </c>
      <c r="O364" s="2"/>
      <c r="P364" s="2">
        <v>1.5</v>
      </c>
      <c r="Q364" s="2"/>
      <c r="R364" s="2"/>
      <c r="S364" s="2"/>
      <c r="T364" s="2">
        <v>0</v>
      </c>
      <c r="U364" s="2">
        <v>8.9</v>
      </c>
      <c r="V364" s="2"/>
      <c r="W364" s="2">
        <v>0.3</v>
      </c>
      <c r="X364" s="2">
        <v>0.2</v>
      </c>
      <c r="Y364" s="2">
        <v>2.8999999999978199</v>
      </c>
      <c r="Z364" s="2"/>
      <c r="AA364" s="2">
        <v>0</v>
      </c>
      <c r="AB364" s="2">
        <v>4.3999999999941801</v>
      </c>
      <c r="AC364" s="2">
        <v>10.1999999999971</v>
      </c>
      <c r="AD364" s="2">
        <v>9</v>
      </c>
      <c r="AE364" s="2">
        <v>8.5</v>
      </c>
      <c r="AF364" s="2">
        <v>11.6</v>
      </c>
      <c r="AG364" s="2">
        <v>3.8999999999978199</v>
      </c>
      <c r="AH364" s="2">
        <v>4.3999999999941801</v>
      </c>
      <c r="AI364" s="2">
        <v>27.7</v>
      </c>
      <c r="AJ364" s="2">
        <v>2.1999999999970901</v>
      </c>
      <c r="AK364" s="2">
        <v>1.5</v>
      </c>
      <c r="AL364" s="2"/>
      <c r="AM364" s="2">
        <v>0</v>
      </c>
      <c r="AN364" s="2">
        <v>15.5</v>
      </c>
      <c r="AO364" s="2">
        <v>18</v>
      </c>
      <c r="AP364" s="2"/>
      <c r="AQ364" s="2"/>
      <c r="AR364" s="2"/>
      <c r="AS364" s="2"/>
      <c r="AT364" s="2">
        <v>6.6999999999970896</v>
      </c>
      <c r="AU364" s="2">
        <v>0.39999999999963598</v>
      </c>
      <c r="AV364" s="2"/>
      <c r="AW364" s="2"/>
      <c r="AX364" s="2">
        <v>0.69999999999981799</v>
      </c>
      <c r="AY364" s="2">
        <v>6.6999999999970896</v>
      </c>
      <c r="AZ364" s="2"/>
      <c r="BA364" s="2">
        <v>27.299999999988401</v>
      </c>
      <c r="BB364" s="2">
        <v>4.2999999999956398</v>
      </c>
      <c r="BC364" s="2"/>
      <c r="BD364" s="2"/>
      <c r="BE364" s="2"/>
      <c r="BF364" s="2">
        <v>12</v>
      </c>
      <c r="BG364" s="2">
        <v>34</v>
      </c>
      <c r="BH364" s="2">
        <v>1.79999999999927</v>
      </c>
      <c r="BI364" s="2"/>
      <c r="BJ364" s="2"/>
      <c r="BK364" s="2">
        <v>25</v>
      </c>
      <c r="BL364" s="2">
        <v>0.100000000000023</v>
      </c>
      <c r="BM364" s="2"/>
      <c r="BN364" s="2">
        <v>0.100000000000023</v>
      </c>
      <c r="BO364" s="2">
        <v>0.200000000000045</v>
      </c>
      <c r="BP364" s="2"/>
      <c r="BQ364" s="2"/>
      <c r="BR364" s="2">
        <v>2.0999999999985399</v>
      </c>
      <c r="BS364" s="2">
        <v>0.5</v>
      </c>
      <c r="BT364" s="2">
        <v>0.30000000000018201</v>
      </c>
      <c r="BU364" s="2">
        <v>0.30000000000018201</v>
      </c>
      <c r="BV364" s="2">
        <v>0.1</v>
      </c>
      <c r="BW364" s="2">
        <v>1.89999999999964</v>
      </c>
      <c r="BX364" s="2"/>
      <c r="BY364" s="2"/>
      <c r="BZ364" s="2">
        <v>1</v>
      </c>
      <c r="CA364" s="2">
        <v>1.3</v>
      </c>
      <c r="CB364" s="2">
        <v>0.2</v>
      </c>
      <c r="CC364" s="2">
        <v>0.6</v>
      </c>
      <c r="CD364" s="2">
        <v>10</v>
      </c>
      <c r="CE364" s="2">
        <v>1.3</v>
      </c>
      <c r="CF364" s="2"/>
      <c r="CG364" s="2">
        <v>0.2</v>
      </c>
      <c r="CH364" s="2">
        <v>11.8</v>
      </c>
      <c r="CI364" s="2">
        <v>22.4</v>
      </c>
      <c r="CJ364" s="2">
        <v>1</v>
      </c>
      <c r="CK364" s="2"/>
      <c r="CL364" s="2">
        <v>8.5</v>
      </c>
      <c r="CM364" s="2"/>
      <c r="CN364" s="2">
        <v>19</v>
      </c>
      <c r="CO364" s="2"/>
      <c r="CP364" s="2"/>
      <c r="CQ364" s="2">
        <v>4.8</v>
      </c>
      <c r="CR364" s="2">
        <v>1.6</v>
      </c>
      <c r="CS364" s="2"/>
      <c r="CT364" s="2">
        <v>0.2</v>
      </c>
      <c r="CU364" s="2">
        <v>17.3</v>
      </c>
      <c r="CV364" s="2">
        <v>10.3</v>
      </c>
      <c r="CW364" s="2">
        <v>6.8</v>
      </c>
      <c r="CX364" s="2"/>
      <c r="CY364" s="2"/>
      <c r="CZ364" s="2"/>
      <c r="DB364">
        <v>1968</v>
      </c>
      <c r="DC364">
        <v>34</v>
      </c>
      <c r="DH364">
        <v>363</v>
      </c>
    </row>
    <row r="365" spans="1:112">
      <c r="A365" s="1">
        <v>41272</v>
      </c>
      <c r="B365" s="2"/>
      <c r="C365" s="2"/>
      <c r="D365" s="2"/>
      <c r="E365" s="2">
        <v>0.1</v>
      </c>
      <c r="F365" s="2"/>
      <c r="G365" s="2">
        <v>3.6</v>
      </c>
      <c r="H365" s="2"/>
      <c r="I365" s="2"/>
      <c r="J365" s="2"/>
      <c r="K365" s="2">
        <v>0.5</v>
      </c>
      <c r="L365" s="2"/>
      <c r="M365" s="2">
        <v>7.4</v>
      </c>
      <c r="N365" s="2"/>
      <c r="O365" s="2"/>
      <c r="P365" s="2">
        <v>1.5</v>
      </c>
      <c r="Q365" s="2">
        <v>5.5</v>
      </c>
      <c r="R365" s="2">
        <v>0.7</v>
      </c>
      <c r="S365" s="2"/>
      <c r="T365" s="2">
        <v>0.7</v>
      </c>
      <c r="U365" s="2">
        <v>0.2</v>
      </c>
      <c r="V365" s="2">
        <v>0.9</v>
      </c>
      <c r="W365" s="2"/>
      <c r="X365" s="2"/>
      <c r="Y365" s="2">
        <v>1.89999999999964</v>
      </c>
      <c r="Z365" s="2"/>
      <c r="AA365" s="2">
        <v>0.29999999999972699</v>
      </c>
      <c r="AB365" s="2">
        <v>5.3999999999941801</v>
      </c>
      <c r="AC365" s="2">
        <v>11.799999999988399</v>
      </c>
      <c r="AD365" s="2">
        <v>32.599999999976703</v>
      </c>
      <c r="AE365" s="2">
        <v>0</v>
      </c>
      <c r="AF365" s="2">
        <v>4</v>
      </c>
      <c r="AG365" s="2">
        <v>1</v>
      </c>
      <c r="AH365" s="2">
        <v>6.5</v>
      </c>
      <c r="AI365" s="2">
        <v>2.0999999999985399</v>
      </c>
      <c r="AJ365" s="2">
        <v>0.5</v>
      </c>
      <c r="AK365" s="2">
        <v>4.5999999999985501</v>
      </c>
      <c r="AL365" s="2"/>
      <c r="AM365" s="2"/>
      <c r="AN365" s="2">
        <v>1.5</v>
      </c>
      <c r="AO365" s="2">
        <v>20.2</v>
      </c>
      <c r="AP365" s="2"/>
      <c r="AQ365" s="2"/>
      <c r="AR365" s="2">
        <v>1</v>
      </c>
      <c r="AS365" s="2"/>
      <c r="AT365" s="2"/>
      <c r="AU365" s="2">
        <v>4.1999999999970896</v>
      </c>
      <c r="AV365" s="2">
        <v>1</v>
      </c>
      <c r="AW365" s="2">
        <v>2.2999999999992702</v>
      </c>
      <c r="AX365" s="2">
        <v>18.399999999994201</v>
      </c>
      <c r="AY365" s="2">
        <v>16.799999999988401</v>
      </c>
      <c r="AZ365" s="2"/>
      <c r="BA365" s="2">
        <v>1.1999999999989099</v>
      </c>
      <c r="BB365" s="2">
        <v>5.5999999999985501</v>
      </c>
      <c r="BC365" s="2"/>
      <c r="BD365" s="2"/>
      <c r="BE365" s="2"/>
      <c r="BF365" s="2">
        <v>2.4000000000014601</v>
      </c>
      <c r="BG365" s="2">
        <v>2.7999999999992702</v>
      </c>
      <c r="BH365" s="2">
        <v>5</v>
      </c>
      <c r="BI365" s="2"/>
      <c r="BJ365" s="2"/>
      <c r="BK365" s="2">
        <v>0.89999999999963598</v>
      </c>
      <c r="BL365" s="2">
        <v>6.9000000000014596</v>
      </c>
      <c r="BM365" s="2"/>
      <c r="BN365" s="2">
        <v>0.200000000000045</v>
      </c>
      <c r="BO365" s="2"/>
      <c r="BP365" s="2">
        <v>0.100000000000023</v>
      </c>
      <c r="BQ365" s="2">
        <v>0.100000000000023</v>
      </c>
      <c r="BR365" s="2">
        <v>9</v>
      </c>
      <c r="BS365" s="2">
        <v>2.9000000000014601</v>
      </c>
      <c r="BT365" s="2"/>
      <c r="BU365" s="2">
        <v>34.700000000011599</v>
      </c>
      <c r="BV365" s="2"/>
      <c r="BW365" s="2">
        <v>0.79999999999927196</v>
      </c>
      <c r="BX365" s="2"/>
      <c r="BY365" s="2"/>
      <c r="BZ365" s="2"/>
      <c r="CA365" s="2"/>
      <c r="CB365" s="2">
        <v>9.4</v>
      </c>
      <c r="CC365" s="2">
        <v>16</v>
      </c>
      <c r="CD365" s="2">
        <v>20.7</v>
      </c>
      <c r="CE365" s="2"/>
      <c r="CF365" s="2"/>
      <c r="CG365" s="2"/>
      <c r="CH365" s="2">
        <v>25.3</v>
      </c>
      <c r="CI365" s="2">
        <v>0.9</v>
      </c>
      <c r="CJ365" s="2">
        <v>3</v>
      </c>
      <c r="CK365" s="2"/>
      <c r="CL365" s="2">
        <v>1.5</v>
      </c>
      <c r="CM365" s="2"/>
      <c r="CN365" s="2"/>
      <c r="CO365" s="2"/>
      <c r="CP365" s="2"/>
      <c r="CQ365" s="2">
        <v>0.1</v>
      </c>
      <c r="CR365" s="2">
        <v>2.8</v>
      </c>
      <c r="CS365" s="2"/>
      <c r="CT365" s="2"/>
      <c r="CU365" s="2">
        <v>7.4</v>
      </c>
      <c r="CV365" s="2"/>
      <c r="CW365" s="2">
        <v>1</v>
      </c>
      <c r="CX365" s="2"/>
      <c r="CY365" s="2">
        <v>4</v>
      </c>
      <c r="CZ365" s="2"/>
      <c r="DB365">
        <v>1982</v>
      </c>
      <c r="DC365">
        <v>34.700000000011599</v>
      </c>
      <c r="DH365">
        <v>364</v>
      </c>
    </row>
    <row r="366" spans="1:112">
      <c r="A366" s="1">
        <v>41273</v>
      </c>
      <c r="B366" s="2">
        <v>23.7</v>
      </c>
      <c r="C366" s="2"/>
      <c r="D366" s="2"/>
      <c r="E366" s="2"/>
      <c r="F366" s="2"/>
      <c r="G366" s="2"/>
      <c r="H366" s="2"/>
      <c r="I366" s="2"/>
      <c r="J366" s="2"/>
      <c r="K366" s="2"/>
      <c r="L366" s="2">
        <v>1.4</v>
      </c>
      <c r="M366" s="2">
        <v>0.2</v>
      </c>
      <c r="N366" s="2">
        <v>34.5</v>
      </c>
      <c r="O366" s="2">
        <v>1</v>
      </c>
      <c r="P366" s="2"/>
      <c r="Q366" s="2">
        <v>1.4</v>
      </c>
      <c r="R366" s="2">
        <v>8.1999999999999993</v>
      </c>
      <c r="S366" s="2">
        <v>0.6</v>
      </c>
      <c r="T366" s="2">
        <v>2.8</v>
      </c>
      <c r="U366" s="2">
        <v>0</v>
      </c>
      <c r="V366" s="2">
        <v>0.5</v>
      </c>
      <c r="W366" s="2">
        <v>0.2</v>
      </c>
      <c r="X366" s="2"/>
      <c r="Y366" s="2">
        <v>3.5</v>
      </c>
      <c r="Z366" s="2"/>
      <c r="AA366" s="2">
        <v>0.19999999999981799</v>
      </c>
      <c r="AB366" s="2">
        <v>11.299999999988399</v>
      </c>
      <c r="AC366" s="2">
        <v>7.79999999999563</v>
      </c>
      <c r="AD366" s="2">
        <v>26.5</v>
      </c>
      <c r="AE366" s="2"/>
      <c r="AF366" s="2"/>
      <c r="AG366" s="2"/>
      <c r="AH366" s="2">
        <v>3.5</v>
      </c>
      <c r="AI366" s="2">
        <v>16.799999999988401</v>
      </c>
      <c r="AJ366" s="2">
        <v>22</v>
      </c>
      <c r="AK366" s="2">
        <v>2.8999999999978199</v>
      </c>
      <c r="AL366" s="2"/>
      <c r="AM366" s="2"/>
      <c r="AN366" s="2"/>
      <c r="AO366" s="2">
        <v>1.5</v>
      </c>
      <c r="AP366" s="2"/>
      <c r="AQ366" s="2"/>
      <c r="AR366" s="2">
        <v>6.5</v>
      </c>
      <c r="AS366" s="2">
        <v>4</v>
      </c>
      <c r="AT366" s="2"/>
      <c r="AU366" s="2">
        <v>5.8999999999941801</v>
      </c>
      <c r="AV366" s="2">
        <v>1.6999999999989099</v>
      </c>
      <c r="AW366" s="2"/>
      <c r="AX366" s="2">
        <v>6.5999999999985501</v>
      </c>
      <c r="AY366" s="2">
        <v>1.39999999999964</v>
      </c>
      <c r="AZ366" s="2">
        <v>5.6999999999970896</v>
      </c>
      <c r="BA366" s="2">
        <v>5.1999999999970896</v>
      </c>
      <c r="BB366" s="2"/>
      <c r="BC366" s="2"/>
      <c r="BD366" s="2">
        <v>8.3000000000029104</v>
      </c>
      <c r="BE366" s="2"/>
      <c r="BF366" s="2"/>
      <c r="BG366" s="2">
        <v>0.100000000000023</v>
      </c>
      <c r="BH366" s="2">
        <v>12.5</v>
      </c>
      <c r="BI366" s="2">
        <v>1.20000000000073</v>
      </c>
      <c r="BJ366" s="2">
        <v>0.100000000000023</v>
      </c>
      <c r="BK366" s="2">
        <v>0.100000000000023</v>
      </c>
      <c r="BL366" s="2">
        <v>2.5999999999985399</v>
      </c>
      <c r="BM366" s="2">
        <v>0.200000000000045</v>
      </c>
      <c r="BN366" s="2">
        <v>0.100000000000023</v>
      </c>
      <c r="BO366" s="2"/>
      <c r="BP366" s="2">
        <v>0.60000000000036402</v>
      </c>
      <c r="BQ366" s="2">
        <v>0.100000000000023</v>
      </c>
      <c r="BR366" s="2">
        <v>5.4000000000014596</v>
      </c>
      <c r="BS366" s="2">
        <v>0.200000000000045</v>
      </c>
      <c r="BT366" s="2">
        <v>3.7000000000007298</v>
      </c>
      <c r="BU366" s="2">
        <v>4.1999999999993598</v>
      </c>
      <c r="BV366" s="2">
        <v>0</v>
      </c>
      <c r="BW366" s="2">
        <v>0.5</v>
      </c>
      <c r="BX366" s="2">
        <v>0.1</v>
      </c>
      <c r="BY366" s="2"/>
      <c r="BZ366" s="2"/>
      <c r="CA366" s="2"/>
      <c r="CB366" s="2">
        <v>3.7</v>
      </c>
      <c r="CC366" s="2"/>
      <c r="CD366" s="2">
        <v>0.8</v>
      </c>
      <c r="CE366" s="2"/>
      <c r="CF366" s="2"/>
      <c r="CG366" s="2"/>
      <c r="CH366" s="2">
        <v>12.6</v>
      </c>
      <c r="CI366" s="2">
        <v>6.7</v>
      </c>
      <c r="CJ366" s="2"/>
      <c r="CK366" s="2">
        <v>5</v>
      </c>
      <c r="CL366" s="2">
        <v>1.5</v>
      </c>
      <c r="CM366" s="2">
        <v>0.7</v>
      </c>
      <c r="CN366" s="2"/>
      <c r="CO366" s="2"/>
      <c r="CP366" s="2"/>
      <c r="CQ366" s="2"/>
      <c r="CR366" s="2">
        <v>15.2</v>
      </c>
      <c r="CS366" s="2"/>
      <c r="CT366" s="2"/>
      <c r="CU366" s="2">
        <v>3.5</v>
      </c>
      <c r="CV366" s="2"/>
      <c r="CW366" s="2"/>
      <c r="CX366" s="2"/>
      <c r="CY366" s="2"/>
      <c r="CZ366" s="2"/>
      <c r="DB366">
        <v>1923</v>
      </c>
      <c r="DC366">
        <v>34.5</v>
      </c>
      <c r="DH366">
        <v>365</v>
      </c>
    </row>
    <row r="367" spans="1:112">
      <c r="A367" s="1">
        <v>41274</v>
      </c>
      <c r="B367" s="2"/>
      <c r="C367" s="2"/>
      <c r="D367" s="2">
        <v>0.7</v>
      </c>
      <c r="E367" s="2">
        <v>14</v>
      </c>
      <c r="F367" s="2"/>
      <c r="G367" s="2">
        <v>5.8</v>
      </c>
      <c r="H367" s="2">
        <v>9.4</v>
      </c>
      <c r="I367" s="2">
        <v>0.2</v>
      </c>
      <c r="J367" s="2"/>
      <c r="K367" s="2"/>
      <c r="L367" s="2">
        <v>0.1</v>
      </c>
      <c r="M367" s="2">
        <v>0.2</v>
      </c>
      <c r="N367" s="2">
        <v>1.1000000000000001</v>
      </c>
      <c r="O367" s="2"/>
      <c r="P367" s="2"/>
      <c r="Q367" s="2"/>
      <c r="R367" s="2">
        <v>0.7</v>
      </c>
      <c r="S367" s="2">
        <v>1.9</v>
      </c>
      <c r="T367" s="2">
        <v>4.2</v>
      </c>
      <c r="U367" s="2">
        <v>1.6</v>
      </c>
      <c r="V367" s="2">
        <v>0.5</v>
      </c>
      <c r="W367" s="2">
        <v>0.4</v>
      </c>
      <c r="X367" s="2"/>
      <c r="Y367" s="2">
        <v>4</v>
      </c>
      <c r="Z367" s="2"/>
      <c r="AA367" s="2"/>
      <c r="AB367" s="2">
        <v>1</v>
      </c>
      <c r="AC367" s="2">
        <v>7.1999999999970896</v>
      </c>
      <c r="AD367" s="2">
        <v>9</v>
      </c>
      <c r="AE367" s="2"/>
      <c r="AF367" s="2">
        <v>0</v>
      </c>
      <c r="AG367" s="2"/>
      <c r="AH367" s="2"/>
      <c r="AI367" s="2">
        <v>0.29999999999972699</v>
      </c>
      <c r="AJ367" s="2">
        <v>7.0999999999985501</v>
      </c>
      <c r="AK367" s="2">
        <v>2.0999999999985399</v>
      </c>
      <c r="AL367" s="2"/>
      <c r="AM367" s="2"/>
      <c r="AN367" s="2">
        <v>37</v>
      </c>
      <c r="AO367" s="2"/>
      <c r="AP367" s="2"/>
      <c r="AQ367" s="2"/>
      <c r="AR367" s="2">
        <v>10.1999999999971</v>
      </c>
      <c r="AS367" s="2">
        <v>0.59999999999945397</v>
      </c>
      <c r="AT367" s="2"/>
      <c r="AU367" s="2">
        <v>2.7999999999992702</v>
      </c>
      <c r="AV367" s="2">
        <v>12.599999999991301</v>
      </c>
      <c r="AW367" s="2"/>
      <c r="AX367" s="2">
        <v>8</v>
      </c>
      <c r="AY367" s="2">
        <v>6.5</v>
      </c>
      <c r="AZ367" s="2">
        <v>1.5</v>
      </c>
      <c r="BA367" s="2"/>
      <c r="BB367" s="2"/>
      <c r="BC367" s="2"/>
      <c r="BD367" s="2">
        <v>0.80000000000018201</v>
      </c>
      <c r="BE367" s="2"/>
      <c r="BF367" s="2"/>
      <c r="BG367" s="2"/>
      <c r="BH367" s="2">
        <v>0.100000000000023</v>
      </c>
      <c r="BI367" s="2"/>
      <c r="BJ367" s="2">
        <v>1.20000000000073</v>
      </c>
      <c r="BK367" s="2">
        <v>0.100000000000023</v>
      </c>
      <c r="BL367" s="2"/>
      <c r="BM367" s="2">
        <v>21.600000000005799</v>
      </c>
      <c r="BN367" s="2">
        <v>0.200000000000045</v>
      </c>
      <c r="BO367" s="2">
        <v>8.6000000000058208</v>
      </c>
      <c r="BP367" s="2">
        <v>42.4</v>
      </c>
      <c r="BQ367" s="2"/>
      <c r="BR367" s="2"/>
      <c r="BS367" s="2"/>
      <c r="BT367" s="2"/>
      <c r="BU367" s="2">
        <v>5.5999999999985501</v>
      </c>
      <c r="BV367" s="2"/>
      <c r="BW367" s="2">
        <v>0.69999999999981799</v>
      </c>
      <c r="BX367" s="2">
        <v>0.1</v>
      </c>
      <c r="BY367" s="2"/>
      <c r="BZ367" s="2"/>
      <c r="CA367" s="2"/>
      <c r="CB367" s="2">
        <v>8.4</v>
      </c>
      <c r="CC367" s="2"/>
      <c r="CD367" s="2">
        <v>2.7</v>
      </c>
      <c r="CE367" s="2"/>
      <c r="CF367" s="2"/>
      <c r="CG367" s="2">
        <v>2.1</v>
      </c>
      <c r="CH367" s="2"/>
      <c r="CI367" s="2">
        <v>4.5999999999999996</v>
      </c>
      <c r="CJ367" s="2"/>
      <c r="CK367" s="2"/>
      <c r="CL367" s="2">
        <v>1</v>
      </c>
      <c r="CM367" s="2">
        <v>3.5</v>
      </c>
      <c r="CN367" s="2">
        <v>25.7</v>
      </c>
      <c r="CO367" s="2"/>
      <c r="CP367" s="2"/>
      <c r="CQ367" s="2">
        <v>1.4</v>
      </c>
      <c r="CR367" s="2"/>
      <c r="CS367" s="2"/>
      <c r="CT367" s="2"/>
      <c r="CU367" s="2">
        <v>14.5</v>
      </c>
      <c r="CV367" s="2"/>
      <c r="CW367" s="2"/>
      <c r="CX367" s="2">
        <v>8.9</v>
      </c>
      <c r="CY367" s="2"/>
      <c r="CZ367" s="2">
        <v>1.4</v>
      </c>
      <c r="DB367">
        <v>1977</v>
      </c>
      <c r="DC367">
        <v>42.4</v>
      </c>
      <c r="DH367">
        <v>366</v>
      </c>
    </row>
    <row r="368" spans="1:112">
      <c r="B368">
        <v>1911</v>
      </c>
      <c r="C368">
        <v>1912</v>
      </c>
      <c r="D368">
        <v>1913</v>
      </c>
      <c r="E368">
        <v>1914</v>
      </c>
      <c r="F368">
        <v>1915</v>
      </c>
      <c r="G368">
        <v>1916</v>
      </c>
      <c r="H368">
        <v>1917</v>
      </c>
      <c r="I368">
        <v>1918</v>
      </c>
      <c r="J368">
        <v>1919</v>
      </c>
      <c r="K368">
        <v>1920</v>
      </c>
      <c r="L368">
        <v>1921</v>
      </c>
      <c r="M368">
        <v>1922</v>
      </c>
      <c r="N368">
        <v>1923</v>
      </c>
      <c r="O368">
        <v>1924</v>
      </c>
      <c r="P368">
        <v>1925</v>
      </c>
      <c r="Q368">
        <v>1926</v>
      </c>
      <c r="R368">
        <v>1927</v>
      </c>
      <c r="S368">
        <v>1928</v>
      </c>
      <c r="T368">
        <v>1929</v>
      </c>
      <c r="U368">
        <v>1930</v>
      </c>
      <c r="V368">
        <v>1931</v>
      </c>
      <c r="W368">
        <v>1932</v>
      </c>
      <c r="X368">
        <v>1933</v>
      </c>
      <c r="Y368">
        <v>1934</v>
      </c>
      <c r="Z368">
        <v>1935</v>
      </c>
      <c r="AA368">
        <v>1936</v>
      </c>
      <c r="AB368">
        <v>1937</v>
      </c>
      <c r="AC368">
        <v>1938</v>
      </c>
      <c r="AD368">
        <v>1939</v>
      </c>
      <c r="AE368">
        <v>1940</v>
      </c>
      <c r="AF368">
        <v>1941</v>
      </c>
      <c r="AG368">
        <v>1942</v>
      </c>
      <c r="AH368">
        <v>1943</v>
      </c>
      <c r="AI368">
        <v>1944</v>
      </c>
      <c r="AJ368">
        <v>1945</v>
      </c>
      <c r="AK368">
        <v>1946</v>
      </c>
      <c r="AL368">
        <v>1947</v>
      </c>
      <c r="AM368">
        <v>1948</v>
      </c>
      <c r="AN368">
        <v>1949</v>
      </c>
      <c r="AO368">
        <v>1950</v>
      </c>
      <c r="AP368">
        <v>1951</v>
      </c>
      <c r="AQ368">
        <v>1952</v>
      </c>
      <c r="AR368">
        <v>1953</v>
      </c>
      <c r="AS368">
        <v>1954</v>
      </c>
      <c r="AT368">
        <v>1955</v>
      </c>
      <c r="AU368">
        <v>1956</v>
      </c>
      <c r="AV368">
        <v>1957</v>
      </c>
      <c r="AW368">
        <v>1958</v>
      </c>
      <c r="AX368">
        <v>1959</v>
      </c>
      <c r="AY368">
        <v>1960</v>
      </c>
      <c r="AZ368">
        <v>1961</v>
      </c>
      <c r="BA368">
        <v>1962</v>
      </c>
      <c r="BB368">
        <v>1963</v>
      </c>
      <c r="BC368">
        <v>1964</v>
      </c>
      <c r="BD368">
        <v>1965</v>
      </c>
      <c r="BE368">
        <v>1966</v>
      </c>
      <c r="BF368">
        <v>1967</v>
      </c>
      <c r="BG368">
        <v>1968</v>
      </c>
      <c r="BH368">
        <v>1969</v>
      </c>
      <c r="BI368">
        <v>1970</v>
      </c>
      <c r="BJ368">
        <v>1971</v>
      </c>
      <c r="BK368">
        <v>1972</v>
      </c>
      <c r="BL368">
        <v>1973</v>
      </c>
      <c r="BM368">
        <v>1974</v>
      </c>
      <c r="BN368">
        <v>1975</v>
      </c>
      <c r="BO368">
        <v>1976</v>
      </c>
      <c r="BP368">
        <v>1977</v>
      </c>
      <c r="BQ368">
        <v>1978</v>
      </c>
      <c r="BR368">
        <v>1979</v>
      </c>
      <c r="BS368">
        <v>1980</v>
      </c>
      <c r="BT368">
        <v>1981</v>
      </c>
      <c r="BU368">
        <v>1982</v>
      </c>
      <c r="BV368">
        <v>1983</v>
      </c>
      <c r="BW368">
        <v>1984</v>
      </c>
      <c r="BX368">
        <v>1985</v>
      </c>
      <c r="BY368">
        <v>1986</v>
      </c>
      <c r="BZ368">
        <v>1987</v>
      </c>
      <c r="CA368">
        <v>1988</v>
      </c>
      <c r="CB368">
        <v>1989</v>
      </c>
      <c r="CC368">
        <v>1990</v>
      </c>
      <c r="CD368">
        <v>1991</v>
      </c>
      <c r="CE368">
        <v>1992</v>
      </c>
      <c r="CF368">
        <v>1993</v>
      </c>
      <c r="CG368">
        <v>1994</v>
      </c>
      <c r="CH368">
        <v>1995</v>
      </c>
      <c r="CI368">
        <v>1996</v>
      </c>
      <c r="CJ368">
        <v>1997</v>
      </c>
      <c r="CK368">
        <v>1998</v>
      </c>
      <c r="CL368">
        <v>1999</v>
      </c>
      <c r="CM368">
        <v>2000</v>
      </c>
      <c r="CN368">
        <v>2001</v>
      </c>
      <c r="CO368">
        <v>2002</v>
      </c>
      <c r="CP368">
        <v>2003</v>
      </c>
      <c r="CQ368">
        <v>2004</v>
      </c>
      <c r="CR368">
        <v>2005</v>
      </c>
      <c r="CS368">
        <v>2006</v>
      </c>
      <c r="CT368">
        <v>2007</v>
      </c>
      <c r="CU368">
        <v>2008</v>
      </c>
      <c r="CV368">
        <v>2009</v>
      </c>
      <c r="CW368">
        <v>2010</v>
      </c>
      <c r="CX368">
        <v>2011</v>
      </c>
      <c r="CY368">
        <v>2012</v>
      </c>
      <c r="CZ368">
        <v>2013</v>
      </c>
    </row>
    <row r="369" spans="1:104">
      <c r="A369" t="s">
        <v>417</v>
      </c>
      <c r="B369" s="2">
        <f>SUM(B2:B367)</f>
        <v>316.2999999999999</v>
      </c>
      <c r="C369" s="2">
        <f t="shared" ref="C369:BN369" si="0">SUM(C2:C367)</f>
        <v>602.4</v>
      </c>
      <c r="D369" s="2">
        <f t="shared" si="0"/>
        <v>967.20000000000027</v>
      </c>
      <c r="E369" s="2">
        <f t="shared" si="0"/>
        <v>769.59999999999957</v>
      </c>
      <c r="F369" s="2">
        <f t="shared" si="0"/>
        <v>660.30000000000007</v>
      </c>
      <c r="G369" s="2">
        <f t="shared" si="0"/>
        <v>453.9</v>
      </c>
      <c r="H369" s="2">
        <f t="shared" si="0"/>
        <v>463.80000000000007</v>
      </c>
      <c r="I369" s="2">
        <f t="shared" si="0"/>
        <v>705.59999999999991</v>
      </c>
      <c r="J369" s="2">
        <f t="shared" si="0"/>
        <v>926</v>
      </c>
      <c r="K369" s="2">
        <f t="shared" si="0"/>
        <v>679.8</v>
      </c>
      <c r="L369" s="2">
        <f t="shared" si="0"/>
        <v>448.7000000000001</v>
      </c>
      <c r="M369" s="2">
        <f t="shared" si="0"/>
        <v>1006.9000000000001</v>
      </c>
      <c r="N369" s="2">
        <f t="shared" si="0"/>
        <v>693.70000000000016</v>
      </c>
      <c r="O369" s="2">
        <f t="shared" si="0"/>
        <v>990.1</v>
      </c>
      <c r="P369" s="2">
        <f t="shared" si="0"/>
        <v>807.9000000000002</v>
      </c>
      <c r="Q369" s="2">
        <f t="shared" si="0"/>
        <v>620.09999999999991</v>
      </c>
      <c r="R369" s="2">
        <f t="shared" si="0"/>
        <v>793.10000000000025</v>
      </c>
      <c r="S369" s="2">
        <f t="shared" si="0"/>
        <v>688.95</v>
      </c>
      <c r="T369" s="2">
        <f t="shared" si="0"/>
        <v>765.24000000000069</v>
      </c>
      <c r="U369" s="2">
        <f t="shared" si="0"/>
        <v>722.40000000000009</v>
      </c>
      <c r="V369" s="2">
        <f t="shared" si="0"/>
        <v>879.40000000000032</v>
      </c>
      <c r="W369" s="2">
        <f t="shared" si="0"/>
        <v>644.30000000000018</v>
      </c>
      <c r="X369" s="2">
        <f t="shared" si="0"/>
        <v>949.90000000000032</v>
      </c>
      <c r="Y369" s="2">
        <f t="shared" si="0"/>
        <v>538.99999999985585</v>
      </c>
      <c r="Z369" s="2">
        <f t="shared" si="0"/>
        <v>761.13999999960686</v>
      </c>
      <c r="AA369" s="2">
        <f t="shared" si="0"/>
        <v>881.99999999963541</v>
      </c>
      <c r="AB369" s="2">
        <f t="shared" si="0"/>
        <v>887.9999999996005</v>
      </c>
      <c r="AC369" s="2">
        <f t="shared" si="0"/>
        <v>902.99999999953036</v>
      </c>
      <c r="AD369" s="2">
        <f t="shared" si="0"/>
        <v>1010.0999999996059</v>
      </c>
      <c r="AE369" s="2">
        <f t="shared" si="0"/>
        <v>1041.9999999994948</v>
      </c>
      <c r="AF369" s="2">
        <f t="shared" si="0"/>
        <v>783.19999999962943</v>
      </c>
      <c r="AG369" s="2">
        <f t="shared" si="0"/>
        <v>870.79999999956658</v>
      </c>
      <c r="AH369" s="2">
        <f t="shared" si="0"/>
        <v>928.09999999962167</v>
      </c>
      <c r="AI369" s="2">
        <f t="shared" si="0"/>
        <v>871.39999999952954</v>
      </c>
      <c r="AJ369" s="2">
        <f t="shared" si="0"/>
        <v>751.43999999974483</v>
      </c>
      <c r="AK369" s="2">
        <f t="shared" si="0"/>
        <v>657.49999999971772</v>
      </c>
      <c r="AL369" s="2">
        <f t="shared" si="0"/>
        <v>721.69999999978609</v>
      </c>
      <c r="AM369" s="2">
        <f t="shared" si="0"/>
        <v>961.72999999978492</v>
      </c>
      <c r="AN369" s="2">
        <f t="shared" si="0"/>
        <v>961.03999999965743</v>
      </c>
      <c r="AO369" s="2">
        <f t="shared" si="0"/>
        <v>743.59999999971774</v>
      </c>
      <c r="AP369" s="2">
        <f t="shared" si="0"/>
        <v>1064.2999999993951</v>
      </c>
      <c r="AQ369" s="2">
        <f t="shared" si="0"/>
        <v>772.59999999972183</v>
      </c>
      <c r="AR369" s="2">
        <f t="shared" si="0"/>
        <v>914.89999999963106</v>
      </c>
      <c r="AS369" s="2">
        <f t="shared" si="0"/>
        <v>614.69999999975653</v>
      </c>
      <c r="AT369" s="2">
        <f t="shared" si="0"/>
        <v>1055.6999999995489</v>
      </c>
      <c r="AU369" s="2">
        <f t="shared" si="0"/>
        <v>725.69999999979495</v>
      </c>
      <c r="AV369" s="2">
        <f t="shared" si="0"/>
        <v>653.21999999980119</v>
      </c>
      <c r="AW369" s="2">
        <f t="shared" si="0"/>
        <v>894.79999999962899</v>
      </c>
      <c r="AX369" s="2">
        <f t="shared" si="0"/>
        <v>861.19999999963568</v>
      </c>
      <c r="AY369" s="2">
        <f t="shared" si="0"/>
        <v>759.19999999966467</v>
      </c>
      <c r="AZ369" s="2">
        <f t="shared" si="0"/>
        <v>1139.1999999994935</v>
      </c>
      <c r="BA369" s="2">
        <f t="shared" si="0"/>
        <v>1136.1999999994571</v>
      </c>
      <c r="BB369" s="2">
        <f t="shared" si="0"/>
        <v>1005.6999999994572</v>
      </c>
      <c r="BC369" s="2">
        <f t="shared" si="0"/>
        <v>885.70000000002199</v>
      </c>
      <c r="BD369" s="2">
        <f t="shared" si="0"/>
        <v>1101.9999999999211</v>
      </c>
      <c r="BE369" s="2">
        <f t="shared" si="0"/>
        <v>897.99999999989257</v>
      </c>
      <c r="BF369" s="2">
        <f t="shared" si="0"/>
        <v>694.80000000000791</v>
      </c>
      <c r="BG369" s="2">
        <f t="shared" si="0"/>
        <v>1035.2000000000426</v>
      </c>
      <c r="BH369" s="2">
        <f t="shared" si="0"/>
        <v>864.29999999996176</v>
      </c>
      <c r="BI369" s="2">
        <f t="shared" si="0"/>
        <v>965.89999999998042</v>
      </c>
      <c r="BJ369" s="2">
        <f t="shared" si="0"/>
        <v>911.72999999998797</v>
      </c>
      <c r="BK369" s="2">
        <f t="shared" si="0"/>
        <v>801.19999999983008</v>
      </c>
      <c r="BL369" s="2">
        <f t="shared" si="0"/>
        <v>761.29999999999575</v>
      </c>
      <c r="BM369" s="2">
        <f t="shared" si="0"/>
        <v>918.30000000000348</v>
      </c>
      <c r="BN369" s="2">
        <f t="shared" si="0"/>
        <v>869.90000000001351</v>
      </c>
      <c r="BO369" s="2">
        <f t="shared" ref="BO369:CZ369" si="1">SUM(BO2:BO367)</f>
        <v>734.79999999998734</v>
      </c>
      <c r="BP369" s="2">
        <f t="shared" si="1"/>
        <v>736.30000000001371</v>
      </c>
      <c r="BQ369" s="2">
        <f t="shared" si="1"/>
        <v>929.90000000006182</v>
      </c>
      <c r="BR369" s="2">
        <f t="shared" si="1"/>
        <v>899.59999999999161</v>
      </c>
      <c r="BS369" s="2">
        <f t="shared" si="1"/>
        <v>921.5200000000558</v>
      </c>
      <c r="BT369" s="2">
        <f t="shared" si="1"/>
        <v>1289.3999999998946</v>
      </c>
      <c r="BU369" s="2">
        <f t="shared" si="1"/>
        <v>759.6999999999573</v>
      </c>
      <c r="BV369" s="2">
        <f t="shared" si="1"/>
        <v>738.29999999996539</v>
      </c>
      <c r="BW369" s="2">
        <f t="shared" si="1"/>
        <v>818.39999999972474</v>
      </c>
      <c r="BX369" s="2">
        <f t="shared" si="1"/>
        <v>984.3000000000003</v>
      </c>
      <c r="BY369" s="2">
        <f t="shared" si="1"/>
        <v>745.90000000000043</v>
      </c>
      <c r="BZ369" s="2">
        <f t="shared" si="1"/>
        <v>1119.2999999999997</v>
      </c>
      <c r="CA369" s="2">
        <f t="shared" si="1"/>
        <v>846.69999999999982</v>
      </c>
      <c r="CB369" s="2">
        <f t="shared" si="1"/>
        <v>556.10000000000014</v>
      </c>
      <c r="CC369" s="2">
        <f t="shared" si="1"/>
        <v>867.6999999999997</v>
      </c>
      <c r="CD369" s="2">
        <f t="shared" si="1"/>
        <v>866.2</v>
      </c>
      <c r="CE369" s="2">
        <f t="shared" si="1"/>
        <v>754.09999999999991</v>
      </c>
      <c r="CF369" s="2">
        <f t="shared" si="1"/>
        <v>652.30000000001735</v>
      </c>
      <c r="CG369" s="2">
        <f t="shared" si="1"/>
        <v>777.7000000000038</v>
      </c>
      <c r="CH369" s="2">
        <f t="shared" si="1"/>
        <v>872.30000000001132</v>
      </c>
      <c r="CI369" s="2">
        <f t="shared" si="1"/>
        <v>874.7</v>
      </c>
      <c r="CJ369" s="2">
        <f t="shared" si="1"/>
        <v>1169.7</v>
      </c>
      <c r="CK369" s="2">
        <f t="shared" si="1"/>
        <v>877.79999999999984</v>
      </c>
      <c r="CL369" s="2">
        <f t="shared" si="1"/>
        <v>801.50000000000011</v>
      </c>
      <c r="CM369" s="2">
        <f t="shared" si="1"/>
        <v>809.7</v>
      </c>
      <c r="CN369" s="2">
        <f t="shared" si="1"/>
        <v>1049.8000000000004</v>
      </c>
      <c r="CO369" s="2">
        <f t="shared" si="1"/>
        <v>846.00000000000034</v>
      </c>
      <c r="CP369" s="2">
        <f t="shared" si="1"/>
        <v>829.10000000000036</v>
      </c>
      <c r="CQ369" s="2">
        <f t="shared" si="1"/>
        <v>950.00000000000023</v>
      </c>
      <c r="CR369" s="2">
        <f t="shared" si="1"/>
        <v>889.5</v>
      </c>
      <c r="CS369" s="2">
        <f t="shared" si="1"/>
        <v>840.20000000000016</v>
      </c>
      <c r="CT369" s="2">
        <f t="shared" si="1"/>
        <v>575.3000000000003</v>
      </c>
      <c r="CU369" s="2">
        <f t="shared" si="1"/>
        <v>899.19999999999993</v>
      </c>
      <c r="CV369" s="2">
        <f t="shared" si="1"/>
        <v>930.80000000000052</v>
      </c>
      <c r="CW369" s="2">
        <f t="shared" si="1"/>
        <v>1198.8999999999992</v>
      </c>
      <c r="CX369" s="2">
        <f t="shared" si="1"/>
        <v>615.40000000000009</v>
      </c>
      <c r="CY369" s="2">
        <f t="shared" si="1"/>
        <v>810.2</v>
      </c>
      <c r="CZ369" s="2">
        <f t="shared" si="1"/>
        <v>553.00000000000011</v>
      </c>
    </row>
    <row r="370" spans="1:104" s="2" customFormat="1">
      <c r="A370" s="2" t="s">
        <v>4</v>
      </c>
      <c r="B370" s="2">
        <f>MAX(B2:B367)</f>
        <v>70.099999999999994</v>
      </c>
      <c r="C370" s="2">
        <f t="shared" ref="C370:BN370" si="2">MAX(C2:C367)</f>
        <v>42.5</v>
      </c>
      <c r="D370" s="2">
        <f t="shared" si="2"/>
        <v>85.7</v>
      </c>
      <c r="E370" s="2">
        <f t="shared" si="2"/>
        <v>82.1</v>
      </c>
      <c r="F370" s="2">
        <f t="shared" si="2"/>
        <v>55.5</v>
      </c>
      <c r="G370" s="2">
        <f t="shared" si="2"/>
        <v>24.1</v>
      </c>
      <c r="H370" s="2">
        <f t="shared" si="2"/>
        <v>32.1</v>
      </c>
      <c r="I370" s="2">
        <f t="shared" si="2"/>
        <v>54.9</v>
      </c>
      <c r="J370" s="2">
        <f t="shared" si="2"/>
        <v>41.5</v>
      </c>
      <c r="K370" s="2">
        <f t="shared" si="2"/>
        <v>42.2</v>
      </c>
      <c r="L370" s="2">
        <f t="shared" si="2"/>
        <v>38.6</v>
      </c>
      <c r="M370" s="2">
        <f t="shared" si="2"/>
        <v>40.5</v>
      </c>
      <c r="N370" s="2">
        <f t="shared" si="2"/>
        <v>51.4</v>
      </c>
      <c r="O370" s="2">
        <f t="shared" si="2"/>
        <v>91</v>
      </c>
      <c r="P370" s="2">
        <f t="shared" si="2"/>
        <v>46</v>
      </c>
      <c r="Q370" s="2">
        <f t="shared" si="2"/>
        <v>42</v>
      </c>
      <c r="R370" s="2">
        <f t="shared" si="2"/>
        <v>104.9</v>
      </c>
      <c r="S370" s="2">
        <f t="shared" si="2"/>
        <v>37.1</v>
      </c>
      <c r="T370" s="2">
        <f t="shared" si="2"/>
        <v>58.2</v>
      </c>
      <c r="U370" s="2">
        <f t="shared" si="2"/>
        <v>71</v>
      </c>
      <c r="V370" s="2">
        <f t="shared" si="2"/>
        <v>54.5</v>
      </c>
      <c r="W370" s="2">
        <f t="shared" si="2"/>
        <v>49</v>
      </c>
      <c r="X370" s="2">
        <f t="shared" si="2"/>
        <v>48</v>
      </c>
      <c r="Y370" s="2">
        <f t="shared" si="2"/>
        <v>66</v>
      </c>
      <c r="Z370" s="2">
        <f t="shared" si="2"/>
        <v>45.599999999976703</v>
      </c>
      <c r="AA370" s="2">
        <f t="shared" si="2"/>
        <v>57.5</v>
      </c>
      <c r="AB370" s="2">
        <f t="shared" si="2"/>
        <v>53</v>
      </c>
      <c r="AC370" s="2">
        <f t="shared" si="2"/>
        <v>79.899999999906896</v>
      </c>
      <c r="AD370" s="2">
        <f t="shared" si="2"/>
        <v>56.5</v>
      </c>
      <c r="AE370" s="2">
        <f t="shared" si="2"/>
        <v>44.299999999988401</v>
      </c>
      <c r="AF370" s="2">
        <f t="shared" si="2"/>
        <v>53.599999999976703</v>
      </c>
      <c r="AG370" s="2">
        <f t="shared" si="2"/>
        <v>131.29999999981399</v>
      </c>
      <c r="AH370" s="2">
        <f t="shared" si="2"/>
        <v>76.399999999906896</v>
      </c>
      <c r="AI370" s="2">
        <f t="shared" si="2"/>
        <v>60.799999999988401</v>
      </c>
      <c r="AJ370" s="2">
        <f t="shared" si="2"/>
        <v>42.5</v>
      </c>
      <c r="AK370" s="2">
        <f t="shared" si="2"/>
        <v>44.199999999953398</v>
      </c>
      <c r="AL370" s="2">
        <f t="shared" si="2"/>
        <v>51</v>
      </c>
      <c r="AM370" s="2">
        <f t="shared" si="2"/>
        <v>49.2</v>
      </c>
      <c r="AN370" s="2">
        <f t="shared" si="2"/>
        <v>80.099999999976703</v>
      </c>
      <c r="AO370" s="2">
        <f t="shared" si="2"/>
        <v>43.599999999976703</v>
      </c>
      <c r="AP370" s="2">
        <f t="shared" si="2"/>
        <v>165.79999999981399</v>
      </c>
      <c r="AQ370" s="2">
        <f t="shared" si="2"/>
        <v>39.399999999965097</v>
      </c>
      <c r="AR370" s="2">
        <f t="shared" si="2"/>
        <v>70.299999999930193</v>
      </c>
      <c r="AS370" s="2">
        <f t="shared" si="2"/>
        <v>39</v>
      </c>
      <c r="AT370" s="2">
        <f t="shared" si="2"/>
        <v>94.2</v>
      </c>
      <c r="AU370" s="2">
        <f t="shared" si="2"/>
        <v>35.5</v>
      </c>
      <c r="AV370" s="2">
        <f t="shared" si="2"/>
        <v>51.8</v>
      </c>
      <c r="AW370" s="2">
        <f t="shared" si="2"/>
        <v>53</v>
      </c>
      <c r="AX370" s="2">
        <f t="shared" si="2"/>
        <v>31.299999999988401</v>
      </c>
      <c r="AY370" s="2">
        <f t="shared" si="2"/>
        <v>36.799999999988401</v>
      </c>
      <c r="AZ370" s="2">
        <f t="shared" si="2"/>
        <v>123</v>
      </c>
      <c r="BA370" s="2">
        <f t="shared" si="2"/>
        <v>45.799999999988401</v>
      </c>
      <c r="BB370" s="2">
        <f t="shared" si="2"/>
        <v>59.299999999988401</v>
      </c>
      <c r="BC370" s="2">
        <f t="shared" si="2"/>
        <v>50.799999999988401</v>
      </c>
      <c r="BD370" s="2">
        <f t="shared" si="2"/>
        <v>61</v>
      </c>
      <c r="BE370" s="2">
        <f t="shared" si="2"/>
        <v>76.399999999906896</v>
      </c>
      <c r="BF370" s="2">
        <f t="shared" si="2"/>
        <v>27.200000000011599</v>
      </c>
      <c r="BG370" s="2">
        <f t="shared" si="2"/>
        <v>36.799999999988401</v>
      </c>
      <c r="BH370" s="2">
        <f t="shared" si="2"/>
        <v>31</v>
      </c>
      <c r="BI370" s="2">
        <f t="shared" si="2"/>
        <v>55</v>
      </c>
      <c r="BJ370" s="2">
        <f t="shared" si="2"/>
        <v>64</v>
      </c>
      <c r="BK370" s="2">
        <f t="shared" si="2"/>
        <v>66.399999999906896</v>
      </c>
      <c r="BL370" s="2">
        <f t="shared" si="2"/>
        <v>35.5</v>
      </c>
      <c r="BM370" s="2">
        <f t="shared" si="2"/>
        <v>84</v>
      </c>
      <c r="BN370" s="2">
        <f t="shared" si="2"/>
        <v>39</v>
      </c>
      <c r="BO370" s="2">
        <f t="shared" ref="BO370:CY370" si="3">MAX(BO2:BO367)</f>
        <v>39.400000000023297</v>
      </c>
      <c r="BP370" s="2">
        <f t="shared" si="3"/>
        <v>71.5</v>
      </c>
      <c r="BQ370" s="2">
        <f t="shared" si="3"/>
        <v>91</v>
      </c>
      <c r="BR370" s="2">
        <f t="shared" si="3"/>
        <v>47</v>
      </c>
      <c r="BS370" s="2">
        <f t="shared" si="3"/>
        <v>47.520000000018598</v>
      </c>
      <c r="BT370" s="2">
        <f t="shared" si="3"/>
        <v>86.900000000023297</v>
      </c>
      <c r="BU370" s="2">
        <f t="shared" si="3"/>
        <v>36.6999999999964</v>
      </c>
      <c r="BV370" s="2">
        <f t="shared" si="3"/>
        <v>52.1</v>
      </c>
      <c r="BW370" s="2">
        <f t="shared" si="3"/>
        <v>123</v>
      </c>
      <c r="BX370" s="2">
        <f t="shared" si="3"/>
        <v>111.8</v>
      </c>
      <c r="BY370" s="2">
        <f t="shared" si="3"/>
        <v>48.6</v>
      </c>
      <c r="BZ370" s="2">
        <f t="shared" si="3"/>
        <v>100.5</v>
      </c>
      <c r="CA370" s="2">
        <f t="shared" si="3"/>
        <v>67</v>
      </c>
      <c r="CB370" s="2">
        <f t="shared" si="3"/>
        <v>51.5</v>
      </c>
      <c r="CC370" s="2">
        <f t="shared" si="3"/>
        <v>77.5</v>
      </c>
      <c r="CD370" s="2">
        <f t="shared" si="3"/>
        <v>66</v>
      </c>
      <c r="CE370" s="2">
        <f t="shared" si="3"/>
        <v>41.3</v>
      </c>
      <c r="CF370" s="2">
        <f t="shared" si="3"/>
        <v>68.099999999999994</v>
      </c>
      <c r="CG370" s="2">
        <f t="shared" si="3"/>
        <v>47.9</v>
      </c>
      <c r="CH370" s="2">
        <f t="shared" si="3"/>
        <v>67.5</v>
      </c>
      <c r="CI370" s="2">
        <f t="shared" si="3"/>
        <v>41.3</v>
      </c>
      <c r="CJ370" s="2">
        <f t="shared" si="3"/>
        <v>117</v>
      </c>
      <c r="CK370" s="2">
        <f t="shared" si="3"/>
        <v>59.5</v>
      </c>
      <c r="CL370" s="2">
        <f t="shared" si="3"/>
        <v>50.1</v>
      </c>
      <c r="CM370" s="2">
        <f t="shared" si="3"/>
        <v>40.5</v>
      </c>
      <c r="CN370" s="2">
        <f t="shared" si="3"/>
        <v>38.4</v>
      </c>
      <c r="CO370" s="2">
        <f t="shared" si="3"/>
        <v>56.3</v>
      </c>
      <c r="CP370" s="2">
        <f t="shared" si="3"/>
        <v>33.700000000000003</v>
      </c>
      <c r="CQ370" s="2">
        <f t="shared" si="3"/>
        <v>120.5</v>
      </c>
      <c r="CR370" s="2">
        <f t="shared" si="3"/>
        <v>41.3</v>
      </c>
      <c r="CS370" s="2">
        <f t="shared" si="3"/>
        <v>47.6</v>
      </c>
      <c r="CT370" s="2">
        <f t="shared" si="3"/>
        <v>97</v>
      </c>
      <c r="CU370" s="2">
        <f t="shared" si="3"/>
        <v>110</v>
      </c>
      <c r="CV370" s="2">
        <f t="shared" si="3"/>
        <v>57.5</v>
      </c>
      <c r="CW370" s="2">
        <f t="shared" si="3"/>
        <v>91.2</v>
      </c>
      <c r="CX370" s="2">
        <f t="shared" si="3"/>
        <v>36.6</v>
      </c>
      <c r="CY370" s="2">
        <f t="shared" si="3"/>
        <v>36.5</v>
      </c>
      <c r="CZ370" s="2">
        <f>MAX(CZ2:CZ367)</f>
        <v>30.5</v>
      </c>
    </row>
  </sheetData>
  <mergeCells count="1">
    <mergeCell ref="DB1:DC1"/>
  </mergeCells>
  <pageMargins left="0.7" right="0.7" top="0.75" bottom="0.75" header="0.3" footer="0.3"/>
  <pageSetup paperSize="9" orientation="portrait" r:id="rId1"/>
  <drawing r:id="rId2"/>
  <legacyDrawing r:id="rId3"/>
  <controls>
    <control shapeId="2049" r:id="rId4" name="CommandButton1"/>
  </controls>
</worksheet>
</file>

<file path=xl/worksheets/sheet7.xml><?xml version="1.0" encoding="utf-8"?>
<worksheet xmlns="http://schemas.openxmlformats.org/spreadsheetml/2006/main" xmlns:r="http://schemas.openxmlformats.org/officeDocument/2006/relationships">
  <sheetPr codeName="Sayfa6"/>
  <dimension ref="A1:BG51"/>
  <sheetViews>
    <sheetView workbookViewId="0">
      <selection activeCell="C18" sqref="C18"/>
    </sheetView>
  </sheetViews>
  <sheetFormatPr defaultRowHeight="15"/>
  <sheetData>
    <row r="1" spans="1:59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46"/>
      <c r="M1" s="46"/>
      <c r="N1" s="46"/>
      <c r="O1" s="26"/>
      <c r="P1" s="26"/>
      <c r="Q1" s="26"/>
      <c r="R1" s="46"/>
      <c r="S1" s="46"/>
      <c r="T1" s="26"/>
      <c r="U1" s="26"/>
      <c r="V1" s="26"/>
      <c r="W1" s="46"/>
      <c r="X1" s="46"/>
      <c r="Y1" s="26"/>
      <c r="Z1" s="26"/>
      <c r="AA1" s="26"/>
      <c r="AB1" s="46"/>
      <c r="AC1" s="46"/>
      <c r="AD1" s="26"/>
      <c r="AE1" s="26"/>
      <c r="AF1" s="26"/>
      <c r="AG1" s="46"/>
      <c r="AH1" s="46"/>
      <c r="AI1" s="26"/>
      <c r="AJ1" s="26"/>
      <c r="AK1" s="26"/>
      <c r="AL1" s="46"/>
      <c r="AM1" s="46"/>
      <c r="AN1" s="26"/>
      <c r="AO1" s="26"/>
      <c r="AP1" s="26"/>
      <c r="AQ1" s="46"/>
      <c r="AR1" s="46"/>
      <c r="AS1" s="26"/>
      <c r="AT1" s="26"/>
      <c r="AU1" s="26"/>
      <c r="AV1" s="46"/>
      <c r="AW1" s="46"/>
      <c r="AX1" s="26"/>
      <c r="AY1" s="26"/>
      <c r="AZ1" s="26"/>
      <c r="BA1" s="46"/>
      <c r="BB1" s="46"/>
      <c r="BC1" s="26"/>
      <c r="BD1" s="26"/>
      <c r="BE1" s="26"/>
      <c r="BF1" s="46"/>
      <c r="BG1" s="26"/>
    </row>
    <row r="2" spans="1:59">
      <c r="A2" s="31" t="s">
        <v>5</v>
      </c>
      <c r="B2" s="31" t="s">
        <v>423</v>
      </c>
      <c r="C2" s="31" t="s">
        <v>3</v>
      </c>
      <c r="D2" s="32" t="s">
        <v>2</v>
      </c>
      <c r="E2" s="30"/>
      <c r="F2" s="45" t="s">
        <v>6</v>
      </c>
      <c r="G2" s="5" t="s">
        <v>423</v>
      </c>
      <c r="H2" s="5" t="s">
        <v>3</v>
      </c>
      <c r="I2" s="32" t="s">
        <v>2</v>
      </c>
      <c r="J2" s="46"/>
      <c r="K2" s="45" t="s">
        <v>7</v>
      </c>
      <c r="L2" s="5" t="s">
        <v>423</v>
      </c>
      <c r="M2" s="5" t="s">
        <v>3</v>
      </c>
      <c r="N2" s="33" t="s">
        <v>2</v>
      </c>
      <c r="O2" s="26"/>
      <c r="P2" s="45" t="s">
        <v>8</v>
      </c>
      <c r="Q2" s="5" t="s">
        <v>423</v>
      </c>
      <c r="R2" s="5" t="s">
        <v>3</v>
      </c>
      <c r="S2" s="33" t="s">
        <v>2</v>
      </c>
      <c r="T2" s="26"/>
      <c r="U2" s="45" t="s">
        <v>9</v>
      </c>
      <c r="V2" s="45" t="s">
        <v>424</v>
      </c>
      <c r="W2" s="5" t="s">
        <v>425</v>
      </c>
      <c r="X2" s="33" t="s">
        <v>2</v>
      </c>
      <c r="Y2" s="26"/>
      <c r="Z2" s="45" t="s">
        <v>10</v>
      </c>
      <c r="AA2" s="45" t="s">
        <v>424</v>
      </c>
      <c r="AB2" s="5" t="s">
        <v>425</v>
      </c>
      <c r="AC2" s="33" t="s">
        <v>2</v>
      </c>
      <c r="AD2" s="26"/>
      <c r="AE2" s="45" t="s">
        <v>11</v>
      </c>
      <c r="AF2" s="45" t="s">
        <v>424</v>
      </c>
      <c r="AG2" s="5" t="s">
        <v>425</v>
      </c>
      <c r="AH2" s="33" t="s">
        <v>2</v>
      </c>
      <c r="AI2" s="26"/>
      <c r="AJ2" s="45" t="s">
        <v>12</v>
      </c>
      <c r="AK2" s="45" t="s">
        <v>424</v>
      </c>
      <c r="AL2" s="5" t="s">
        <v>425</v>
      </c>
      <c r="AM2" s="33" t="s">
        <v>2</v>
      </c>
      <c r="AN2" s="26"/>
      <c r="AO2" s="45" t="s">
        <v>13</v>
      </c>
      <c r="AP2" s="45" t="s">
        <v>424</v>
      </c>
      <c r="AQ2" s="5" t="s">
        <v>425</v>
      </c>
      <c r="AR2" s="33" t="s">
        <v>2</v>
      </c>
      <c r="AS2" s="26"/>
      <c r="AT2" s="45" t="s">
        <v>14</v>
      </c>
      <c r="AU2" s="45" t="s">
        <v>424</v>
      </c>
      <c r="AV2" s="5" t="s">
        <v>425</v>
      </c>
      <c r="AW2" s="33" t="s">
        <v>2</v>
      </c>
      <c r="AX2" s="26"/>
      <c r="AY2" s="45" t="s">
        <v>15</v>
      </c>
      <c r="AZ2" s="45" t="s">
        <v>424</v>
      </c>
      <c r="BA2" s="5" t="s">
        <v>425</v>
      </c>
      <c r="BB2" s="33" t="s">
        <v>2</v>
      </c>
      <c r="BC2" s="26"/>
      <c r="BD2" s="45" t="s">
        <v>16</v>
      </c>
      <c r="BE2" s="45" t="s">
        <v>424</v>
      </c>
      <c r="BF2" s="5" t="s">
        <v>425</v>
      </c>
      <c r="BG2" s="33" t="s">
        <v>2</v>
      </c>
    </row>
    <row r="3" spans="1:59">
      <c r="A3" s="19">
        <v>1</v>
      </c>
      <c r="B3" s="5">
        <v>35.5</v>
      </c>
      <c r="C3" s="46">
        <v>54.901960784313729</v>
      </c>
      <c r="D3" s="5">
        <v>3.5607843137254895</v>
      </c>
      <c r="F3" s="45">
        <v>1</v>
      </c>
      <c r="G3" s="5">
        <v>35.5</v>
      </c>
      <c r="H3" s="5">
        <v>58.82352941176471</v>
      </c>
      <c r="I3" s="5">
        <v>3.4098039215686269</v>
      </c>
      <c r="J3" s="46"/>
      <c r="K3" s="45">
        <v>1</v>
      </c>
      <c r="L3" s="5">
        <v>19.7</v>
      </c>
      <c r="M3" s="5">
        <v>46.078431372549019</v>
      </c>
      <c r="N3" s="5">
        <v>2.3745098039215673</v>
      </c>
      <c r="O3" s="26"/>
      <c r="P3" s="45">
        <v>1</v>
      </c>
      <c r="Q3" s="5">
        <v>21.8</v>
      </c>
      <c r="R3" s="5">
        <v>36.274509803921568</v>
      </c>
      <c r="S3" s="5">
        <v>1.7666666666666668</v>
      </c>
      <c r="T3" s="26"/>
      <c r="U3" s="45">
        <v>1</v>
      </c>
      <c r="V3" s="5">
        <v>44.7</v>
      </c>
      <c r="W3" s="5">
        <v>35.294117647058826</v>
      </c>
      <c r="X3" s="5">
        <v>1.9519607843137254</v>
      </c>
      <c r="Y3" s="26"/>
      <c r="Z3" s="45">
        <v>1</v>
      </c>
      <c r="AA3" s="5">
        <v>48</v>
      </c>
      <c r="AB3" s="5">
        <v>28.431372549019606</v>
      </c>
      <c r="AC3" s="5">
        <v>1.2598039215686274</v>
      </c>
      <c r="AD3" s="26"/>
      <c r="AE3" s="45">
        <v>1</v>
      </c>
      <c r="AF3" s="5">
        <v>30.7</v>
      </c>
      <c r="AG3" s="5">
        <v>19.607843137254903</v>
      </c>
      <c r="AH3" s="5">
        <v>1.0352941176470587</v>
      </c>
      <c r="AI3" s="26"/>
      <c r="AJ3" s="45">
        <v>1</v>
      </c>
      <c r="AK3" s="5">
        <v>29.9</v>
      </c>
      <c r="AL3" s="5">
        <v>11.650485436893204</v>
      </c>
      <c r="AM3" s="5">
        <v>0.65436893203883506</v>
      </c>
      <c r="AN3" s="26"/>
      <c r="AO3" s="45">
        <v>1</v>
      </c>
      <c r="AP3" s="5">
        <v>37.799999999999997</v>
      </c>
      <c r="AQ3" s="5">
        <v>38.834951456310677</v>
      </c>
      <c r="AR3" s="5">
        <v>3.119417475728155</v>
      </c>
      <c r="AS3" s="26"/>
      <c r="AT3" s="45">
        <v>1</v>
      </c>
      <c r="AU3" s="5">
        <v>31</v>
      </c>
      <c r="AV3" s="5">
        <v>36.893203883495147</v>
      </c>
      <c r="AW3" s="5">
        <v>2.4873786407766985</v>
      </c>
      <c r="AX3" s="26"/>
      <c r="AY3" s="45">
        <v>1</v>
      </c>
      <c r="AZ3" s="5">
        <v>47</v>
      </c>
      <c r="BA3" s="5">
        <v>43.689320388349515</v>
      </c>
      <c r="BB3" s="5">
        <v>1.9776699029126212</v>
      </c>
      <c r="BC3" s="26"/>
      <c r="BD3" s="45">
        <v>1</v>
      </c>
      <c r="BE3" s="5">
        <v>51.8</v>
      </c>
      <c r="BF3" s="5">
        <v>53.398058252427184</v>
      </c>
      <c r="BG3" s="5">
        <v>3.5067961165048533</v>
      </c>
    </row>
    <row r="4" spans="1:59">
      <c r="A4" s="19">
        <v>2</v>
      </c>
      <c r="B4" s="5">
        <v>31.2</v>
      </c>
      <c r="C4" s="46">
        <v>60.784313725490193</v>
      </c>
      <c r="D4" s="5">
        <v>3.5058823529411769</v>
      </c>
      <c r="F4" s="45">
        <v>2</v>
      </c>
      <c r="G4" s="5">
        <v>39.299999999999997</v>
      </c>
      <c r="H4" s="5">
        <v>58.82352941176471</v>
      </c>
      <c r="I4" s="5">
        <v>4.0382352941176487</v>
      </c>
      <c r="J4" s="46"/>
      <c r="K4" s="45">
        <v>2</v>
      </c>
      <c r="L4" s="5">
        <v>30</v>
      </c>
      <c r="M4" s="5">
        <v>56.862745098039213</v>
      </c>
      <c r="N4" s="5">
        <v>2.7990196078431362</v>
      </c>
      <c r="O4" s="26"/>
      <c r="P4" s="45">
        <v>2</v>
      </c>
      <c r="Q4" s="5">
        <v>23.2</v>
      </c>
      <c r="R4" s="5">
        <v>36.274509803921568</v>
      </c>
      <c r="S4" s="5">
        <v>1.5803921568627448</v>
      </c>
      <c r="T4" s="26"/>
      <c r="U4" s="45">
        <v>2</v>
      </c>
      <c r="V4" s="5">
        <v>43.2</v>
      </c>
      <c r="W4" s="5">
        <v>35.294117647058826</v>
      </c>
      <c r="X4" s="5">
        <v>1.7151515151508634</v>
      </c>
      <c r="Y4" s="26"/>
      <c r="Z4" s="45">
        <v>2</v>
      </c>
      <c r="AA4" s="5">
        <v>24</v>
      </c>
      <c r="AB4" s="5">
        <v>24.509803921568626</v>
      </c>
      <c r="AC4" s="5">
        <v>1.1911764705882353</v>
      </c>
      <c r="AD4" s="26"/>
      <c r="AE4" s="45">
        <v>2</v>
      </c>
      <c r="AF4" s="5">
        <v>24.5</v>
      </c>
      <c r="AG4" s="5">
        <v>19.607843137254903</v>
      </c>
      <c r="AH4" s="5">
        <v>1.5941176470588234</v>
      </c>
      <c r="AI4" s="26"/>
      <c r="AJ4" s="45">
        <v>2</v>
      </c>
      <c r="AK4" s="5">
        <v>82.1</v>
      </c>
      <c r="AL4" s="5">
        <v>12.621359223300971</v>
      </c>
      <c r="AM4" s="5">
        <v>1.0631067961165046</v>
      </c>
      <c r="AN4" s="26"/>
      <c r="AO4" s="45">
        <v>2</v>
      </c>
      <c r="AP4" s="5">
        <v>32.9</v>
      </c>
      <c r="AQ4" s="5">
        <v>33.009708737864081</v>
      </c>
      <c r="AR4" s="5">
        <v>2.1271844660194175</v>
      </c>
      <c r="AS4" s="26"/>
      <c r="AT4" s="45">
        <v>2</v>
      </c>
      <c r="AU4" s="5">
        <v>26</v>
      </c>
      <c r="AV4" s="5">
        <v>35.922330097087382</v>
      </c>
      <c r="AW4" s="5">
        <v>1.6407766990291259</v>
      </c>
      <c r="AX4" s="26"/>
      <c r="AY4" s="45">
        <v>2</v>
      </c>
      <c r="AZ4" s="5">
        <v>38.200000000000003</v>
      </c>
      <c r="BA4" s="5">
        <v>40.776699029126213</v>
      </c>
      <c r="BB4" s="5">
        <v>2.4067961165048546</v>
      </c>
      <c r="BC4" s="26"/>
      <c r="BD4" s="45">
        <v>2</v>
      </c>
      <c r="BE4" s="5">
        <v>42.5</v>
      </c>
      <c r="BF4" s="5">
        <v>53.398058252427184</v>
      </c>
      <c r="BG4" s="5">
        <v>4.5203883495145636</v>
      </c>
    </row>
    <row r="5" spans="1:59">
      <c r="A5" s="19">
        <v>3</v>
      </c>
      <c r="B5" s="5">
        <v>30.2</v>
      </c>
      <c r="C5" s="46">
        <v>60.784313725490193</v>
      </c>
      <c r="D5" s="5">
        <v>3.2519607843137242</v>
      </c>
      <c r="F5" s="45">
        <v>3</v>
      </c>
      <c r="G5" s="5">
        <v>28.9</v>
      </c>
      <c r="H5" s="5">
        <v>59.803921568627452</v>
      </c>
      <c r="I5" s="5">
        <v>3.077450980392157</v>
      </c>
      <c r="J5" s="46"/>
      <c r="K5" s="45">
        <v>3</v>
      </c>
      <c r="L5" s="5">
        <v>25</v>
      </c>
      <c r="M5" s="5">
        <v>52.941176470588239</v>
      </c>
      <c r="N5" s="5">
        <v>2.0666666666666664</v>
      </c>
      <c r="O5" s="26"/>
      <c r="P5" s="45">
        <v>3</v>
      </c>
      <c r="Q5" s="5">
        <v>12.2</v>
      </c>
      <c r="R5" s="5">
        <v>30.392156862745097</v>
      </c>
      <c r="S5" s="5">
        <v>1.006862745098039</v>
      </c>
      <c r="T5" s="26"/>
      <c r="U5" s="45">
        <v>3</v>
      </c>
      <c r="V5" s="5">
        <v>23.3</v>
      </c>
      <c r="W5" s="5">
        <v>33.333333333333329</v>
      </c>
      <c r="X5" s="5">
        <v>1.0202020202019113</v>
      </c>
      <c r="Y5" s="26"/>
      <c r="Z5" s="45">
        <v>3</v>
      </c>
      <c r="AA5" s="5">
        <v>11.5</v>
      </c>
      <c r="AB5" s="5">
        <v>20.588235294117645</v>
      </c>
      <c r="AC5" s="5">
        <v>0.80490196078431386</v>
      </c>
      <c r="AD5" s="26"/>
      <c r="AE5" s="45">
        <v>3</v>
      </c>
      <c r="AF5" s="5">
        <v>71.5</v>
      </c>
      <c r="AG5" s="5">
        <v>18.627450980392158</v>
      </c>
      <c r="AH5" s="5">
        <v>2.197058823529412</v>
      </c>
      <c r="AI5" s="26"/>
      <c r="AJ5" s="45">
        <v>3</v>
      </c>
      <c r="AK5" s="5">
        <v>24.5</v>
      </c>
      <c r="AL5" s="5">
        <v>13.592233009708737</v>
      </c>
      <c r="AM5" s="5">
        <v>0.78737864077669895</v>
      </c>
      <c r="AN5" s="26"/>
      <c r="AO5" s="45">
        <v>3</v>
      </c>
      <c r="AP5" s="5">
        <v>37</v>
      </c>
      <c r="AQ5" s="5">
        <v>32.038834951456316</v>
      </c>
      <c r="AR5" s="5">
        <v>2.1970873786407772</v>
      </c>
      <c r="AS5" s="26"/>
      <c r="AT5" s="45">
        <v>3</v>
      </c>
      <c r="AU5" s="5">
        <v>131.30000000000001</v>
      </c>
      <c r="AV5" s="5">
        <v>39.805825242718448</v>
      </c>
      <c r="AW5" s="5">
        <v>3.3203883495145639</v>
      </c>
      <c r="AX5" s="26"/>
      <c r="AY5" s="45">
        <v>3</v>
      </c>
      <c r="AZ5" s="5">
        <v>44.5</v>
      </c>
      <c r="BA5" s="5">
        <v>36.893203883495147</v>
      </c>
      <c r="BB5" s="5">
        <v>2.063106796116505</v>
      </c>
      <c r="BC5" s="26"/>
      <c r="BD5" s="45">
        <v>3</v>
      </c>
      <c r="BE5" s="5">
        <v>30</v>
      </c>
      <c r="BF5" s="5">
        <v>49.514563106796118</v>
      </c>
      <c r="BG5" s="5">
        <v>3.0485436893203883</v>
      </c>
    </row>
    <row r="6" spans="1:59">
      <c r="A6" s="19">
        <v>4</v>
      </c>
      <c r="B6" s="5">
        <v>26.6</v>
      </c>
      <c r="C6" s="46">
        <v>58.82352941176471</v>
      </c>
      <c r="D6" s="5">
        <v>4.1176470588235281</v>
      </c>
      <c r="F6" s="45">
        <v>4</v>
      </c>
      <c r="G6" s="5">
        <v>30</v>
      </c>
      <c r="H6" s="5">
        <v>48.03921568627451</v>
      </c>
      <c r="I6" s="5">
        <v>2.2696078431372544</v>
      </c>
      <c r="J6" s="46"/>
      <c r="K6" s="45">
        <v>4</v>
      </c>
      <c r="L6" s="5">
        <v>28.7</v>
      </c>
      <c r="M6" s="5">
        <v>43.137254901960787</v>
      </c>
      <c r="N6" s="5">
        <v>2.1549019607843132</v>
      </c>
      <c r="O6" s="26"/>
      <c r="P6" s="45">
        <v>4</v>
      </c>
      <c r="Q6" s="5">
        <v>18.399999999999999</v>
      </c>
      <c r="R6" s="5">
        <v>33.333333333333329</v>
      </c>
      <c r="S6" s="5">
        <v>0.9539215686274507</v>
      </c>
      <c r="T6" s="26"/>
      <c r="U6" s="45">
        <v>4</v>
      </c>
      <c r="V6" s="5">
        <v>14</v>
      </c>
      <c r="W6" s="5">
        <v>26.47058823529412</v>
      </c>
      <c r="X6" s="5">
        <v>1.1050505050503823</v>
      </c>
      <c r="Y6" s="26"/>
      <c r="Z6" s="45">
        <v>4</v>
      </c>
      <c r="AA6" s="5">
        <v>13.1</v>
      </c>
      <c r="AB6" s="5">
        <v>24.509803921568626</v>
      </c>
      <c r="AC6" s="5">
        <v>0.91176470588235303</v>
      </c>
      <c r="AD6" s="26"/>
      <c r="AE6" s="45">
        <v>4</v>
      </c>
      <c r="AF6" s="5">
        <v>33.200000000000003</v>
      </c>
      <c r="AG6" s="5">
        <v>16.666666666666664</v>
      </c>
      <c r="AH6" s="5">
        <v>1.5284313725490197</v>
      </c>
      <c r="AI6" s="26"/>
      <c r="AJ6" s="45">
        <v>4</v>
      </c>
      <c r="AK6" s="5">
        <v>13.9</v>
      </c>
      <c r="AL6" s="5">
        <v>14.563106796116504</v>
      </c>
      <c r="AM6" s="5">
        <v>0.56213592233009713</v>
      </c>
      <c r="AN6" s="26"/>
      <c r="AO6" s="45">
        <v>4</v>
      </c>
      <c r="AP6" s="5">
        <v>23.7</v>
      </c>
      <c r="AQ6" s="5">
        <v>27.184466019417474</v>
      </c>
      <c r="AR6" s="5">
        <v>1.480582524271844</v>
      </c>
      <c r="AS6" s="26"/>
      <c r="AT6" s="45">
        <v>4</v>
      </c>
      <c r="AU6" s="5">
        <v>38.5</v>
      </c>
      <c r="AV6" s="5">
        <v>38.834951456310677</v>
      </c>
      <c r="AW6" s="5">
        <v>2.3106796116504853</v>
      </c>
      <c r="AX6" s="26"/>
      <c r="AY6" s="45">
        <v>4</v>
      </c>
      <c r="AZ6" s="5">
        <v>29.3</v>
      </c>
      <c r="BA6" s="5">
        <v>39.805825242718448</v>
      </c>
      <c r="BB6" s="5">
        <v>2.2640776699029121</v>
      </c>
      <c r="BC6" s="26"/>
      <c r="BD6" s="45">
        <v>4</v>
      </c>
      <c r="BE6" s="5">
        <v>55.1</v>
      </c>
      <c r="BF6" s="5">
        <v>47.572815533980581</v>
      </c>
      <c r="BG6" s="5">
        <v>4.0970873786407775</v>
      </c>
    </row>
    <row r="7" spans="1:59">
      <c r="A7" s="19">
        <v>5</v>
      </c>
      <c r="B7" s="5">
        <v>39.4</v>
      </c>
      <c r="C7" s="46">
        <v>50.980392156862742</v>
      </c>
      <c r="D7" s="5">
        <v>3.3892156862745102</v>
      </c>
      <c r="F7" s="45">
        <v>5</v>
      </c>
      <c r="G7" s="5">
        <v>51</v>
      </c>
      <c r="H7" s="5">
        <v>45.098039215686278</v>
      </c>
      <c r="I7" s="5">
        <v>2.7960784313725484</v>
      </c>
      <c r="J7" s="46"/>
      <c r="K7" s="45">
        <v>5</v>
      </c>
      <c r="L7" s="5">
        <v>43.6</v>
      </c>
      <c r="M7" s="5">
        <v>44.117647058823529</v>
      </c>
      <c r="N7" s="5">
        <v>2.6196078431372554</v>
      </c>
      <c r="O7" s="26"/>
      <c r="P7" s="45">
        <v>5</v>
      </c>
      <c r="Q7" s="5">
        <v>30.9</v>
      </c>
      <c r="R7" s="5">
        <v>37.254901960784316</v>
      </c>
      <c r="S7" s="5">
        <v>1.9843137254901959</v>
      </c>
      <c r="T7" s="26"/>
      <c r="U7" s="45">
        <v>5</v>
      </c>
      <c r="V7" s="5">
        <v>22</v>
      </c>
      <c r="W7" s="5">
        <v>24.509803921568626</v>
      </c>
      <c r="X7" s="5">
        <v>1.160606060605937</v>
      </c>
      <c r="Y7" s="26"/>
      <c r="Z7" s="45">
        <v>5</v>
      </c>
      <c r="AA7" s="5">
        <v>24.5</v>
      </c>
      <c r="AB7" s="5">
        <v>24.509803921568626</v>
      </c>
      <c r="AC7" s="5">
        <v>0.97549019607843124</v>
      </c>
      <c r="AD7" s="26"/>
      <c r="AE7" s="45">
        <v>5</v>
      </c>
      <c r="AF7" s="5">
        <v>33.799999999999997</v>
      </c>
      <c r="AG7" s="5">
        <v>18.627450980392158</v>
      </c>
      <c r="AH7" s="5">
        <v>1.0490196078431371</v>
      </c>
      <c r="AI7" s="26"/>
      <c r="AJ7" s="45">
        <v>5</v>
      </c>
      <c r="AK7" s="5">
        <v>35</v>
      </c>
      <c r="AL7" s="5">
        <v>15.53398058252427</v>
      </c>
      <c r="AM7" s="5">
        <v>0.93106796116504831</v>
      </c>
      <c r="AN7" s="26"/>
      <c r="AO7" s="45">
        <v>5</v>
      </c>
      <c r="AP7" s="5">
        <v>19.8</v>
      </c>
      <c r="AQ7" s="5">
        <v>28.155339805825243</v>
      </c>
      <c r="AR7" s="5">
        <v>1.6611650485436891</v>
      </c>
      <c r="AS7" s="26"/>
      <c r="AT7" s="45">
        <v>5</v>
      </c>
      <c r="AU7" s="5">
        <v>34.5</v>
      </c>
      <c r="AV7" s="5">
        <v>27.184466019417474</v>
      </c>
      <c r="AW7" s="5">
        <v>1.4213592233009706</v>
      </c>
      <c r="AX7" s="26"/>
      <c r="AY7" s="45">
        <v>5</v>
      </c>
      <c r="AZ7" s="5">
        <v>34</v>
      </c>
      <c r="BA7" s="5">
        <v>47.572815533980581</v>
      </c>
      <c r="BB7" s="5">
        <v>2.9640776699029128</v>
      </c>
      <c r="BC7" s="26"/>
      <c r="BD7" s="45">
        <v>5</v>
      </c>
      <c r="BE7" s="5">
        <v>36.4</v>
      </c>
      <c r="BF7" s="5">
        <v>55.339805825242713</v>
      </c>
      <c r="BG7" s="5">
        <v>3.8155339805825244</v>
      </c>
    </row>
    <row r="8" spans="1:59">
      <c r="A8" s="19">
        <v>6</v>
      </c>
      <c r="B8" s="5">
        <v>23.7</v>
      </c>
      <c r="C8" s="46">
        <v>49.019607843137251</v>
      </c>
      <c r="D8" s="5">
        <v>2.4745098039215683</v>
      </c>
      <c r="F8" s="45">
        <v>6</v>
      </c>
      <c r="G8" s="5">
        <v>29</v>
      </c>
      <c r="H8" s="5">
        <v>60.784313725490193</v>
      </c>
      <c r="I8" s="5">
        <v>3.2274509803921556</v>
      </c>
      <c r="J8" s="46"/>
      <c r="K8" s="45">
        <v>6</v>
      </c>
      <c r="L8" s="5">
        <v>22.7</v>
      </c>
      <c r="M8" s="5">
        <v>46.078431372549019</v>
      </c>
      <c r="N8" s="5">
        <v>2.0598039215686272</v>
      </c>
      <c r="O8" s="26"/>
      <c r="P8" s="45">
        <v>6</v>
      </c>
      <c r="Q8" s="5">
        <v>17.100000000000001</v>
      </c>
      <c r="R8" s="5">
        <v>35.294117647058826</v>
      </c>
      <c r="S8" s="5">
        <v>1.6147058823529414</v>
      </c>
      <c r="T8" s="26"/>
      <c r="U8" s="45">
        <v>6</v>
      </c>
      <c r="V8" s="5">
        <v>41.4</v>
      </c>
      <c r="W8" s="5">
        <v>24.509803921568626</v>
      </c>
      <c r="X8" s="5">
        <v>1.4323232323228143</v>
      </c>
      <c r="Y8" s="26"/>
      <c r="Z8" s="45">
        <v>6</v>
      </c>
      <c r="AA8" s="5">
        <v>33.5</v>
      </c>
      <c r="AB8" s="5">
        <v>21.568627450980394</v>
      </c>
      <c r="AC8" s="5">
        <v>1.9549019607843134</v>
      </c>
      <c r="AD8" s="26"/>
      <c r="AE8" s="45">
        <v>6</v>
      </c>
      <c r="AF8" s="5">
        <v>100.5</v>
      </c>
      <c r="AG8" s="5">
        <v>17.647058823529413</v>
      </c>
      <c r="AH8" s="5">
        <v>2.8127450980392159</v>
      </c>
      <c r="AI8" s="26"/>
      <c r="AJ8" s="45">
        <v>6</v>
      </c>
      <c r="AK8" s="5">
        <v>32.700000000000003</v>
      </c>
      <c r="AL8" s="5">
        <v>12.621359223300971</v>
      </c>
      <c r="AM8" s="5">
        <v>0.77184466019417475</v>
      </c>
      <c r="AN8" s="26"/>
      <c r="AO8" s="45">
        <v>6</v>
      </c>
      <c r="AP8" s="5">
        <v>66.400000000000006</v>
      </c>
      <c r="AQ8" s="5">
        <v>31.067961165048541</v>
      </c>
      <c r="AR8" s="5">
        <v>3.5485436893203883</v>
      </c>
      <c r="AS8" s="26"/>
      <c r="AT8" s="45">
        <v>6</v>
      </c>
      <c r="AU8" s="5">
        <v>37.700000000000003</v>
      </c>
      <c r="AV8" s="5">
        <v>33.980582524271846</v>
      </c>
      <c r="AW8" s="5">
        <v>2.1368932038834947</v>
      </c>
      <c r="AX8" s="26"/>
      <c r="AY8" s="45">
        <v>6</v>
      </c>
      <c r="AZ8" s="5">
        <v>32.5</v>
      </c>
      <c r="BA8" s="5">
        <v>44.660194174757287</v>
      </c>
      <c r="BB8" s="5">
        <v>2.7349514563106792</v>
      </c>
      <c r="BC8" s="26"/>
      <c r="BD8" s="45">
        <v>6</v>
      </c>
      <c r="BE8" s="5">
        <v>59.3</v>
      </c>
      <c r="BF8" s="5">
        <v>51.456310679611647</v>
      </c>
      <c r="BG8" s="5">
        <v>3.7029126213592236</v>
      </c>
    </row>
    <row r="9" spans="1:59">
      <c r="A9" s="19">
        <v>7</v>
      </c>
      <c r="B9" s="5">
        <v>23.5</v>
      </c>
      <c r="C9" s="46">
        <v>65.686274509803923</v>
      </c>
      <c r="D9" s="5">
        <v>3.8470588235294123</v>
      </c>
      <c r="F9" s="45">
        <v>7</v>
      </c>
      <c r="G9" s="5">
        <v>33.700000000000003</v>
      </c>
      <c r="H9" s="5">
        <v>59.803921568627452</v>
      </c>
      <c r="I9" s="5">
        <v>3.4098039215686264</v>
      </c>
      <c r="J9" s="46"/>
      <c r="K9" s="45">
        <v>7</v>
      </c>
      <c r="L9" s="5">
        <v>43.8</v>
      </c>
      <c r="M9" s="5">
        <v>45.098039215686278</v>
      </c>
      <c r="N9" s="5">
        <v>2.9156862745098042</v>
      </c>
      <c r="O9" s="26"/>
      <c r="P9" s="45">
        <v>7</v>
      </c>
      <c r="Q9" s="5">
        <v>23.2</v>
      </c>
      <c r="R9" s="5">
        <v>40.196078431372548</v>
      </c>
      <c r="S9" s="5">
        <v>2.2764705882352945</v>
      </c>
      <c r="T9" s="26"/>
      <c r="U9" s="45">
        <v>7</v>
      </c>
      <c r="V9" s="5">
        <v>27.8</v>
      </c>
      <c r="W9" s="5">
        <v>28.431372549019606</v>
      </c>
      <c r="X9" s="5">
        <v>1.2080808080804144</v>
      </c>
      <c r="Y9" s="26"/>
      <c r="Z9" s="45">
        <v>7</v>
      </c>
      <c r="AA9" s="5">
        <v>46</v>
      </c>
      <c r="AB9" s="5">
        <v>23.52941176470588</v>
      </c>
      <c r="AC9" s="5">
        <v>2.3264705882352943</v>
      </c>
      <c r="AD9" s="26"/>
      <c r="AE9" s="45">
        <v>7</v>
      </c>
      <c r="AF9" s="5">
        <v>16.100000000000001</v>
      </c>
      <c r="AG9" s="5">
        <v>19.607843137254903</v>
      </c>
      <c r="AH9" s="5">
        <v>0.6</v>
      </c>
      <c r="AI9" s="26"/>
      <c r="AJ9" s="45">
        <v>7</v>
      </c>
      <c r="AK9" s="5">
        <v>23.7</v>
      </c>
      <c r="AL9" s="5">
        <v>18.446601941747574</v>
      </c>
      <c r="AM9" s="5">
        <v>0.67864077669902922</v>
      </c>
      <c r="AN9" s="26"/>
      <c r="AO9" s="45">
        <v>7</v>
      </c>
      <c r="AP9" s="5">
        <v>80.099999999999994</v>
      </c>
      <c r="AQ9" s="5">
        <v>33.980582524271846</v>
      </c>
      <c r="AR9" s="5">
        <v>4.272815533980582</v>
      </c>
      <c r="AS9" s="26"/>
      <c r="AT9" s="45">
        <v>7</v>
      </c>
      <c r="AU9" s="5">
        <v>120.5</v>
      </c>
      <c r="AV9" s="5">
        <v>31.067961165048541</v>
      </c>
      <c r="AW9" s="5">
        <v>3.8126213592233009</v>
      </c>
      <c r="AX9" s="26"/>
      <c r="AY9" s="45">
        <v>7</v>
      </c>
      <c r="AZ9" s="5">
        <v>35.299999999999997</v>
      </c>
      <c r="BA9" s="5">
        <v>41.747572815533978</v>
      </c>
      <c r="BB9" s="5">
        <v>2.1902912621359221</v>
      </c>
      <c r="BC9" s="26"/>
      <c r="BD9" s="45">
        <v>7</v>
      </c>
      <c r="BE9" s="5">
        <v>66</v>
      </c>
      <c r="BF9" s="5">
        <v>60.194174757281552</v>
      </c>
      <c r="BG9" s="5">
        <v>5.4067961165048546</v>
      </c>
    </row>
    <row r="10" spans="1:59">
      <c r="A10" s="19">
        <v>8</v>
      </c>
      <c r="B10" s="5">
        <v>39</v>
      </c>
      <c r="C10" s="46">
        <v>60.784313725490193</v>
      </c>
      <c r="D10" s="5">
        <v>3.9333333333333358</v>
      </c>
      <c r="F10" s="45">
        <v>8</v>
      </c>
      <c r="G10" s="5">
        <v>57.5</v>
      </c>
      <c r="H10" s="5">
        <v>51.960784313725497</v>
      </c>
      <c r="I10" s="5">
        <v>3.6215686274509817</v>
      </c>
      <c r="J10" s="46"/>
      <c r="K10" s="45">
        <v>8</v>
      </c>
      <c r="L10" s="5">
        <v>20</v>
      </c>
      <c r="M10" s="5">
        <v>46.078431372549019</v>
      </c>
      <c r="N10" s="5">
        <v>2.1137254901960785</v>
      </c>
      <c r="O10" s="26"/>
      <c r="P10" s="45">
        <v>8</v>
      </c>
      <c r="Q10" s="5">
        <v>23</v>
      </c>
      <c r="R10" s="5">
        <v>40.196078431372548</v>
      </c>
      <c r="S10" s="5">
        <v>1.7313725490196075</v>
      </c>
      <c r="T10" s="26"/>
      <c r="U10" s="45">
        <v>8</v>
      </c>
      <c r="V10" s="5">
        <v>18.899999999999999</v>
      </c>
      <c r="W10" s="5">
        <v>26.47058823529412</v>
      </c>
      <c r="X10" s="5">
        <v>1.1121212121210287</v>
      </c>
      <c r="Y10" s="26"/>
      <c r="Z10" s="45">
        <v>8</v>
      </c>
      <c r="AA10" s="5">
        <v>34.200000000000003</v>
      </c>
      <c r="AB10" s="5">
        <v>33.333333333333329</v>
      </c>
      <c r="AC10" s="5">
        <v>1.8049019607843133</v>
      </c>
      <c r="AD10" s="26"/>
      <c r="AE10" s="45">
        <v>8</v>
      </c>
      <c r="AF10" s="5">
        <v>41.7</v>
      </c>
      <c r="AG10" s="5">
        <v>16.666666666666664</v>
      </c>
      <c r="AH10" s="5">
        <v>0.96666666666666679</v>
      </c>
      <c r="AI10" s="26"/>
      <c r="AJ10" s="45">
        <v>8</v>
      </c>
      <c r="AK10" s="5">
        <v>88.7</v>
      </c>
      <c r="AL10" s="5">
        <v>13.592233009708737</v>
      </c>
      <c r="AM10" s="5">
        <v>1.6077669902912619</v>
      </c>
      <c r="AN10" s="26"/>
      <c r="AO10" s="45">
        <v>8</v>
      </c>
      <c r="AP10" s="5">
        <v>76.400000000000006</v>
      </c>
      <c r="AQ10" s="5">
        <v>29.126213592233007</v>
      </c>
      <c r="AR10" s="5">
        <v>3.330097087378642</v>
      </c>
      <c r="AS10" s="26"/>
      <c r="AT10" s="45">
        <v>8</v>
      </c>
      <c r="AU10" s="5">
        <v>91.2</v>
      </c>
      <c r="AV10" s="5">
        <v>34.95145631067961</v>
      </c>
      <c r="AW10" s="5">
        <v>3.1378640776699029</v>
      </c>
      <c r="AX10" s="26"/>
      <c r="AY10" s="45">
        <v>8</v>
      </c>
      <c r="AZ10" s="5">
        <v>23.6</v>
      </c>
      <c r="BA10" s="5">
        <v>44.660194174757287</v>
      </c>
      <c r="BB10" s="5">
        <v>1.9611650485436893</v>
      </c>
      <c r="BC10" s="26"/>
      <c r="BD10" s="45">
        <v>8</v>
      </c>
      <c r="BE10" s="5">
        <v>29.2</v>
      </c>
      <c r="BF10" s="5">
        <v>61.165048543689316</v>
      </c>
      <c r="BG10" s="5">
        <v>4.5504854368932035</v>
      </c>
    </row>
    <row r="11" spans="1:59">
      <c r="A11" s="19">
        <v>9</v>
      </c>
      <c r="B11" s="5">
        <v>37.4</v>
      </c>
      <c r="C11" s="46">
        <v>55.882352941176471</v>
      </c>
      <c r="D11" s="5">
        <v>3.839215686274509</v>
      </c>
      <c r="F11" s="45">
        <v>9</v>
      </c>
      <c r="G11" s="5">
        <v>42.2</v>
      </c>
      <c r="H11" s="5">
        <v>53.921568627450981</v>
      </c>
      <c r="I11" s="5">
        <v>3.0725490196078433</v>
      </c>
      <c r="J11" s="46"/>
      <c r="K11" s="45">
        <v>9</v>
      </c>
      <c r="L11" s="5">
        <v>26.4</v>
      </c>
      <c r="M11" s="5">
        <v>49.019607843137251</v>
      </c>
      <c r="N11" s="5">
        <v>2.3343137254901958</v>
      </c>
      <c r="O11" s="26"/>
      <c r="P11" s="45">
        <v>9</v>
      </c>
      <c r="Q11" s="5">
        <v>45</v>
      </c>
      <c r="R11" s="5">
        <v>42.156862745098039</v>
      </c>
      <c r="S11" s="5">
        <v>2.6480392156862749</v>
      </c>
      <c r="T11" s="26"/>
      <c r="U11" s="45">
        <v>9</v>
      </c>
      <c r="V11" s="5">
        <v>11.4</v>
      </c>
      <c r="W11" s="5">
        <v>31.372549019607842</v>
      </c>
      <c r="X11" s="5">
        <v>0.77171717171696519</v>
      </c>
      <c r="Y11" s="26"/>
      <c r="Z11" s="45">
        <v>9</v>
      </c>
      <c r="AA11" s="5">
        <v>30.9</v>
      </c>
      <c r="AB11" s="5">
        <v>22.549019607843139</v>
      </c>
      <c r="AC11" s="5">
        <v>0.80980392156862735</v>
      </c>
      <c r="AD11" s="26"/>
      <c r="AE11" s="45">
        <v>9</v>
      </c>
      <c r="AF11" s="5">
        <v>67.5</v>
      </c>
      <c r="AG11" s="5">
        <v>18.627450980392158</v>
      </c>
      <c r="AH11" s="5">
        <v>2.1450980392156862</v>
      </c>
      <c r="AI11" s="26"/>
      <c r="AJ11" s="45">
        <v>9</v>
      </c>
      <c r="AK11" s="5">
        <v>8.8000000000000007</v>
      </c>
      <c r="AL11" s="5">
        <v>17.475728155339805</v>
      </c>
      <c r="AM11" s="5">
        <v>0.43398058252427196</v>
      </c>
      <c r="AN11" s="26"/>
      <c r="AO11" s="45">
        <v>9</v>
      </c>
      <c r="AP11" s="5">
        <v>78.2</v>
      </c>
      <c r="AQ11" s="5">
        <v>21.359223300970871</v>
      </c>
      <c r="AR11" s="5">
        <v>1.4533980582524273</v>
      </c>
      <c r="AS11" s="26"/>
      <c r="AT11" s="45">
        <v>9</v>
      </c>
      <c r="AU11" s="5">
        <v>42</v>
      </c>
      <c r="AV11" s="5">
        <v>35.922330097087382</v>
      </c>
      <c r="AW11" s="5">
        <v>1.8456310679611647</v>
      </c>
      <c r="AX11" s="26"/>
      <c r="AY11" s="45">
        <v>9</v>
      </c>
      <c r="AZ11" s="5">
        <v>39.5</v>
      </c>
      <c r="BA11" s="5">
        <v>45.631067961165051</v>
      </c>
      <c r="BB11" s="5">
        <v>3.116504854368932</v>
      </c>
      <c r="BC11" s="26"/>
      <c r="BD11" s="45">
        <v>9</v>
      </c>
      <c r="BE11" s="5">
        <v>58.5</v>
      </c>
      <c r="BF11" s="5">
        <v>57.28155339805825</v>
      </c>
      <c r="BG11" s="5">
        <v>5.776699029126215</v>
      </c>
    </row>
    <row r="12" spans="1:59">
      <c r="A12" s="19">
        <v>10</v>
      </c>
      <c r="B12" s="5">
        <v>46.8</v>
      </c>
      <c r="C12" s="46">
        <v>54.901960784313729</v>
      </c>
      <c r="D12" s="5">
        <v>4.7098039215686285</v>
      </c>
      <c r="F12" s="45">
        <v>10</v>
      </c>
      <c r="G12" s="5">
        <v>45.6</v>
      </c>
      <c r="H12" s="5">
        <v>47.058823529411761</v>
      </c>
      <c r="I12" s="5">
        <v>3.2382352941176475</v>
      </c>
      <c r="J12" s="46"/>
      <c r="K12" s="45">
        <v>10</v>
      </c>
      <c r="L12" s="5">
        <v>33.5</v>
      </c>
      <c r="M12" s="5">
        <v>51.960784313725497</v>
      </c>
      <c r="N12" s="5">
        <v>3.0627450980392155</v>
      </c>
      <c r="O12" s="26"/>
      <c r="P12" s="45">
        <v>10</v>
      </c>
      <c r="Q12" s="5">
        <v>17.5</v>
      </c>
      <c r="R12" s="5">
        <v>36.274509803921568</v>
      </c>
      <c r="S12" s="5">
        <v>1.4294117647058822</v>
      </c>
      <c r="T12" s="26"/>
      <c r="U12" s="45">
        <v>10</v>
      </c>
      <c r="V12" s="5">
        <v>36.4</v>
      </c>
      <c r="W12" s="5">
        <v>26.47058823529412</v>
      </c>
      <c r="X12" s="5">
        <v>1.0171717171718899</v>
      </c>
      <c r="Y12" s="26"/>
      <c r="Z12" s="45">
        <v>10</v>
      </c>
      <c r="AA12" s="5">
        <v>49</v>
      </c>
      <c r="AB12" s="5">
        <v>28.431372549019606</v>
      </c>
      <c r="AC12" s="5">
        <v>1.2705882352941174</v>
      </c>
      <c r="AD12" s="26"/>
      <c r="AE12" s="45">
        <v>10</v>
      </c>
      <c r="AF12" s="5">
        <v>22.3</v>
      </c>
      <c r="AG12" s="5">
        <v>15.686274509803921</v>
      </c>
      <c r="AH12" s="5">
        <v>1.0774509803921566</v>
      </c>
      <c r="AI12" s="26"/>
      <c r="AJ12" s="45">
        <v>10</v>
      </c>
      <c r="AK12" s="5">
        <v>30.9</v>
      </c>
      <c r="AL12" s="5">
        <v>21.359223300970871</v>
      </c>
      <c r="AM12" s="5">
        <v>1.4922330097087377</v>
      </c>
      <c r="AN12" s="26"/>
      <c r="AO12" s="45">
        <v>10</v>
      </c>
      <c r="AP12" s="5">
        <v>123</v>
      </c>
      <c r="AQ12" s="5">
        <v>27.184466019417474</v>
      </c>
      <c r="AR12" s="5">
        <v>4.4902912621359228</v>
      </c>
      <c r="AS12" s="26"/>
      <c r="AT12" s="45">
        <v>10</v>
      </c>
      <c r="AU12" s="5">
        <v>53</v>
      </c>
      <c r="AV12" s="5">
        <v>40.776699029126213</v>
      </c>
      <c r="AW12" s="5">
        <v>3.1067961165048539</v>
      </c>
      <c r="AX12" s="26"/>
      <c r="AY12" s="45">
        <v>10</v>
      </c>
      <c r="AZ12" s="5">
        <v>47.5</v>
      </c>
      <c r="BA12" s="5">
        <v>39.805825242718448</v>
      </c>
      <c r="BB12" s="5">
        <v>3.0854368932038847</v>
      </c>
      <c r="BC12" s="26"/>
      <c r="BD12" s="45">
        <v>10</v>
      </c>
      <c r="BE12" s="5">
        <v>28.5</v>
      </c>
      <c r="BF12" s="5">
        <v>58.252427184466015</v>
      </c>
      <c r="BG12" s="5">
        <v>3.1029126213592226</v>
      </c>
    </row>
    <row r="13" spans="1:59">
      <c r="A13" s="19">
        <v>11</v>
      </c>
      <c r="B13" s="5">
        <v>35.5</v>
      </c>
      <c r="C13" s="46">
        <v>55.882352941176471</v>
      </c>
      <c r="D13" s="5">
        <v>3.2990196078431371</v>
      </c>
      <c r="F13" s="45">
        <v>11</v>
      </c>
      <c r="G13" s="5">
        <v>31</v>
      </c>
      <c r="H13" s="5">
        <v>48.03921568627451</v>
      </c>
      <c r="I13" s="5">
        <v>2.9264705882352939</v>
      </c>
      <c r="J13" s="46"/>
      <c r="K13" s="45">
        <v>11</v>
      </c>
      <c r="L13" s="5">
        <v>27.6</v>
      </c>
      <c r="M13" s="5">
        <v>50</v>
      </c>
      <c r="N13" s="5">
        <v>2.8117647058823523</v>
      </c>
      <c r="O13" s="26"/>
      <c r="P13" s="45">
        <v>11</v>
      </c>
      <c r="Q13" s="5">
        <v>30.6</v>
      </c>
      <c r="R13" s="5">
        <v>39.215686274509807</v>
      </c>
      <c r="S13" s="5">
        <v>1.723529411764706</v>
      </c>
      <c r="T13" s="26"/>
      <c r="U13" s="45">
        <v>11</v>
      </c>
      <c r="V13" s="5">
        <v>84</v>
      </c>
      <c r="W13" s="5">
        <v>31.372549019607842</v>
      </c>
      <c r="X13" s="5">
        <v>1.8848484848484934</v>
      </c>
      <c r="Y13" s="26"/>
      <c r="Z13" s="45">
        <v>11</v>
      </c>
      <c r="AA13" s="5">
        <v>48.6</v>
      </c>
      <c r="AB13" s="5">
        <v>21.568627450980394</v>
      </c>
      <c r="AC13" s="5">
        <v>1.4970588235294116</v>
      </c>
      <c r="AD13" s="26"/>
      <c r="AE13" s="45">
        <v>11</v>
      </c>
      <c r="AF13" s="5">
        <v>59</v>
      </c>
      <c r="AG13" s="5">
        <v>8.8235294117647065</v>
      </c>
      <c r="AH13" s="5">
        <v>0.74019607843137258</v>
      </c>
      <c r="AI13" s="26"/>
      <c r="AJ13" s="45">
        <v>11</v>
      </c>
      <c r="AK13" s="5">
        <v>77.5</v>
      </c>
      <c r="AL13" s="5">
        <v>16.50485436893204</v>
      </c>
      <c r="AM13" s="5">
        <v>2.1951456310679616</v>
      </c>
      <c r="AN13" s="26"/>
      <c r="AO13" s="45">
        <v>11</v>
      </c>
      <c r="AP13" s="5">
        <v>27</v>
      </c>
      <c r="AQ13" s="5">
        <v>28.155339805825243</v>
      </c>
      <c r="AR13" s="5">
        <v>1.6019417475728153</v>
      </c>
      <c r="AS13" s="26"/>
      <c r="AT13" s="45">
        <v>11</v>
      </c>
      <c r="AU13" s="5">
        <v>47.9</v>
      </c>
      <c r="AV13" s="5">
        <v>34.95145631067961</v>
      </c>
      <c r="AW13" s="5">
        <v>2.5815533980582526</v>
      </c>
      <c r="AX13" s="26"/>
      <c r="AY13" s="45">
        <v>11</v>
      </c>
      <c r="AZ13" s="5">
        <v>55.5</v>
      </c>
      <c r="BA13" s="5">
        <v>42.718446601941743</v>
      </c>
      <c r="BB13" s="5">
        <v>3.2572815533980592</v>
      </c>
      <c r="BC13" s="26"/>
      <c r="BD13" s="45">
        <v>11</v>
      </c>
      <c r="BE13" s="5">
        <v>47.2</v>
      </c>
      <c r="BF13" s="5">
        <v>57.28155339805825</v>
      </c>
      <c r="BG13" s="5">
        <v>4.1252427184466018</v>
      </c>
    </row>
    <row r="14" spans="1:59">
      <c r="A14" s="19">
        <v>12</v>
      </c>
      <c r="B14" s="5">
        <v>27.1</v>
      </c>
      <c r="C14" s="46">
        <v>51.960784313725497</v>
      </c>
      <c r="D14" s="5">
        <v>2.6921568627450982</v>
      </c>
      <c r="F14" s="45">
        <v>12</v>
      </c>
      <c r="G14" s="5">
        <v>30.3</v>
      </c>
      <c r="H14" s="5">
        <v>49.019607843137251</v>
      </c>
      <c r="I14" s="5">
        <v>2.649999999999999</v>
      </c>
      <c r="J14" s="46"/>
      <c r="K14" s="45">
        <v>12</v>
      </c>
      <c r="L14" s="5">
        <v>31</v>
      </c>
      <c r="M14" s="5">
        <v>46.078431372549019</v>
      </c>
      <c r="N14" s="5">
        <v>2.4578431372549021</v>
      </c>
      <c r="O14" s="26"/>
      <c r="P14" s="45">
        <v>12</v>
      </c>
      <c r="Q14" s="5">
        <v>24.8</v>
      </c>
      <c r="R14" s="5">
        <v>38.235294117647058</v>
      </c>
      <c r="S14" s="5">
        <v>1.6519607843137254</v>
      </c>
      <c r="T14" s="26"/>
      <c r="U14" s="45">
        <v>12</v>
      </c>
      <c r="V14" s="5">
        <v>15.8</v>
      </c>
      <c r="W14" s="5">
        <v>31.372549019607842</v>
      </c>
      <c r="X14" s="5">
        <v>1.2747474747474006</v>
      </c>
      <c r="Y14" s="26"/>
      <c r="Z14" s="45">
        <v>12</v>
      </c>
      <c r="AA14" s="5">
        <v>25.6</v>
      </c>
      <c r="AB14" s="5">
        <v>25.490196078431371</v>
      </c>
      <c r="AC14" s="5">
        <v>1.5303921568627448</v>
      </c>
      <c r="AD14" s="26"/>
      <c r="AE14" s="45">
        <v>12</v>
      </c>
      <c r="AF14" s="5">
        <v>45.5</v>
      </c>
      <c r="AG14" s="5">
        <v>19.607843137254903</v>
      </c>
      <c r="AH14" s="5">
        <v>1.2117647058823531</v>
      </c>
      <c r="AI14" s="26"/>
      <c r="AJ14" s="45">
        <v>12</v>
      </c>
      <c r="AK14" s="5">
        <v>38.9</v>
      </c>
      <c r="AL14" s="5">
        <v>14.563106796116504</v>
      </c>
      <c r="AM14" s="5">
        <v>1.1990291262135919</v>
      </c>
      <c r="AN14" s="26"/>
      <c r="AO14" s="45">
        <v>12</v>
      </c>
      <c r="AP14" s="5">
        <v>30.9</v>
      </c>
      <c r="AQ14" s="5">
        <v>25.242718446601941</v>
      </c>
      <c r="AR14" s="5">
        <v>1.2747572815533978</v>
      </c>
      <c r="AS14" s="26"/>
      <c r="AT14" s="45">
        <v>12</v>
      </c>
      <c r="AU14" s="5">
        <v>27.4</v>
      </c>
      <c r="AV14" s="5">
        <v>42.718446601941743</v>
      </c>
      <c r="AW14" s="5">
        <v>2.4990291262135909</v>
      </c>
      <c r="AX14" s="26"/>
      <c r="AY14" s="45">
        <v>12</v>
      </c>
      <c r="AZ14" s="5">
        <v>37.6</v>
      </c>
      <c r="BA14" s="5">
        <v>49.514563106796118</v>
      </c>
      <c r="BB14" s="5">
        <v>2.2699029126213595</v>
      </c>
      <c r="BC14" s="26"/>
      <c r="BD14" s="45">
        <v>12</v>
      </c>
      <c r="BE14" s="5">
        <v>44.3</v>
      </c>
      <c r="BF14" s="5">
        <v>65.048543689320397</v>
      </c>
      <c r="BG14" s="5">
        <v>5.3203883495145643</v>
      </c>
    </row>
    <row r="15" spans="1:59">
      <c r="A15" s="19">
        <v>13</v>
      </c>
      <c r="B15" s="5">
        <v>31.3</v>
      </c>
      <c r="C15" s="46">
        <v>61.764705882352942</v>
      </c>
      <c r="D15" s="5">
        <v>3.6862745098039209</v>
      </c>
      <c r="F15" s="45">
        <v>13</v>
      </c>
      <c r="G15" s="5">
        <v>19.100000000000001</v>
      </c>
      <c r="H15" s="5">
        <v>54.901960784313729</v>
      </c>
      <c r="I15" s="5">
        <v>2.6333333333333337</v>
      </c>
      <c r="J15" s="46"/>
      <c r="K15" s="45">
        <v>13</v>
      </c>
      <c r="L15" s="5">
        <v>16.899999999999999</v>
      </c>
      <c r="M15" s="5">
        <v>44.117647058823529</v>
      </c>
      <c r="N15" s="5">
        <v>1.8421568627450982</v>
      </c>
      <c r="O15" s="26"/>
      <c r="P15" s="45">
        <v>13</v>
      </c>
      <c r="Q15" s="5">
        <v>19</v>
      </c>
      <c r="R15" s="5">
        <v>40.196078431372548</v>
      </c>
      <c r="S15" s="5">
        <v>1.8117647058823523</v>
      </c>
      <c r="T15" s="26"/>
      <c r="U15" s="45">
        <v>13</v>
      </c>
      <c r="V15" s="5">
        <v>15.5</v>
      </c>
      <c r="W15" s="5">
        <v>37.254901960784316</v>
      </c>
      <c r="X15" s="5">
        <v>1.3575757575753775</v>
      </c>
      <c r="Y15" s="26"/>
      <c r="Z15" s="45">
        <v>13</v>
      </c>
      <c r="AA15" s="5">
        <v>26.8</v>
      </c>
      <c r="AB15" s="5">
        <v>17.647058823529413</v>
      </c>
      <c r="AC15" s="5">
        <v>0.8715686274509804</v>
      </c>
      <c r="AD15" s="26"/>
      <c r="AE15" s="45">
        <v>13</v>
      </c>
      <c r="AF15" s="5">
        <v>30.9</v>
      </c>
      <c r="AG15" s="5">
        <v>15.686274509803921</v>
      </c>
      <c r="AH15" s="5">
        <v>1.3333333333333333</v>
      </c>
      <c r="AI15" s="26"/>
      <c r="AJ15" s="45">
        <v>13</v>
      </c>
      <c r="AK15" s="5">
        <v>49.5</v>
      </c>
      <c r="AL15" s="5">
        <v>17.475728155339805</v>
      </c>
      <c r="AM15" s="5">
        <v>1.6300970873786411</v>
      </c>
      <c r="AN15" s="26"/>
      <c r="AO15" s="45">
        <v>13</v>
      </c>
      <c r="AP15" s="5">
        <v>23.8</v>
      </c>
      <c r="AQ15" s="5">
        <v>26.21359223300971</v>
      </c>
      <c r="AR15" s="5">
        <v>1.4213592233009706</v>
      </c>
      <c r="AS15" s="26"/>
      <c r="AT15" s="45">
        <v>13</v>
      </c>
      <c r="AU15" s="5">
        <v>117</v>
      </c>
      <c r="AV15" s="5">
        <v>44.660194174757287</v>
      </c>
      <c r="AW15" s="5">
        <v>5.7533980582524276</v>
      </c>
      <c r="AX15" s="26"/>
      <c r="AY15" s="45">
        <v>13</v>
      </c>
      <c r="AZ15" s="5">
        <v>37.5</v>
      </c>
      <c r="BA15" s="5">
        <v>42.718446601941743</v>
      </c>
      <c r="BB15" s="5">
        <v>3.0271844660194183</v>
      </c>
      <c r="BC15" s="26"/>
      <c r="BD15" s="45">
        <v>13</v>
      </c>
      <c r="BE15" s="5">
        <v>30</v>
      </c>
      <c r="BF15" s="5">
        <v>59.22330097087378</v>
      </c>
      <c r="BG15" s="5">
        <v>3.9941747572815536</v>
      </c>
    </row>
    <row r="16" spans="1:59">
      <c r="A16" s="19">
        <v>14</v>
      </c>
      <c r="B16" s="5">
        <v>24.1</v>
      </c>
      <c r="C16" s="46">
        <v>56.862745098039213</v>
      </c>
      <c r="D16" s="5">
        <v>3.0901960784313718</v>
      </c>
      <c r="F16" s="45">
        <v>14</v>
      </c>
      <c r="G16" s="5">
        <v>51.1</v>
      </c>
      <c r="H16" s="5">
        <v>55.882352941176471</v>
      </c>
      <c r="I16" s="5">
        <v>3.8225490196078442</v>
      </c>
      <c r="J16" s="46"/>
      <c r="K16" s="45">
        <v>14</v>
      </c>
      <c r="L16" s="5">
        <v>21.4</v>
      </c>
      <c r="M16" s="5">
        <v>48.03921568627451</v>
      </c>
      <c r="N16" s="5">
        <v>1.8294117647058821</v>
      </c>
      <c r="O16" s="26"/>
      <c r="P16" s="45">
        <v>14</v>
      </c>
      <c r="Q16" s="5">
        <v>36.5</v>
      </c>
      <c r="R16" s="5">
        <v>37.254901960784316</v>
      </c>
      <c r="S16" s="5">
        <v>1.5617647058823529</v>
      </c>
      <c r="T16" s="26"/>
      <c r="U16" s="45">
        <v>14</v>
      </c>
      <c r="V16" s="5">
        <v>25.2</v>
      </c>
      <c r="W16" s="5">
        <v>30.392156862745097</v>
      </c>
      <c r="X16" s="5">
        <v>1.36161616161605</v>
      </c>
      <c r="Y16" s="26"/>
      <c r="Z16" s="45">
        <v>14</v>
      </c>
      <c r="AA16" s="5">
        <v>27.4</v>
      </c>
      <c r="AB16" s="5">
        <v>19.607843137254903</v>
      </c>
      <c r="AC16" s="5">
        <v>1.1078431372549018</v>
      </c>
      <c r="AD16" s="26"/>
      <c r="AE16" s="45">
        <v>14</v>
      </c>
      <c r="AF16" s="5">
        <v>9.6999999999999993</v>
      </c>
      <c r="AG16" s="5">
        <v>11.76470588235294</v>
      </c>
      <c r="AH16" s="5">
        <v>0.37941176470588234</v>
      </c>
      <c r="AI16" s="26"/>
      <c r="AJ16" s="45">
        <v>14</v>
      </c>
      <c r="AK16" s="5">
        <v>84</v>
      </c>
      <c r="AL16" s="5">
        <v>12.621359223300971</v>
      </c>
      <c r="AM16" s="5">
        <v>1.2776699029126213</v>
      </c>
      <c r="AN16" s="26"/>
      <c r="AO16" s="45">
        <v>14</v>
      </c>
      <c r="AP16" s="5">
        <v>77.8</v>
      </c>
      <c r="AQ16" s="5">
        <v>28.155339805825243</v>
      </c>
      <c r="AR16" s="5">
        <v>3.055339805825243</v>
      </c>
      <c r="AS16" s="26"/>
      <c r="AT16" s="45">
        <v>14</v>
      </c>
      <c r="AU16" s="5">
        <v>44.5</v>
      </c>
      <c r="AV16" s="5">
        <v>41.747572815533978</v>
      </c>
      <c r="AW16" s="5">
        <v>3.1611650485436891</v>
      </c>
      <c r="AX16" s="26"/>
      <c r="AY16" s="45">
        <v>14</v>
      </c>
      <c r="AZ16" s="5">
        <v>40.5</v>
      </c>
      <c r="BA16" s="5">
        <v>43.689320388349515</v>
      </c>
      <c r="BB16" s="5">
        <v>3.3834951456310676</v>
      </c>
      <c r="BC16" s="26"/>
      <c r="BD16" s="45">
        <v>14</v>
      </c>
      <c r="BE16" s="5">
        <v>48</v>
      </c>
      <c r="BF16" s="5">
        <v>56.310679611650485</v>
      </c>
      <c r="BG16" s="5">
        <v>3.9048543689320399</v>
      </c>
    </row>
    <row r="17" spans="1:59">
      <c r="A17" s="19">
        <v>15</v>
      </c>
      <c r="B17" s="5">
        <v>25.1</v>
      </c>
      <c r="C17" s="46">
        <v>63.725490196078425</v>
      </c>
      <c r="D17" s="5">
        <v>3.5990196078431369</v>
      </c>
      <c r="F17" s="45">
        <v>15</v>
      </c>
      <c r="G17" s="5">
        <v>55.1</v>
      </c>
      <c r="H17" s="5">
        <v>59.803921568627452</v>
      </c>
      <c r="I17" s="5">
        <v>3.0303921568627463</v>
      </c>
      <c r="J17" s="46"/>
      <c r="K17" s="45">
        <v>15</v>
      </c>
      <c r="L17" s="5">
        <v>39.299999999999997</v>
      </c>
      <c r="M17" s="5">
        <v>45.098039215686278</v>
      </c>
      <c r="N17" s="5">
        <v>2.4323529411764704</v>
      </c>
      <c r="O17" s="26"/>
      <c r="P17" s="45">
        <v>15</v>
      </c>
      <c r="Q17" s="5">
        <v>23</v>
      </c>
      <c r="R17" s="5">
        <v>48.03921568627451</v>
      </c>
      <c r="S17" s="5">
        <v>2.0333333333333328</v>
      </c>
      <c r="T17" s="26"/>
      <c r="U17" s="45">
        <v>15</v>
      </c>
      <c r="V17" s="5">
        <v>19.399999999999999</v>
      </c>
      <c r="W17" s="5">
        <v>28.431372549019606</v>
      </c>
      <c r="X17" s="5">
        <v>1.1393939393935888</v>
      </c>
      <c r="Y17" s="26"/>
      <c r="Z17" s="45">
        <v>15</v>
      </c>
      <c r="AA17" s="5">
        <v>32.4</v>
      </c>
      <c r="AB17" s="5">
        <v>17.647058823529413</v>
      </c>
      <c r="AC17" s="5">
        <v>0.91176470588235292</v>
      </c>
      <c r="AD17" s="26"/>
      <c r="AE17" s="45">
        <v>15</v>
      </c>
      <c r="AF17" s="5">
        <v>27</v>
      </c>
      <c r="AG17" s="5">
        <v>18.627450980392158</v>
      </c>
      <c r="AH17" s="5">
        <v>0.75098039215686274</v>
      </c>
      <c r="AI17" s="26"/>
      <c r="AJ17" s="45">
        <v>15</v>
      </c>
      <c r="AK17" s="5">
        <v>2.8</v>
      </c>
      <c r="AL17" s="5">
        <v>12.621359223300971</v>
      </c>
      <c r="AM17" s="5">
        <v>0.1174757281553398</v>
      </c>
      <c r="AN17" s="26"/>
      <c r="AO17" s="45">
        <v>15</v>
      </c>
      <c r="AP17" s="5">
        <v>79.900000000000006</v>
      </c>
      <c r="AQ17" s="5">
        <v>26.21359223300971</v>
      </c>
      <c r="AR17" s="5">
        <v>3.0582524271844673</v>
      </c>
      <c r="AS17" s="26"/>
      <c r="AT17" s="45">
        <v>15</v>
      </c>
      <c r="AU17" s="5">
        <v>111.8</v>
      </c>
      <c r="AV17" s="5">
        <v>39.805825242718448</v>
      </c>
      <c r="AW17" s="5">
        <v>5.1514563106796123</v>
      </c>
      <c r="AX17" s="26"/>
      <c r="AY17" s="45">
        <v>15</v>
      </c>
      <c r="AZ17" s="5">
        <v>60.2</v>
      </c>
      <c r="BA17" s="5">
        <v>51.456310679611647</v>
      </c>
      <c r="BB17" s="5">
        <v>3.1475728155339815</v>
      </c>
      <c r="BC17" s="26"/>
      <c r="BD17" s="45">
        <v>15</v>
      </c>
      <c r="BE17" s="5">
        <v>36.700000000000003</v>
      </c>
      <c r="BF17" s="5">
        <v>56.310679611650485</v>
      </c>
      <c r="BG17" s="5">
        <v>4.463106796116505</v>
      </c>
    </row>
    <row r="18" spans="1:59">
      <c r="A18" s="19">
        <v>16</v>
      </c>
      <c r="B18" s="5">
        <v>32.700000000000003</v>
      </c>
      <c r="C18" s="46">
        <v>58.82352941176471</v>
      </c>
      <c r="D18" s="5">
        <v>4.2294117647058824</v>
      </c>
      <c r="F18" s="45">
        <v>16</v>
      </c>
      <c r="G18" s="5">
        <v>86.9</v>
      </c>
      <c r="H18" s="5">
        <v>58.82352941176471</v>
      </c>
      <c r="I18" s="5">
        <v>3.6588235294117646</v>
      </c>
      <c r="J18" s="46"/>
      <c r="K18" s="45">
        <v>16</v>
      </c>
      <c r="L18" s="5">
        <v>39.5</v>
      </c>
      <c r="M18" s="5">
        <v>50.980392156862742</v>
      </c>
      <c r="N18" s="5">
        <v>3.0441176470588234</v>
      </c>
      <c r="O18" s="26"/>
      <c r="P18" s="45">
        <v>16</v>
      </c>
      <c r="Q18" s="5">
        <v>40.799999999999997</v>
      </c>
      <c r="R18" s="5">
        <v>45.098039215686278</v>
      </c>
      <c r="S18" s="5">
        <v>2.5852941176470581</v>
      </c>
      <c r="T18" s="26"/>
      <c r="U18" s="45">
        <v>16</v>
      </c>
      <c r="V18" s="5">
        <v>27</v>
      </c>
      <c r="W18" s="5">
        <v>26.47058823529412</v>
      </c>
      <c r="X18" s="5">
        <v>0.88484848484838319</v>
      </c>
      <c r="Y18" s="26"/>
      <c r="Z18" s="45">
        <v>16</v>
      </c>
      <c r="AA18" s="5">
        <v>28</v>
      </c>
      <c r="AB18" s="5">
        <v>20.588235294117645</v>
      </c>
      <c r="AC18" s="5">
        <v>0.98627450980392151</v>
      </c>
      <c r="AD18" s="26"/>
      <c r="AE18" s="45">
        <v>16</v>
      </c>
      <c r="AF18" s="5">
        <v>20.7</v>
      </c>
      <c r="AG18" s="5">
        <v>8.8235294117647065</v>
      </c>
      <c r="AH18" s="5">
        <v>0.45980392156862743</v>
      </c>
      <c r="AI18" s="26"/>
      <c r="AJ18" s="45">
        <v>16</v>
      </c>
      <c r="AK18" s="5">
        <v>41.6</v>
      </c>
      <c r="AL18" s="5">
        <v>13.592233009708737</v>
      </c>
      <c r="AM18" s="5">
        <v>0.64174757281553396</v>
      </c>
      <c r="AN18" s="26"/>
      <c r="AO18" s="45">
        <v>16</v>
      </c>
      <c r="AP18" s="5">
        <v>25.2</v>
      </c>
      <c r="AQ18" s="5">
        <v>27.184466019417474</v>
      </c>
      <c r="AR18" s="5">
        <v>1.1291262135922331</v>
      </c>
      <c r="AS18" s="26"/>
      <c r="AT18" s="45">
        <v>16</v>
      </c>
      <c r="AU18" s="5">
        <v>103.7</v>
      </c>
      <c r="AV18" s="5">
        <v>41.747572815533978</v>
      </c>
      <c r="AW18" s="5">
        <v>3.9466019417475726</v>
      </c>
      <c r="AX18" s="26"/>
      <c r="AY18" s="45">
        <v>16</v>
      </c>
      <c r="AZ18" s="5">
        <v>94.2</v>
      </c>
      <c r="BA18" s="5">
        <v>53.398058252427184</v>
      </c>
      <c r="BB18" s="5">
        <v>3.9854368932038842</v>
      </c>
      <c r="BC18" s="26"/>
      <c r="BD18" s="45">
        <v>16</v>
      </c>
      <c r="BE18" s="5">
        <v>50.6</v>
      </c>
      <c r="BF18" s="5">
        <v>59.22330097087378</v>
      </c>
      <c r="BG18" s="5">
        <v>5.4097087378640785</v>
      </c>
    </row>
    <row r="19" spans="1:59">
      <c r="A19" s="19">
        <v>17</v>
      </c>
      <c r="B19" s="5">
        <v>38.6</v>
      </c>
      <c r="C19" s="46">
        <v>56.862745098039213</v>
      </c>
      <c r="D19" s="5">
        <v>2.8539215686274519</v>
      </c>
      <c r="F19" s="45">
        <v>17</v>
      </c>
      <c r="G19" s="5">
        <v>29.6</v>
      </c>
      <c r="H19" s="5">
        <v>50.980392156862742</v>
      </c>
      <c r="I19" s="5">
        <v>3.6990196078431379</v>
      </c>
      <c r="J19" s="46"/>
      <c r="K19" s="45">
        <v>17</v>
      </c>
      <c r="L19" s="5">
        <v>41.3</v>
      </c>
      <c r="M19" s="5">
        <v>52.941176470588239</v>
      </c>
      <c r="N19" s="5">
        <v>3.2039215686274511</v>
      </c>
      <c r="O19" s="26"/>
      <c r="P19" s="45">
        <v>17</v>
      </c>
      <c r="Q19" s="5">
        <v>37</v>
      </c>
      <c r="R19" s="5">
        <v>41.17647058823529</v>
      </c>
      <c r="S19" s="5">
        <v>1.8019607843137253</v>
      </c>
      <c r="T19" s="26"/>
      <c r="U19" s="45">
        <v>17</v>
      </c>
      <c r="V19" s="5">
        <v>24</v>
      </c>
      <c r="W19" s="5">
        <v>27.450980392156865</v>
      </c>
      <c r="X19" s="5">
        <v>1.42828282828246</v>
      </c>
      <c r="Y19" s="26"/>
      <c r="Z19" s="45">
        <v>17</v>
      </c>
      <c r="AA19" s="5">
        <v>12.9</v>
      </c>
      <c r="AB19" s="5">
        <v>21.568627450980394</v>
      </c>
      <c r="AC19" s="5">
        <v>0.49411764705882366</v>
      </c>
      <c r="AD19" s="26"/>
      <c r="AE19" s="45">
        <v>17</v>
      </c>
      <c r="AF19" s="5">
        <v>13.6</v>
      </c>
      <c r="AG19" s="5">
        <v>9.8039215686274517</v>
      </c>
      <c r="AH19" s="5">
        <v>0.30784313725490198</v>
      </c>
      <c r="AI19" s="26"/>
      <c r="AJ19" s="45">
        <v>17</v>
      </c>
      <c r="AK19" s="5">
        <v>56.3</v>
      </c>
      <c r="AL19" s="5">
        <v>13.592233009708737</v>
      </c>
      <c r="AM19" s="5">
        <v>0.99126213592233015</v>
      </c>
      <c r="AN19" s="26"/>
      <c r="AO19" s="45">
        <v>17</v>
      </c>
      <c r="AP19" s="5">
        <v>44</v>
      </c>
      <c r="AQ19" s="5">
        <v>19.417475728155338</v>
      </c>
      <c r="AR19" s="5">
        <v>0.8087378640776699</v>
      </c>
      <c r="AS19" s="26"/>
      <c r="AT19" s="45">
        <v>17</v>
      </c>
      <c r="AU19" s="5">
        <v>51.5</v>
      </c>
      <c r="AV19" s="5">
        <v>42.718446601941743</v>
      </c>
      <c r="AW19" s="5">
        <v>3.1864077669902913</v>
      </c>
      <c r="AX19" s="26"/>
      <c r="AY19" s="45">
        <v>17</v>
      </c>
      <c r="AZ19" s="5">
        <v>68.099999999999994</v>
      </c>
      <c r="BA19" s="5">
        <v>49.514563106796118</v>
      </c>
      <c r="BB19" s="5">
        <v>3.7378640776699044</v>
      </c>
      <c r="BC19" s="26"/>
      <c r="BD19" s="45">
        <v>17</v>
      </c>
      <c r="BE19" s="5">
        <v>67</v>
      </c>
      <c r="BF19" s="5">
        <v>57.28155339805825</v>
      </c>
      <c r="BG19" s="5">
        <v>5.1310679611650487</v>
      </c>
    </row>
    <row r="20" spans="1:59">
      <c r="A20" s="19">
        <v>18</v>
      </c>
      <c r="B20" s="5">
        <v>25.5</v>
      </c>
      <c r="C20" s="46">
        <v>57.843137254901968</v>
      </c>
      <c r="D20" s="5">
        <v>2.7803921568627445</v>
      </c>
      <c r="F20" s="45">
        <v>18</v>
      </c>
      <c r="G20" s="5">
        <v>26.4</v>
      </c>
      <c r="H20" s="5">
        <v>50.980392156862742</v>
      </c>
      <c r="I20" s="5">
        <v>2.5784313725490189</v>
      </c>
      <c r="J20" s="46"/>
      <c r="K20" s="45">
        <v>18</v>
      </c>
      <c r="L20" s="5">
        <v>53</v>
      </c>
      <c r="M20" s="5">
        <v>46.078431372549019</v>
      </c>
      <c r="N20" s="5">
        <v>2.2362745098039216</v>
      </c>
      <c r="O20" s="26"/>
      <c r="P20" s="45">
        <v>18</v>
      </c>
      <c r="Q20" s="5">
        <v>40.5</v>
      </c>
      <c r="R20" s="5">
        <v>37.254901960784316</v>
      </c>
      <c r="S20" s="5">
        <v>2.2568627450980392</v>
      </c>
      <c r="T20" s="26"/>
      <c r="U20" s="45">
        <v>18</v>
      </c>
      <c r="V20" s="5">
        <v>24.6</v>
      </c>
      <c r="W20" s="5">
        <v>27.450980392156865</v>
      </c>
      <c r="X20" s="5">
        <v>0.86262626262606357</v>
      </c>
      <c r="Y20" s="26"/>
      <c r="Z20" s="45">
        <v>18</v>
      </c>
      <c r="AA20" s="5">
        <v>57</v>
      </c>
      <c r="AB20" s="5">
        <v>19.607843137254903</v>
      </c>
      <c r="AC20" s="5">
        <v>1.3852941176470586</v>
      </c>
      <c r="AD20" s="26"/>
      <c r="AE20" s="45">
        <v>18</v>
      </c>
      <c r="AF20" s="5">
        <v>6</v>
      </c>
      <c r="AG20" s="5">
        <v>8.8235294117647065</v>
      </c>
      <c r="AH20" s="5">
        <v>0.28823529411764709</v>
      </c>
      <c r="AI20" s="26"/>
      <c r="AJ20" s="45">
        <v>18</v>
      </c>
      <c r="AK20" s="5">
        <v>43.8</v>
      </c>
      <c r="AL20" s="5">
        <v>10.679611650485436</v>
      </c>
      <c r="AM20" s="5">
        <v>0.81747572815533986</v>
      </c>
      <c r="AN20" s="26"/>
      <c r="AO20" s="45">
        <v>18</v>
      </c>
      <c r="AP20" s="5">
        <v>19.600000000000001</v>
      </c>
      <c r="AQ20" s="5">
        <v>21.359223300970871</v>
      </c>
      <c r="AR20" s="5">
        <v>1.1145631067961166</v>
      </c>
      <c r="AS20" s="26"/>
      <c r="AT20" s="45">
        <v>18</v>
      </c>
      <c r="AU20" s="5">
        <v>36.799999999999997</v>
      </c>
      <c r="AV20" s="5">
        <v>33.009708737864081</v>
      </c>
      <c r="AW20" s="5">
        <v>2.2902912621359226</v>
      </c>
      <c r="AX20" s="26"/>
      <c r="AY20" s="45">
        <v>18</v>
      </c>
      <c r="AZ20" s="5">
        <v>45</v>
      </c>
      <c r="BA20" s="5">
        <v>50.485436893203882</v>
      </c>
      <c r="BB20" s="5">
        <v>3.2087378640776687</v>
      </c>
      <c r="BC20" s="26"/>
      <c r="BD20" s="45">
        <v>18</v>
      </c>
      <c r="BE20" s="5">
        <v>58.2</v>
      </c>
      <c r="BF20" s="5">
        <v>58.252427184466015</v>
      </c>
      <c r="BG20" s="5">
        <v>4.8640776699029118</v>
      </c>
    </row>
    <row r="21" spans="1:59">
      <c r="A21" s="19">
        <v>19</v>
      </c>
      <c r="B21" s="5">
        <v>33</v>
      </c>
      <c r="C21" s="46">
        <v>58.82352941176471</v>
      </c>
      <c r="D21" s="5">
        <v>3.6166666666666654</v>
      </c>
      <c r="F21" s="45">
        <v>19</v>
      </c>
      <c r="G21" s="5">
        <v>19.100000000000001</v>
      </c>
      <c r="H21" s="5">
        <v>47.058823529411761</v>
      </c>
      <c r="I21" s="5">
        <v>1.7735294117647054</v>
      </c>
      <c r="J21" s="46"/>
      <c r="K21" s="45">
        <v>19</v>
      </c>
      <c r="L21" s="5">
        <v>25.2</v>
      </c>
      <c r="M21" s="5">
        <v>47.058823529411761</v>
      </c>
      <c r="N21" s="5">
        <v>1.6372549019607838</v>
      </c>
      <c r="O21" s="26"/>
      <c r="P21" s="45">
        <v>19</v>
      </c>
      <c r="Q21" s="5">
        <v>41.2</v>
      </c>
      <c r="R21" s="5">
        <v>41.17647058823529</v>
      </c>
      <c r="S21" s="5">
        <v>2.1607843137254901</v>
      </c>
      <c r="T21" s="26"/>
      <c r="U21" s="45">
        <v>19</v>
      </c>
      <c r="V21" s="5">
        <v>21.1</v>
      </c>
      <c r="W21" s="5">
        <v>29.411764705882355</v>
      </c>
      <c r="X21" s="5">
        <v>0.95272727272719304</v>
      </c>
      <c r="Y21" s="26"/>
      <c r="Z21" s="45">
        <v>19</v>
      </c>
      <c r="AA21" s="5">
        <v>30.5</v>
      </c>
      <c r="AB21" s="5">
        <v>18.627450980392158</v>
      </c>
      <c r="AC21" s="5">
        <v>0.58235294117647063</v>
      </c>
      <c r="AD21" s="26"/>
      <c r="AE21" s="45">
        <v>19</v>
      </c>
      <c r="AF21" s="5">
        <v>9.1999999999999993</v>
      </c>
      <c r="AG21" s="5">
        <v>7.8431372549019605</v>
      </c>
      <c r="AH21" s="5">
        <v>0.18235294117647052</v>
      </c>
      <c r="AI21" s="26"/>
      <c r="AJ21" s="45">
        <v>19</v>
      </c>
      <c r="AK21" s="5">
        <v>47</v>
      </c>
      <c r="AL21" s="5">
        <v>13.592233009708737</v>
      </c>
      <c r="AM21" s="5">
        <v>1.5689320388349515</v>
      </c>
      <c r="AN21" s="26"/>
      <c r="AO21" s="45">
        <v>19</v>
      </c>
      <c r="AP21" s="5">
        <v>33</v>
      </c>
      <c r="AQ21" s="5">
        <v>26.21359223300971</v>
      </c>
      <c r="AR21" s="5">
        <v>1.5805825242718448</v>
      </c>
      <c r="AS21" s="26"/>
      <c r="AT21" s="45">
        <v>19</v>
      </c>
      <c r="AU21" s="5">
        <v>45.2</v>
      </c>
      <c r="AV21" s="5">
        <v>41.747572815533978</v>
      </c>
      <c r="AW21" s="5">
        <v>3.6786407766990301</v>
      </c>
      <c r="AX21" s="26"/>
      <c r="AY21" s="45">
        <v>19</v>
      </c>
      <c r="AZ21" s="5">
        <v>61</v>
      </c>
      <c r="BA21" s="5">
        <v>51.456310679611647</v>
      </c>
      <c r="BB21" s="5">
        <v>5.0902912621359233</v>
      </c>
      <c r="BC21" s="26"/>
      <c r="BD21" s="45">
        <v>19</v>
      </c>
      <c r="BE21" s="5">
        <v>28.8</v>
      </c>
      <c r="BF21" s="5">
        <v>64.077669902912632</v>
      </c>
      <c r="BG21" s="5">
        <v>3.1184466019417476</v>
      </c>
    </row>
    <row r="22" spans="1:59">
      <c r="A22" s="19">
        <v>20</v>
      </c>
      <c r="B22" s="5">
        <v>32.4</v>
      </c>
      <c r="C22" s="46">
        <v>59.803921568627452</v>
      </c>
      <c r="D22" s="5">
        <v>3.0078431372549019</v>
      </c>
      <c r="F22" s="45">
        <v>20</v>
      </c>
      <c r="G22" s="5">
        <v>52.5</v>
      </c>
      <c r="H22" s="5">
        <v>51.960784313725497</v>
      </c>
      <c r="I22" s="5">
        <v>3.6715686274509802</v>
      </c>
      <c r="J22" s="46"/>
      <c r="K22" s="45">
        <v>20</v>
      </c>
      <c r="L22" s="5">
        <v>25.2</v>
      </c>
      <c r="M22" s="5">
        <v>42.156862745098039</v>
      </c>
      <c r="N22" s="5">
        <v>1.7950980392156859</v>
      </c>
      <c r="O22" s="26"/>
      <c r="P22" s="45">
        <v>20</v>
      </c>
      <c r="Q22" s="5">
        <v>22.1</v>
      </c>
      <c r="R22" s="5">
        <v>41.17647058823529</v>
      </c>
      <c r="S22" s="5">
        <v>1.7372549019607841</v>
      </c>
      <c r="T22" s="26"/>
      <c r="U22" s="45">
        <v>20</v>
      </c>
      <c r="V22" s="5">
        <v>37</v>
      </c>
      <c r="W22" s="5">
        <v>25.490196078431371</v>
      </c>
      <c r="X22" s="5">
        <v>0.95555555555550409</v>
      </c>
      <c r="Y22" s="26"/>
      <c r="Z22" s="45">
        <v>20</v>
      </c>
      <c r="AA22" s="5">
        <v>91</v>
      </c>
      <c r="AB22" s="5">
        <v>22.549019607843139</v>
      </c>
      <c r="AC22" s="5">
        <v>2.3823529411764706</v>
      </c>
      <c r="AD22" s="26"/>
      <c r="AE22" s="45">
        <v>20</v>
      </c>
      <c r="AF22" s="5">
        <v>165.8</v>
      </c>
      <c r="AG22" s="5">
        <v>12.745098039215685</v>
      </c>
      <c r="AH22" s="5">
        <v>2.3196078431372547</v>
      </c>
      <c r="AI22" s="26"/>
      <c r="AJ22" s="45">
        <v>20</v>
      </c>
      <c r="AK22" s="5">
        <v>49</v>
      </c>
      <c r="AL22" s="5">
        <v>17.475728155339805</v>
      </c>
      <c r="AM22" s="5">
        <v>1.4446601941747574</v>
      </c>
      <c r="AN22" s="26"/>
      <c r="AO22" s="45">
        <v>20</v>
      </c>
      <c r="AP22" s="5">
        <v>17.2</v>
      </c>
      <c r="AQ22" s="5">
        <v>27.184466019417474</v>
      </c>
      <c r="AR22" s="5">
        <v>0.97961165048543686</v>
      </c>
      <c r="AS22" s="26"/>
      <c r="AT22" s="45">
        <v>20</v>
      </c>
      <c r="AU22" s="5">
        <v>21.4</v>
      </c>
      <c r="AV22" s="5">
        <v>31.067961165048541</v>
      </c>
      <c r="AW22" s="5">
        <v>1.6902912621359223</v>
      </c>
      <c r="AX22" s="26"/>
      <c r="AY22" s="45">
        <v>20</v>
      </c>
      <c r="AZ22" s="5">
        <v>49.6</v>
      </c>
      <c r="BA22" s="5">
        <v>58.252427184466015</v>
      </c>
      <c r="BB22" s="5">
        <v>4.5631067961165046</v>
      </c>
      <c r="BC22" s="26"/>
      <c r="BD22" s="45">
        <v>20</v>
      </c>
      <c r="BE22" s="5">
        <v>28.2</v>
      </c>
      <c r="BF22" s="5">
        <v>59.22330097087378</v>
      </c>
      <c r="BG22" s="5">
        <v>4.383495145631068</v>
      </c>
    </row>
    <row r="23" spans="1:59">
      <c r="A23" s="19">
        <v>21</v>
      </c>
      <c r="B23" s="5">
        <v>50.5</v>
      </c>
      <c r="C23" s="46">
        <v>58.82352941176471</v>
      </c>
      <c r="D23" s="5">
        <v>3.4852941176470589</v>
      </c>
      <c r="F23" s="45">
        <v>21</v>
      </c>
      <c r="G23" s="5">
        <v>13.4</v>
      </c>
      <c r="H23" s="5">
        <v>54.901960784313729</v>
      </c>
      <c r="I23" s="5">
        <v>1.9264705882352942</v>
      </c>
      <c r="J23" s="46"/>
      <c r="K23" s="45">
        <v>21</v>
      </c>
      <c r="L23" s="5">
        <v>25</v>
      </c>
      <c r="M23" s="5">
        <v>36.274509803921568</v>
      </c>
      <c r="N23" s="5">
        <v>1.8490196078431369</v>
      </c>
      <c r="O23" s="26"/>
      <c r="P23" s="45">
        <v>21</v>
      </c>
      <c r="Q23" s="5">
        <v>42.5</v>
      </c>
      <c r="R23" s="5">
        <v>36.274509803921568</v>
      </c>
      <c r="S23" s="5">
        <v>1.800980392156863</v>
      </c>
      <c r="T23" s="26"/>
      <c r="U23" s="45">
        <v>21</v>
      </c>
      <c r="V23" s="5">
        <v>41.5</v>
      </c>
      <c r="W23" s="5">
        <v>25.490196078431371</v>
      </c>
      <c r="X23" s="5">
        <v>1.6141414141413657</v>
      </c>
      <c r="Y23" s="26"/>
      <c r="Z23" s="45">
        <v>21</v>
      </c>
      <c r="AA23" s="5">
        <v>36</v>
      </c>
      <c r="AB23" s="5">
        <v>20.588235294117645</v>
      </c>
      <c r="AC23" s="5">
        <v>0.99607843137254914</v>
      </c>
      <c r="AD23" s="26"/>
      <c r="AE23" s="45">
        <v>21</v>
      </c>
      <c r="AF23" s="5">
        <v>32.9</v>
      </c>
      <c r="AG23" s="5">
        <v>11.76470588235294</v>
      </c>
      <c r="AH23" s="5">
        <v>0.91960784313725497</v>
      </c>
      <c r="AI23" s="26"/>
      <c r="AJ23" s="45">
        <v>21</v>
      </c>
      <c r="AK23" s="5">
        <v>56</v>
      </c>
      <c r="AL23" s="5">
        <v>19.417475728155338</v>
      </c>
      <c r="AM23" s="5">
        <v>1.3563106796116504</v>
      </c>
      <c r="AN23" s="26"/>
      <c r="AO23" s="45">
        <v>21</v>
      </c>
      <c r="AP23" s="5">
        <v>55</v>
      </c>
      <c r="AQ23" s="5">
        <v>24.271844660194176</v>
      </c>
      <c r="AR23" s="5">
        <v>2.1174757281553402</v>
      </c>
      <c r="AS23" s="26"/>
      <c r="AT23" s="45">
        <v>21</v>
      </c>
      <c r="AU23" s="5">
        <v>30.9</v>
      </c>
      <c r="AV23" s="5">
        <v>42.718446601941743</v>
      </c>
      <c r="AW23" s="5">
        <v>2.8320388349514563</v>
      </c>
      <c r="AX23" s="26"/>
      <c r="AY23" s="45">
        <v>21</v>
      </c>
      <c r="AZ23" s="5">
        <v>42.6</v>
      </c>
      <c r="BA23" s="5">
        <v>50.485436893203882</v>
      </c>
      <c r="BB23" s="5">
        <v>3.4000000000000004</v>
      </c>
      <c r="BC23" s="26"/>
      <c r="BD23" s="45">
        <v>21</v>
      </c>
      <c r="BE23" s="5">
        <v>43.3</v>
      </c>
      <c r="BF23" s="5">
        <v>57.28155339805825</v>
      </c>
      <c r="BG23" s="5">
        <v>4.3320388349514554</v>
      </c>
    </row>
    <row r="24" spans="1:59">
      <c r="A24" s="19">
        <v>22</v>
      </c>
      <c r="B24" s="5">
        <v>48.5</v>
      </c>
      <c r="C24" s="46">
        <v>54.901960784313729</v>
      </c>
      <c r="D24" s="5">
        <v>3.3999999999999995</v>
      </c>
      <c r="F24" s="45">
        <v>22</v>
      </c>
      <c r="G24" s="5">
        <v>22.8</v>
      </c>
      <c r="H24" s="5">
        <v>57.843137254901968</v>
      </c>
      <c r="I24" s="5">
        <v>2.306862745098039</v>
      </c>
      <c r="J24" s="46"/>
      <c r="K24" s="45">
        <v>22</v>
      </c>
      <c r="L24" s="5">
        <v>31</v>
      </c>
      <c r="M24" s="5">
        <v>43.137254901960787</v>
      </c>
      <c r="N24" s="5">
        <v>2.2392156862745094</v>
      </c>
      <c r="O24" s="26"/>
      <c r="P24" s="45">
        <v>22</v>
      </c>
      <c r="Q24" s="5">
        <v>35.4</v>
      </c>
      <c r="R24" s="5">
        <v>31.372549019607842</v>
      </c>
      <c r="S24" s="5">
        <v>1.5852941176470585</v>
      </c>
      <c r="T24" s="26"/>
      <c r="U24" s="45">
        <v>22</v>
      </c>
      <c r="V24" s="5">
        <v>33.4</v>
      </c>
      <c r="W24" s="5">
        <v>23.52941176470588</v>
      </c>
      <c r="X24" s="5">
        <v>1.1171717171716971</v>
      </c>
      <c r="Y24" s="26"/>
      <c r="Z24" s="45">
        <v>22</v>
      </c>
      <c r="AA24" s="5">
        <v>15.7</v>
      </c>
      <c r="AB24" s="5">
        <v>22.549019607843139</v>
      </c>
      <c r="AC24" s="5">
        <v>0.92450980392156878</v>
      </c>
      <c r="AD24" s="26"/>
      <c r="AE24" s="45">
        <v>22</v>
      </c>
      <c r="AF24" s="5">
        <v>18.8</v>
      </c>
      <c r="AG24" s="5">
        <v>9.8039215686274517</v>
      </c>
      <c r="AH24" s="5">
        <v>0.50196078431372548</v>
      </c>
      <c r="AI24" s="26"/>
      <c r="AJ24" s="45">
        <v>22</v>
      </c>
      <c r="AK24" s="5">
        <v>21</v>
      </c>
      <c r="AL24" s="5">
        <v>18.446601941747574</v>
      </c>
      <c r="AM24" s="5">
        <v>0.83495145631067957</v>
      </c>
      <c r="AN24" s="26"/>
      <c r="AO24" s="45">
        <v>22</v>
      </c>
      <c r="AP24" s="5">
        <v>50.8</v>
      </c>
      <c r="AQ24" s="5">
        <v>28.155339805825243</v>
      </c>
      <c r="AR24" s="5">
        <v>2.5970873786407767</v>
      </c>
      <c r="AS24" s="26"/>
      <c r="AT24" s="45">
        <v>22</v>
      </c>
      <c r="AU24" s="5">
        <v>34.5</v>
      </c>
      <c r="AV24" s="5">
        <v>39.805825242718448</v>
      </c>
      <c r="AW24" s="5">
        <v>2.4582524271844655</v>
      </c>
      <c r="AX24" s="26"/>
      <c r="AY24" s="45">
        <v>22</v>
      </c>
      <c r="AZ24" s="5">
        <v>33.9</v>
      </c>
      <c r="BA24" s="5">
        <v>48.543689320388353</v>
      </c>
      <c r="BB24" s="5">
        <v>3.8106796116504862</v>
      </c>
      <c r="BC24" s="26"/>
      <c r="BD24" s="45">
        <v>22</v>
      </c>
      <c r="BE24" s="5">
        <v>50.1</v>
      </c>
      <c r="BF24" s="5">
        <v>62.135922330097081</v>
      </c>
      <c r="BG24" s="5">
        <v>4.2834951456310684</v>
      </c>
    </row>
    <row r="25" spans="1:59">
      <c r="A25" s="19">
        <v>23</v>
      </c>
      <c r="B25" s="5">
        <v>26</v>
      </c>
      <c r="C25" s="46">
        <v>57.843137254901968</v>
      </c>
      <c r="D25" s="5">
        <v>2.8019607843137249</v>
      </c>
      <c r="F25" s="45">
        <v>23</v>
      </c>
      <c r="G25" s="5">
        <v>22.8</v>
      </c>
      <c r="H25" s="5">
        <v>56.862745098039213</v>
      </c>
      <c r="I25" s="5">
        <v>2.904901960784315</v>
      </c>
      <c r="J25" s="46"/>
      <c r="K25" s="45">
        <v>23</v>
      </c>
      <c r="L25" s="5">
        <v>27.7</v>
      </c>
      <c r="M25" s="5">
        <v>38.235294117647058</v>
      </c>
      <c r="N25" s="5">
        <v>2.329411764705883</v>
      </c>
      <c r="O25" s="26"/>
      <c r="P25" s="45">
        <v>23</v>
      </c>
      <c r="Q25" s="5">
        <v>15.7</v>
      </c>
      <c r="R25" s="5">
        <v>30.392156862745097</v>
      </c>
      <c r="S25" s="5">
        <v>0.96372549019607823</v>
      </c>
      <c r="T25" s="26"/>
      <c r="U25" s="45">
        <v>23</v>
      </c>
      <c r="V25" s="5">
        <v>27.6</v>
      </c>
      <c r="W25" s="5">
        <v>26.47058823529412</v>
      </c>
      <c r="X25" s="5">
        <v>1.4747474747472111</v>
      </c>
      <c r="Y25" s="26"/>
      <c r="Z25" s="45">
        <v>23</v>
      </c>
      <c r="AA25" s="5">
        <v>31.6</v>
      </c>
      <c r="AB25" s="5">
        <v>19.607843137254903</v>
      </c>
      <c r="AC25" s="5">
        <v>0.82254901960784321</v>
      </c>
      <c r="AD25" s="26"/>
      <c r="AE25" s="45">
        <v>23</v>
      </c>
      <c r="AF25" s="5">
        <v>6</v>
      </c>
      <c r="AG25" s="5">
        <v>3.9215686274509802</v>
      </c>
      <c r="AH25" s="5">
        <v>6.7647058823529407E-2</v>
      </c>
      <c r="AI25" s="26"/>
      <c r="AJ25" s="45">
        <v>23</v>
      </c>
      <c r="AK25" s="5">
        <v>43</v>
      </c>
      <c r="AL25" s="5">
        <v>15.53398058252427</v>
      </c>
      <c r="AM25" s="5">
        <v>1.383495145631068</v>
      </c>
      <c r="AN25" s="26"/>
      <c r="AO25" s="45">
        <v>23</v>
      </c>
      <c r="AP25" s="5">
        <v>47.6</v>
      </c>
      <c r="AQ25" s="5">
        <v>36.893203883495147</v>
      </c>
      <c r="AR25" s="5">
        <v>3.7242718446601946</v>
      </c>
      <c r="AS25" s="26"/>
      <c r="AT25" s="45">
        <v>23</v>
      </c>
      <c r="AU25" s="5">
        <v>22.3</v>
      </c>
      <c r="AV25" s="5">
        <v>39.805825242718448</v>
      </c>
      <c r="AW25" s="5">
        <v>2.3592233009708732</v>
      </c>
      <c r="AX25" s="26"/>
      <c r="AY25" s="45">
        <v>23</v>
      </c>
      <c r="AZ25" s="5">
        <v>29.7</v>
      </c>
      <c r="BA25" s="5">
        <v>51.456310679611647</v>
      </c>
      <c r="BB25" s="5">
        <v>4.2213592233009694</v>
      </c>
      <c r="BC25" s="26"/>
      <c r="BD25" s="45">
        <v>23</v>
      </c>
      <c r="BE25" s="5">
        <v>36.6</v>
      </c>
      <c r="BF25" s="5">
        <v>56.310679611650485</v>
      </c>
      <c r="BG25" s="5">
        <v>3.4640776699029132</v>
      </c>
    </row>
    <row r="26" spans="1:59">
      <c r="A26" s="19">
        <v>24</v>
      </c>
      <c r="B26" s="5">
        <v>30.2</v>
      </c>
      <c r="C26" s="46">
        <v>53.921568627450981</v>
      </c>
      <c r="D26" s="5">
        <v>1.3735294117647061</v>
      </c>
      <c r="F26" s="45">
        <v>24</v>
      </c>
      <c r="G26" s="5">
        <v>49.2</v>
      </c>
      <c r="H26" s="5">
        <v>56.862745098039213</v>
      </c>
      <c r="I26" s="5">
        <v>3.8205882352941187</v>
      </c>
      <c r="J26" s="46"/>
      <c r="K26" s="45">
        <v>24</v>
      </c>
      <c r="L26" s="5">
        <v>21.7</v>
      </c>
      <c r="M26" s="5">
        <v>43.137254901960787</v>
      </c>
      <c r="N26" s="5">
        <v>1.4813725490196077</v>
      </c>
      <c r="O26" s="26"/>
      <c r="P26" s="45">
        <v>24</v>
      </c>
      <c r="Q26" s="5">
        <v>12.6</v>
      </c>
      <c r="R26" s="5">
        <v>28.431372549019606</v>
      </c>
      <c r="S26" s="5">
        <v>1.0019607843137255</v>
      </c>
      <c r="T26" s="26"/>
      <c r="U26" s="45">
        <v>24</v>
      </c>
      <c r="V26" s="5">
        <v>22.2</v>
      </c>
      <c r="W26" s="5">
        <v>24.509803921568626</v>
      </c>
      <c r="X26" s="5">
        <v>0.89393939393935773</v>
      </c>
      <c r="Y26" s="26"/>
      <c r="Z26" s="45">
        <v>24</v>
      </c>
      <c r="AA26" s="5">
        <v>25.5</v>
      </c>
      <c r="AB26" s="5">
        <v>19.607843137254903</v>
      </c>
      <c r="AC26" s="5">
        <v>1.0431372549019606</v>
      </c>
      <c r="AD26" s="26"/>
      <c r="AE26" s="45">
        <v>24</v>
      </c>
      <c r="AF26" s="5">
        <v>23.7</v>
      </c>
      <c r="AG26" s="5">
        <v>9.8039215686274517</v>
      </c>
      <c r="AH26" s="5">
        <v>0.59215686274509804</v>
      </c>
      <c r="AI26" s="26"/>
      <c r="AJ26" s="45">
        <v>24</v>
      </c>
      <c r="AK26" s="5">
        <v>33.700000000000003</v>
      </c>
      <c r="AL26" s="5">
        <v>17.475728155339805</v>
      </c>
      <c r="AM26" s="5">
        <v>1.0077669902912623</v>
      </c>
      <c r="AN26" s="26"/>
      <c r="AO26" s="45">
        <v>24</v>
      </c>
      <c r="AP26" s="5">
        <v>34.4</v>
      </c>
      <c r="AQ26" s="5">
        <v>39.805825242718448</v>
      </c>
      <c r="AR26" s="5">
        <v>2.0097087378640781</v>
      </c>
      <c r="AS26" s="26"/>
      <c r="AT26" s="45">
        <v>24</v>
      </c>
      <c r="AU26" s="5">
        <v>47</v>
      </c>
      <c r="AV26" s="5">
        <v>43.689320388349515</v>
      </c>
      <c r="AW26" s="5">
        <v>4.0271844660194178</v>
      </c>
      <c r="AX26" s="26"/>
      <c r="AY26" s="45">
        <v>24</v>
      </c>
      <c r="AZ26" s="5">
        <v>44.5</v>
      </c>
      <c r="BA26" s="5">
        <v>47.572815533980581</v>
      </c>
      <c r="BB26" s="5">
        <v>4.6242718446601936</v>
      </c>
      <c r="BC26" s="26"/>
      <c r="BD26" s="45">
        <v>24</v>
      </c>
      <c r="BE26" s="5">
        <v>38.299999999999997</v>
      </c>
      <c r="BF26" s="5">
        <v>62.135922330097081</v>
      </c>
      <c r="BG26" s="5">
        <v>3.0757281553398053</v>
      </c>
    </row>
    <row r="27" spans="1:59">
      <c r="A27" s="19">
        <v>25</v>
      </c>
      <c r="B27" s="5">
        <v>37.6</v>
      </c>
      <c r="C27" s="46">
        <v>61.764705882352942</v>
      </c>
      <c r="D27" s="5">
        <v>3.8843137254901969</v>
      </c>
      <c r="F27" s="45">
        <v>25</v>
      </c>
      <c r="G27" s="5">
        <v>26.3</v>
      </c>
      <c r="H27" s="5">
        <v>55.882352941176471</v>
      </c>
      <c r="I27" s="5">
        <v>3.1784313725490199</v>
      </c>
      <c r="J27" s="46"/>
      <c r="K27" s="45">
        <v>25</v>
      </c>
      <c r="L27" s="5">
        <v>26</v>
      </c>
      <c r="M27" s="5">
        <v>31.372549019607842</v>
      </c>
      <c r="N27" s="5">
        <v>1.4127450980392156</v>
      </c>
      <c r="O27" s="26"/>
      <c r="P27" s="45">
        <v>25</v>
      </c>
      <c r="Q27" s="5">
        <v>16.7</v>
      </c>
      <c r="R27" s="5">
        <v>31.372549019607842</v>
      </c>
      <c r="S27" s="5">
        <v>1.1323529411764706</v>
      </c>
      <c r="T27" s="26"/>
      <c r="U27" s="45">
        <v>25</v>
      </c>
      <c r="V27" s="5">
        <v>16.100000000000001</v>
      </c>
      <c r="W27" s="5">
        <v>27.450980392156865</v>
      </c>
      <c r="X27" s="5">
        <v>0.86969696969689447</v>
      </c>
      <c r="Y27" s="26"/>
      <c r="Z27" s="45">
        <v>25</v>
      </c>
      <c r="AA27" s="5">
        <v>14.8</v>
      </c>
      <c r="AB27" s="5">
        <v>19.607843137254903</v>
      </c>
      <c r="AC27" s="5">
        <v>0.75686274509803919</v>
      </c>
      <c r="AD27" s="26"/>
      <c r="AE27" s="45">
        <v>25</v>
      </c>
      <c r="AF27" s="5">
        <v>48.9</v>
      </c>
      <c r="AG27" s="5">
        <v>8.8235294117647065</v>
      </c>
      <c r="AH27" s="5">
        <v>0.84019607843137267</v>
      </c>
      <c r="AI27" s="26"/>
      <c r="AJ27" s="45">
        <v>25</v>
      </c>
      <c r="AK27" s="5">
        <v>85.4</v>
      </c>
      <c r="AL27" s="5">
        <v>17.475728155339805</v>
      </c>
      <c r="AM27" s="5">
        <v>1.9058252427184468</v>
      </c>
      <c r="AN27" s="26"/>
      <c r="AO27" s="45">
        <v>25</v>
      </c>
      <c r="AP27" s="5">
        <v>39</v>
      </c>
      <c r="AQ27" s="5">
        <v>24.271844660194176</v>
      </c>
      <c r="AR27" s="5">
        <v>1.3747572815533984</v>
      </c>
      <c r="AS27" s="26"/>
      <c r="AT27" s="45">
        <v>25</v>
      </c>
      <c r="AU27" s="5">
        <v>55.8</v>
      </c>
      <c r="AV27" s="5">
        <v>51.456310679611647</v>
      </c>
      <c r="AW27" s="5">
        <v>3.9456310679611639</v>
      </c>
      <c r="AX27" s="26"/>
      <c r="AY27" s="45">
        <v>25</v>
      </c>
      <c r="AZ27" s="5">
        <v>74.2</v>
      </c>
      <c r="BA27" s="5">
        <v>56.310679611650485</v>
      </c>
      <c r="BB27" s="5">
        <v>4.9009708737864086</v>
      </c>
      <c r="BC27" s="26"/>
      <c r="BD27" s="45">
        <v>25</v>
      </c>
      <c r="BE27" s="5">
        <v>41.3</v>
      </c>
      <c r="BF27" s="5">
        <v>54.368932038834949</v>
      </c>
      <c r="BG27" s="5">
        <v>4.2592233009708744</v>
      </c>
    </row>
    <row r="28" spans="1:59">
      <c r="A28" s="19">
        <v>26</v>
      </c>
      <c r="B28" s="5">
        <v>39.1</v>
      </c>
      <c r="C28" s="46">
        <v>61.764705882352942</v>
      </c>
      <c r="D28" s="5">
        <v>3.4833333333333325</v>
      </c>
      <c r="F28" s="45">
        <v>26</v>
      </c>
      <c r="G28" s="5">
        <v>19</v>
      </c>
      <c r="H28" s="5">
        <v>52.941176470588239</v>
      </c>
      <c r="I28" s="5">
        <v>2.2176470588235291</v>
      </c>
      <c r="J28" s="46"/>
      <c r="K28" s="45">
        <v>26</v>
      </c>
      <c r="L28" s="5">
        <v>15.1</v>
      </c>
      <c r="M28" s="5">
        <v>37.254901960784316</v>
      </c>
      <c r="N28" s="5">
        <v>1.0764705882352938</v>
      </c>
      <c r="O28" s="26"/>
      <c r="P28" s="45">
        <v>26</v>
      </c>
      <c r="Q28" s="5">
        <v>16.7</v>
      </c>
      <c r="R28" s="5">
        <v>39.215686274509807</v>
      </c>
      <c r="S28" s="5">
        <v>1.8107843137254904</v>
      </c>
      <c r="T28" s="26"/>
      <c r="U28" s="45">
        <v>26</v>
      </c>
      <c r="V28" s="5">
        <v>26.5</v>
      </c>
      <c r="W28" s="5">
        <v>29.411764705882355</v>
      </c>
      <c r="X28" s="5">
        <v>1.0868686868686024</v>
      </c>
      <c r="Y28" s="26"/>
      <c r="Z28" s="45">
        <v>26</v>
      </c>
      <c r="AA28" s="5">
        <v>21.5</v>
      </c>
      <c r="AB28" s="5">
        <v>20.588235294117645</v>
      </c>
      <c r="AC28" s="5">
        <v>0.9529411764705884</v>
      </c>
      <c r="AD28" s="26"/>
      <c r="AE28" s="45">
        <v>26</v>
      </c>
      <c r="AF28" s="5">
        <v>33.6</v>
      </c>
      <c r="AG28" s="5">
        <v>12.745098039215685</v>
      </c>
      <c r="AH28" s="5">
        <v>0.95882352941176463</v>
      </c>
      <c r="AI28" s="26"/>
      <c r="AJ28" s="45">
        <v>26</v>
      </c>
      <c r="AK28" s="5">
        <v>15.4</v>
      </c>
      <c r="AL28" s="5">
        <v>15.53398058252427</v>
      </c>
      <c r="AM28" s="5">
        <v>0.63495145631067962</v>
      </c>
      <c r="AN28" s="26"/>
      <c r="AO28" s="45">
        <v>26</v>
      </c>
      <c r="AP28" s="5">
        <v>35.700000000000003</v>
      </c>
      <c r="AQ28" s="5">
        <v>35.922330097087382</v>
      </c>
      <c r="AR28" s="5">
        <v>1.5320388349514562</v>
      </c>
      <c r="AS28" s="26"/>
      <c r="AT28" s="45">
        <v>26</v>
      </c>
      <c r="AU28" s="5">
        <v>110</v>
      </c>
      <c r="AV28" s="5">
        <v>37.864077669902912</v>
      </c>
      <c r="AW28" s="5">
        <v>3.7281553398058258</v>
      </c>
      <c r="AX28" s="26"/>
      <c r="AY28" s="45">
        <v>26</v>
      </c>
      <c r="AZ28" s="5">
        <v>37.200000000000003</v>
      </c>
      <c r="BA28" s="5">
        <v>54.368932038834949</v>
      </c>
      <c r="BB28" s="5">
        <v>4.2621359223300965</v>
      </c>
      <c r="BC28" s="26"/>
      <c r="BD28" s="45">
        <v>26</v>
      </c>
      <c r="BE28" s="5">
        <v>68</v>
      </c>
      <c r="BF28" s="5">
        <v>58.252427184466015</v>
      </c>
      <c r="BG28" s="5">
        <v>4.0184466019417489</v>
      </c>
    </row>
    <row r="29" spans="1:59">
      <c r="A29" s="19">
        <v>27</v>
      </c>
      <c r="B29" s="5">
        <v>40</v>
      </c>
      <c r="C29" s="46">
        <v>57.843137254901968</v>
      </c>
      <c r="D29" s="5">
        <v>4.0333333333333341</v>
      </c>
      <c r="F29" s="45">
        <v>27</v>
      </c>
      <c r="G29" s="5">
        <v>31</v>
      </c>
      <c r="H29" s="5">
        <v>52.941176470588239</v>
      </c>
      <c r="I29" s="5">
        <v>2.8892156862745098</v>
      </c>
      <c r="J29" s="46"/>
      <c r="K29" s="45">
        <v>27</v>
      </c>
      <c r="L29" s="5">
        <v>47.5</v>
      </c>
      <c r="M29" s="5">
        <v>34.313725490196077</v>
      </c>
      <c r="N29" s="5">
        <v>2.4176470588235293</v>
      </c>
      <c r="O29" s="26"/>
      <c r="P29" s="45">
        <v>27</v>
      </c>
      <c r="Q29" s="5">
        <v>21</v>
      </c>
      <c r="R29" s="5">
        <v>30.392156862745097</v>
      </c>
      <c r="S29" s="5">
        <v>1.2264705882352942</v>
      </c>
      <c r="T29" s="26"/>
      <c r="U29" s="45">
        <v>27</v>
      </c>
      <c r="V29" s="5">
        <v>27</v>
      </c>
      <c r="W29" s="5">
        <v>18.627450980392158</v>
      </c>
      <c r="X29" s="5">
        <v>0.8404040404039117</v>
      </c>
      <c r="Y29" s="26"/>
      <c r="Z29" s="45">
        <v>27</v>
      </c>
      <c r="AA29" s="5">
        <v>40.4</v>
      </c>
      <c r="AB29" s="5">
        <v>21.568627450980394</v>
      </c>
      <c r="AC29" s="5">
        <v>1.4196078431372541</v>
      </c>
      <c r="AD29" s="26"/>
      <c r="AE29" s="45">
        <v>27</v>
      </c>
      <c r="AF29" s="5">
        <v>22.2</v>
      </c>
      <c r="AG29" s="5">
        <v>15.686274509803921</v>
      </c>
      <c r="AH29" s="5">
        <v>0.97941176470588232</v>
      </c>
      <c r="AI29" s="26"/>
      <c r="AJ29" s="45">
        <v>27</v>
      </c>
      <c r="AK29" s="5">
        <v>44.2</v>
      </c>
      <c r="AL29" s="5">
        <v>18.446601941747574</v>
      </c>
      <c r="AM29" s="5">
        <v>2.1543689320388348</v>
      </c>
      <c r="AN29" s="26"/>
      <c r="AO29" s="45">
        <v>27</v>
      </c>
      <c r="AP29" s="5">
        <v>70.099999999999994</v>
      </c>
      <c r="AQ29" s="5">
        <v>39.805825242718448</v>
      </c>
      <c r="AR29" s="5">
        <v>3.5961165048543693</v>
      </c>
      <c r="AS29" s="26"/>
      <c r="AT29" s="45">
        <v>27</v>
      </c>
      <c r="AU29" s="5">
        <v>104.9</v>
      </c>
      <c r="AV29" s="5">
        <v>40.776699029126213</v>
      </c>
      <c r="AW29" s="5">
        <v>3.8087378640776706</v>
      </c>
      <c r="AX29" s="26"/>
      <c r="AY29" s="45">
        <v>27</v>
      </c>
      <c r="AZ29" s="5">
        <v>51.5</v>
      </c>
      <c r="BA29" s="5">
        <v>55.339805825242713</v>
      </c>
      <c r="BB29" s="5">
        <v>3.5592233009708751</v>
      </c>
      <c r="BC29" s="26"/>
      <c r="BD29" s="45">
        <v>27</v>
      </c>
      <c r="BE29" s="5">
        <v>56.5</v>
      </c>
      <c r="BF29" s="5">
        <v>55.339805825242713</v>
      </c>
      <c r="BG29" s="5">
        <v>5.2631067961165048</v>
      </c>
    </row>
    <row r="30" spans="1:59">
      <c r="A30" s="19">
        <v>28</v>
      </c>
      <c r="B30" s="5">
        <v>19.8</v>
      </c>
      <c r="C30" s="46">
        <v>62.745098039215684</v>
      </c>
      <c r="D30" s="5">
        <v>2.7372549019607844</v>
      </c>
      <c r="F30" s="45">
        <v>28</v>
      </c>
      <c r="G30" s="5">
        <v>22</v>
      </c>
      <c r="H30" s="5">
        <v>47.058823529411761</v>
      </c>
      <c r="I30" s="5">
        <v>1.6725490196078425</v>
      </c>
      <c r="J30" s="46"/>
      <c r="K30" s="45">
        <v>28</v>
      </c>
      <c r="L30" s="5">
        <v>25</v>
      </c>
      <c r="M30" s="5">
        <v>47.058823529411761</v>
      </c>
      <c r="N30" s="5">
        <v>2.7245098039215683</v>
      </c>
      <c r="O30" s="26"/>
      <c r="P30" s="45">
        <v>28</v>
      </c>
      <c r="Q30" s="5">
        <v>7.6</v>
      </c>
      <c r="R30" s="5">
        <v>30.392156862745097</v>
      </c>
      <c r="S30" s="5">
        <v>0.61960784313725481</v>
      </c>
      <c r="T30" s="26"/>
      <c r="U30" s="45">
        <v>28</v>
      </c>
      <c r="V30" s="5">
        <v>24.5</v>
      </c>
      <c r="W30" s="5">
        <v>24.509803921568626</v>
      </c>
      <c r="X30" s="5">
        <v>1.2242424242422769</v>
      </c>
      <c r="Y30" s="26"/>
      <c r="Z30" s="45">
        <v>28</v>
      </c>
      <c r="AA30" s="5">
        <v>35</v>
      </c>
      <c r="AB30" s="5">
        <v>17.647058823529413</v>
      </c>
      <c r="AC30" s="5">
        <v>0.51764705882352957</v>
      </c>
      <c r="AD30" s="26"/>
      <c r="AE30" s="45">
        <v>28</v>
      </c>
      <c r="AF30" s="5">
        <v>37.299999999999997</v>
      </c>
      <c r="AG30" s="5">
        <v>18.627450980392158</v>
      </c>
      <c r="AH30" s="5">
        <v>1.3372549019607844</v>
      </c>
      <c r="AI30" s="26"/>
      <c r="AJ30" s="45">
        <v>28</v>
      </c>
      <c r="AK30" s="5">
        <v>13.3</v>
      </c>
      <c r="AL30" s="5">
        <v>17.475728155339805</v>
      </c>
      <c r="AM30" s="5">
        <v>0.63980582524271845</v>
      </c>
      <c r="AN30" s="26"/>
      <c r="AO30" s="45">
        <v>28</v>
      </c>
      <c r="AP30" s="5">
        <v>45.9</v>
      </c>
      <c r="AQ30" s="5">
        <v>34.95145631067961</v>
      </c>
      <c r="AR30" s="5">
        <v>3.9553398058252429</v>
      </c>
      <c r="AS30" s="26"/>
      <c r="AT30" s="45">
        <v>28</v>
      </c>
      <c r="AU30" s="5">
        <v>50.4</v>
      </c>
      <c r="AV30" s="5">
        <v>33.009708737864081</v>
      </c>
      <c r="AW30" s="5">
        <v>2.8436893203883491</v>
      </c>
      <c r="AX30" s="26"/>
      <c r="AY30" s="45">
        <v>28</v>
      </c>
      <c r="AZ30" s="5">
        <v>40.200000000000003</v>
      </c>
      <c r="BA30" s="5">
        <v>51.456310679611647</v>
      </c>
      <c r="BB30" s="5">
        <v>4.6776699029126219</v>
      </c>
      <c r="BC30" s="26"/>
      <c r="BD30" s="45">
        <v>28</v>
      </c>
      <c r="BE30" s="5">
        <v>34</v>
      </c>
      <c r="BF30" s="5">
        <v>58.252427184466015</v>
      </c>
      <c r="BG30" s="5">
        <v>4.0922330097087389</v>
      </c>
    </row>
    <row r="31" spans="1:59">
      <c r="A31" s="19">
        <v>29</v>
      </c>
      <c r="B31" s="5">
        <v>42.5</v>
      </c>
      <c r="C31" s="46">
        <v>62.745098039215684</v>
      </c>
      <c r="D31" s="5">
        <v>3.9931372549019613</v>
      </c>
      <c r="F31" s="45">
        <v>29</v>
      </c>
      <c r="G31" s="5">
        <v>25.9</v>
      </c>
      <c r="H31" s="5">
        <v>12.745098039215685</v>
      </c>
      <c r="I31" s="5">
        <v>0.5186274509803922</v>
      </c>
      <c r="J31" s="46"/>
      <c r="K31" s="45">
        <v>29</v>
      </c>
      <c r="L31" s="5">
        <v>27.3</v>
      </c>
      <c r="M31" s="5">
        <v>42.156862745098039</v>
      </c>
      <c r="N31" s="5">
        <v>2.2098039215686271</v>
      </c>
      <c r="O31" s="26"/>
      <c r="P31" s="45">
        <v>29</v>
      </c>
      <c r="Q31" s="5">
        <v>17.2</v>
      </c>
      <c r="R31" s="5">
        <v>29.411764705882355</v>
      </c>
      <c r="S31" s="5">
        <v>1.2313725490196077</v>
      </c>
      <c r="T31" s="26"/>
      <c r="U31" s="45">
        <v>29</v>
      </c>
      <c r="V31" s="5">
        <v>18.7</v>
      </c>
      <c r="W31" s="5">
        <v>26.47058823529412</v>
      </c>
      <c r="X31" s="5">
        <v>1.1909090909087579</v>
      </c>
      <c r="Y31" s="26"/>
      <c r="Z31" s="45">
        <v>29</v>
      </c>
      <c r="AA31" s="5">
        <v>31</v>
      </c>
      <c r="AB31" s="5">
        <v>19.607843137254903</v>
      </c>
      <c r="AC31" s="5">
        <v>0.96470588235294108</v>
      </c>
      <c r="AD31" s="26"/>
      <c r="AE31" s="45">
        <v>29</v>
      </c>
      <c r="AF31" s="5">
        <v>22.7</v>
      </c>
      <c r="AG31" s="5">
        <v>10.784313725490197</v>
      </c>
      <c r="AH31" s="5">
        <v>0.71960784313725501</v>
      </c>
      <c r="AI31" s="26"/>
      <c r="AJ31" s="45">
        <v>29</v>
      </c>
      <c r="AK31" s="5">
        <v>42.1</v>
      </c>
      <c r="AL31" s="5">
        <v>22.330097087378643</v>
      </c>
      <c r="AM31" s="5">
        <v>2.4300970873786407</v>
      </c>
      <c r="AN31" s="26"/>
      <c r="AO31" s="45">
        <v>29</v>
      </c>
      <c r="AP31" s="5">
        <v>25.3</v>
      </c>
      <c r="AQ31" s="5">
        <v>40.776699029126213</v>
      </c>
      <c r="AR31" s="5">
        <v>1.7611650485436892</v>
      </c>
      <c r="AS31" s="26"/>
      <c r="AT31" s="45">
        <v>29</v>
      </c>
      <c r="AU31" s="5">
        <v>91</v>
      </c>
      <c r="AV31" s="5">
        <v>36.893203883495147</v>
      </c>
      <c r="AW31" s="5">
        <v>3.0223300970873783</v>
      </c>
      <c r="AX31" s="26"/>
      <c r="AY31" s="45">
        <v>29</v>
      </c>
      <c r="AZ31" s="5">
        <v>17.600000000000001</v>
      </c>
      <c r="BA31" s="5">
        <v>51.456310679611647</v>
      </c>
      <c r="BB31" s="5">
        <v>2.6660194174757272</v>
      </c>
      <c r="BC31" s="26"/>
      <c r="BD31" s="45">
        <v>29</v>
      </c>
      <c r="BE31" s="5">
        <v>34.700000000000003</v>
      </c>
      <c r="BF31" s="5">
        <v>54.368932038834949</v>
      </c>
      <c r="BG31" s="5">
        <v>3.1252427184466023</v>
      </c>
    </row>
    <row r="32" spans="1:59">
      <c r="A32" s="19">
        <v>30</v>
      </c>
      <c r="B32" s="5">
        <v>33.5</v>
      </c>
      <c r="C32" s="46">
        <v>66.666666666666657</v>
      </c>
      <c r="D32" s="5">
        <v>3.0205882352941189</v>
      </c>
      <c r="F32" s="26"/>
      <c r="G32" s="26"/>
      <c r="H32" s="26"/>
      <c r="I32" s="26"/>
      <c r="J32" s="26"/>
      <c r="K32" s="45">
        <v>30</v>
      </c>
      <c r="L32" s="5">
        <v>16.8</v>
      </c>
      <c r="M32" s="5">
        <v>34.313725490196077</v>
      </c>
      <c r="N32" s="5">
        <v>1.5156862745098041</v>
      </c>
      <c r="O32" s="26"/>
      <c r="P32" s="45">
        <v>30</v>
      </c>
      <c r="Q32" s="5">
        <v>10.5</v>
      </c>
      <c r="R32" s="5">
        <v>27.450980392156865</v>
      </c>
      <c r="S32" s="5">
        <v>0.83921568627450993</v>
      </c>
      <c r="T32" s="26"/>
      <c r="U32" s="45">
        <v>30</v>
      </c>
      <c r="V32" s="5">
        <v>6.4</v>
      </c>
      <c r="W32" s="5">
        <v>29.411764705882355</v>
      </c>
      <c r="X32" s="5">
        <v>0.57070707070699689</v>
      </c>
      <c r="Y32" s="26"/>
      <c r="Z32" s="45">
        <v>30</v>
      </c>
      <c r="AA32" s="5">
        <v>26.6</v>
      </c>
      <c r="AB32" s="5">
        <v>13.725490196078432</v>
      </c>
      <c r="AC32" s="5">
        <v>0.54803921568627445</v>
      </c>
      <c r="AD32" s="26"/>
      <c r="AE32" s="45">
        <v>30</v>
      </c>
      <c r="AF32" s="5">
        <v>27.4</v>
      </c>
      <c r="AG32" s="5">
        <v>14.705882352941178</v>
      </c>
      <c r="AH32" s="5">
        <v>1.2990196078431373</v>
      </c>
      <c r="AI32" s="26"/>
      <c r="AJ32" s="45">
        <v>30</v>
      </c>
      <c r="AK32" s="5">
        <v>32.299999999999997</v>
      </c>
      <c r="AL32" s="5">
        <v>21.359223300970871</v>
      </c>
      <c r="AM32" s="5">
        <v>1.2922330097087378</v>
      </c>
      <c r="AN32" s="26"/>
      <c r="AO32" s="45">
        <v>30</v>
      </c>
      <c r="AP32" s="5">
        <v>85.7</v>
      </c>
      <c r="AQ32" s="5">
        <v>33.009708737864081</v>
      </c>
      <c r="AR32" s="5">
        <v>2.6320388349514565</v>
      </c>
      <c r="AS32" s="26"/>
      <c r="AT32" s="45">
        <v>30</v>
      </c>
      <c r="AU32" s="5">
        <v>33.6</v>
      </c>
      <c r="AV32" s="5">
        <v>37.864077669902912</v>
      </c>
      <c r="AW32" s="5">
        <v>1.7456310679611644</v>
      </c>
      <c r="AX32" s="26"/>
      <c r="AY32" s="45">
        <v>30</v>
      </c>
      <c r="AZ32" s="5">
        <v>54.5</v>
      </c>
      <c r="BA32" s="5">
        <v>50.485436893203882</v>
      </c>
      <c r="BB32" s="5">
        <v>3.9262135922330099</v>
      </c>
      <c r="BC32" s="26"/>
      <c r="BD32" s="45">
        <v>30</v>
      </c>
      <c r="BE32" s="5">
        <v>34.5</v>
      </c>
      <c r="BF32" s="5">
        <v>53.398058252427184</v>
      </c>
      <c r="BG32" s="5">
        <v>2.8854368932038823</v>
      </c>
    </row>
    <row r="33" spans="1:59">
      <c r="A33" s="19">
        <v>31</v>
      </c>
      <c r="B33" s="5">
        <v>66</v>
      </c>
      <c r="C33" s="46">
        <v>62.745098039215684</v>
      </c>
      <c r="D33" s="5">
        <v>3.1666666666666665</v>
      </c>
      <c r="F33" s="26"/>
      <c r="G33" s="26"/>
      <c r="H33" s="26"/>
      <c r="I33" s="26"/>
      <c r="J33" s="26"/>
      <c r="K33" s="45">
        <v>31</v>
      </c>
      <c r="L33" s="5">
        <v>14.2</v>
      </c>
      <c r="M33" s="5">
        <v>31.372549019607842</v>
      </c>
      <c r="N33" s="5">
        <v>0.97843137254901957</v>
      </c>
      <c r="O33" s="26"/>
      <c r="P33" s="26"/>
      <c r="Q33" s="26"/>
      <c r="R33" s="46"/>
      <c r="S33" s="46"/>
      <c r="T33" s="26"/>
      <c r="U33" s="45">
        <v>31</v>
      </c>
      <c r="V33" s="5">
        <v>15.8</v>
      </c>
      <c r="W33" s="5">
        <v>21.568627450980394</v>
      </c>
      <c r="X33" s="5">
        <v>1.1373737373736659</v>
      </c>
      <c r="Y33" s="26"/>
      <c r="Z33" s="26"/>
      <c r="AA33" s="46"/>
      <c r="AB33" s="46"/>
      <c r="AC33" s="46"/>
      <c r="AD33" s="26"/>
      <c r="AE33" s="45">
        <v>31</v>
      </c>
      <c r="AF33" s="5">
        <v>35.1</v>
      </c>
      <c r="AG33" s="5">
        <v>17.647058823529413</v>
      </c>
      <c r="AH33" s="5">
        <v>0.7686274509803922</v>
      </c>
      <c r="AI33" s="26"/>
      <c r="AJ33" s="45">
        <v>31</v>
      </c>
      <c r="AK33" s="5">
        <v>42.9</v>
      </c>
      <c r="AL33" s="5">
        <v>19.417475728155338</v>
      </c>
      <c r="AM33" s="5">
        <v>1.1893203883495143</v>
      </c>
      <c r="AN33" s="26"/>
      <c r="AO33" s="26"/>
      <c r="AP33" s="26"/>
      <c r="AQ33" s="46"/>
      <c r="AR33" s="46"/>
      <c r="AS33" s="26"/>
      <c r="AT33" s="45">
        <v>31</v>
      </c>
      <c r="AU33" s="5">
        <v>57.5</v>
      </c>
      <c r="AV33" s="5">
        <v>33.009708737864081</v>
      </c>
      <c r="AW33" s="5">
        <v>3.1805825242718444</v>
      </c>
      <c r="AX33" s="26"/>
      <c r="AY33" s="26"/>
      <c r="AZ33" s="26"/>
      <c r="BA33" s="46"/>
      <c r="BB33" s="46"/>
      <c r="BC33" s="26"/>
      <c r="BD33" s="45">
        <v>31</v>
      </c>
      <c r="BE33" s="5">
        <v>42.4</v>
      </c>
      <c r="BF33" s="5">
        <v>49.514563106796118</v>
      </c>
      <c r="BG33" s="5">
        <v>2.9737864077669887</v>
      </c>
    </row>
    <row r="34" spans="1:59">
      <c r="B34" s="2"/>
      <c r="F34" s="26"/>
      <c r="G34" s="26"/>
      <c r="H34" s="26"/>
      <c r="I34" s="26"/>
      <c r="J34" s="26"/>
      <c r="K34" s="26"/>
      <c r="L34" s="46"/>
      <c r="M34" s="46"/>
      <c r="N34" s="46"/>
      <c r="O34" s="26"/>
      <c r="P34" s="26"/>
      <c r="Q34" s="26"/>
      <c r="R34" s="46"/>
      <c r="S34" s="46"/>
      <c r="T34" s="26"/>
      <c r="U34" s="26"/>
      <c r="V34" s="26"/>
      <c r="W34" s="46"/>
      <c r="X34" s="46"/>
      <c r="Y34" s="26"/>
      <c r="Z34" s="26"/>
      <c r="AA34" s="26"/>
      <c r="AB34" s="46"/>
      <c r="AC34" s="46"/>
      <c r="AD34" s="26"/>
      <c r="AE34" s="26"/>
      <c r="AF34" s="26"/>
      <c r="AG34" s="46"/>
      <c r="AH34" s="46"/>
      <c r="AI34" s="26"/>
      <c r="AJ34" s="26"/>
      <c r="AK34" s="26"/>
      <c r="AL34" s="46"/>
      <c r="AM34" s="46"/>
      <c r="AN34" s="26"/>
      <c r="AO34" s="26"/>
      <c r="AP34" s="26"/>
      <c r="AQ34" s="46"/>
      <c r="AR34" s="46"/>
      <c r="AS34" s="26"/>
      <c r="AT34" s="26"/>
      <c r="AU34" s="26"/>
      <c r="AV34" s="46"/>
      <c r="AW34" s="46"/>
      <c r="AX34" s="26"/>
      <c r="AY34" s="26"/>
      <c r="AZ34" s="26"/>
      <c r="BA34" s="46"/>
      <c r="BB34" s="46"/>
      <c r="BC34" s="26"/>
      <c r="BD34" s="26"/>
      <c r="BE34" s="26"/>
      <c r="BF34" s="46"/>
      <c r="BG34" s="26"/>
    </row>
    <row r="35" spans="1:59" s="26" customFormat="1">
      <c r="A35" s="26" t="s">
        <v>32</v>
      </c>
      <c r="B35" s="46">
        <f>MAX(B3:B33)</f>
        <v>66</v>
      </c>
      <c r="C35" s="46">
        <f t="shared" ref="C35:D35" si="0">MAX(C3:C33)</f>
        <v>66.666666666666657</v>
      </c>
      <c r="D35" s="46">
        <f t="shared" si="0"/>
        <v>4.7098039215686285</v>
      </c>
      <c r="G35" s="46">
        <f>MAX(G3:G33)</f>
        <v>86.9</v>
      </c>
      <c r="H35" s="46">
        <f t="shared" ref="H35:I35" si="1">MAX(H3:H33)</f>
        <v>60.784313725490193</v>
      </c>
      <c r="I35" s="46">
        <f t="shared" si="1"/>
        <v>4.0382352941176487</v>
      </c>
      <c r="L35" s="46">
        <f>MAX(L3:L33)</f>
        <v>53</v>
      </c>
      <c r="M35" s="46">
        <f t="shared" ref="M35:N35" si="2">MAX(M3:M33)</f>
        <v>56.862745098039213</v>
      </c>
      <c r="N35" s="46">
        <f t="shared" si="2"/>
        <v>3.2039215686274511</v>
      </c>
      <c r="Q35" s="46">
        <f>MAX(Q3:Q33)</f>
        <v>45</v>
      </c>
      <c r="R35" s="46">
        <f t="shared" ref="R35:S35" si="3">MAX(R3:R33)</f>
        <v>48.03921568627451</v>
      </c>
      <c r="S35" s="46">
        <f t="shared" si="3"/>
        <v>2.6480392156862749</v>
      </c>
      <c r="V35" s="46">
        <f>MAX(V3:V33)</f>
        <v>84</v>
      </c>
      <c r="W35" s="46">
        <f t="shared" ref="W35:X35" si="4">MAX(W3:W33)</f>
        <v>37.254901960784316</v>
      </c>
      <c r="X35" s="46">
        <f t="shared" si="4"/>
        <v>1.9519607843137254</v>
      </c>
      <c r="AA35" s="46">
        <f>MAX(AA3:AA33)</f>
        <v>91</v>
      </c>
      <c r="AB35" s="46">
        <f t="shared" ref="AB35:AC35" si="5">MAX(AB3:AB33)</f>
        <v>33.333333333333329</v>
      </c>
      <c r="AC35" s="46">
        <f t="shared" si="5"/>
        <v>2.3823529411764706</v>
      </c>
      <c r="AF35" s="46">
        <f>MAX(AF3:AF33)</f>
        <v>165.8</v>
      </c>
      <c r="AG35" s="46">
        <f t="shared" ref="AG35:AH35" si="6">MAX(AG3:AG33)</f>
        <v>19.607843137254903</v>
      </c>
      <c r="AH35" s="46">
        <f t="shared" si="6"/>
        <v>2.8127450980392159</v>
      </c>
      <c r="AK35" s="46">
        <f>MAX(AK3:AK33)</f>
        <v>88.7</v>
      </c>
      <c r="AL35" s="46">
        <f t="shared" ref="AL35:AM35" si="7">MAX(AL3:AL33)</f>
        <v>22.330097087378643</v>
      </c>
      <c r="AM35" s="46">
        <f t="shared" si="7"/>
        <v>2.4300970873786407</v>
      </c>
      <c r="AP35" s="46">
        <f>MAX(AP3:AP33)</f>
        <v>123</v>
      </c>
      <c r="AQ35" s="46">
        <f t="shared" ref="AQ35:AR35" si="8">MAX(AQ3:AQ33)</f>
        <v>40.776699029126213</v>
      </c>
      <c r="AR35" s="46">
        <f t="shared" si="8"/>
        <v>4.4902912621359228</v>
      </c>
      <c r="AU35" s="46">
        <f>MAX(AU3:AU33)</f>
        <v>131.30000000000001</v>
      </c>
      <c r="AV35" s="46">
        <f t="shared" ref="AV35:AW35" si="9">MAX(AV3:AV33)</f>
        <v>51.456310679611647</v>
      </c>
      <c r="AW35" s="46">
        <f t="shared" si="9"/>
        <v>5.7533980582524276</v>
      </c>
      <c r="AZ35" s="46">
        <f>MAX(AZ2:AZ32)</f>
        <v>94.2</v>
      </c>
      <c r="BA35" s="46">
        <f>MAX(BA2:BA32)</f>
        <v>58.252427184466015</v>
      </c>
      <c r="BB35" s="46">
        <f>MAX(BB2:BB32)</f>
        <v>5.0902912621359233</v>
      </c>
      <c r="BE35" s="46">
        <f>MAX(BE2:BE32)</f>
        <v>68</v>
      </c>
      <c r="BF35" s="46">
        <f>MAX(BF2:BF32)</f>
        <v>65.048543689320397</v>
      </c>
      <c r="BG35" s="46">
        <f>MAX(BG2:BG32)</f>
        <v>5.776699029126215</v>
      </c>
    </row>
    <row r="36" spans="1:59" s="26" customFormat="1">
      <c r="A36" s="26" t="s">
        <v>31</v>
      </c>
      <c r="B36" s="46">
        <f>MIN(B3:B33)</f>
        <v>19.8</v>
      </c>
      <c r="C36" s="46">
        <f t="shared" ref="C36:D36" si="10">MIN(C3:C33)</f>
        <v>49.019607843137251</v>
      </c>
      <c r="D36" s="46">
        <f t="shared" si="10"/>
        <v>1.3735294117647061</v>
      </c>
      <c r="G36" s="46">
        <f>MIN(G3:G33)</f>
        <v>13.4</v>
      </c>
      <c r="H36" s="46">
        <f t="shared" ref="H36:I36" si="11">MIN(H3:H33)</f>
        <v>12.745098039215685</v>
      </c>
      <c r="I36" s="46">
        <f t="shared" si="11"/>
        <v>0.5186274509803922</v>
      </c>
      <c r="L36" s="46">
        <f>MIN(L3:L33)</f>
        <v>14.2</v>
      </c>
      <c r="M36" s="46">
        <f t="shared" ref="M36:N36" si="12">MIN(M3:M33)</f>
        <v>31.372549019607842</v>
      </c>
      <c r="N36" s="46">
        <f t="shared" si="12"/>
        <v>0.97843137254901957</v>
      </c>
      <c r="Q36" s="46">
        <f>MIN(Q3:Q33)</f>
        <v>7.6</v>
      </c>
      <c r="R36" s="46">
        <f t="shared" ref="R36:S36" si="13">MIN(R3:R33)</f>
        <v>27.450980392156865</v>
      </c>
      <c r="S36" s="46">
        <f t="shared" si="13"/>
        <v>0.61960784313725481</v>
      </c>
      <c r="V36" s="46">
        <f>MIN(V3:V33)</f>
        <v>6.4</v>
      </c>
      <c r="W36" s="46">
        <f t="shared" ref="W36:X36" si="14">MIN(W3:W33)</f>
        <v>18.627450980392158</v>
      </c>
      <c r="X36" s="46">
        <f t="shared" si="14"/>
        <v>0.57070707070699689</v>
      </c>
      <c r="AA36" s="46">
        <f>MIN(AA3:AA33)</f>
        <v>11.5</v>
      </c>
      <c r="AB36" s="46">
        <f t="shared" ref="AB36:AC36" si="15">MIN(AB3:AB33)</f>
        <v>13.725490196078432</v>
      </c>
      <c r="AC36" s="46">
        <f t="shared" si="15"/>
        <v>0.49411764705882366</v>
      </c>
      <c r="AF36" s="46">
        <f>MIN(AF3:AF33)</f>
        <v>6</v>
      </c>
      <c r="AG36" s="46">
        <f t="shared" ref="AG36:AH36" si="16">MIN(AG3:AG33)</f>
        <v>3.9215686274509802</v>
      </c>
      <c r="AH36" s="46">
        <f t="shared" si="16"/>
        <v>6.7647058823529407E-2</v>
      </c>
      <c r="AK36" s="46">
        <f>MIN(AK3:AK33)</f>
        <v>2.8</v>
      </c>
      <c r="AL36" s="46">
        <f t="shared" ref="AL36:AM36" si="17">MIN(AL3:AL33)</f>
        <v>10.679611650485436</v>
      </c>
      <c r="AM36" s="46">
        <f t="shared" si="17"/>
        <v>0.1174757281553398</v>
      </c>
      <c r="AP36" s="46">
        <f>MIN(AP3:AP33)</f>
        <v>17.2</v>
      </c>
      <c r="AQ36" s="46">
        <f t="shared" ref="AQ36:AR36" si="18">MIN(AQ3:AQ33)</f>
        <v>19.417475728155338</v>
      </c>
      <c r="AR36" s="46">
        <f t="shared" si="18"/>
        <v>0.8087378640776699</v>
      </c>
      <c r="AU36" s="46">
        <f>MIN(AU3:AU33)</f>
        <v>21.4</v>
      </c>
      <c r="AV36" s="46">
        <f t="shared" ref="AV36:AW36" si="19">MIN(AV3:AV33)</f>
        <v>27.184466019417474</v>
      </c>
      <c r="AW36" s="46">
        <f t="shared" si="19"/>
        <v>1.4213592233009706</v>
      </c>
      <c r="AZ36" s="46">
        <f>MIN(AZ2:AZ32)</f>
        <v>17.600000000000001</v>
      </c>
      <c r="BA36" s="46">
        <f>MIN(BA2:BA32)</f>
        <v>36.893203883495147</v>
      </c>
      <c r="BB36" s="46">
        <f>MIN(BB2:BB32)</f>
        <v>1.9611650485436893</v>
      </c>
      <c r="BE36" s="46">
        <f>MIN(BE2:BE32)</f>
        <v>28.2</v>
      </c>
      <c r="BF36" s="46">
        <f>MIN(BF2:BF32)</f>
        <v>47.572815533980581</v>
      </c>
      <c r="BG36" s="46">
        <f>MIN(BG2:BG32)</f>
        <v>2.8854368932038823</v>
      </c>
    </row>
    <row r="38" spans="1:59">
      <c r="B38" s="31" t="s">
        <v>423</v>
      </c>
      <c r="C38" s="31" t="s">
        <v>3</v>
      </c>
      <c r="D38" s="32" t="s">
        <v>2</v>
      </c>
      <c r="G38" s="31" t="s">
        <v>423</v>
      </c>
      <c r="H38" s="31" t="s">
        <v>3</v>
      </c>
      <c r="I38" s="32" t="s">
        <v>2</v>
      </c>
    </row>
    <row r="39" spans="1:59">
      <c r="A39" t="s">
        <v>5</v>
      </c>
      <c r="B39" s="46">
        <v>66</v>
      </c>
      <c r="C39" s="46">
        <v>66.666666666666657</v>
      </c>
      <c r="D39" s="46">
        <v>4.7098039215686285</v>
      </c>
      <c r="F39" t="s">
        <v>5</v>
      </c>
      <c r="G39" s="46">
        <v>19.8</v>
      </c>
      <c r="H39" s="46">
        <v>49.019607843137251</v>
      </c>
      <c r="I39" s="46">
        <v>1.3735294117647061</v>
      </c>
    </row>
    <row r="40" spans="1:59">
      <c r="A40" t="s">
        <v>6</v>
      </c>
      <c r="B40">
        <v>86.9</v>
      </c>
      <c r="C40">
        <v>60.784313725490193</v>
      </c>
      <c r="D40">
        <v>4.0382352941176487</v>
      </c>
      <c r="F40" t="s">
        <v>6</v>
      </c>
      <c r="G40">
        <v>13.4</v>
      </c>
      <c r="H40">
        <v>12.745098039215685</v>
      </c>
      <c r="I40">
        <v>0.5186274509803922</v>
      </c>
    </row>
    <row r="41" spans="1:59">
      <c r="A41" t="s">
        <v>7</v>
      </c>
      <c r="B41">
        <v>53</v>
      </c>
      <c r="C41">
        <v>56.862745098039213</v>
      </c>
      <c r="D41">
        <v>3.2039215686274511</v>
      </c>
      <c r="F41" t="s">
        <v>7</v>
      </c>
      <c r="G41">
        <v>14.2</v>
      </c>
      <c r="H41">
        <v>31.372549019607842</v>
      </c>
      <c r="I41">
        <v>0.97843137254901957</v>
      </c>
    </row>
    <row r="42" spans="1:59">
      <c r="A42" t="s">
        <v>8</v>
      </c>
      <c r="B42">
        <v>45</v>
      </c>
      <c r="C42">
        <v>48.03921568627451</v>
      </c>
      <c r="D42">
        <v>2.6480392156862749</v>
      </c>
      <c r="F42" t="s">
        <v>8</v>
      </c>
      <c r="G42">
        <v>7.6</v>
      </c>
      <c r="H42">
        <v>27.450980392156865</v>
      </c>
      <c r="I42">
        <v>0.61960784313725481</v>
      </c>
    </row>
    <row r="43" spans="1:59">
      <c r="A43" t="s">
        <v>9</v>
      </c>
      <c r="B43">
        <v>84</v>
      </c>
      <c r="C43">
        <v>37.254901960784316</v>
      </c>
      <c r="D43">
        <v>1.9519607843137254</v>
      </c>
      <c r="F43" t="s">
        <v>9</v>
      </c>
      <c r="G43">
        <v>6.4</v>
      </c>
      <c r="H43">
        <v>18.627450980392158</v>
      </c>
      <c r="I43">
        <v>0.57070707070699689</v>
      </c>
    </row>
    <row r="44" spans="1:59">
      <c r="A44" t="s">
        <v>10</v>
      </c>
      <c r="B44">
        <v>91</v>
      </c>
      <c r="C44">
        <v>33.333333333333329</v>
      </c>
      <c r="D44">
        <v>2.3823529411764706</v>
      </c>
      <c r="F44" t="s">
        <v>10</v>
      </c>
      <c r="G44">
        <v>11.5</v>
      </c>
      <c r="H44">
        <v>13.725490196078432</v>
      </c>
      <c r="I44">
        <v>0.49411764705882366</v>
      </c>
    </row>
    <row r="45" spans="1:59">
      <c r="A45" t="s">
        <v>11</v>
      </c>
      <c r="B45">
        <v>165.8</v>
      </c>
      <c r="C45">
        <v>19.607843137254903</v>
      </c>
      <c r="D45">
        <v>2.8127450980392159</v>
      </c>
      <c r="F45" t="s">
        <v>11</v>
      </c>
      <c r="G45">
        <v>6</v>
      </c>
      <c r="H45">
        <v>3.9215686274509802</v>
      </c>
      <c r="I45">
        <v>6.7647058823529407E-2</v>
      </c>
    </row>
    <row r="46" spans="1:59">
      <c r="A46" t="s">
        <v>12</v>
      </c>
      <c r="B46">
        <v>88.7</v>
      </c>
      <c r="C46">
        <v>22.330097087378643</v>
      </c>
      <c r="D46">
        <v>2.4300970873786407</v>
      </c>
      <c r="F46" t="s">
        <v>12</v>
      </c>
      <c r="G46">
        <v>2.8</v>
      </c>
      <c r="H46">
        <v>10.679611650485436</v>
      </c>
      <c r="I46">
        <v>0.1174757281553398</v>
      </c>
    </row>
    <row r="47" spans="1:59">
      <c r="A47" t="s">
        <v>13</v>
      </c>
      <c r="B47">
        <v>123</v>
      </c>
      <c r="C47">
        <v>40.776699029126213</v>
      </c>
      <c r="D47">
        <v>4.4902912621359228</v>
      </c>
      <c r="F47" t="s">
        <v>13</v>
      </c>
      <c r="G47">
        <v>17.2</v>
      </c>
      <c r="H47">
        <v>19.417475728155338</v>
      </c>
      <c r="I47">
        <v>0.8087378640776699</v>
      </c>
    </row>
    <row r="48" spans="1:59">
      <c r="A48" t="s">
        <v>14</v>
      </c>
      <c r="B48">
        <v>131.30000000000001</v>
      </c>
      <c r="C48">
        <v>51.456310679611647</v>
      </c>
      <c r="D48">
        <v>5.7533980582524276</v>
      </c>
      <c r="F48" t="s">
        <v>14</v>
      </c>
      <c r="G48">
        <v>21.4</v>
      </c>
      <c r="H48">
        <v>27.184466019417474</v>
      </c>
      <c r="I48">
        <v>1.4213592233009706</v>
      </c>
    </row>
    <row r="49" spans="1:9">
      <c r="A49" t="s">
        <v>15</v>
      </c>
      <c r="B49">
        <v>94.2</v>
      </c>
      <c r="C49">
        <v>58.252427184466015</v>
      </c>
      <c r="D49">
        <v>5.0902912621359233</v>
      </c>
      <c r="F49" t="s">
        <v>15</v>
      </c>
      <c r="G49">
        <v>17.600000000000001</v>
      </c>
      <c r="H49">
        <v>36.893203883495147</v>
      </c>
      <c r="I49">
        <v>1.9611650485436893</v>
      </c>
    </row>
    <row r="50" spans="1:9">
      <c r="A50" t="s">
        <v>16</v>
      </c>
      <c r="B50">
        <v>68</v>
      </c>
      <c r="C50">
        <v>65.048543689320397</v>
      </c>
      <c r="D50">
        <v>5.776699029126215</v>
      </c>
      <c r="F50" t="s">
        <v>16</v>
      </c>
      <c r="G50">
        <v>28.2</v>
      </c>
      <c r="H50">
        <v>47.572815533980581</v>
      </c>
      <c r="I50">
        <v>2.8854368932038823</v>
      </c>
    </row>
    <row r="51" spans="1:9">
      <c r="B51" s="2">
        <f>MAX(B39:B50)</f>
        <v>165.8</v>
      </c>
      <c r="C51" s="2">
        <f t="shared" ref="C51:D51" si="20">MAX(C39:C50)</f>
        <v>66.666666666666657</v>
      </c>
      <c r="D51" s="2">
        <f t="shared" si="20"/>
        <v>5.776699029126215</v>
      </c>
      <c r="G51" s="2">
        <f>MIN(G39:G50)</f>
        <v>2.8</v>
      </c>
      <c r="H51" s="2">
        <f t="shared" ref="H51:I51" si="21">MIN(H39:H50)</f>
        <v>3.9215686274509802</v>
      </c>
      <c r="I51" s="2">
        <f t="shared" si="21"/>
        <v>6.7647058823529407E-2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Sayfa8"/>
  <dimension ref="A2:BG38"/>
  <sheetViews>
    <sheetView topLeftCell="AT16" workbookViewId="0">
      <selection activeCell="C18" sqref="C18"/>
    </sheetView>
  </sheetViews>
  <sheetFormatPr defaultRowHeight="15"/>
  <cols>
    <col min="1" max="1" width="5.5703125" style="26" bestFit="1" customWidth="1"/>
    <col min="2" max="2" width="11.28515625" style="26" bestFit="1" customWidth="1"/>
    <col min="3" max="3" width="7.140625" style="26" bestFit="1" customWidth="1"/>
    <col min="4" max="4" width="9.28515625" style="26" bestFit="1" customWidth="1"/>
    <col min="5" max="5" width="5.5703125" style="26" customWidth="1"/>
    <col min="6" max="6" width="6" style="26" bestFit="1" customWidth="1"/>
    <col min="7" max="7" width="11.140625" style="26" bestFit="1" customWidth="1"/>
    <col min="8" max="8" width="7" style="26" bestFit="1" customWidth="1"/>
    <col min="9" max="9" width="9.140625" style="26" bestFit="1" customWidth="1"/>
    <col min="10" max="10" width="5" style="26" customWidth="1"/>
    <col min="11" max="11" width="5.140625" style="26" bestFit="1" customWidth="1"/>
    <col min="12" max="12" width="11.140625" style="46" bestFit="1" customWidth="1"/>
    <col min="13" max="13" width="7" style="46" bestFit="1" customWidth="1"/>
    <col min="14" max="14" width="12" style="46" bestFit="1" customWidth="1"/>
    <col min="15" max="15" width="9.140625" style="26"/>
    <col min="16" max="16" width="6" style="26" bestFit="1" customWidth="1"/>
    <col min="17" max="17" width="11.140625" style="26" bestFit="1" customWidth="1"/>
    <col min="18" max="18" width="7" style="46" bestFit="1" customWidth="1"/>
    <col min="19" max="19" width="9.140625" style="46" bestFit="1" customWidth="1"/>
    <col min="20" max="20" width="9.140625" style="26"/>
    <col min="21" max="21" width="6" style="26" bestFit="1" customWidth="1"/>
    <col min="22" max="22" width="9.42578125" style="26" bestFit="1" customWidth="1"/>
    <col min="23" max="23" width="12.42578125" style="46" bestFit="1" customWidth="1"/>
    <col min="24" max="24" width="12.42578125" style="46" customWidth="1"/>
    <col min="25" max="25" width="9.140625" style="26"/>
    <col min="26" max="26" width="7.5703125" style="26" bestFit="1" customWidth="1"/>
    <col min="27" max="27" width="9.42578125" style="26" bestFit="1" customWidth="1"/>
    <col min="28" max="28" width="12.42578125" style="46" bestFit="1" customWidth="1"/>
    <col min="29" max="29" width="12.42578125" style="46" customWidth="1"/>
    <col min="30" max="30" width="9.140625" style="26"/>
    <col min="31" max="31" width="8.5703125" style="26" bestFit="1" customWidth="1"/>
    <col min="32" max="32" width="9.42578125" style="26" bestFit="1" customWidth="1"/>
    <col min="33" max="33" width="12.42578125" style="46" bestFit="1" customWidth="1"/>
    <col min="34" max="34" width="12.42578125" style="46" customWidth="1"/>
    <col min="35" max="35" width="9.140625" style="26"/>
    <col min="36" max="36" width="8" style="26" bestFit="1" customWidth="1"/>
    <col min="37" max="37" width="9.42578125" style="26" bestFit="1" customWidth="1"/>
    <col min="38" max="38" width="12.42578125" style="46" bestFit="1" customWidth="1"/>
    <col min="39" max="39" width="12.42578125" style="46" customWidth="1"/>
    <col min="40" max="40" width="9.140625" style="26"/>
    <col min="41" max="41" width="5.28515625" style="26" bestFit="1" customWidth="1"/>
    <col min="42" max="42" width="9.42578125" style="26" bestFit="1" customWidth="1"/>
    <col min="43" max="43" width="12.42578125" style="46" bestFit="1" customWidth="1"/>
    <col min="44" max="44" width="12.42578125" style="46" customWidth="1"/>
    <col min="45" max="45" width="9.140625" style="26"/>
    <col min="46" max="46" width="5.28515625" style="26" bestFit="1" customWidth="1"/>
    <col min="47" max="47" width="9.42578125" style="26" bestFit="1" customWidth="1"/>
    <col min="48" max="48" width="12.42578125" style="46" bestFit="1" customWidth="1"/>
    <col min="49" max="49" width="12.42578125" style="46" customWidth="1"/>
    <col min="50" max="50" width="9.140625" style="26"/>
    <col min="51" max="51" width="6.140625" style="26" bestFit="1" customWidth="1"/>
    <col min="52" max="52" width="9.42578125" style="26" bestFit="1" customWidth="1"/>
    <col min="53" max="53" width="12.42578125" style="46" bestFit="1" customWidth="1"/>
    <col min="54" max="54" width="12.42578125" style="46" customWidth="1"/>
    <col min="55" max="55" width="9.140625" style="26"/>
    <col min="56" max="56" width="6" style="26" bestFit="1" customWidth="1"/>
    <col min="57" max="57" width="9.42578125" style="26" bestFit="1" customWidth="1"/>
    <col min="58" max="58" width="12.42578125" style="46" bestFit="1" customWidth="1"/>
    <col min="59" max="59" width="9.140625" style="26"/>
  </cols>
  <sheetData>
    <row r="2" spans="1:59">
      <c r="A2" s="31" t="s">
        <v>5</v>
      </c>
      <c r="B2" s="31" t="s">
        <v>423</v>
      </c>
      <c r="C2" s="31" t="s">
        <v>3</v>
      </c>
      <c r="D2" s="32" t="s">
        <v>2</v>
      </c>
      <c r="E2" s="30"/>
      <c r="F2" s="45" t="s">
        <v>6</v>
      </c>
      <c r="G2" s="5" t="s">
        <v>423</v>
      </c>
      <c r="H2" s="5" t="s">
        <v>3</v>
      </c>
      <c r="I2" s="32" t="s">
        <v>2</v>
      </c>
      <c r="J2" s="46"/>
      <c r="K2" s="45" t="s">
        <v>7</v>
      </c>
      <c r="L2" s="5" t="s">
        <v>423</v>
      </c>
      <c r="M2" s="5" t="s">
        <v>3</v>
      </c>
      <c r="N2" s="33" t="s">
        <v>2</v>
      </c>
      <c r="P2" s="45" t="s">
        <v>8</v>
      </c>
      <c r="Q2" s="5" t="s">
        <v>423</v>
      </c>
      <c r="R2" s="5" t="s">
        <v>3</v>
      </c>
      <c r="S2" s="33" t="s">
        <v>2</v>
      </c>
      <c r="U2" s="45" t="s">
        <v>9</v>
      </c>
      <c r="V2" s="45" t="s">
        <v>424</v>
      </c>
      <c r="W2" s="5" t="s">
        <v>425</v>
      </c>
      <c r="X2" s="33" t="s">
        <v>2</v>
      </c>
      <c r="Z2" s="45" t="s">
        <v>10</v>
      </c>
      <c r="AA2" s="45" t="s">
        <v>424</v>
      </c>
      <c r="AB2" s="5" t="s">
        <v>425</v>
      </c>
      <c r="AC2" s="33" t="s">
        <v>2</v>
      </c>
      <c r="AE2" s="45" t="s">
        <v>11</v>
      </c>
      <c r="AF2" s="45" t="s">
        <v>424</v>
      </c>
      <c r="AG2" s="5" t="s">
        <v>425</v>
      </c>
      <c r="AH2" s="33" t="s">
        <v>2</v>
      </c>
      <c r="AJ2" s="45" t="s">
        <v>12</v>
      </c>
      <c r="AK2" s="45" t="s">
        <v>424</v>
      </c>
      <c r="AL2" s="5" t="s">
        <v>425</v>
      </c>
      <c r="AM2" s="33" t="s">
        <v>2</v>
      </c>
      <c r="AO2" s="45" t="s">
        <v>13</v>
      </c>
      <c r="AP2" s="45" t="s">
        <v>424</v>
      </c>
      <c r="AQ2" s="5" t="s">
        <v>425</v>
      </c>
      <c r="AR2" s="33" t="s">
        <v>2</v>
      </c>
      <c r="AT2" s="45" t="s">
        <v>14</v>
      </c>
      <c r="AU2" s="45" t="s">
        <v>424</v>
      </c>
      <c r="AV2" s="5" t="s">
        <v>425</v>
      </c>
      <c r="AW2" s="33" t="s">
        <v>2</v>
      </c>
      <c r="AY2" s="45" t="s">
        <v>15</v>
      </c>
      <c r="AZ2" s="45" t="s">
        <v>424</v>
      </c>
      <c r="BA2" s="5" t="s">
        <v>425</v>
      </c>
      <c r="BB2" s="33" t="s">
        <v>2</v>
      </c>
      <c r="BD2" s="45" t="s">
        <v>16</v>
      </c>
      <c r="BE2" s="45" t="s">
        <v>424</v>
      </c>
      <c r="BF2" s="5" t="s">
        <v>425</v>
      </c>
      <c r="BG2" s="33" t="s">
        <v>2</v>
      </c>
    </row>
    <row r="3" spans="1:59">
      <c r="A3" s="19">
        <v>1</v>
      </c>
      <c r="B3" s="5">
        <v>35.5</v>
      </c>
      <c r="C3" s="46">
        <v>54.901960784313729</v>
      </c>
      <c r="D3" s="5">
        <v>3.5607843137254895</v>
      </c>
      <c r="E3"/>
      <c r="F3" s="45">
        <v>1</v>
      </c>
      <c r="G3" s="5">
        <v>35.5</v>
      </c>
      <c r="H3" s="5">
        <v>58.82352941176471</v>
      </c>
      <c r="I3" s="5">
        <v>3.4098039215686269</v>
      </c>
      <c r="J3" s="46"/>
      <c r="K3" s="45">
        <v>1</v>
      </c>
      <c r="L3" s="5">
        <v>19.7</v>
      </c>
      <c r="M3" s="5">
        <v>46.078431372549019</v>
      </c>
      <c r="N3" s="5">
        <v>2.3745098039215673</v>
      </c>
      <c r="P3" s="45">
        <v>1</v>
      </c>
      <c r="Q3" s="5">
        <v>21.8</v>
      </c>
      <c r="R3" s="5">
        <v>36.274509803921568</v>
      </c>
      <c r="S3" s="5">
        <v>1.7666666666666668</v>
      </c>
      <c r="U3" s="45">
        <v>1</v>
      </c>
      <c r="V3" s="5">
        <v>44.7</v>
      </c>
      <c r="W3" s="5">
        <v>35.294117647058826</v>
      </c>
      <c r="X3" s="5">
        <v>1.9519607843137254</v>
      </c>
      <c r="Z3" s="45">
        <v>1</v>
      </c>
      <c r="AA3" s="5">
        <v>48</v>
      </c>
      <c r="AB3" s="5">
        <v>28.431372549019606</v>
      </c>
      <c r="AC3" s="5">
        <v>1.2598039215686274</v>
      </c>
      <c r="AE3" s="45">
        <v>1</v>
      </c>
      <c r="AF3" s="5">
        <v>30.7</v>
      </c>
      <c r="AG3" s="5">
        <v>19.607843137254903</v>
      </c>
      <c r="AH3" s="5">
        <v>1.0352941176470587</v>
      </c>
      <c r="AJ3" s="45">
        <v>1</v>
      </c>
      <c r="AK3" s="5">
        <v>29.9</v>
      </c>
      <c r="AL3" s="5">
        <v>11.650485436893204</v>
      </c>
      <c r="AM3" s="5">
        <v>0.65436893203883506</v>
      </c>
      <c r="AO3" s="45">
        <v>1</v>
      </c>
      <c r="AP3" s="5">
        <v>37.799999999999997</v>
      </c>
      <c r="AQ3" s="5">
        <v>38.834951456310677</v>
      </c>
      <c r="AR3" s="5">
        <v>3.119417475728155</v>
      </c>
      <c r="AT3" s="45">
        <v>1</v>
      </c>
      <c r="AU3" s="5">
        <v>31</v>
      </c>
      <c r="AV3" s="5">
        <v>36.893203883495147</v>
      </c>
      <c r="AW3" s="5">
        <v>2.4873786407766985</v>
      </c>
      <c r="AY3" s="45">
        <v>1</v>
      </c>
      <c r="AZ3" s="5">
        <v>47</v>
      </c>
      <c r="BA3" s="5">
        <v>43.689320388349515</v>
      </c>
      <c r="BB3" s="5">
        <v>1.9776699029126212</v>
      </c>
      <c r="BD3" s="45">
        <v>1</v>
      </c>
      <c r="BE3" s="5">
        <v>51.8</v>
      </c>
      <c r="BF3" s="5">
        <v>53.398058252427184</v>
      </c>
      <c r="BG3" s="5">
        <v>3.5067961165048533</v>
      </c>
    </row>
    <row r="4" spans="1:59">
      <c r="A4" s="19">
        <v>2</v>
      </c>
      <c r="B4" s="5">
        <v>31.2</v>
      </c>
      <c r="C4" s="46">
        <v>60.784313725490193</v>
      </c>
      <c r="D4" s="5">
        <v>3.5058823529411769</v>
      </c>
      <c r="E4"/>
      <c r="F4" s="45">
        <v>2</v>
      </c>
      <c r="G4" s="5">
        <v>39.299999999999997</v>
      </c>
      <c r="H4" s="5">
        <v>58.82352941176471</v>
      </c>
      <c r="I4" s="5">
        <v>4.0382352941176487</v>
      </c>
      <c r="J4" s="46"/>
      <c r="K4" s="45">
        <v>2</v>
      </c>
      <c r="L4" s="5">
        <v>30</v>
      </c>
      <c r="M4" s="5">
        <v>56.862745098039213</v>
      </c>
      <c r="N4" s="5">
        <v>2.7990196078431362</v>
      </c>
      <c r="P4" s="45">
        <v>2</v>
      </c>
      <c r="Q4" s="5">
        <v>23.2</v>
      </c>
      <c r="R4" s="5">
        <v>36.274509803921568</v>
      </c>
      <c r="S4" s="5">
        <v>1.5803921568627448</v>
      </c>
      <c r="U4" s="45">
        <v>2</v>
      </c>
      <c r="V4" s="5">
        <v>43.2</v>
      </c>
      <c r="W4" s="5">
        <v>35.294117647058826</v>
      </c>
      <c r="X4" s="5">
        <v>1.7151515151508634</v>
      </c>
      <c r="Z4" s="45">
        <v>2</v>
      </c>
      <c r="AA4" s="5">
        <v>24</v>
      </c>
      <c r="AB4" s="5">
        <v>24.509803921568626</v>
      </c>
      <c r="AC4" s="5">
        <v>1.1911764705882353</v>
      </c>
      <c r="AE4" s="45">
        <v>2</v>
      </c>
      <c r="AF4" s="5">
        <v>24.5</v>
      </c>
      <c r="AG4" s="5">
        <v>19.607843137254903</v>
      </c>
      <c r="AH4" s="5">
        <v>1.5941176470588234</v>
      </c>
      <c r="AJ4" s="45">
        <v>2</v>
      </c>
      <c r="AK4" s="5">
        <v>82.1</v>
      </c>
      <c r="AL4" s="5">
        <v>12.621359223300971</v>
      </c>
      <c r="AM4" s="5">
        <v>1.0631067961165046</v>
      </c>
      <c r="AO4" s="45">
        <v>2</v>
      </c>
      <c r="AP4" s="5">
        <v>32.9</v>
      </c>
      <c r="AQ4" s="5">
        <v>33.009708737864081</v>
      </c>
      <c r="AR4" s="5">
        <v>2.1271844660194175</v>
      </c>
      <c r="AT4" s="45">
        <v>2</v>
      </c>
      <c r="AU4" s="5">
        <v>26</v>
      </c>
      <c r="AV4" s="5">
        <v>35.922330097087382</v>
      </c>
      <c r="AW4" s="5">
        <v>1.6407766990291259</v>
      </c>
      <c r="AY4" s="45">
        <v>2</v>
      </c>
      <c r="AZ4" s="5">
        <v>38.200000000000003</v>
      </c>
      <c r="BA4" s="5">
        <v>40.776699029126213</v>
      </c>
      <c r="BB4" s="5">
        <v>2.4067961165048546</v>
      </c>
      <c r="BD4" s="45">
        <v>2</v>
      </c>
      <c r="BE4" s="5">
        <v>42.5</v>
      </c>
      <c r="BF4" s="5">
        <v>53.398058252427184</v>
      </c>
      <c r="BG4" s="5">
        <v>4.5203883495145636</v>
      </c>
    </row>
    <row r="5" spans="1:59">
      <c r="A5" s="19">
        <v>3</v>
      </c>
      <c r="B5" s="5">
        <v>30.2</v>
      </c>
      <c r="C5" s="46">
        <v>60.784313725490193</v>
      </c>
      <c r="D5" s="5">
        <v>3.2519607843137242</v>
      </c>
      <c r="E5"/>
      <c r="F5" s="45">
        <v>3</v>
      </c>
      <c r="G5" s="5">
        <v>28.9</v>
      </c>
      <c r="H5" s="5">
        <v>59.803921568627452</v>
      </c>
      <c r="I5" s="5">
        <v>3.077450980392157</v>
      </c>
      <c r="J5" s="46"/>
      <c r="K5" s="45">
        <v>3</v>
      </c>
      <c r="L5" s="5">
        <v>25</v>
      </c>
      <c r="M5" s="5">
        <v>52.941176470588239</v>
      </c>
      <c r="N5" s="5">
        <v>2.0666666666666664</v>
      </c>
      <c r="P5" s="45">
        <v>3</v>
      </c>
      <c r="Q5" s="5">
        <v>12.2</v>
      </c>
      <c r="R5" s="5">
        <v>30.392156862745097</v>
      </c>
      <c r="S5" s="5">
        <v>1.006862745098039</v>
      </c>
      <c r="U5" s="45">
        <v>3</v>
      </c>
      <c r="V5" s="5">
        <v>23.3</v>
      </c>
      <c r="W5" s="5">
        <v>33.333333333333329</v>
      </c>
      <c r="X5" s="5">
        <v>1.0202020202019113</v>
      </c>
      <c r="Z5" s="45">
        <v>3</v>
      </c>
      <c r="AA5" s="5">
        <v>11.5</v>
      </c>
      <c r="AB5" s="5">
        <v>20.588235294117645</v>
      </c>
      <c r="AC5" s="5">
        <v>0.80490196078431386</v>
      </c>
      <c r="AE5" s="45">
        <v>3</v>
      </c>
      <c r="AF5" s="5">
        <v>71.5</v>
      </c>
      <c r="AG5" s="5">
        <v>18.627450980392158</v>
      </c>
      <c r="AH5" s="5">
        <v>2.197058823529412</v>
      </c>
      <c r="AJ5" s="45">
        <v>3</v>
      </c>
      <c r="AK5" s="5">
        <v>24.5</v>
      </c>
      <c r="AL5" s="5">
        <v>13.592233009708737</v>
      </c>
      <c r="AM5" s="5">
        <v>0.78737864077669895</v>
      </c>
      <c r="AO5" s="45">
        <v>3</v>
      </c>
      <c r="AP5" s="5">
        <v>37</v>
      </c>
      <c r="AQ5" s="5">
        <v>32.038834951456316</v>
      </c>
      <c r="AR5" s="5">
        <v>2.1970873786407772</v>
      </c>
      <c r="AT5" s="45">
        <v>3</v>
      </c>
      <c r="AU5" s="5">
        <v>131.30000000000001</v>
      </c>
      <c r="AV5" s="5">
        <v>39.805825242718448</v>
      </c>
      <c r="AW5" s="5">
        <v>3.3203883495145639</v>
      </c>
      <c r="AY5" s="45">
        <v>3</v>
      </c>
      <c r="AZ5" s="5">
        <v>44.5</v>
      </c>
      <c r="BA5" s="5">
        <v>36.893203883495147</v>
      </c>
      <c r="BB5" s="5">
        <v>2.063106796116505</v>
      </c>
      <c r="BD5" s="45">
        <v>3</v>
      </c>
      <c r="BE5" s="5">
        <v>30</v>
      </c>
      <c r="BF5" s="5">
        <v>49.514563106796118</v>
      </c>
      <c r="BG5" s="5">
        <v>3.0485436893203883</v>
      </c>
    </row>
    <row r="6" spans="1:59">
      <c r="A6" s="19">
        <v>4</v>
      </c>
      <c r="B6" s="5">
        <v>26.6</v>
      </c>
      <c r="C6" s="46">
        <v>58.82352941176471</v>
      </c>
      <c r="D6" s="5">
        <v>4.1176470588235281</v>
      </c>
      <c r="E6"/>
      <c r="F6" s="45">
        <v>4</v>
      </c>
      <c r="G6" s="5">
        <v>30</v>
      </c>
      <c r="H6" s="5">
        <v>48.03921568627451</v>
      </c>
      <c r="I6" s="5">
        <v>2.2696078431372544</v>
      </c>
      <c r="J6" s="46"/>
      <c r="K6" s="45">
        <v>4</v>
      </c>
      <c r="L6" s="5">
        <v>28.7</v>
      </c>
      <c r="M6" s="5">
        <v>43.137254901960787</v>
      </c>
      <c r="N6" s="5">
        <v>2.1549019607843132</v>
      </c>
      <c r="P6" s="45">
        <v>4</v>
      </c>
      <c r="Q6" s="5">
        <v>18.399999999999999</v>
      </c>
      <c r="R6" s="5">
        <v>33.333333333333329</v>
      </c>
      <c r="S6" s="5">
        <v>0.9539215686274507</v>
      </c>
      <c r="U6" s="45">
        <v>4</v>
      </c>
      <c r="V6" s="5">
        <v>14</v>
      </c>
      <c r="W6" s="5">
        <v>26.47058823529412</v>
      </c>
      <c r="X6" s="5">
        <v>1.1050505050503823</v>
      </c>
      <c r="Z6" s="45">
        <v>4</v>
      </c>
      <c r="AA6" s="5">
        <v>13.1</v>
      </c>
      <c r="AB6" s="5">
        <v>24.509803921568626</v>
      </c>
      <c r="AC6" s="5">
        <v>0.91176470588235303</v>
      </c>
      <c r="AE6" s="45">
        <v>4</v>
      </c>
      <c r="AF6" s="5">
        <v>33.200000000000003</v>
      </c>
      <c r="AG6" s="5">
        <v>16.666666666666664</v>
      </c>
      <c r="AH6" s="5">
        <v>1.5284313725490197</v>
      </c>
      <c r="AJ6" s="45">
        <v>4</v>
      </c>
      <c r="AK6" s="5">
        <v>13.9</v>
      </c>
      <c r="AL6" s="5">
        <v>14.563106796116504</v>
      </c>
      <c r="AM6" s="5">
        <v>0.56213592233009713</v>
      </c>
      <c r="AO6" s="45">
        <v>4</v>
      </c>
      <c r="AP6" s="5">
        <v>23.7</v>
      </c>
      <c r="AQ6" s="5">
        <v>27.184466019417474</v>
      </c>
      <c r="AR6" s="5">
        <v>1.480582524271844</v>
      </c>
      <c r="AT6" s="45">
        <v>4</v>
      </c>
      <c r="AU6" s="5">
        <v>38.5</v>
      </c>
      <c r="AV6" s="5">
        <v>38.834951456310677</v>
      </c>
      <c r="AW6" s="5">
        <v>2.3106796116504853</v>
      </c>
      <c r="AY6" s="45">
        <v>4</v>
      </c>
      <c r="AZ6" s="5">
        <v>29.3</v>
      </c>
      <c r="BA6" s="5">
        <v>39.805825242718448</v>
      </c>
      <c r="BB6" s="5">
        <v>2.2640776699029121</v>
      </c>
      <c r="BD6" s="45">
        <v>4</v>
      </c>
      <c r="BE6" s="5">
        <v>55.1</v>
      </c>
      <c r="BF6" s="5">
        <v>47.572815533980581</v>
      </c>
      <c r="BG6" s="5">
        <v>4.0970873786407775</v>
      </c>
    </row>
    <row r="7" spans="1:59">
      <c r="A7" s="19">
        <v>5</v>
      </c>
      <c r="B7" s="5">
        <v>39.4</v>
      </c>
      <c r="C7" s="46">
        <v>50.980392156862742</v>
      </c>
      <c r="D7" s="5">
        <v>3.3892156862745102</v>
      </c>
      <c r="E7"/>
      <c r="F7" s="45">
        <v>5</v>
      </c>
      <c r="G7" s="5">
        <v>51</v>
      </c>
      <c r="H7" s="5">
        <v>45.098039215686278</v>
      </c>
      <c r="I7" s="5">
        <v>2.7960784313725484</v>
      </c>
      <c r="J7" s="46"/>
      <c r="K7" s="45">
        <v>5</v>
      </c>
      <c r="L7" s="5">
        <v>43.6</v>
      </c>
      <c r="M7" s="5">
        <v>44.117647058823529</v>
      </c>
      <c r="N7" s="5">
        <v>2.6196078431372554</v>
      </c>
      <c r="P7" s="45">
        <v>5</v>
      </c>
      <c r="Q7" s="5">
        <v>30.9</v>
      </c>
      <c r="R7" s="5">
        <v>37.254901960784316</v>
      </c>
      <c r="S7" s="5">
        <v>1.9843137254901959</v>
      </c>
      <c r="U7" s="45">
        <v>5</v>
      </c>
      <c r="V7" s="5">
        <v>22</v>
      </c>
      <c r="W7" s="5">
        <v>24.509803921568626</v>
      </c>
      <c r="X7" s="5">
        <v>1.160606060605937</v>
      </c>
      <c r="Z7" s="45">
        <v>5</v>
      </c>
      <c r="AA7" s="5">
        <v>24.5</v>
      </c>
      <c r="AB7" s="5">
        <v>24.509803921568626</v>
      </c>
      <c r="AC7" s="5">
        <v>0.97549019607843124</v>
      </c>
      <c r="AE7" s="45">
        <v>5</v>
      </c>
      <c r="AF7" s="5">
        <v>33.799999999999997</v>
      </c>
      <c r="AG7" s="5">
        <v>18.627450980392158</v>
      </c>
      <c r="AH7" s="5">
        <v>1.0490196078431371</v>
      </c>
      <c r="AJ7" s="45">
        <v>5</v>
      </c>
      <c r="AK7" s="5">
        <v>35</v>
      </c>
      <c r="AL7" s="5">
        <v>15.53398058252427</v>
      </c>
      <c r="AM7" s="5">
        <v>0.93106796116504831</v>
      </c>
      <c r="AO7" s="45">
        <v>5</v>
      </c>
      <c r="AP7" s="5">
        <v>19.8</v>
      </c>
      <c r="AQ7" s="5">
        <v>28.155339805825243</v>
      </c>
      <c r="AR7" s="5">
        <v>1.6611650485436891</v>
      </c>
      <c r="AT7" s="45">
        <v>5</v>
      </c>
      <c r="AU7" s="5">
        <v>34.5</v>
      </c>
      <c r="AV7" s="5">
        <v>27.184466019417474</v>
      </c>
      <c r="AW7" s="5">
        <v>1.4213592233009706</v>
      </c>
      <c r="AY7" s="45">
        <v>5</v>
      </c>
      <c r="AZ7" s="5">
        <v>34</v>
      </c>
      <c r="BA7" s="5">
        <v>47.572815533980581</v>
      </c>
      <c r="BB7" s="5">
        <v>2.9640776699029128</v>
      </c>
      <c r="BD7" s="45">
        <v>5</v>
      </c>
      <c r="BE7" s="5">
        <v>36.4</v>
      </c>
      <c r="BF7" s="5">
        <v>55.339805825242713</v>
      </c>
      <c r="BG7" s="5">
        <v>3.8155339805825244</v>
      </c>
    </row>
    <row r="8" spans="1:59">
      <c r="A8" s="19">
        <v>6</v>
      </c>
      <c r="B8" s="5">
        <v>23.7</v>
      </c>
      <c r="C8" s="46">
        <v>49.019607843137251</v>
      </c>
      <c r="D8" s="5">
        <v>2.4745098039215683</v>
      </c>
      <c r="E8"/>
      <c r="F8" s="45">
        <v>6</v>
      </c>
      <c r="G8" s="5">
        <v>29</v>
      </c>
      <c r="H8" s="5">
        <v>60.784313725490193</v>
      </c>
      <c r="I8" s="5">
        <v>3.2274509803921556</v>
      </c>
      <c r="J8" s="46"/>
      <c r="K8" s="45">
        <v>6</v>
      </c>
      <c r="L8" s="5">
        <v>22.7</v>
      </c>
      <c r="M8" s="5">
        <v>46.078431372549019</v>
      </c>
      <c r="N8" s="5">
        <v>2.0598039215686272</v>
      </c>
      <c r="P8" s="45">
        <v>6</v>
      </c>
      <c r="Q8" s="5">
        <v>17.100000000000001</v>
      </c>
      <c r="R8" s="5">
        <v>35.294117647058826</v>
      </c>
      <c r="S8" s="5">
        <v>1.6147058823529414</v>
      </c>
      <c r="U8" s="45">
        <v>6</v>
      </c>
      <c r="V8" s="5">
        <v>41.4</v>
      </c>
      <c r="W8" s="5">
        <v>24.509803921568626</v>
      </c>
      <c r="X8" s="5">
        <v>1.4323232323228143</v>
      </c>
      <c r="Z8" s="45">
        <v>6</v>
      </c>
      <c r="AA8" s="5">
        <v>33.5</v>
      </c>
      <c r="AB8" s="5">
        <v>21.568627450980394</v>
      </c>
      <c r="AC8" s="5">
        <v>1.9549019607843134</v>
      </c>
      <c r="AE8" s="45">
        <v>6</v>
      </c>
      <c r="AF8" s="5">
        <v>100.5</v>
      </c>
      <c r="AG8" s="5">
        <v>17.647058823529413</v>
      </c>
      <c r="AH8" s="5">
        <v>2.8127450980392159</v>
      </c>
      <c r="AJ8" s="45">
        <v>6</v>
      </c>
      <c r="AK8" s="5">
        <v>32.700000000000003</v>
      </c>
      <c r="AL8" s="5">
        <v>12.621359223300971</v>
      </c>
      <c r="AM8" s="5">
        <v>0.77184466019417475</v>
      </c>
      <c r="AO8" s="45">
        <v>6</v>
      </c>
      <c r="AP8" s="5">
        <v>66.400000000000006</v>
      </c>
      <c r="AQ8" s="5">
        <v>31.067961165048541</v>
      </c>
      <c r="AR8" s="5">
        <v>3.5485436893203883</v>
      </c>
      <c r="AT8" s="45">
        <v>6</v>
      </c>
      <c r="AU8" s="5">
        <v>37.700000000000003</v>
      </c>
      <c r="AV8" s="5">
        <v>33.980582524271846</v>
      </c>
      <c r="AW8" s="5">
        <v>2.1368932038834947</v>
      </c>
      <c r="AY8" s="45">
        <v>6</v>
      </c>
      <c r="AZ8" s="5">
        <v>32.5</v>
      </c>
      <c r="BA8" s="5">
        <v>44.660194174757287</v>
      </c>
      <c r="BB8" s="5">
        <v>2.7349514563106792</v>
      </c>
      <c r="BD8" s="45">
        <v>6</v>
      </c>
      <c r="BE8" s="5">
        <v>59.3</v>
      </c>
      <c r="BF8" s="5">
        <v>51.456310679611647</v>
      </c>
      <c r="BG8" s="5">
        <v>3.7029126213592236</v>
      </c>
    </row>
    <row r="9" spans="1:59">
      <c r="A9" s="19">
        <v>7</v>
      </c>
      <c r="B9" s="5">
        <v>23.5</v>
      </c>
      <c r="C9" s="46">
        <v>65.686274509803923</v>
      </c>
      <c r="D9" s="5">
        <v>3.8470588235294123</v>
      </c>
      <c r="E9"/>
      <c r="F9" s="45">
        <v>7</v>
      </c>
      <c r="G9" s="5">
        <v>33.700000000000003</v>
      </c>
      <c r="H9" s="5">
        <v>59.803921568627452</v>
      </c>
      <c r="I9" s="5">
        <v>3.4098039215686264</v>
      </c>
      <c r="J9" s="46"/>
      <c r="K9" s="45">
        <v>7</v>
      </c>
      <c r="L9" s="5">
        <v>43.8</v>
      </c>
      <c r="M9" s="5">
        <v>45.098039215686278</v>
      </c>
      <c r="N9" s="5">
        <v>2.9156862745098042</v>
      </c>
      <c r="P9" s="45">
        <v>7</v>
      </c>
      <c r="Q9" s="5">
        <v>23.2</v>
      </c>
      <c r="R9" s="5">
        <v>40.196078431372548</v>
      </c>
      <c r="S9" s="5">
        <v>2.2764705882352945</v>
      </c>
      <c r="U9" s="45">
        <v>7</v>
      </c>
      <c r="V9" s="5">
        <v>27.8</v>
      </c>
      <c r="W9" s="5">
        <v>28.431372549019606</v>
      </c>
      <c r="X9" s="5">
        <v>1.2080808080804144</v>
      </c>
      <c r="Z9" s="45">
        <v>7</v>
      </c>
      <c r="AA9" s="5">
        <v>46</v>
      </c>
      <c r="AB9" s="5">
        <v>23.52941176470588</v>
      </c>
      <c r="AC9" s="5">
        <v>2.3264705882352943</v>
      </c>
      <c r="AE9" s="45">
        <v>7</v>
      </c>
      <c r="AF9" s="5">
        <v>16.100000000000001</v>
      </c>
      <c r="AG9" s="5">
        <v>19.607843137254903</v>
      </c>
      <c r="AH9" s="5">
        <v>0.6</v>
      </c>
      <c r="AJ9" s="45">
        <v>7</v>
      </c>
      <c r="AK9" s="5">
        <v>23.7</v>
      </c>
      <c r="AL9" s="5">
        <v>18.446601941747574</v>
      </c>
      <c r="AM9" s="5">
        <v>0.67864077669902922</v>
      </c>
      <c r="AO9" s="45">
        <v>7</v>
      </c>
      <c r="AP9" s="5">
        <v>80.099999999999994</v>
      </c>
      <c r="AQ9" s="5">
        <v>33.980582524271846</v>
      </c>
      <c r="AR9" s="5">
        <v>4.272815533980582</v>
      </c>
      <c r="AT9" s="45">
        <v>7</v>
      </c>
      <c r="AU9" s="5">
        <v>120.5</v>
      </c>
      <c r="AV9" s="5">
        <v>31.067961165048541</v>
      </c>
      <c r="AW9" s="5">
        <v>3.8126213592233009</v>
      </c>
      <c r="AY9" s="45">
        <v>7</v>
      </c>
      <c r="AZ9" s="5">
        <v>35.299999999999997</v>
      </c>
      <c r="BA9" s="5">
        <v>41.747572815533978</v>
      </c>
      <c r="BB9" s="5">
        <v>2.1902912621359221</v>
      </c>
      <c r="BD9" s="45">
        <v>7</v>
      </c>
      <c r="BE9" s="5">
        <v>66</v>
      </c>
      <c r="BF9" s="5">
        <v>60.194174757281552</v>
      </c>
      <c r="BG9" s="5">
        <v>5.4067961165048546</v>
      </c>
    </row>
    <row r="10" spans="1:59">
      <c r="A10" s="19">
        <v>8</v>
      </c>
      <c r="B10" s="5">
        <v>39</v>
      </c>
      <c r="C10" s="46">
        <v>60.784313725490193</v>
      </c>
      <c r="D10" s="5">
        <v>3.9333333333333358</v>
      </c>
      <c r="E10"/>
      <c r="F10" s="45">
        <v>8</v>
      </c>
      <c r="G10" s="5">
        <v>57.5</v>
      </c>
      <c r="H10" s="5">
        <v>51.960784313725497</v>
      </c>
      <c r="I10" s="5">
        <v>3.6215686274509817</v>
      </c>
      <c r="J10" s="46"/>
      <c r="K10" s="45">
        <v>8</v>
      </c>
      <c r="L10" s="5">
        <v>20</v>
      </c>
      <c r="M10" s="5">
        <v>46.078431372549019</v>
      </c>
      <c r="N10" s="5">
        <v>2.1137254901960785</v>
      </c>
      <c r="P10" s="45">
        <v>8</v>
      </c>
      <c r="Q10" s="5">
        <v>23</v>
      </c>
      <c r="R10" s="5">
        <v>40.196078431372548</v>
      </c>
      <c r="S10" s="5">
        <v>1.7313725490196075</v>
      </c>
      <c r="U10" s="45">
        <v>8</v>
      </c>
      <c r="V10" s="5">
        <v>18.899999999999999</v>
      </c>
      <c r="W10" s="5">
        <v>26.47058823529412</v>
      </c>
      <c r="X10" s="5">
        <v>1.1121212121210287</v>
      </c>
      <c r="Z10" s="45">
        <v>8</v>
      </c>
      <c r="AA10" s="5">
        <v>34.200000000000003</v>
      </c>
      <c r="AB10" s="5">
        <v>33.333333333333329</v>
      </c>
      <c r="AC10" s="5">
        <v>1.8049019607843133</v>
      </c>
      <c r="AE10" s="45">
        <v>8</v>
      </c>
      <c r="AF10" s="5">
        <v>41.7</v>
      </c>
      <c r="AG10" s="5">
        <v>16.666666666666664</v>
      </c>
      <c r="AH10" s="5">
        <v>0.96666666666666679</v>
      </c>
      <c r="AJ10" s="45">
        <v>8</v>
      </c>
      <c r="AK10" s="5">
        <v>88.7</v>
      </c>
      <c r="AL10" s="5">
        <v>13.592233009708737</v>
      </c>
      <c r="AM10" s="5">
        <v>1.6077669902912619</v>
      </c>
      <c r="AO10" s="45">
        <v>8</v>
      </c>
      <c r="AP10" s="5">
        <v>76.400000000000006</v>
      </c>
      <c r="AQ10" s="5">
        <v>29.126213592233007</v>
      </c>
      <c r="AR10" s="5">
        <v>3.330097087378642</v>
      </c>
      <c r="AT10" s="45">
        <v>8</v>
      </c>
      <c r="AU10" s="5">
        <v>91.2</v>
      </c>
      <c r="AV10" s="5">
        <v>34.95145631067961</v>
      </c>
      <c r="AW10" s="5">
        <v>3.1378640776699029</v>
      </c>
      <c r="AY10" s="45">
        <v>8</v>
      </c>
      <c r="AZ10" s="5">
        <v>23.6</v>
      </c>
      <c r="BA10" s="5">
        <v>44.660194174757287</v>
      </c>
      <c r="BB10" s="5">
        <v>1.9611650485436893</v>
      </c>
      <c r="BD10" s="45">
        <v>8</v>
      </c>
      <c r="BE10" s="5">
        <v>29.2</v>
      </c>
      <c r="BF10" s="5">
        <v>61.165048543689316</v>
      </c>
      <c r="BG10" s="5">
        <v>4.5504854368932035</v>
      </c>
    </row>
    <row r="11" spans="1:59">
      <c r="A11" s="19">
        <v>9</v>
      </c>
      <c r="B11" s="5">
        <v>37.4</v>
      </c>
      <c r="C11" s="46">
        <v>55.882352941176471</v>
      </c>
      <c r="D11" s="5">
        <v>3.839215686274509</v>
      </c>
      <c r="E11"/>
      <c r="F11" s="45">
        <v>9</v>
      </c>
      <c r="G11" s="5">
        <v>42.2</v>
      </c>
      <c r="H11" s="5">
        <v>53.921568627450981</v>
      </c>
      <c r="I11" s="5">
        <v>3.0725490196078433</v>
      </c>
      <c r="J11" s="46"/>
      <c r="K11" s="45">
        <v>9</v>
      </c>
      <c r="L11" s="5">
        <v>26.4</v>
      </c>
      <c r="M11" s="5">
        <v>49.019607843137251</v>
      </c>
      <c r="N11" s="5">
        <v>2.3343137254901958</v>
      </c>
      <c r="P11" s="45">
        <v>9</v>
      </c>
      <c r="Q11" s="5">
        <v>45</v>
      </c>
      <c r="R11" s="5">
        <v>42.156862745098039</v>
      </c>
      <c r="S11" s="5">
        <v>2.6480392156862749</v>
      </c>
      <c r="U11" s="45">
        <v>9</v>
      </c>
      <c r="V11" s="5">
        <v>11.4</v>
      </c>
      <c r="W11" s="5">
        <v>31.372549019607842</v>
      </c>
      <c r="X11" s="5">
        <v>0.77171717171696519</v>
      </c>
      <c r="Z11" s="45">
        <v>9</v>
      </c>
      <c r="AA11" s="5">
        <v>30.9</v>
      </c>
      <c r="AB11" s="5">
        <v>22.549019607843139</v>
      </c>
      <c r="AC11" s="5">
        <v>0.80980392156862735</v>
      </c>
      <c r="AE11" s="45">
        <v>9</v>
      </c>
      <c r="AF11" s="5">
        <v>67.5</v>
      </c>
      <c r="AG11" s="5">
        <v>18.627450980392158</v>
      </c>
      <c r="AH11" s="5">
        <v>2.1450980392156862</v>
      </c>
      <c r="AJ11" s="45">
        <v>9</v>
      </c>
      <c r="AK11" s="5">
        <v>8.8000000000000007</v>
      </c>
      <c r="AL11" s="5">
        <v>17.475728155339805</v>
      </c>
      <c r="AM11" s="5">
        <v>0.43398058252427196</v>
      </c>
      <c r="AO11" s="45">
        <v>9</v>
      </c>
      <c r="AP11" s="5">
        <v>78.2</v>
      </c>
      <c r="AQ11" s="5">
        <v>21.359223300970871</v>
      </c>
      <c r="AR11" s="5">
        <v>1.4533980582524273</v>
      </c>
      <c r="AT11" s="45">
        <v>9</v>
      </c>
      <c r="AU11" s="5">
        <v>42</v>
      </c>
      <c r="AV11" s="5">
        <v>35.922330097087382</v>
      </c>
      <c r="AW11" s="5">
        <v>1.8456310679611647</v>
      </c>
      <c r="AY11" s="45">
        <v>9</v>
      </c>
      <c r="AZ11" s="5">
        <v>39.5</v>
      </c>
      <c r="BA11" s="5">
        <v>45.631067961165051</v>
      </c>
      <c r="BB11" s="5">
        <v>3.116504854368932</v>
      </c>
      <c r="BD11" s="45">
        <v>9</v>
      </c>
      <c r="BE11" s="5">
        <v>58.5</v>
      </c>
      <c r="BF11" s="5">
        <v>57.28155339805825</v>
      </c>
      <c r="BG11" s="5">
        <v>5.776699029126215</v>
      </c>
    </row>
    <row r="12" spans="1:59">
      <c r="A12" s="19">
        <v>10</v>
      </c>
      <c r="B12" s="5">
        <v>46.8</v>
      </c>
      <c r="C12" s="46">
        <v>54.901960784313729</v>
      </c>
      <c r="D12" s="5">
        <v>4.7098039215686285</v>
      </c>
      <c r="E12"/>
      <c r="F12" s="45">
        <v>10</v>
      </c>
      <c r="G12" s="5">
        <v>45.6</v>
      </c>
      <c r="H12" s="5">
        <v>47.058823529411761</v>
      </c>
      <c r="I12" s="5">
        <v>3.2382352941176475</v>
      </c>
      <c r="J12" s="46"/>
      <c r="K12" s="45">
        <v>10</v>
      </c>
      <c r="L12" s="5">
        <v>33.5</v>
      </c>
      <c r="M12" s="5">
        <v>51.960784313725497</v>
      </c>
      <c r="N12" s="5">
        <v>3.0627450980392155</v>
      </c>
      <c r="P12" s="45">
        <v>10</v>
      </c>
      <c r="Q12" s="5">
        <v>17.5</v>
      </c>
      <c r="R12" s="5">
        <v>36.274509803921568</v>
      </c>
      <c r="S12" s="5">
        <v>1.4294117647058822</v>
      </c>
      <c r="U12" s="45">
        <v>10</v>
      </c>
      <c r="V12" s="5">
        <v>36.4</v>
      </c>
      <c r="W12" s="5">
        <v>26.47058823529412</v>
      </c>
      <c r="X12" s="5">
        <v>1.0171717171718899</v>
      </c>
      <c r="Z12" s="45">
        <v>10</v>
      </c>
      <c r="AA12" s="5">
        <v>49</v>
      </c>
      <c r="AB12" s="5">
        <v>28.431372549019606</v>
      </c>
      <c r="AC12" s="5">
        <v>1.2705882352941174</v>
      </c>
      <c r="AE12" s="45">
        <v>10</v>
      </c>
      <c r="AF12" s="5">
        <v>22.3</v>
      </c>
      <c r="AG12" s="5">
        <v>15.686274509803921</v>
      </c>
      <c r="AH12" s="5">
        <v>1.0774509803921566</v>
      </c>
      <c r="AJ12" s="45">
        <v>10</v>
      </c>
      <c r="AK12" s="5">
        <v>30.9</v>
      </c>
      <c r="AL12" s="5">
        <v>21.359223300970871</v>
      </c>
      <c r="AM12" s="5">
        <v>1.4922330097087377</v>
      </c>
      <c r="AO12" s="45">
        <v>10</v>
      </c>
      <c r="AP12" s="5">
        <v>123</v>
      </c>
      <c r="AQ12" s="5">
        <v>27.184466019417474</v>
      </c>
      <c r="AR12" s="5">
        <v>4.4902912621359228</v>
      </c>
      <c r="AT12" s="45">
        <v>10</v>
      </c>
      <c r="AU12" s="5">
        <v>53</v>
      </c>
      <c r="AV12" s="5">
        <v>40.776699029126213</v>
      </c>
      <c r="AW12" s="5">
        <v>3.1067961165048539</v>
      </c>
      <c r="AY12" s="45">
        <v>10</v>
      </c>
      <c r="AZ12" s="5">
        <v>47.5</v>
      </c>
      <c r="BA12" s="5">
        <v>39.805825242718448</v>
      </c>
      <c r="BB12" s="5">
        <v>3.0854368932038847</v>
      </c>
      <c r="BD12" s="45">
        <v>10</v>
      </c>
      <c r="BE12" s="5">
        <v>28.5</v>
      </c>
      <c r="BF12" s="5">
        <v>58.252427184466015</v>
      </c>
      <c r="BG12" s="5">
        <v>3.1029126213592226</v>
      </c>
    </row>
    <row r="13" spans="1:59">
      <c r="A13" s="19">
        <v>11</v>
      </c>
      <c r="B13" s="5">
        <v>35.5</v>
      </c>
      <c r="C13" s="46">
        <v>55.882352941176471</v>
      </c>
      <c r="D13" s="5">
        <v>3.2990196078431371</v>
      </c>
      <c r="E13"/>
      <c r="F13" s="45">
        <v>11</v>
      </c>
      <c r="G13" s="5">
        <v>31</v>
      </c>
      <c r="H13" s="5">
        <v>48.03921568627451</v>
      </c>
      <c r="I13" s="5">
        <v>2.9264705882352939</v>
      </c>
      <c r="J13" s="46"/>
      <c r="K13" s="45">
        <v>11</v>
      </c>
      <c r="L13" s="5">
        <v>27.6</v>
      </c>
      <c r="M13" s="5">
        <v>50</v>
      </c>
      <c r="N13" s="5">
        <v>2.8117647058823523</v>
      </c>
      <c r="P13" s="45">
        <v>11</v>
      </c>
      <c r="Q13" s="5">
        <v>30.6</v>
      </c>
      <c r="R13" s="5">
        <v>39.215686274509807</v>
      </c>
      <c r="S13" s="5">
        <v>1.723529411764706</v>
      </c>
      <c r="U13" s="45">
        <v>11</v>
      </c>
      <c r="V13" s="5">
        <v>84</v>
      </c>
      <c r="W13" s="5">
        <v>31.372549019607842</v>
      </c>
      <c r="X13" s="5">
        <v>1.8848484848484934</v>
      </c>
      <c r="Z13" s="45">
        <v>11</v>
      </c>
      <c r="AA13" s="5">
        <v>48.6</v>
      </c>
      <c r="AB13" s="5">
        <v>21.568627450980394</v>
      </c>
      <c r="AC13" s="5">
        <v>1.4970588235294116</v>
      </c>
      <c r="AE13" s="45">
        <v>11</v>
      </c>
      <c r="AF13" s="5">
        <v>59</v>
      </c>
      <c r="AG13" s="5">
        <v>8.8235294117647065</v>
      </c>
      <c r="AH13" s="5">
        <v>0.74019607843137258</v>
      </c>
      <c r="AJ13" s="45">
        <v>11</v>
      </c>
      <c r="AK13" s="5">
        <v>77.5</v>
      </c>
      <c r="AL13" s="5">
        <v>16.50485436893204</v>
      </c>
      <c r="AM13" s="5">
        <v>2.1951456310679616</v>
      </c>
      <c r="AO13" s="45">
        <v>11</v>
      </c>
      <c r="AP13" s="5">
        <v>27</v>
      </c>
      <c r="AQ13" s="5">
        <v>28.155339805825243</v>
      </c>
      <c r="AR13" s="5">
        <v>1.6019417475728153</v>
      </c>
      <c r="AT13" s="45">
        <v>11</v>
      </c>
      <c r="AU13" s="5">
        <v>47.9</v>
      </c>
      <c r="AV13" s="5">
        <v>34.95145631067961</v>
      </c>
      <c r="AW13" s="5">
        <v>2.5815533980582526</v>
      </c>
      <c r="AY13" s="45">
        <v>11</v>
      </c>
      <c r="AZ13" s="5">
        <v>55.5</v>
      </c>
      <c r="BA13" s="5">
        <v>42.718446601941743</v>
      </c>
      <c r="BB13" s="5">
        <v>3.2572815533980592</v>
      </c>
      <c r="BD13" s="45">
        <v>11</v>
      </c>
      <c r="BE13" s="5">
        <v>47.2</v>
      </c>
      <c r="BF13" s="5">
        <v>57.28155339805825</v>
      </c>
      <c r="BG13" s="5">
        <v>4.1252427184466018</v>
      </c>
    </row>
    <row r="14" spans="1:59">
      <c r="A14" s="19">
        <v>12</v>
      </c>
      <c r="B14" s="5">
        <v>27.1</v>
      </c>
      <c r="C14" s="46">
        <v>51.960784313725497</v>
      </c>
      <c r="D14" s="5">
        <v>2.6921568627450982</v>
      </c>
      <c r="E14"/>
      <c r="F14" s="45">
        <v>12</v>
      </c>
      <c r="G14" s="5">
        <v>30.3</v>
      </c>
      <c r="H14" s="5">
        <v>49.019607843137251</v>
      </c>
      <c r="I14" s="5">
        <v>2.649999999999999</v>
      </c>
      <c r="J14" s="46"/>
      <c r="K14" s="45">
        <v>12</v>
      </c>
      <c r="L14" s="5">
        <v>31</v>
      </c>
      <c r="M14" s="5">
        <v>46.078431372549019</v>
      </c>
      <c r="N14" s="5">
        <v>2.4578431372549021</v>
      </c>
      <c r="P14" s="45">
        <v>12</v>
      </c>
      <c r="Q14" s="5">
        <v>24.8</v>
      </c>
      <c r="R14" s="5">
        <v>38.235294117647058</v>
      </c>
      <c r="S14" s="5">
        <v>1.6519607843137254</v>
      </c>
      <c r="U14" s="45">
        <v>12</v>
      </c>
      <c r="V14" s="5">
        <v>15.8</v>
      </c>
      <c r="W14" s="5">
        <v>31.372549019607842</v>
      </c>
      <c r="X14" s="5">
        <v>1.2747474747474006</v>
      </c>
      <c r="Z14" s="45">
        <v>12</v>
      </c>
      <c r="AA14" s="5">
        <v>25.6</v>
      </c>
      <c r="AB14" s="5">
        <v>25.490196078431371</v>
      </c>
      <c r="AC14" s="5">
        <v>1.5303921568627448</v>
      </c>
      <c r="AE14" s="45">
        <v>12</v>
      </c>
      <c r="AF14" s="5">
        <v>45.5</v>
      </c>
      <c r="AG14" s="5">
        <v>19.607843137254903</v>
      </c>
      <c r="AH14" s="5">
        <v>1.2117647058823531</v>
      </c>
      <c r="AJ14" s="45">
        <v>12</v>
      </c>
      <c r="AK14" s="5">
        <v>38.9</v>
      </c>
      <c r="AL14" s="5">
        <v>14.563106796116504</v>
      </c>
      <c r="AM14" s="5">
        <v>1.1990291262135919</v>
      </c>
      <c r="AO14" s="45">
        <v>12</v>
      </c>
      <c r="AP14" s="5">
        <v>30.9</v>
      </c>
      <c r="AQ14" s="5">
        <v>25.242718446601941</v>
      </c>
      <c r="AR14" s="5">
        <v>1.2747572815533978</v>
      </c>
      <c r="AT14" s="45">
        <v>12</v>
      </c>
      <c r="AU14" s="5">
        <v>27.4</v>
      </c>
      <c r="AV14" s="5">
        <v>42.718446601941743</v>
      </c>
      <c r="AW14" s="5">
        <v>2.4990291262135909</v>
      </c>
      <c r="AY14" s="45">
        <v>12</v>
      </c>
      <c r="AZ14" s="5">
        <v>37.6</v>
      </c>
      <c r="BA14" s="5">
        <v>49.514563106796118</v>
      </c>
      <c r="BB14" s="5">
        <v>2.2699029126213595</v>
      </c>
      <c r="BD14" s="45">
        <v>12</v>
      </c>
      <c r="BE14" s="5">
        <v>44.3</v>
      </c>
      <c r="BF14" s="5">
        <v>65.048543689320397</v>
      </c>
      <c r="BG14" s="5">
        <v>5.3203883495145643</v>
      </c>
    </row>
    <row r="15" spans="1:59">
      <c r="A15" s="19">
        <v>13</v>
      </c>
      <c r="B15" s="5">
        <v>31.3</v>
      </c>
      <c r="C15" s="46">
        <v>61.764705882352942</v>
      </c>
      <c r="D15" s="5">
        <v>3.6862745098039209</v>
      </c>
      <c r="E15"/>
      <c r="F15" s="45">
        <v>13</v>
      </c>
      <c r="G15" s="5">
        <v>19.100000000000001</v>
      </c>
      <c r="H15" s="5">
        <v>54.901960784313729</v>
      </c>
      <c r="I15" s="5">
        <v>2.6333333333333337</v>
      </c>
      <c r="J15" s="46"/>
      <c r="K15" s="45">
        <v>13</v>
      </c>
      <c r="L15" s="5">
        <v>16.899999999999999</v>
      </c>
      <c r="M15" s="5">
        <v>44.117647058823529</v>
      </c>
      <c r="N15" s="5">
        <v>1.8421568627450982</v>
      </c>
      <c r="P15" s="45">
        <v>13</v>
      </c>
      <c r="Q15" s="5">
        <v>19</v>
      </c>
      <c r="R15" s="5">
        <v>40.196078431372548</v>
      </c>
      <c r="S15" s="5">
        <v>1.8117647058823523</v>
      </c>
      <c r="U15" s="45">
        <v>13</v>
      </c>
      <c r="V15" s="5">
        <v>15.5</v>
      </c>
      <c r="W15" s="5">
        <v>37.254901960784316</v>
      </c>
      <c r="X15" s="5">
        <v>1.3575757575753775</v>
      </c>
      <c r="Z15" s="45">
        <v>13</v>
      </c>
      <c r="AA15" s="5">
        <v>26.8</v>
      </c>
      <c r="AB15" s="5">
        <v>17.647058823529413</v>
      </c>
      <c r="AC15" s="5">
        <v>0.8715686274509804</v>
      </c>
      <c r="AE15" s="45">
        <v>13</v>
      </c>
      <c r="AF15" s="5">
        <v>30.9</v>
      </c>
      <c r="AG15" s="5">
        <v>15.686274509803921</v>
      </c>
      <c r="AH15" s="5">
        <v>1.3333333333333333</v>
      </c>
      <c r="AJ15" s="45">
        <v>13</v>
      </c>
      <c r="AK15" s="5">
        <v>49.5</v>
      </c>
      <c r="AL15" s="5">
        <v>17.475728155339805</v>
      </c>
      <c r="AM15" s="5">
        <v>1.6300970873786411</v>
      </c>
      <c r="AO15" s="45">
        <v>13</v>
      </c>
      <c r="AP15" s="5">
        <v>23.8</v>
      </c>
      <c r="AQ15" s="5">
        <v>26.21359223300971</v>
      </c>
      <c r="AR15" s="5">
        <v>1.4213592233009706</v>
      </c>
      <c r="AT15" s="45">
        <v>13</v>
      </c>
      <c r="AU15" s="5">
        <v>117</v>
      </c>
      <c r="AV15" s="5">
        <v>44.660194174757287</v>
      </c>
      <c r="AW15" s="5">
        <v>5.7533980582524276</v>
      </c>
      <c r="AY15" s="45">
        <v>13</v>
      </c>
      <c r="AZ15" s="5">
        <v>37.5</v>
      </c>
      <c r="BA15" s="5">
        <v>42.718446601941743</v>
      </c>
      <c r="BB15" s="5">
        <v>3.0271844660194183</v>
      </c>
      <c r="BD15" s="45">
        <v>13</v>
      </c>
      <c r="BE15" s="5">
        <v>30</v>
      </c>
      <c r="BF15" s="5">
        <v>59.22330097087378</v>
      </c>
      <c r="BG15" s="5">
        <v>3.9941747572815536</v>
      </c>
    </row>
    <row r="16" spans="1:59">
      <c r="A16" s="19">
        <v>14</v>
      </c>
      <c r="B16" s="5">
        <v>24.1</v>
      </c>
      <c r="C16" s="46">
        <v>56.862745098039213</v>
      </c>
      <c r="D16" s="5">
        <v>3.0901960784313718</v>
      </c>
      <c r="E16"/>
      <c r="F16" s="45">
        <v>14</v>
      </c>
      <c r="G16" s="5">
        <v>51.1</v>
      </c>
      <c r="H16" s="5">
        <v>55.882352941176471</v>
      </c>
      <c r="I16" s="5">
        <v>3.8225490196078442</v>
      </c>
      <c r="J16" s="46"/>
      <c r="K16" s="45">
        <v>14</v>
      </c>
      <c r="L16" s="5">
        <v>21.4</v>
      </c>
      <c r="M16" s="5">
        <v>48.03921568627451</v>
      </c>
      <c r="N16" s="5">
        <v>1.8294117647058821</v>
      </c>
      <c r="P16" s="45">
        <v>14</v>
      </c>
      <c r="Q16" s="5">
        <v>36.5</v>
      </c>
      <c r="R16" s="5">
        <v>37.254901960784316</v>
      </c>
      <c r="S16" s="5">
        <v>1.5617647058823529</v>
      </c>
      <c r="U16" s="45">
        <v>14</v>
      </c>
      <c r="V16" s="5">
        <v>25.2</v>
      </c>
      <c r="W16" s="5">
        <v>30.392156862745097</v>
      </c>
      <c r="X16" s="5">
        <v>1.36161616161605</v>
      </c>
      <c r="Z16" s="45">
        <v>14</v>
      </c>
      <c r="AA16" s="5">
        <v>27.4</v>
      </c>
      <c r="AB16" s="5">
        <v>19.607843137254903</v>
      </c>
      <c r="AC16" s="5">
        <v>1.1078431372549018</v>
      </c>
      <c r="AE16" s="45">
        <v>14</v>
      </c>
      <c r="AF16" s="5">
        <v>9.6999999999999993</v>
      </c>
      <c r="AG16" s="5">
        <v>11.76470588235294</v>
      </c>
      <c r="AH16" s="5">
        <v>0.37941176470588234</v>
      </c>
      <c r="AJ16" s="45">
        <v>14</v>
      </c>
      <c r="AK16" s="5">
        <v>84</v>
      </c>
      <c r="AL16" s="5">
        <v>12.621359223300971</v>
      </c>
      <c r="AM16" s="5">
        <v>1.2776699029126213</v>
      </c>
      <c r="AO16" s="45">
        <v>14</v>
      </c>
      <c r="AP16" s="5">
        <v>77.8</v>
      </c>
      <c r="AQ16" s="5">
        <v>28.155339805825243</v>
      </c>
      <c r="AR16" s="5">
        <v>3.055339805825243</v>
      </c>
      <c r="AT16" s="45">
        <v>14</v>
      </c>
      <c r="AU16" s="5">
        <v>44.5</v>
      </c>
      <c r="AV16" s="5">
        <v>41.747572815533978</v>
      </c>
      <c r="AW16" s="5">
        <v>3.1611650485436891</v>
      </c>
      <c r="AY16" s="45">
        <v>14</v>
      </c>
      <c r="AZ16" s="5">
        <v>40.5</v>
      </c>
      <c r="BA16" s="5">
        <v>43.689320388349515</v>
      </c>
      <c r="BB16" s="5">
        <v>3.3834951456310676</v>
      </c>
      <c r="BD16" s="45">
        <v>14</v>
      </c>
      <c r="BE16" s="5">
        <v>48</v>
      </c>
      <c r="BF16" s="5">
        <v>56.310679611650485</v>
      </c>
      <c r="BG16" s="5">
        <v>3.9048543689320399</v>
      </c>
    </row>
    <row r="17" spans="1:59">
      <c r="A17" s="19">
        <v>15</v>
      </c>
      <c r="B17" s="5">
        <v>25.1</v>
      </c>
      <c r="C17" s="46">
        <v>63.725490196078425</v>
      </c>
      <c r="D17" s="5">
        <v>3.5990196078431369</v>
      </c>
      <c r="E17"/>
      <c r="F17" s="45">
        <v>15</v>
      </c>
      <c r="G17" s="5">
        <v>55.1</v>
      </c>
      <c r="H17" s="5">
        <v>59.803921568627452</v>
      </c>
      <c r="I17" s="5">
        <v>3.0303921568627463</v>
      </c>
      <c r="J17" s="46"/>
      <c r="K17" s="45">
        <v>15</v>
      </c>
      <c r="L17" s="5">
        <v>39.299999999999997</v>
      </c>
      <c r="M17" s="5">
        <v>45.098039215686278</v>
      </c>
      <c r="N17" s="5">
        <v>2.4323529411764704</v>
      </c>
      <c r="P17" s="45">
        <v>15</v>
      </c>
      <c r="Q17" s="5">
        <v>23</v>
      </c>
      <c r="R17" s="5">
        <v>48.03921568627451</v>
      </c>
      <c r="S17" s="5">
        <v>2.0333333333333328</v>
      </c>
      <c r="U17" s="45">
        <v>15</v>
      </c>
      <c r="V17" s="5">
        <v>19.399999999999999</v>
      </c>
      <c r="W17" s="5">
        <v>28.431372549019606</v>
      </c>
      <c r="X17" s="5">
        <v>1.1393939393935888</v>
      </c>
      <c r="Z17" s="45">
        <v>15</v>
      </c>
      <c r="AA17" s="5">
        <v>32.4</v>
      </c>
      <c r="AB17" s="5">
        <v>17.647058823529413</v>
      </c>
      <c r="AC17" s="5">
        <v>0.91176470588235292</v>
      </c>
      <c r="AE17" s="45">
        <v>15</v>
      </c>
      <c r="AF17" s="5">
        <v>27</v>
      </c>
      <c r="AG17" s="5">
        <v>18.627450980392158</v>
      </c>
      <c r="AH17" s="5">
        <v>0.75098039215686274</v>
      </c>
      <c r="AJ17" s="45">
        <v>15</v>
      </c>
      <c r="AK17" s="5">
        <v>2.8</v>
      </c>
      <c r="AL17" s="5">
        <v>12.621359223300971</v>
      </c>
      <c r="AM17" s="5">
        <v>0.1174757281553398</v>
      </c>
      <c r="AO17" s="45">
        <v>15</v>
      </c>
      <c r="AP17" s="5">
        <v>79.900000000000006</v>
      </c>
      <c r="AQ17" s="5">
        <v>26.21359223300971</v>
      </c>
      <c r="AR17" s="5">
        <v>3.0582524271844673</v>
      </c>
      <c r="AT17" s="45">
        <v>15</v>
      </c>
      <c r="AU17" s="5">
        <v>111.8</v>
      </c>
      <c r="AV17" s="5">
        <v>39.805825242718448</v>
      </c>
      <c r="AW17" s="5">
        <v>5.1514563106796123</v>
      </c>
      <c r="AY17" s="45">
        <v>15</v>
      </c>
      <c r="AZ17" s="5">
        <v>60.2</v>
      </c>
      <c r="BA17" s="5">
        <v>51.456310679611647</v>
      </c>
      <c r="BB17" s="5">
        <v>3.1475728155339815</v>
      </c>
      <c r="BD17" s="45">
        <v>15</v>
      </c>
      <c r="BE17" s="5">
        <v>36.700000000000003</v>
      </c>
      <c r="BF17" s="5">
        <v>56.310679611650485</v>
      </c>
      <c r="BG17" s="5">
        <v>4.463106796116505</v>
      </c>
    </row>
    <row r="18" spans="1:59">
      <c r="A18" s="19">
        <v>16</v>
      </c>
      <c r="B18" s="5">
        <v>32.700000000000003</v>
      </c>
      <c r="C18" s="46">
        <v>58.82352941176471</v>
      </c>
      <c r="D18" s="5">
        <v>4.2294117647058824</v>
      </c>
      <c r="E18"/>
      <c r="F18" s="45">
        <v>16</v>
      </c>
      <c r="G18" s="5">
        <v>86.9</v>
      </c>
      <c r="H18" s="5">
        <v>58.82352941176471</v>
      </c>
      <c r="I18" s="5">
        <v>3.6588235294117646</v>
      </c>
      <c r="J18" s="46"/>
      <c r="K18" s="45">
        <v>16</v>
      </c>
      <c r="L18" s="5">
        <v>39.5</v>
      </c>
      <c r="M18" s="5">
        <v>50.980392156862742</v>
      </c>
      <c r="N18" s="5">
        <v>3.0441176470588234</v>
      </c>
      <c r="P18" s="45">
        <v>16</v>
      </c>
      <c r="Q18" s="5">
        <v>40.799999999999997</v>
      </c>
      <c r="R18" s="5">
        <v>45.098039215686278</v>
      </c>
      <c r="S18" s="5">
        <v>2.5852941176470581</v>
      </c>
      <c r="U18" s="45">
        <v>16</v>
      </c>
      <c r="V18" s="5">
        <v>27</v>
      </c>
      <c r="W18" s="5">
        <v>26.47058823529412</v>
      </c>
      <c r="X18" s="5">
        <v>0.88484848484838319</v>
      </c>
      <c r="Z18" s="45">
        <v>16</v>
      </c>
      <c r="AA18" s="5">
        <v>28</v>
      </c>
      <c r="AB18" s="5">
        <v>20.588235294117645</v>
      </c>
      <c r="AC18" s="5">
        <v>0.98627450980392151</v>
      </c>
      <c r="AE18" s="45">
        <v>16</v>
      </c>
      <c r="AF18" s="5">
        <v>20.7</v>
      </c>
      <c r="AG18" s="5">
        <v>8.8235294117647065</v>
      </c>
      <c r="AH18" s="5">
        <v>0.45980392156862743</v>
      </c>
      <c r="AJ18" s="45">
        <v>16</v>
      </c>
      <c r="AK18" s="5">
        <v>41.6</v>
      </c>
      <c r="AL18" s="5">
        <v>13.592233009708737</v>
      </c>
      <c r="AM18" s="5">
        <v>0.64174757281553396</v>
      </c>
      <c r="AO18" s="45">
        <v>16</v>
      </c>
      <c r="AP18" s="5">
        <v>25.2</v>
      </c>
      <c r="AQ18" s="5">
        <v>27.184466019417474</v>
      </c>
      <c r="AR18" s="5">
        <v>1.1291262135922331</v>
      </c>
      <c r="AT18" s="45">
        <v>16</v>
      </c>
      <c r="AU18" s="5">
        <v>103.7</v>
      </c>
      <c r="AV18" s="5">
        <v>41.747572815533978</v>
      </c>
      <c r="AW18" s="5">
        <v>3.9466019417475726</v>
      </c>
      <c r="AY18" s="45">
        <v>16</v>
      </c>
      <c r="AZ18" s="5">
        <v>94.2</v>
      </c>
      <c r="BA18" s="5">
        <v>53.398058252427184</v>
      </c>
      <c r="BB18" s="5">
        <v>3.9854368932038842</v>
      </c>
      <c r="BD18" s="45">
        <v>16</v>
      </c>
      <c r="BE18" s="5">
        <v>50.6</v>
      </c>
      <c r="BF18" s="5">
        <v>59.22330097087378</v>
      </c>
      <c r="BG18" s="5">
        <v>5.4097087378640785</v>
      </c>
    </row>
    <row r="19" spans="1:59">
      <c r="A19" s="19">
        <v>17</v>
      </c>
      <c r="B19" s="5">
        <v>38.6</v>
      </c>
      <c r="C19" s="46">
        <v>56.862745098039213</v>
      </c>
      <c r="D19" s="5">
        <v>2.8539215686274519</v>
      </c>
      <c r="E19"/>
      <c r="F19" s="45">
        <v>17</v>
      </c>
      <c r="G19" s="5">
        <v>29.6</v>
      </c>
      <c r="H19" s="5">
        <v>50.980392156862742</v>
      </c>
      <c r="I19" s="5">
        <v>3.6990196078431379</v>
      </c>
      <c r="J19" s="46"/>
      <c r="K19" s="45">
        <v>17</v>
      </c>
      <c r="L19" s="5">
        <v>41.3</v>
      </c>
      <c r="M19" s="5">
        <v>52.941176470588239</v>
      </c>
      <c r="N19" s="5">
        <v>3.2039215686274511</v>
      </c>
      <c r="P19" s="45">
        <v>17</v>
      </c>
      <c r="Q19" s="5">
        <v>37</v>
      </c>
      <c r="R19" s="5">
        <v>41.17647058823529</v>
      </c>
      <c r="S19" s="5">
        <v>1.8019607843137253</v>
      </c>
      <c r="U19" s="45">
        <v>17</v>
      </c>
      <c r="V19" s="5">
        <v>24</v>
      </c>
      <c r="W19" s="5">
        <v>27.450980392156865</v>
      </c>
      <c r="X19" s="5">
        <v>1.42828282828246</v>
      </c>
      <c r="Z19" s="45">
        <v>17</v>
      </c>
      <c r="AA19" s="5">
        <v>12.9</v>
      </c>
      <c r="AB19" s="5">
        <v>21.568627450980394</v>
      </c>
      <c r="AC19" s="5">
        <v>0.49411764705882366</v>
      </c>
      <c r="AE19" s="45">
        <v>17</v>
      </c>
      <c r="AF19" s="5">
        <v>13.6</v>
      </c>
      <c r="AG19" s="5">
        <v>9.8039215686274517</v>
      </c>
      <c r="AH19" s="5">
        <v>0.30784313725490198</v>
      </c>
      <c r="AJ19" s="45">
        <v>17</v>
      </c>
      <c r="AK19" s="5">
        <v>56.3</v>
      </c>
      <c r="AL19" s="5">
        <v>13.592233009708737</v>
      </c>
      <c r="AM19" s="5">
        <v>0.99126213592233015</v>
      </c>
      <c r="AO19" s="45">
        <v>17</v>
      </c>
      <c r="AP19" s="5">
        <v>44</v>
      </c>
      <c r="AQ19" s="5">
        <v>19.417475728155338</v>
      </c>
      <c r="AR19" s="5">
        <v>0.8087378640776699</v>
      </c>
      <c r="AT19" s="45">
        <v>17</v>
      </c>
      <c r="AU19" s="5">
        <v>51.5</v>
      </c>
      <c r="AV19" s="5">
        <v>42.718446601941743</v>
      </c>
      <c r="AW19" s="5">
        <v>3.1864077669902913</v>
      </c>
      <c r="AY19" s="45">
        <v>17</v>
      </c>
      <c r="AZ19" s="5">
        <v>68.099999999999994</v>
      </c>
      <c r="BA19" s="5">
        <v>49.514563106796118</v>
      </c>
      <c r="BB19" s="5">
        <v>3.7378640776699044</v>
      </c>
      <c r="BD19" s="45">
        <v>17</v>
      </c>
      <c r="BE19" s="5">
        <v>67</v>
      </c>
      <c r="BF19" s="5">
        <v>57.28155339805825</v>
      </c>
      <c r="BG19" s="5">
        <v>5.1310679611650487</v>
      </c>
    </row>
    <row r="20" spans="1:59">
      <c r="A20" s="19">
        <v>18</v>
      </c>
      <c r="B20" s="5">
        <v>25.5</v>
      </c>
      <c r="C20" s="46">
        <v>57.843137254901968</v>
      </c>
      <c r="D20" s="5">
        <v>2.7803921568627445</v>
      </c>
      <c r="E20"/>
      <c r="F20" s="45">
        <v>18</v>
      </c>
      <c r="G20" s="5">
        <v>26.4</v>
      </c>
      <c r="H20" s="5">
        <v>50.980392156862742</v>
      </c>
      <c r="I20" s="5">
        <v>2.5784313725490189</v>
      </c>
      <c r="J20" s="46"/>
      <c r="K20" s="45">
        <v>18</v>
      </c>
      <c r="L20" s="5">
        <v>53</v>
      </c>
      <c r="M20" s="5">
        <v>46.078431372549019</v>
      </c>
      <c r="N20" s="5">
        <v>2.2362745098039216</v>
      </c>
      <c r="P20" s="45">
        <v>18</v>
      </c>
      <c r="Q20" s="5">
        <v>40.5</v>
      </c>
      <c r="R20" s="5">
        <v>37.254901960784316</v>
      </c>
      <c r="S20" s="5">
        <v>2.2568627450980392</v>
      </c>
      <c r="U20" s="45">
        <v>18</v>
      </c>
      <c r="V20" s="5">
        <v>24.6</v>
      </c>
      <c r="W20" s="5">
        <v>27.450980392156865</v>
      </c>
      <c r="X20" s="5">
        <v>0.86262626262606357</v>
      </c>
      <c r="Z20" s="45">
        <v>18</v>
      </c>
      <c r="AA20" s="5">
        <v>57</v>
      </c>
      <c r="AB20" s="5">
        <v>19.607843137254903</v>
      </c>
      <c r="AC20" s="5">
        <v>1.3852941176470586</v>
      </c>
      <c r="AE20" s="45">
        <v>18</v>
      </c>
      <c r="AF20" s="5">
        <v>6</v>
      </c>
      <c r="AG20" s="5">
        <v>8.8235294117647065</v>
      </c>
      <c r="AH20" s="5">
        <v>0.28823529411764709</v>
      </c>
      <c r="AJ20" s="45">
        <v>18</v>
      </c>
      <c r="AK20" s="5">
        <v>43.8</v>
      </c>
      <c r="AL20" s="5">
        <v>10.679611650485436</v>
      </c>
      <c r="AM20" s="5">
        <v>0.81747572815533986</v>
      </c>
      <c r="AO20" s="45">
        <v>18</v>
      </c>
      <c r="AP20" s="5">
        <v>19.600000000000001</v>
      </c>
      <c r="AQ20" s="5">
        <v>21.359223300970871</v>
      </c>
      <c r="AR20" s="5">
        <v>1.1145631067961166</v>
      </c>
      <c r="AT20" s="45">
        <v>18</v>
      </c>
      <c r="AU20" s="5">
        <v>36.799999999999997</v>
      </c>
      <c r="AV20" s="5">
        <v>33.009708737864081</v>
      </c>
      <c r="AW20" s="5">
        <v>2.2902912621359226</v>
      </c>
      <c r="AY20" s="45">
        <v>18</v>
      </c>
      <c r="AZ20" s="5">
        <v>45</v>
      </c>
      <c r="BA20" s="5">
        <v>50.485436893203882</v>
      </c>
      <c r="BB20" s="5">
        <v>3.2087378640776687</v>
      </c>
      <c r="BD20" s="45">
        <v>18</v>
      </c>
      <c r="BE20" s="5">
        <v>58.2</v>
      </c>
      <c r="BF20" s="5">
        <v>58.252427184466015</v>
      </c>
      <c r="BG20" s="5">
        <v>4.8640776699029118</v>
      </c>
    </row>
    <row r="21" spans="1:59">
      <c r="A21" s="19">
        <v>19</v>
      </c>
      <c r="B21" s="5">
        <v>33</v>
      </c>
      <c r="C21" s="46">
        <v>58.82352941176471</v>
      </c>
      <c r="D21" s="5">
        <v>3.6166666666666654</v>
      </c>
      <c r="E21"/>
      <c r="F21" s="45">
        <v>19</v>
      </c>
      <c r="G21" s="5">
        <v>19.100000000000001</v>
      </c>
      <c r="H21" s="5">
        <v>47.058823529411761</v>
      </c>
      <c r="I21" s="5">
        <v>1.7735294117647054</v>
      </c>
      <c r="J21" s="46"/>
      <c r="K21" s="45">
        <v>19</v>
      </c>
      <c r="L21" s="5">
        <v>25.2</v>
      </c>
      <c r="M21" s="5">
        <v>47.058823529411761</v>
      </c>
      <c r="N21" s="5">
        <v>1.6372549019607838</v>
      </c>
      <c r="P21" s="45">
        <v>19</v>
      </c>
      <c r="Q21" s="5">
        <v>41.2</v>
      </c>
      <c r="R21" s="5">
        <v>41.17647058823529</v>
      </c>
      <c r="S21" s="5">
        <v>2.1607843137254901</v>
      </c>
      <c r="U21" s="45">
        <v>19</v>
      </c>
      <c r="V21" s="5">
        <v>21.1</v>
      </c>
      <c r="W21" s="5">
        <v>29.411764705882355</v>
      </c>
      <c r="X21" s="5">
        <v>0.95272727272719304</v>
      </c>
      <c r="Z21" s="45">
        <v>19</v>
      </c>
      <c r="AA21" s="5">
        <v>30.5</v>
      </c>
      <c r="AB21" s="5">
        <v>18.627450980392158</v>
      </c>
      <c r="AC21" s="5">
        <v>0.58235294117647063</v>
      </c>
      <c r="AE21" s="45">
        <v>19</v>
      </c>
      <c r="AF21" s="5">
        <v>9.1999999999999993</v>
      </c>
      <c r="AG21" s="5">
        <v>7.8431372549019605</v>
      </c>
      <c r="AH21" s="5">
        <v>0.18235294117647052</v>
      </c>
      <c r="AJ21" s="45">
        <v>19</v>
      </c>
      <c r="AK21" s="5">
        <v>47</v>
      </c>
      <c r="AL21" s="5">
        <v>13.592233009708737</v>
      </c>
      <c r="AM21" s="5">
        <v>1.5689320388349515</v>
      </c>
      <c r="AO21" s="45">
        <v>19</v>
      </c>
      <c r="AP21" s="5">
        <v>33</v>
      </c>
      <c r="AQ21" s="5">
        <v>26.21359223300971</v>
      </c>
      <c r="AR21" s="5">
        <v>1.5805825242718448</v>
      </c>
      <c r="AT21" s="45">
        <v>19</v>
      </c>
      <c r="AU21" s="5">
        <v>45.2</v>
      </c>
      <c r="AV21" s="5">
        <v>41.747572815533978</v>
      </c>
      <c r="AW21" s="5">
        <v>3.6786407766990301</v>
      </c>
      <c r="AY21" s="45">
        <v>19</v>
      </c>
      <c r="AZ21" s="5">
        <v>61</v>
      </c>
      <c r="BA21" s="5">
        <v>51.456310679611647</v>
      </c>
      <c r="BB21" s="5">
        <v>5.0902912621359233</v>
      </c>
      <c r="BD21" s="45">
        <v>19</v>
      </c>
      <c r="BE21" s="5">
        <v>28.8</v>
      </c>
      <c r="BF21" s="5">
        <v>64.077669902912632</v>
      </c>
      <c r="BG21" s="5">
        <v>3.1184466019417476</v>
      </c>
    </row>
    <row r="22" spans="1:59">
      <c r="A22" s="19">
        <v>20</v>
      </c>
      <c r="B22" s="5">
        <v>32.4</v>
      </c>
      <c r="C22" s="46">
        <v>59.803921568627452</v>
      </c>
      <c r="D22" s="5">
        <v>3.0078431372549019</v>
      </c>
      <c r="E22"/>
      <c r="F22" s="45">
        <v>20</v>
      </c>
      <c r="G22" s="5">
        <v>52.5</v>
      </c>
      <c r="H22" s="5">
        <v>51.960784313725497</v>
      </c>
      <c r="I22" s="5">
        <v>3.6715686274509802</v>
      </c>
      <c r="J22" s="46"/>
      <c r="K22" s="45">
        <v>20</v>
      </c>
      <c r="L22" s="5">
        <v>25.2</v>
      </c>
      <c r="M22" s="5">
        <v>42.156862745098039</v>
      </c>
      <c r="N22" s="5">
        <v>1.7950980392156859</v>
      </c>
      <c r="P22" s="45">
        <v>20</v>
      </c>
      <c r="Q22" s="5">
        <v>22.1</v>
      </c>
      <c r="R22" s="5">
        <v>41.17647058823529</v>
      </c>
      <c r="S22" s="5">
        <v>1.7372549019607841</v>
      </c>
      <c r="U22" s="45">
        <v>20</v>
      </c>
      <c r="V22" s="5">
        <v>37</v>
      </c>
      <c r="W22" s="5">
        <v>25.490196078431371</v>
      </c>
      <c r="X22" s="5">
        <v>0.95555555555550409</v>
      </c>
      <c r="Z22" s="45">
        <v>20</v>
      </c>
      <c r="AA22" s="5">
        <v>91</v>
      </c>
      <c r="AB22" s="5">
        <v>22.549019607843139</v>
      </c>
      <c r="AC22" s="5">
        <v>2.3823529411764706</v>
      </c>
      <c r="AE22" s="45">
        <v>20</v>
      </c>
      <c r="AF22" s="5">
        <v>165.8</v>
      </c>
      <c r="AG22" s="5">
        <v>12.745098039215685</v>
      </c>
      <c r="AH22" s="5">
        <v>2.3196078431372547</v>
      </c>
      <c r="AJ22" s="45">
        <v>20</v>
      </c>
      <c r="AK22" s="5">
        <v>49</v>
      </c>
      <c r="AL22" s="5">
        <v>17.475728155339805</v>
      </c>
      <c r="AM22" s="5">
        <v>1.4446601941747574</v>
      </c>
      <c r="AO22" s="45">
        <v>20</v>
      </c>
      <c r="AP22" s="5">
        <v>17.2</v>
      </c>
      <c r="AQ22" s="5">
        <v>27.184466019417474</v>
      </c>
      <c r="AR22" s="5">
        <v>0.97961165048543686</v>
      </c>
      <c r="AT22" s="45">
        <v>20</v>
      </c>
      <c r="AU22" s="5">
        <v>21.4</v>
      </c>
      <c r="AV22" s="5">
        <v>31.067961165048541</v>
      </c>
      <c r="AW22" s="5">
        <v>1.6902912621359223</v>
      </c>
      <c r="AY22" s="45">
        <v>20</v>
      </c>
      <c r="AZ22" s="5">
        <v>49.6</v>
      </c>
      <c r="BA22" s="5">
        <v>58.252427184466015</v>
      </c>
      <c r="BB22" s="5">
        <v>4.5631067961165046</v>
      </c>
      <c r="BD22" s="45">
        <v>20</v>
      </c>
      <c r="BE22" s="5">
        <v>28.2</v>
      </c>
      <c r="BF22" s="5">
        <v>59.22330097087378</v>
      </c>
      <c r="BG22" s="5">
        <v>4.383495145631068</v>
      </c>
    </row>
    <row r="23" spans="1:59">
      <c r="A23" s="19">
        <v>21</v>
      </c>
      <c r="B23" s="5">
        <v>50.5</v>
      </c>
      <c r="C23" s="46">
        <v>58.82352941176471</v>
      </c>
      <c r="D23" s="5">
        <v>3.4852941176470589</v>
      </c>
      <c r="E23"/>
      <c r="F23" s="45">
        <v>21</v>
      </c>
      <c r="G23" s="5">
        <v>13.4</v>
      </c>
      <c r="H23" s="5">
        <v>54.901960784313729</v>
      </c>
      <c r="I23" s="5">
        <v>1.9264705882352942</v>
      </c>
      <c r="J23" s="46"/>
      <c r="K23" s="45">
        <v>21</v>
      </c>
      <c r="L23" s="5">
        <v>25</v>
      </c>
      <c r="M23" s="5">
        <v>36.274509803921568</v>
      </c>
      <c r="N23" s="5">
        <v>1.8490196078431369</v>
      </c>
      <c r="P23" s="45">
        <v>21</v>
      </c>
      <c r="Q23" s="5">
        <v>42.5</v>
      </c>
      <c r="R23" s="5">
        <v>36.274509803921568</v>
      </c>
      <c r="S23" s="5">
        <v>1.800980392156863</v>
      </c>
      <c r="U23" s="45">
        <v>21</v>
      </c>
      <c r="V23" s="5">
        <v>41.5</v>
      </c>
      <c r="W23" s="5">
        <v>25.490196078431371</v>
      </c>
      <c r="X23" s="5">
        <v>1.6141414141413657</v>
      </c>
      <c r="Z23" s="45">
        <v>21</v>
      </c>
      <c r="AA23" s="5">
        <v>36</v>
      </c>
      <c r="AB23" s="5">
        <v>20.588235294117645</v>
      </c>
      <c r="AC23" s="5">
        <v>0.99607843137254914</v>
      </c>
      <c r="AE23" s="45">
        <v>21</v>
      </c>
      <c r="AF23" s="5">
        <v>32.9</v>
      </c>
      <c r="AG23" s="5">
        <v>11.76470588235294</v>
      </c>
      <c r="AH23" s="5">
        <v>0.91960784313725497</v>
      </c>
      <c r="AJ23" s="45">
        <v>21</v>
      </c>
      <c r="AK23" s="5">
        <v>56</v>
      </c>
      <c r="AL23" s="5">
        <v>19.417475728155338</v>
      </c>
      <c r="AM23" s="5">
        <v>1.3563106796116504</v>
      </c>
      <c r="AO23" s="45">
        <v>21</v>
      </c>
      <c r="AP23" s="5">
        <v>55</v>
      </c>
      <c r="AQ23" s="5">
        <v>24.271844660194176</v>
      </c>
      <c r="AR23" s="5">
        <v>2.1174757281553402</v>
      </c>
      <c r="AT23" s="45">
        <v>21</v>
      </c>
      <c r="AU23" s="5">
        <v>30.9</v>
      </c>
      <c r="AV23" s="5">
        <v>42.718446601941743</v>
      </c>
      <c r="AW23" s="5">
        <v>2.8320388349514563</v>
      </c>
      <c r="AY23" s="45">
        <v>21</v>
      </c>
      <c r="AZ23" s="5">
        <v>42.6</v>
      </c>
      <c r="BA23" s="5">
        <v>50.485436893203882</v>
      </c>
      <c r="BB23" s="5">
        <v>3.4000000000000004</v>
      </c>
      <c r="BD23" s="45">
        <v>21</v>
      </c>
      <c r="BE23" s="5">
        <v>43.3</v>
      </c>
      <c r="BF23" s="5">
        <v>57.28155339805825</v>
      </c>
      <c r="BG23" s="5">
        <v>4.3320388349514554</v>
      </c>
    </row>
    <row r="24" spans="1:59">
      <c r="A24" s="19">
        <v>22</v>
      </c>
      <c r="B24" s="5">
        <v>48.5</v>
      </c>
      <c r="C24" s="46">
        <v>54.901960784313729</v>
      </c>
      <c r="D24" s="5">
        <v>3.3999999999999995</v>
      </c>
      <c r="E24"/>
      <c r="F24" s="45">
        <v>22</v>
      </c>
      <c r="G24" s="5">
        <v>22.8</v>
      </c>
      <c r="H24" s="5">
        <v>57.843137254901968</v>
      </c>
      <c r="I24" s="5">
        <v>2.306862745098039</v>
      </c>
      <c r="J24" s="46"/>
      <c r="K24" s="45">
        <v>22</v>
      </c>
      <c r="L24" s="5">
        <v>31</v>
      </c>
      <c r="M24" s="5">
        <v>43.137254901960787</v>
      </c>
      <c r="N24" s="5">
        <v>2.2392156862745094</v>
      </c>
      <c r="P24" s="45">
        <v>22</v>
      </c>
      <c r="Q24" s="5">
        <v>35.4</v>
      </c>
      <c r="R24" s="5">
        <v>31.372549019607842</v>
      </c>
      <c r="S24" s="5">
        <v>1.5852941176470585</v>
      </c>
      <c r="U24" s="45">
        <v>22</v>
      </c>
      <c r="V24" s="5">
        <v>33.4</v>
      </c>
      <c r="W24" s="5">
        <v>23.52941176470588</v>
      </c>
      <c r="X24" s="5">
        <v>1.1171717171716971</v>
      </c>
      <c r="Z24" s="45">
        <v>22</v>
      </c>
      <c r="AA24" s="5">
        <v>15.7</v>
      </c>
      <c r="AB24" s="5">
        <v>22.549019607843139</v>
      </c>
      <c r="AC24" s="5">
        <v>0.92450980392156878</v>
      </c>
      <c r="AE24" s="45">
        <v>22</v>
      </c>
      <c r="AF24" s="5">
        <v>18.8</v>
      </c>
      <c r="AG24" s="5">
        <v>9.8039215686274517</v>
      </c>
      <c r="AH24" s="5">
        <v>0.50196078431372548</v>
      </c>
      <c r="AJ24" s="45">
        <v>22</v>
      </c>
      <c r="AK24" s="5">
        <v>21</v>
      </c>
      <c r="AL24" s="5">
        <v>18.446601941747574</v>
      </c>
      <c r="AM24" s="5">
        <v>0.83495145631067957</v>
      </c>
      <c r="AO24" s="45">
        <v>22</v>
      </c>
      <c r="AP24" s="5">
        <v>50.8</v>
      </c>
      <c r="AQ24" s="5">
        <v>28.155339805825243</v>
      </c>
      <c r="AR24" s="5">
        <v>2.5970873786407767</v>
      </c>
      <c r="AT24" s="45">
        <v>22</v>
      </c>
      <c r="AU24" s="5">
        <v>34.5</v>
      </c>
      <c r="AV24" s="5">
        <v>39.805825242718448</v>
      </c>
      <c r="AW24" s="5">
        <v>2.4582524271844655</v>
      </c>
      <c r="AY24" s="45">
        <v>22</v>
      </c>
      <c r="AZ24" s="5">
        <v>33.9</v>
      </c>
      <c r="BA24" s="5">
        <v>48.543689320388353</v>
      </c>
      <c r="BB24" s="5">
        <v>3.8106796116504862</v>
      </c>
      <c r="BD24" s="45">
        <v>22</v>
      </c>
      <c r="BE24" s="5">
        <v>50.1</v>
      </c>
      <c r="BF24" s="5">
        <v>62.135922330097081</v>
      </c>
      <c r="BG24" s="5">
        <v>4.2834951456310684</v>
      </c>
    </row>
    <row r="25" spans="1:59">
      <c r="A25" s="19">
        <v>23</v>
      </c>
      <c r="B25" s="5">
        <v>26</v>
      </c>
      <c r="C25" s="46">
        <v>57.843137254901968</v>
      </c>
      <c r="D25" s="5">
        <v>2.8019607843137249</v>
      </c>
      <c r="E25"/>
      <c r="F25" s="45">
        <v>23</v>
      </c>
      <c r="G25" s="5">
        <v>22.8</v>
      </c>
      <c r="H25" s="5">
        <v>56.862745098039213</v>
      </c>
      <c r="I25" s="5">
        <v>2.904901960784315</v>
      </c>
      <c r="J25" s="46"/>
      <c r="K25" s="45">
        <v>23</v>
      </c>
      <c r="L25" s="5">
        <v>27.7</v>
      </c>
      <c r="M25" s="5">
        <v>38.235294117647058</v>
      </c>
      <c r="N25" s="5">
        <v>2.329411764705883</v>
      </c>
      <c r="P25" s="45">
        <v>23</v>
      </c>
      <c r="Q25" s="5">
        <v>15.7</v>
      </c>
      <c r="R25" s="5">
        <v>30.392156862745097</v>
      </c>
      <c r="S25" s="5">
        <v>0.96372549019607823</v>
      </c>
      <c r="U25" s="45">
        <v>23</v>
      </c>
      <c r="V25" s="5">
        <v>27.6</v>
      </c>
      <c r="W25" s="5">
        <v>26.47058823529412</v>
      </c>
      <c r="X25" s="5">
        <v>1.4747474747472111</v>
      </c>
      <c r="Z25" s="45">
        <v>23</v>
      </c>
      <c r="AA25" s="5">
        <v>31.6</v>
      </c>
      <c r="AB25" s="5">
        <v>19.607843137254903</v>
      </c>
      <c r="AC25" s="5">
        <v>0.82254901960784321</v>
      </c>
      <c r="AE25" s="45">
        <v>23</v>
      </c>
      <c r="AF25" s="5">
        <v>6</v>
      </c>
      <c r="AG25" s="5">
        <v>3.9215686274509802</v>
      </c>
      <c r="AH25" s="5">
        <v>6.7647058823529407E-2</v>
      </c>
      <c r="AJ25" s="45">
        <v>23</v>
      </c>
      <c r="AK25" s="5">
        <v>43</v>
      </c>
      <c r="AL25" s="5">
        <v>15.53398058252427</v>
      </c>
      <c r="AM25" s="5">
        <v>1.383495145631068</v>
      </c>
      <c r="AO25" s="45">
        <v>23</v>
      </c>
      <c r="AP25" s="5">
        <v>47.6</v>
      </c>
      <c r="AQ25" s="5">
        <v>36.893203883495147</v>
      </c>
      <c r="AR25" s="5">
        <v>3.7242718446601946</v>
      </c>
      <c r="AT25" s="45">
        <v>23</v>
      </c>
      <c r="AU25" s="5">
        <v>22.3</v>
      </c>
      <c r="AV25" s="5">
        <v>39.805825242718448</v>
      </c>
      <c r="AW25" s="5">
        <v>2.3592233009708732</v>
      </c>
      <c r="AY25" s="45">
        <v>23</v>
      </c>
      <c r="AZ25" s="5">
        <v>29.7</v>
      </c>
      <c r="BA25" s="5">
        <v>51.456310679611647</v>
      </c>
      <c r="BB25" s="5">
        <v>4.2213592233009694</v>
      </c>
      <c r="BD25" s="45">
        <v>23</v>
      </c>
      <c r="BE25" s="5">
        <v>36.6</v>
      </c>
      <c r="BF25" s="5">
        <v>56.310679611650485</v>
      </c>
      <c r="BG25" s="5">
        <v>3.4640776699029132</v>
      </c>
    </row>
    <row r="26" spans="1:59">
      <c r="A26" s="19">
        <v>24</v>
      </c>
      <c r="B26" s="5">
        <v>30.2</v>
      </c>
      <c r="C26" s="46">
        <v>53.921568627450981</v>
      </c>
      <c r="D26" s="5">
        <v>1.3735294117647061</v>
      </c>
      <c r="E26"/>
      <c r="F26" s="45">
        <v>24</v>
      </c>
      <c r="G26" s="5">
        <v>49.2</v>
      </c>
      <c r="H26" s="5">
        <v>56.862745098039213</v>
      </c>
      <c r="I26" s="5">
        <v>3.8205882352941187</v>
      </c>
      <c r="J26" s="46"/>
      <c r="K26" s="45">
        <v>24</v>
      </c>
      <c r="L26" s="5">
        <v>21.7</v>
      </c>
      <c r="M26" s="5">
        <v>43.137254901960787</v>
      </c>
      <c r="N26" s="5">
        <v>1.4813725490196077</v>
      </c>
      <c r="P26" s="45">
        <v>24</v>
      </c>
      <c r="Q26" s="5">
        <v>12.6</v>
      </c>
      <c r="R26" s="5">
        <v>28.431372549019606</v>
      </c>
      <c r="S26" s="5">
        <v>1.0019607843137255</v>
      </c>
      <c r="U26" s="45">
        <v>24</v>
      </c>
      <c r="V26" s="5">
        <v>22.2</v>
      </c>
      <c r="W26" s="5">
        <v>24.509803921568626</v>
      </c>
      <c r="X26" s="5">
        <v>0.89393939393935773</v>
      </c>
      <c r="Z26" s="45">
        <v>24</v>
      </c>
      <c r="AA26" s="5">
        <v>25.5</v>
      </c>
      <c r="AB26" s="5">
        <v>19.607843137254903</v>
      </c>
      <c r="AC26" s="5">
        <v>1.0431372549019606</v>
      </c>
      <c r="AE26" s="45">
        <v>24</v>
      </c>
      <c r="AF26" s="5">
        <v>23.7</v>
      </c>
      <c r="AG26" s="5">
        <v>9.8039215686274517</v>
      </c>
      <c r="AH26" s="5">
        <v>0.59215686274509804</v>
      </c>
      <c r="AJ26" s="45">
        <v>24</v>
      </c>
      <c r="AK26" s="5">
        <v>33.700000000000003</v>
      </c>
      <c r="AL26" s="5">
        <v>17.475728155339805</v>
      </c>
      <c r="AM26" s="5">
        <v>1.0077669902912623</v>
      </c>
      <c r="AO26" s="45">
        <v>24</v>
      </c>
      <c r="AP26" s="5">
        <v>34.4</v>
      </c>
      <c r="AQ26" s="5">
        <v>39.805825242718448</v>
      </c>
      <c r="AR26" s="5">
        <v>2.0097087378640781</v>
      </c>
      <c r="AT26" s="45">
        <v>24</v>
      </c>
      <c r="AU26" s="5">
        <v>47</v>
      </c>
      <c r="AV26" s="5">
        <v>43.689320388349515</v>
      </c>
      <c r="AW26" s="5">
        <v>4.0271844660194178</v>
      </c>
      <c r="AY26" s="45">
        <v>24</v>
      </c>
      <c r="AZ26" s="5">
        <v>44.5</v>
      </c>
      <c r="BA26" s="5">
        <v>47.572815533980581</v>
      </c>
      <c r="BB26" s="5">
        <v>4.6242718446601936</v>
      </c>
      <c r="BD26" s="45">
        <v>24</v>
      </c>
      <c r="BE26" s="5">
        <v>38.299999999999997</v>
      </c>
      <c r="BF26" s="5">
        <v>62.135922330097081</v>
      </c>
      <c r="BG26" s="5">
        <v>3.0757281553398053</v>
      </c>
    </row>
    <row r="27" spans="1:59">
      <c r="A27" s="19">
        <v>25</v>
      </c>
      <c r="B27" s="5">
        <v>37.6</v>
      </c>
      <c r="C27" s="46">
        <v>61.764705882352942</v>
      </c>
      <c r="D27" s="5">
        <v>3.8843137254901969</v>
      </c>
      <c r="E27"/>
      <c r="F27" s="45">
        <v>25</v>
      </c>
      <c r="G27" s="5">
        <v>26.3</v>
      </c>
      <c r="H27" s="5">
        <v>55.882352941176471</v>
      </c>
      <c r="I27" s="5">
        <v>3.1784313725490199</v>
      </c>
      <c r="J27" s="46"/>
      <c r="K27" s="45">
        <v>25</v>
      </c>
      <c r="L27" s="5">
        <v>26</v>
      </c>
      <c r="M27" s="5">
        <v>31.372549019607842</v>
      </c>
      <c r="N27" s="5">
        <v>1.4127450980392156</v>
      </c>
      <c r="P27" s="45">
        <v>25</v>
      </c>
      <c r="Q27" s="5">
        <v>16.7</v>
      </c>
      <c r="R27" s="5">
        <v>31.372549019607842</v>
      </c>
      <c r="S27" s="5">
        <v>1.1323529411764706</v>
      </c>
      <c r="U27" s="45">
        <v>25</v>
      </c>
      <c r="V27" s="5">
        <v>16.100000000000001</v>
      </c>
      <c r="W27" s="5">
        <v>27.450980392156865</v>
      </c>
      <c r="X27" s="5">
        <v>0.86969696969689447</v>
      </c>
      <c r="Z27" s="45">
        <v>25</v>
      </c>
      <c r="AA27" s="5">
        <v>14.8</v>
      </c>
      <c r="AB27" s="5">
        <v>19.607843137254903</v>
      </c>
      <c r="AC27" s="5">
        <v>0.75686274509803919</v>
      </c>
      <c r="AE27" s="45">
        <v>25</v>
      </c>
      <c r="AF27" s="5">
        <v>48.9</v>
      </c>
      <c r="AG27" s="5">
        <v>8.8235294117647065</v>
      </c>
      <c r="AH27" s="5">
        <v>0.84019607843137267</v>
      </c>
      <c r="AJ27" s="45">
        <v>25</v>
      </c>
      <c r="AK27" s="5">
        <v>85.4</v>
      </c>
      <c r="AL27" s="5">
        <v>17.475728155339805</v>
      </c>
      <c r="AM27" s="5">
        <v>1.9058252427184468</v>
      </c>
      <c r="AO27" s="45">
        <v>25</v>
      </c>
      <c r="AP27" s="5">
        <v>39</v>
      </c>
      <c r="AQ27" s="5">
        <v>24.271844660194176</v>
      </c>
      <c r="AR27" s="5">
        <v>1.3747572815533984</v>
      </c>
      <c r="AT27" s="45">
        <v>25</v>
      </c>
      <c r="AU27" s="5">
        <v>55.8</v>
      </c>
      <c r="AV27" s="5">
        <v>51.456310679611647</v>
      </c>
      <c r="AW27" s="5">
        <v>3.9456310679611639</v>
      </c>
      <c r="AY27" s="45">
        <v>25</v>
      </c>
      <c r="AZ27" s="5">
        <v>74.2</v>
      </c>
      <c r="BA27" s="5">
        <v>56.310679611650485</v>
      </c>
      <c r="BB27" s="5">
        <v>4.9009708737864086</v>
      </c>
      <c r="BD27" s="45">
        <v>25</v>
      </c>
      <c r="BE27" s="5">
        <v>41.3</v>
      </c>
      <c r="BF27" s="5">
        <v>54.368932038834949</v>
      </c>
      <c r="BG27" s="5">
        <v>4.2592233009708744</v>
      </c>
    </row>
    <row r="28" spans="1:59">
      <c r="A28" s="19">
        <v>26</v>
      </c>
      <c r="B28" s="5">
        <v>39.1</v>
      </c>
      <c r="C28" s="46">
        <v>61.764705882352942</v>
      </c>
      <c r="D28" s="5">
        <v>3.4833333333333325</v>
      </c>
      <c r="E28"/>
      <c r="F28" s="45">
        <v>26</v>
      </c>
      <c r="G28" s="5">
        <v>19</v>
      </c>
      <c r="H28" s="5">
        <v>52.941176470588239</v>
      </c>
      <c r="I28" s="5">
        <v>2.2176470588235291</v>
      </c>
      <c r="J28" s="46"/>
      <c r="K28" s="45">
        <v>26</v>
      </c>
      <c r="L28" s="5">
        <v>15.1</v>
      </c>
      <c r="M28" s="5">
        <v>37.254901960784316</v>
      </c>
      <c r="N28" s="5">
        <v>1.0764705882352938</v>
      </c>
      <c r="P28" s="45">
        <v>26</v>
      </c>
      <c r="Q28" s="5">
        <v>16.7</v>
      </c>
      <c r="R28" s="5">
        <v>39.215686274509807</v>
      </c>
      <c r="S28" s="5">
        <v>1.8107843137254904</v>
      </c>
      <c r="U28" s="45">
        <v>26</v>
      </c>
      <c r="V28" s="5">
        <v>26.5</v>
      </c>
      <c r="W28" s="5">
        <v>29.411764705882355</v>
      </c>
      <c r="X28" s="5">
        <v>1.0868686868686024</v>
      </c>
      <c r="Z28" s="45">
        <v>26</v>
      </c>
      <c r="AA28" s="5">
        <v>21.5</v>
      </c>
      <c r="AB28" s="5">
        <v>20.588235294117645</v>
      </c>
      <c r="AC28" s="5">
        <v>0.9529411764705884</v>
      </c>
      <c r="AE28" s="45">
        <v>26</v>
      </c>
      <c r="AF28" s="5">
        <v>33.6</v>
      </c>
      <c r="AG28" s="5">
        <v>12.745098039215685</v>
      </c>
      <c r="AH28" s="5">
        <v>0.95882352941176463</v>
      </c>
      <c r="AJ28" s="45">
        <v>26</v>
      </c>
      <c r="AK28" s="5">
        <v>15.4</v>
      </c>
      <c r="AL28" s="5">
        <v>15.53398058252427</v>
      </c>
      <c r="AM28" s="5">
        <v>0.63495145631067962</v>
      </c>
      <c r="AO28" s="45">
        <v>26</v>
      </c>
      <c r="AP28" s="5">
        <v>35.700000000000003</v>
      </c>
      <c r="AQ28" s="5">
        <v>35.922330097087382</v>
      </c>
      <c r="AR28" s="5">
        <v>1.5320388349514562</v>
      </c>
      <c r="AT28" s="45">
        <v>26</v>
      </c>
      <c r="AU28" s="5">
        <v>110</v>
      </c>
      <c r="AV28" s="5">
        <v>37.864077669902912</v>
      </c>
      <c r="AW28" s="5">
        <v>3.7281553398058258</v>
      </c>
      <c r="AY28" s="45">
        <v>26</v>
      </c>
      <c r="AZ28" s="5">
        <v>37.200000000000003</v>
      </c>
      <c r="BA28" s="5">
        <v>54.368932038834949</v>
      </c>
      <c r="BB28" s="5">
        <v>4.2621359223300965</v>
      </c>
      <c r="BD28" s="45">
        <v>26</v>
      </c>
      <c r="BE28" s="5">
        <v>68</v>
      </c>
      <c r="BF28" s="5">
        <v>58.252427184466015</v>
      </c>
      <c r="BG28" s="5">
        <v>4.0184466019417489</v>
      </c>
    </row>
    <row r="29" spans="1:59">
      <c r="A29" s="19">
        <v>27</v>
      </c>
      <c r="B29" s="5">
        <v>40</v>
      </c>
      <c r="C29" s="46">
        <v>57.843137254901968</v>
      </c>
      <c r="D29" s="5">
        <v>4.0333333333333341</v>
      </c>
      <c r="E29"/>
      <c r="F29" s="45">
        <v>27</v>
      </c>
      <c r="G29" s="5">
        <v>31</v>
      </c>
      <c r="H29" s="5">
        <v>52.941176470588239</v>
      </c>
      <c r="I29" s="5">
        <v>2.8892156862745098</v>
      </c>
      <c r="J29" s="46"/>
      <c r="K29" s="45">
        <v>27</v>
      </c>
      <c r="L29" s="5">
        <v>47.5</v>
      </c>
      <c r="M29" s="5">
        <v>34.313725490196077</v>
      </c>
      <c r="N29" s="5">
        <v>2.4176470588235293</v>
      </c>
      <c r="P29" s="45">
        <v>27</v>
      </c>
      <c r="Q29" s="5">
        <v>21</v>
      </c>
      <c r="R29" s="5">
        <v>30.392156862745097</v>
      </c>
      <c r="S29" s="5">
        <v>1.2264705882352942</v>
      </c>
      <c r="U29" s="45">
        <v>27</v>
      </c>
      <c r="V29" s="5">
        <v>27</v>
      </c>
      <c r="W29" s="5">
        <v>18.627450980392158</v>
      </c>
      <c r="X29" s="5">
        <v>0.8404040404039117</v>
      </c>
      <c r="Z29" s="45">
        <v>27</v>
      </c>
      <c r="AA29" s="5">
        <v>40.4</v>
      </c>
      <c r="AB29" s="5">
        <v>21.568627450980394</v>
      </c>
      <c r="AC29" s="5">
        <v>1.4196078431372541</v>
      </c>
      <c r="AE29" s="45">
        <v>27</v>
      </c>
      <c r="AF29" s="5">
        <v>22.2</v>
      </c>
      <c r="AG29" s="5">
        <v>15.686274509803921</v>
      </c>
      <c r="AH29" s="5">
        <v>0.97941176470588232</v>
      </c>
      <c r="AJ29" s="45">
        <v>27</v>
      </c>
      <c r="AK29" s="5">
        <v>44.2</v>
      </c>
      <c r="AL29" s="5">
        <v>18.446601941747574</v>
      </c>
      <c r="AM29" s="5">
        <v>2.1543689320388348</v>
      </c>
      <c r="AO29" s="45">
        <v>27</v>
      </c>
      <c r="AP29" s="5">
        <v>70.099999999999994</v>
      </c>
      <c r="AQ29" s="5">
        <v>39.805825242718448</v>
      </c>
      <c r="AR29" s="5">
        <v>3.5961165048543693</v>
      </c>
      <c r="AT29" s="45">
        <v>27</v>
      </c>
      <c r="AU29" s="5">
        <v>104.9</v>
      </c>
      <c r="AV29" s="5">
        <v>40.776699029126213</v>
      </c>
      <c r="AW29" s="5">
        <v>3.8087378640776706</v>
      </c>
      <c r="AY29" s="45">
        <v>27</v>
      </c>
      <c r="AZ29" s="5">
        <v>51.5</v>
      </c>
      <c r="BA29" s="5">
        <v>55.339805825242713</v>
      </c>
      <c r="BB29" s="5">
        <v>3.5592233009708751</v>
      </c>
      <c r="BD29" s="45">
        <v>27</v>
      </c>
      <c r="BE29" s="5">
        <v>56.5</v>
      </c>
      <c r="BF29" s="5">
        <v>55.339805825242713</v>
      </c>
      <c r="BG29" s="5">
        <v>5.2631067961165048</v>
      </c>
    </row>
    <row r="30" spans="1:59">
      <c r="A30" s="19">
        <v>28</v>
      </c>
      <c r="B30" s="5">
        <v>19.8</v>
      </c>
      <c r="C30" s="46">
        <v>62.745098039215684</v>
      </c>
      <c r="D30" s="5">
        <v>2.7372549019607844</v>
      </c>
      <c r="E30"/>
      <c r="F30" s="45">
        <v>28</v>
      </c>
      <c r="G30" s="5">
        <v>22</v>
      </c>
      <c r="H30" s="5">
        <v>47.058823529411761</v>
      </c>
      <c r="I30" s="5">
        <v>1.6725490196078425</v>
      </c>
      <c r="J30" s="46"/>
      <c r="K30" s="45">
        <v>28</v>
      </c>
      <c r="L30" s="5">
        <v>25</v>
      </c>
      <c r="M30" s="5">
        <v>47.058823529411761</v>
      </c>
      <c r="N30" s="5">
        <v>2.7245098039215683</v>
      </c>
      <c r="P30" s="45">
        <v>28</v>
      </c>
      <c r="Q30" s="5">
        <v>7.6</v>
      </c>
      <c r="R30" s="5">
        <v>30.392156862745097</v>
      </c>
      <c r="S30" s="5">
        <v>0.61960784313725481</v>
      </c>
      <c r="U30" s="45">
        <v>28</v>
      </c>
      <c r="V30" s="5">
        <v>24.5</v>
      </c>
      <c r="W30" s="5">
        <v>24.509803921568626</v>
      </c>
      <c r="X30" s="5">
        <v>1.2242424242422769</v>
      </c>
      <c r="Z30" s="45">
        <v>28</v>
      </c>
      <c r="AA30" s="5">
        <v>35</v>
      </c>
      <c r="AB30" s="5">
        <v>17.647058823529413</v>
      </c>
      <c r="AC30" s="5">
        <v>0.51764705882352957</v>
      </c>
      <c r="AE30" s="45">
        <v>28</v>
      </c>
      <c r="AF30" s="5">
        <v>37.299999999999997</v>
      </c>
      <c r="AG30" s="5">
        <v>18.627450980392158</v>
      </c>
      <c r="AH30" s="5">
        <v>1.3372549019607844</v>
      </c>
      <c r="AJ30" s="45">
        <v>28</v>
      </c>
      <c r="AK30" s="5">
        <v>13.3</v>
      </c>
      <c r="AL30" s="5">
        <v>17.475728155339805</v>
      </c>
      <c r="AM30" s="5">
        <v>0.63980582524271845</v>
      </c>
      <c r="AO30" s="45">
        <v>28</v>
      </c>
      <c r="AP30" s="5">
        <v>45.9</v>
      </c>
      <c r="AQ30" s="5">
        <v>34.95145631067961</v>
      </c>
      <c r="AR30" s="5">
        <v>3.9553398058252429</v>
      </c>
      <c r="AT30" s="45">
        <v>28</v>
      </c>
      <c r="AU30" s="5">
        <v>50.4</v>
      </c>
      <c r="AV30" s="5">
        <v>33.009708737864081</v>
      </c>
      <c r="AW30" s="5">
        <v>2.8436893203883491</v>
      </c>
      <c r="AY30" s="45">
        <v>28</v>
      </c>
      <c r="AZ30" s="5">
        <v>40.200000000000003</v>
      </c>
      <c r="BA30" s="5">
        <v>51.456310679611647</v>
      </c>
      <c r="BB30" s="5">
        <v>4.6776699029126219</v>
      </c>
      <c r="BD30" s="45">
        <v>28</v>
      </c>
      <c r="BE30" s="5">
        <v>34</v>
      </c>
      <c r="BF30" s="5">
        <v>58.252427184466015</v>
      </c>
      <c r="BG30" s="5">
        <v>4.0922330097087389</v>
      </c>
    </row>
    <row r="31" spans="1:59">
      <c r="A31" s="19">
        <v>29</v>
      </c>
      <c r="B31" s="5">
        <v>42.5</v>
      </c>
      <c r="C31" s="46">
        <v>62.745098039215684</v>
      </c>
      <c r="D31" s="5">
        <v>3.9931372549019613</v>
      </c>
      <c r="E31"/>
      <c r="F31" s="45">
        <v>29</v>
      </c>
      <c r="G31" s="5">
        <v>25.9</v>
      </c>
      <c r="H31" s="5">
        <v>12.745098039215685</v>
      </c>
      <c r="I31" s="5">
        <v>0.5186274509803922</v>
      </c>
      <c r="J31" s="46"/>
      <c r="K31" s="45">
        <v>29</v>
      </c>
      <c r="L31" s="5">
        <v>27.3</v>
      </c>
      <c r="M31" s="5">
        <v>42.156862745098039</v>
      </c>
      <c r="N31" s="5">
        <v>2.2098039215686271</v>
      </c>
      <c r="P31" s="45">
        <v>29</v>
      </c>
      <c r="Q31" s="5">
        <v>17.2</v>
      </c>
      <c r="R31" s="5">
        <v>29.411764705882355</v>
      </c>
      <c r="S31" s="5">
        <v>1.2313725490196077</v>
      </c>
      <c r="U31" s="45">
        <v>29</v>
      </c>
      <c r="V31" s="5">
        <v>18.7</v>
      </c>
      <c r="W31" s="5">
        <v>26.47058823529412</v>
      </c>
      <c r="X31" s="5">
        <v>1.1909090909087579</v>
      </c>
      <c r="Z31" s="45">
        <v>29</v>
      </c>
      <c r="AA31" s="5">
        <v>31</v>
      </c>
      <c r="AB31" s="5">
        <v>19.607843137254903</v>
      </c>
      <c r="AC31" s="5">
        <v>0.96470588235294108</v>
      </c>
      <c r="AE31" s="45">
        <v>29</v>
      </c>
      <c r="AF31" s="5">
        <v>22.7</v>
      </c>
      <c r="AG31" s="5">
        <v>10.784313725490197</v>
      </c>
      <c r="AH31" s="5">
        <v>0.71960784313725501</v>
      </c>
      <c r="AJ31" s="45">
        <v>29</v>
      </c>
      <c r="AK31" s="5">
        <v>42.1</v>
      </c>
      <c r="AL31" s="5">
        <v>22.330097087378643</v>
      </c>
      <c r="AM31" s="5">
        <v>2.4300970873786407</v>
      </c>
      <c r="AO31" s="45">
        <v>29</v>
      </c>
      <c r="AP31" s="5">
        <v>25.3</v>
      </c>
      <c r="AQ31" s="5">
        <v>40.776699029126213</v>
      </c>
      <c r="AR31" s="5">
        <v>1.7611650485436892</v>
      </c>
      <c r="AT31" s="45">
        <v>29</v>
      </c>
      <c r="AU31" s="5">
        <v>91</v>
      </c>
      <c r="AV31" s="5">
        <v>36.893203883495147</v>
      </c>
      <c r="AW31" s="5">
        <v>3.0223300970873783</v>
      </c>
      <c r="AY31" s="45">
        <v>29</v>
      </c>
      <c r="AZ31" s="5">
        <v>17.600000000000001</v>
      </c>
      <c r="BA31" s="5">
        <v>51.456310679611647</v>
      </c>
      <c r="BB31" s="5">
        <v>2.6660194174757272</v>
      </c>
      <c r="BD31" s="45">
        <v>29</v>
      </c>
      <c r="BE31" s="5">
        <v>34.700000000000003</v>
      </c>
      <c r="BF31" s="5">
        <v>54.368932038834949</v>
      </c>
      <c r="BG31" s="5">
        <v>3.1252427184466023</v>
      </c>
    </row>
    <row r="32" spans="1:59">
      <c r="A32" s="19">
        <v>30</v>
      </c>
      <c r="B32" s="5">
        <v>33.5</v>
      </c>
      <c r="C32" s="46">
        <v>66.666666666666657</v>
      </c>
      <c r="D32" s="5">
        <v>3.0205882352941189</v>
      </c>
      <c r="E32"/>
      <c r="K32" s="45">
        <v>30</v>
      </c>
      <c r="L32" s="5">
        <v>16.8</v>
      </c>
      <c r="M32" s="5">
        <v>34.313725490196077</v>
      </c>
      <c r="N32" s="5">
        <v>1.5156862745098041</v>
      </c>
      <c r="P32" s="45">
        <v>30</v>
      </c>
      <c r="Q32" s="5">
        <v>10.5</v>
      </c>
      <c r="R32" s="5">
        <v>27.450980392156865</v>
      </c>
      <c r="S32" s="5">
        <v>0.83921568627450993</v>
      </c>
      <c r="U32" s="45">
        <v>30</v>
      </c>
      <c r="V32" s="5">
        <v>6.4</v>
      </c>
      <c r="W32" s="5">
        <v>29.411764705882355</v>
      </c>
      <c r="X32" s="5">
        <v>0.57070707070699689</v>
      </c>
      <c r="Z32" s="45">
        <v>30</v>
      </c>
      <c r="AA32" s="5">
        <v>26.6</v>
      </c>
      <c r="AB32" s="5">
        <v>13.725490196078432</v>
      </c>
      <c r="AC32" s="5">
        <v>0.54803921568627445</v>
      </c>
      <c r="AE32" s="45">
        <v>30</v>
      </c>
      <c r="AF32" s="5">
        <v>27.4</v>
      </c>
      <c r="AG32" s="5">
        <v>14.705882352941178</v>
      </c>
      <c r="AH32" s="5">
        <v>1.2990196078431373</v>
      </c>
      <c r="AJ32" s="45">
        <v>30</v>
      </c>
      <c r="AK32" s="5">
        <v>32.299999999999997</v>
      </c>
      <c r="AL32" s="5">
        <v>21.359223300970871</v>
      </c>
      <c r="AM32" s="5">
        <v>1.2922330097087378</v>
      </c>
      <c r="AO32" s="45">
        <v>30</v>
      </c>
      <c r="AP32" s="5">
        <v>85.7</v>
      </c>
      <c r="AQ32" s="5">
        <v>33.009708737864081</v>
      </c>
      <c r="AR32" s="5">
        <v>2.6320388349514565</v>
      </c>
      <c r="AT32" s="45">
        <v>30</v>
      </c>
      <c r="AU32" s="5">
        <v>33.6</v>
      </c>
      <c r="AV32" s="5">
        <v>37.864077669902912</v>
      </c>
      <c r="AW32" s="5">
        <v>1.7456310679611644</v>
      </c>
      <c r="AY32" s="45">
        <v>30</v>
      </c>
      <c r="AZ32" s="5">
        <v>54.5</v>
      </c>
      <c r="BA32" s="5">
        <v>50.485436893203882</v>
      </c>
      <c r="BB32" s="5">
        <v>3.9262135922330099</v>
      </c>
      <c r="BD32" s="45">
        <v>30</v>
      </c>
      <c r="BE32" s="5">
        <v>34.5</v>
      </c>
      <c r="BF32" s="5">
        <v>53.398058252427184</v>
      </c>
      <c r="BG32" s="5">
        <v>2.8854368932038823</v>
      </c>
    </row>
    <row r="33" spans="1:59">
      <c r="A33" s="19">
        <v>31</v>
      </c>
      <c r="B33" s="5">
        <v>66</v>
      </c>
      <c r="C33" s="46">
        <v>62.745098039215684</v>
      </c>
      <c r="D33" s="5">
        <v>3.1666666666666665</v>
      </c>
      <c r="E33"/>
      <c r="K33" s="45">
        <v>31</v>
      </c>
      <c r="L33" s="5">
        <v>14.2</v>
      </c>
      <c r="M33" s="5">
        <v>31.372549019607842</v>
      </c>
      <c r="N33" s="5">
        <v>0.97843137254901957</v>
      </c>
      <c r="U33" s="45">
        <v>31</v>
      </c>
      <c r="V33" s="5">
        <v>15.8</v>
      </c>
      <c r="W33" s="5">
        <v>21.568627450980394</v>
      </c>
      <c r="X33" s="5">
        <v>1.1373737373736659</v>
      </c>
      <c r="AA33" s="46"/>
      <c r="AE33" s="45">
        <v>31</v>
      </c>
      <c r="AF33" s="5">
        <v>35.1</v>
      </c>
      <c r="AG33" s="5">
        <v>17.647058823529413</v>
      </c>
      <c r="AH33" s="5">
        <v>0.7686274509803922</v>
      </c>
      <c r="AJ33" s="45">
        <v>31</v>
      </c>
      <c r="AK33" s="5">
        <v>42.9</v>
      </c>
      <c r="AL33" s="5">
        <v>19.417475728155338</v>
      </c>
      <c r="AM33" s="5">
        <v>1.1893203883495143</v>
      </c>
      <c r="AT33" s="45">
        <v>31</v>
      </c>
      <c r="AU33" s="5">
        <v>57.5</v>
      </c>
      <c r="AV33" s="5">
        <v>33.009708737864081</v>
      </c>
      <c r="AW33" s="5">
        <v>3.1805825242718444</v>
      </c>
      <c r="BD33" s="45">
        <v>31</v>
      </c>
      <c r="BE33" s="5">
        <v>42.4</v>
      </c>
      <c r="BF33" s="5">
        <v>49.514563106796118</v>
      </c>
      <c r="BG33" s="5">
        <v>2.9737864077669887</v>
      </c>
    </row>
    <row r="34" spans="1:59">
      <c r="A34"/>
      <c r="B34" s="2"/>
      <c r="C34"/>
      <c r="D34"/>
      <c r="E34"/>
    </row>
    <row r="35" spans="1:59">
      <c r="A35"/>
      <c r="B35" s="2">
        <f>MAX(B3:B33)</f>
        <v>66</v>
      </c>
      <c r="C35" s="2">
        <f t="shared" ref="C35:D35" si="0">MAX(C3:C33)</f>
        <v>66.666666666666657</v>
      </c>
      <c r="D35" s="2">
        <f t="shared" si="0"/>
        <v>4.7098039215686285</v>
      </c>
      <c r="E35"/>
      <c r="G35" s="2">
        <f>MAX(G3:G33)</f>
        <v>86.9</v>
      </c>
      <c r="H35" s="2">
        <f t="shared" ref="H35:I35" si="1">MAX(H3:H33)</f>
        <v>60.784313725490193</v>
      </c>
      <c r="I35" s="2">
        <f t="shared" si="1"/>
        <v>4.0382352941176487</v>
      </c>
      <c r="L35" s="2">
        <f>MAX(L3:L33)</f>
        <v>53</v>
      </c>
      <c r="M35" s="2">
        <f t="shared" ref="M35:N35" si="2">MAX(M3:M33)</f>
        <v>56.862745098039213</v>
      </c>
      <c r="N35" s="2">
        <f t="shared" si="2"/>
        <v>3.2039215686274511</v>
      </c>
      <c r="Q35" s="2">
        <f>MAX(Q3:Q33)</f>
        <v>45</v>
      </c>
      <c r="R35" s="2">
        <f t="shared" ref="R35:S35" si="3">MAX(R3:R33)</f>
        <v>48.03921568627451</v>
      </c>
      <c r="S35" s="2">
        <f t="shared" si="3"/>
        <v>2.6480392156862749</v>
      </c>
      <c r="V35" s="2">
        <f>MAX(V3:V33)</f>
        <v>84</v>
      </c>
      <c r="W35" s="2">
        <f t="shared" ref="W35:X35" si="4">MAX(W3:W33)</f>
        <v>37.254901960784316</v>
      </c>
      <c r="X35" s="2">
        <f t="shared" si="4"/>
        <v>1.9519607843137254</v>
      </c>
      <c r="AA35" s="2">
        <f>MAX(AA3:AA33)</f>
        <v>91</v>
      </c>
      <c r="AB35" s="2">
        <f t="shared" ref="AB35:AC35" si="5">MAX(AB3:AB33)</f>
        <v>33.333333333333329</v>
      </c>
      <c r="AC35" s="2">
        <f t="shared" si="5"/>
        <v>2.3823529411764706</v>
      </c>
      <c r="AF35" s="2">
        <f>MAX(AF3:AF33)</f>
        <v>165.8</v>
      </c>
      <c r="AG35" s="2">
        <f t="shared" ref="AG35:AH35" si="6">MAX(AG3:AG33)</f>
        <v>19.607843137254903</v>
      </c>
      <c r="AH35" s="2">
        <f t="shared" si="6"/>
        <v>2.8127450980392159</v>
      </c>
      <c r="AK35" s="2">
        <f>MAX(AK3:AK33)</f>
        <v>88.7</v>
      </c>
      <c r="AL35" s="2">
        <f t="shared" ref="AL35:AM35" si="7">MAX(AL3:AL33)</f>
        <v>22.330097087378643</v>
      </c>
      <c r="AM35" s="2">
        <f t="shared" si="7"/>
        <v>2.4300970873786407</v>
      </c>
      <c r="AP35" s="2">
        <f>MAX(AP3:AP33)</f>
        <v>123</v>
      </c>
      <c r="AQ35" s="2">
        <f t="shared" ref="AQ35:AR35" si="8">MAX(AQ3:AQ33)</f>
        <v>40.776699029126213</v>
      </c>
      <c r="AR35" s="2">
        <f t="shared" si="8"/>
        <v>4.4902912621359228</v>
      </c>
      <c r="AU35" s="2">
        <f>MAX(AU3:AU33)</f>
        <v>131.30000000000001</v>
      </c>
      <c r="AV35" s="2">
        <f t="shared" ref="AV35:AW35" si="9">MAX(AV3:AV33)</f>
        <v>51.456310679611647</v>
      </c>
      <c r="AW35" s="2">
        <f t="shared" si="9"/>
        <v>5.7533980582524276</v>
      </c>
      <c r="AZ35" s="2">
        <f>MAX(AZ2:AZ32)</f>
        <v>94.2</v>
      </c>
      <c r="BA35" s="2">
        <f>MAX(BA2:BA32)</f>
        <v>58.252427184466015</v>
      </c>
      <c r="BB35" s="2">
        <f>MAX(BB2:BB32)</f>
        <v>5.0902912621359233</v>
      </c>
      <c r="BE35" s="2">
        <f>MAX(BE2:BE32)</f>
        <v>68</v>
      </c>
      <c r="BF35" s="2">
        <f>MAX(BF2:BF32)</f>
        <v>65.048543689320397</v>
      </c>
      <c r="BG35" s="2">
        <f>MAX(BG2:BG32)</f>
        <v>5.776699029126215</v>
      </c>
    </row>
    <row r="36" spans="1:59">
      <c r="B36" s="46">
        <f>MIN(B3:B33)</f>
        <v>19.8</v>
      </c>
      <c r="C36" s="46">
        <f t="shared" ref="C36:D36" si="10">MIN(C3:C33)</f>
        <v>49.019607843137251</v>
      </c>
      <c r="D36" s="46">
        <f t="shared" si="10"/>
        <v>1.3735294117647061</v>
      </c>
      <c r="G36" s="46">
        <f>MIN(G3:G33)</f>
        <v>13.4</v>
      </c>
      <c r="H36" s="46">
        <f t="shared" ref="H36:I36" si="11">MIN(H3:H33)</f>
        <v>12.745098039215685</v>
      </c>
      <c r="I36" s="46">
        <f t="shared" si="11"/>
        <v>0.5186274509803922</v>
      </c>
      <c r="L36" s="46">
        <f>MIN(L3:L33)</f>
        <v>14.2</v>
      </c>
      <c r="M36" s="46">
        <f t="shared" ref="M36:N36" si="12">MIN(M3:M33)</f>
        <v>31.372549019607842</v>
      </c>
      <c r="N36" s="46">
        <f t="shared" si="12"/>
        <v>0.97843137254901957</v>
      </c>
      <c r="Q36" s="46">
        <f>MIN(Q3:Q33)</f>
        <v>7.6</v>
      </c>
      <c r="R36" s="46">
        <f t="shared" ref="R36:S36" si="13">MIN(R3:R33)</f>
        <v>27.450980392156865</v>
      </c>
      <c r="S36" s="46">
        <f t="shared" si="13"/>
        <v>0.61960784313725481</v>
      </c>
      <c r="V36" s="46">
        <f>MIN(V3:V33)</f>
        <v>6.4</v>
      </c>
      <c r="W36" s="46">
        <f t="shared" ref="W36:X36" si="14">MIN(W3:W33)</f>
        <v>18.627450980392158</v>
      </c>
      <c r="X36" s="46">
        <f t="shared" si="14"/>
        <v>0.57070707070699689</v>
      </c>
      <c r="AA36" s="46">
        <f>MIN(AA3:AA33)</f>
        <v>11.5</v>
      </c>
      <c r="AB36" s="46">
        <f t="shared" ref="AB36:AC36" si="15">MIN(AB3:AB33)</f>
        <v>13.725490196078432</v>
      </c>
      <c r="AC36" s="46">
        <f t="shared" si="15"/>
        <v>0.49411764705882366</v>
      </c>
      <c r="AF36" s="46">
        <f>MIN(AF3:AF33)</f>
        <v>6</v>
      </c>
      <c r="AG36" s="46">
        <f t="shared" ref="AG36:AH36" si="16">MIN(AG3:AG33)</f>
        <v>3.9215686274509802</v>
      </c>
      <c r="AH36" s="46">
        <f t="shared" si="16"/>
        <v>6.7647058823529407E-2</v>
      </c>
      <c r="AK36" s="46">
        <f>MIN(AK3:AK33)</f>
        <v>2.8</v>
      </c>
      <c r="AL36" s="46">
        <f t="shared" ref="AL36:AM36" si="17">MIN(AL3:AL33)</f>
        <v>10.679611650485436</v>
      </c>
      <c r="AM36" s="46">
        <f t="shared" si="17"/>
        <v>0.1174757281553398</v>
      </c>
      <c r="AP36" s="46">
        <f>MIN(AP3:AP33)</f>
        <v>17.2</v>
      </c>
      <c r="AQ36" s="46">
        <f t="shared" ref="AQ36:AR36" si="18">MIN(AQ3:AQ33)</f>
        <v>19.417475728155338</v>
      </c>
      <c r="AR36" s="46">
        <f t="shared" si="18"/>
        <v>0.8087378640776699</v>
      </c>
      <c r="AU36" s="46">
        <f>MIN(AU3:AU33)</f>
        <v>21.4</v>
      </c>
      <c r="AV36" s="46">
        <f t="shared" ref="AV36:AW36" si="19">MIN(AV3:AV33)</f>
        <v>27.184466019417474</v>
      </c>
      <c r="AW36" s="46">
        <f t="shared" si="19"/>
        <v>1.4213592233009706</v>
      </c>
      <c r="AZ36" s="46">
        <f>MIN(AZ2:AZ32)</f>
        <v>17.600000000000001</v>
      </c>
      <c r="BA36" s="46">
        <f>MIN(BA2:BA32)</f>
        <v>36.893203883495147</v>
      </c>
      <c r="BB36" s="46">
        <f>MIN(BB2:BB32)</f>
        <v>1.9611650485436893</v>
      </c>
      <c r="BE36" s="46">
        <f>MIN(BE2:BE32)</f>
        <v>28.2</v>
      </c>
      <c r="BF36" s="46">
        <f>MIN(BF2:BF32)</f>
        <v>47.572815533980581</v>
      </c>
      <c r="BG36" s="46">
        <f>MIN(BG2:BG32)</f>
        <v>2.8854368932038823</v>
      </c>
    </row>
    <row r="38" spans="1:59">
      <c r="C38" s="46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Sayfa9"/>
  <dimension ref="A1:BD42"/>
  <sheetViews>
    <sheetView topLeftCell="C6" workbookViewId="0">
      <selection activeCell="C18" sqref="C18"/>
    </sheetView>
  </sheetViews>
  <sheetFormatPr defaultRowHeight="28.5"/>
  <cols>
    <col min="1" max="1" width="10.28515625" style="63" bestFit="1" customWidth="1"/>
    <col min="2" max="2" width="22.140625" style="63" bestFit="1" customWidth="1"/>
    <col min="3" max="3" width="24.140625" style="63" bestFit="1" customWidth="1"/>
    <col min="4" max="4" width="20.28515625" style="63" bestFit="1" customWidth="1"/>
    <col min="5" max="5" width="5.5703125" style="26" customWidth="1"/>
    <col min="6" max="6" width="6" style="26" bestFit="1" customWidth="1"/>
    <col min="7" max="7" width="11.140625" style="26" bestFit="1" customWidth="1"/>
    <col min="8" max="8" width="5.140625" style="26" bestFit="1" customWidth="1"/>
    <col min="9" max="9" width="11.140625" style="46" bestFit="1" customWidth="1"/>
    <col min="10" max="10" width="7" style="46" bestFit="1" customWidth="1"/>
    <col min="11" max="11" width="12" style="46" bestFit="1" customWidth="1"/>
    <col min="12" max="12" width="9.140625" style="26"/>
    <col min="13" max="13" width="6" style="26" bestFit="1" customWidth="1"/>
    <col min="14" max="14" width="11.140625" style="26" bestFit="1" customWidth="1"/>
    <col min="15" max="15" width="7" style="46" bestFit="1" customWidth="1"/>
    <col min="16" max="16" width="9.140625" style="46" bestFit="1" customWidth="1"/>
    <col min="17" max="17" width="9.140625" style="26"/>
    <col min="18" max="18" width="6" style="26" bestFit="1" customWidth="1"/>
    <col min="19" max="19" width="9.42578125" style="26" bestFit="1" customWidth="1"/>
    <col min="20" max="20" width="12.42578125" style="46" bestFit="1" customWidth="1"/>
    <col min="21" max="21" width="12.42578125" style="46" customWidth="1"/>
    <col min="22" max="22" width="9.140625" style="26"/>
    <col min="23" max="23" width="7.5703125" style="26" bestFit="1" customWidth="1"/>
    <col min="24" max="24" width="9.42578125" style="26" bestFit="1" customWidth="1"/>
    <col min="25" max="25" width="12.42578125" style="46" bestFit="1" customWidth="1"/>
    <col min="26" max="26" width="12.42578125" style="46" customWidth="1"/>
    <col min="27" max="27" width="9.140625" style="26"/>
    <col min="28" max="28" width="8.5703125" style="26" bestFit="1" customWidth="1"/>
    <col min="29" max="29" width="9.42578125" style="26" bestFit="1" customWidth="1"/>
    <col min="30" max="30" width="12.42578125" style="46" bestFit="1" customWidth="1"/>
    <col min="31" max="31" width="12.42578125" style="46" customWidth="1"/>
    <col min="32" max="32" width="9.140625" style="26"/>
    <col min="33" max="33" width="8" style="26" bestFit="1" customWidth="1"/>
    <col min="34" max="34" width="9.42578125" style="26" bestFit="1" customWidth="1"/>
    <col min="35" max="35" width="12.42578125" style="46" bestFit="1" customWidth="1"/>
    <col min="36" max="36" width="12.42578125" style="46" customWidth="1"/>
    <col min="37" max="37" width="9.140625" style="26"/>
    <col min="38" max="38" width="5.28515625" style="26" bestFit="1" customWidth="1"/>
    <col min="39" max="39" width="9.42578125" style="26" bestFit="1" customWidth="1"/>
    <col min="40" max="40" width="12.42578125" style="46" bestFit="1" customWidth="1"/>
    <col min="41" max="41" width="12.42578125" style="46" customWidth="1"/>
    <col min="42" max="42" width="9.140625" style="26"/>
    <col min="43" max="43" width="5.28515625" style="26" bestFit="1" customWidth="1"/>
    <col min="44" max="44" width="9.42578125" style="26" bestFit="1" customWidth="1"/>
    <col min="45" max="45" width="12.42578125" style="46" bestFit="1" customWidth="1"/>
    <col min="46" max="46" width="12.42578125" style="46" customWidth="1"/>
    <col min="47" max="47" width="9.140625" style="26"/>
    <col min="48" max="48" width="6.140625" style="26" bestFit="1" customWidth="1"/>
    <col min="49" max="49" width="9.42578125" style="26" bestFit="1" customWidth="1"/>
    <col min="50" max="50" width="12.42578125" style="46" bestFit="1" customWidth="1"/>
    <col min="51" max="51" width="12.42578125" style="46" customWidth="1"/>
    <col min="52" max="52" width="9.140625" style="26"/>
    <col min="53" max="53" width="6" style="26" bestFit="1" customWidth="1"/>
    <col min="54" max="54" width="9.42578125" style="26" bestFit="1" customWidth="1"/>
    <col min="55" max="55" width="12.42578125" style="46" bestFit="1" customWidth="1"/>
    <col min="56" max="56" width="9.140625" style="26"/>
  </cols>
  <sheetData>
    <row r="1" spans="1:56" ht="28.5" customHeight="1">
      <c r="A1" s="127" t="s">
        <v>439</v>
      </c>
      <c r="B1" s="127"/>
      <c r="C1" s="127"/>
      <c r="D1" s="127"/>
      <c r="E1" s="30"/>
      <c r="F1"/>
      <c r="G1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</row>
    <row r="2" spans="1:56" ht="28.5" customHeight="1">
      <c r="A2" s="127"/>
      <c r="B2" s="127"/>
      <c r="C2" s="127"/>
      <c r="D2" s="127"/>
      <c r="E2"/>
      <c r="F2"/>
      <c r="G2"/>
      <c r="H2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</row>
    <row r="3" spans="1:56" ht="28.5" customHeight="1">
      <c r="A3" s="127"/>
      <c r="B3" s="127"/>
      <c r="C3" s="127"/>
      <c r="D3" s="127"/>
      <c r="E3"/>
      <c r="F3"/>
      <c r="G3"/>
      <c r="H3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</row>
    <row r="4" spans="1:56" ht="28.5" customHeight="1">
      <c r="A4" s="128"/>
      <c r="B4" s="128"/>
      <c r="C4" s="128"/>
      <c r="D4" s="128"/>
      <c r="E4"/>
      <c r="F4"/>
      <c r="G4"/>
      <c r="H4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</row>
    <row r="5" spans="1:56">
      <c r="A5" s="129" t="s">
        <v>5</v>
      </c>
      <c r="B5" s="56" t="s">
        <v>423</v>
      </c>
      <c r="C5" s="56" t="s">
        <v>449</v>
      </c>
      <c r="D5" s="57" t="s">
        <v>2</v>
      </c>
      <c r="E5"/>
      <c r="F5"/>
      <c r="G5"/>
      <c r="H5"/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</row>
    <row r="6" spans="1:56">
      <c r="A6" s="130"/>
      <c r="B6" s="56" t="s">
        <v>438</v>
      </c>
      <c r="C6" s="56" t="s">
        <v>437</v>
      </c>
      <c r="D6" s="64" t="s">
        <v>438</v>
      </c>
      <c r="E6"/>
      <c r="F6"/>
      <c r="G6"/>
      <c r="H6"/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</row>
    <row r="7" spans="1:56">
      <c r="A7" s="58">
        <v>1</v>
      </c>
      <c r="B7" s="59">
        <v>35.5</v>
      </c>
      <c r="C7" s="59">
        <v>54.901960784313729</v>
      </c>
      <c r="D7" s="59">
        <v>3.5607843137254895</v>
      </c>
      <c r="E7"/>
      <c r="F7"/>
      <c r="G7"/>
      <c r="H7"/>
      <c r="I7" s="125"/>
      <c r="J7" s="125"/>
      <c r="K7" s="125"/>
      <c r="L7" s="125"/>
      <c r="M7" s="125"/>
      <c r="N7" s="125"/>
      <c r="O7" s="125"/>
      <c r="P7" s="125"/>
      <c r="Q7" s="125"/>
      <c r="R7" s="125"/>
      <c r="S7" s="125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</row>
    <row r="8" spans="1:56">
      <c r="A8" s="58">
        <v>2</v>
      </c>
      <c r="B8" s="59">
        <v>31.2</v>
      </c>
      <c r="C8" s="59">
        <v>60.784313725490193</v>
      </c>
      <c r="D8" s="59">
        <v>3.5058823529411769</v>
      </c>
      <c r="E8"/>
      <c r="F8"/>
      <c r="G8"/>
      <c r="H8"/>
      <c r="I8" s="125"/>
      <c r="J8" s="125"/>
      <c r="K8" s="125"/>
      <c r="L8" s="125"/>
      <c r="M8" s="125"/>
      <c r="N8" s="125"/>
      <c r="O8" s="125"/>
      <c r="P8" s="125"/>
      <c r="Q8" s="125"/>
      <c r="R8" s="125"/>
      <c r="S8" s="125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</row>
    <row r="9" spans="1:56">
      <c r="A9" s="58">
        <v>3</v>
      </c>
      <c r="B9" s="59">
        <v>30.2</v>
      </c>
      <c r="C9" s="59">
        <v>60.784313725490193</v>
      </c>
      <c r="D9" s="59">
        <v>3.2519607843137242</v>
      </c>
      <c r="E9"/>
      <c r="F9"/>
      <c r="G9"/>
      <c r="H9"/>
      <c r="I9" s="125"/>
      <c r="J9" s="125"/>
      <c r="K9" s="125"/>
      <c r="L9" s="125"/>
      <c r="M9" s="125"/>
      <c r="N9" s="125"/>
      <c r="O9" s="125"/>
      <c r="P9" s="125"/>
      <c r="Q9" s="125"/>
      <c r="R9" s="125"/>
      <c r="S9" s="125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</row>
    <row r="10" spans="1:56">
      <c r="A10" s="58">
        <v>4</v>
      </c>
      <c r="B10" s="59">
        <v>26.6</v>
      </c>
      <c r="C10" s="59">
        <v>58.82352941176471</v>
      </c>
      <c r="D10" s="59">
        <v>4.1176470588235281</v>
      </c>
      <c r="E10"/>
      <c r="F10"/>
      <c r="G10"/>
      <c r="H10"/>
      <c r="I10" s="125"/>
      <c r="J10" s="125"/>
      <c r="K10" s="125"/>
      <c r="L10" s="125"/>
      <c r="M10" s="125"/>
      <c r="N10" s="125"/>
      <c r="O10" s="125"/>
      <c r="P10" s="125"/>
      <c r="Q10" s="125"/>
      <c r="R10" s="125"/>
      <c r="S10" s="125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</row>
    <row r="11" spans="1:56">
      <c r="A11" s="58">
        <v>5</v>
      </c>
      <c r="B11" s="59">
        <v>39.4</v>
      </c>
      <c r="C11" s="59">
        <v>50.980392156862742</v>
      </c>
      <c r="D11" s="59">
        <v>3.3892156862745102</v>
      </c>
      <c r="E11"/>
      <c r="F11"/>
      <c r="G11"/>
      <c r="H11"/>
      <c r="I11" s="125"/>
      <c r="J11" s="125"/>
      <c r="K11" s="125"/>
      <c r="L11" s="125"/>
      <c r="M11" s="125"/>
      <c r="N11" s="125"/>
      <c r="O11" s="125"/>
      <c r="P11" s="125"/>
      <c r="Q11" s="125"/>
      <c r="R11" s="125"/>
      <c r="S11" s="125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</row>
    <row r="12" spans="1:56">
      <c r="A12" s="58">
        <v>6</v>
      </c>
      <c r="B12" s="59">
        <v>23.7</v>
      </c>
      <c r="C12" s="59">
        <v>49.019607843137251</v>
      </c>
      <c r="D12" s="59">
        <v>2.4745098039215683</v>
      </c>
      <c r="E12"/>
      <c r="F12"/>
      <c r="G12"/>
      <c r="H12"/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</row>
    <row r="13" spans="1:56">
      <c r="A13" s="58">
        <v>7</v>
      </c>
      <c r="B13" s="59">
        <v>23.5</v>
      </c>
      <c r="C13" s="59">
        <v>65.686274509803923</v>
      </c>
      <c r="D13" s="59">
        <v>3.8470588235294123</v>
      </c>
      <c r="E13"/>
      <c r="F13"/>
      <c r="G13"/>
      <c r="H13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</row>
    <row r="14" spans="1:56">
      <c r="A14" s="58">
        <v>8</v>
      </c>
      <c r="B14" s="59">
        <v>39</v>
      </c>
      <c r="C14" s="59">
        <v>60.784313725490193</v>
      </c>
      <c r="D14" s="59">
        <v>3.9333333333333358</v>
      </c>
      <c r="E14"/>
      <c r="F14"/>
      <c r="G14"/>
      <c r="H14"/>
      <c r="I14" s="126"/>
      <c r="J14" s="126"/>
      <c r="K14" s="126"/>
      <c r="L14" s="126"/>
      <c r="M14" s="126"/>
      <c r="N14" s="126"/>
      <c r="O14" s="126"/>
      <c r="P14" s="126"/>
      <c r="Q14" s="126"/>
      <c r="R14" s="126"/>
      <c r="S14" s="126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</row>
    <row r="15" spans="1:56">
      <c r="A15" s="58">
        <v>9</v>
      </c>
      <c r="B15" s="59">
        <v>37.4</v>
      </c>
      <c r="C15" s="59">
        <v>55.882352941176471</v>
      </c>
      <c r="D15" s="59">
        <v>3.839215686274509</v>
      </c>
      <c r="E15"/>
      <c r="F15"/>
      <c r="G15"/>
      <c r="H15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</row>
    <row r="16" spans="1:56">
      <c r="A16" s="58">
        <v>10</v>
      </c>
      <c r="B16" s="59">
        <v>46.8</v>
      </c>
      <c r="C16" s="59">
        <v>54.901960784313729</v>
      </c>
      <c r="D16" s="59">
        <v>4.7098039215686285</v>
      </c>
      <c r="E16"/>
      <c r="F16"/>
      <c r="G16"/>
      <c r="H1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</row>
    <row r="17" spans="1:56">
      <c r="A17" s="58">
        <v>11</v>
      </c>
      <c r="B17" s="59">
        <v>35.5</v>
      </c>
      <c r="C17" s="59">
        <v>55.882352941176471</v>
      </c>
      <c r="D17" s="59">
        <v>3.2990196078431371</v>
      </c>
      <c r="E17"/>
      <c r="F17"/>
      <c r="G17"/>
      <c r="H17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</row>
    <row r="18" spans="1:56">
      <c r="A18" s="58">
        <v>12</v>
      </c>
      <c r="B18" s="59">
        <v>27.1</v>
      </c>
      <c r="C18" s="59">
        <v>51.960784313725497</v>
      </c>
      <c r="D18" s="59">
        <v>2.6921568627450982</v>
      </c>
      <c r="E18"/>
      <c r="F18"/>
      <c r="G18"/>
      <c r="H18"/>
      <c r="I18" s="126"/>
      <c r="J18" s="126"/>
      <c r="K18" s="126"/>
      <c r="L18" s="126"/>
      <c r="M18" s="126"/>
      <c r="N18" s="126"/>
      <c r="O18" s="126"/>
      <c r="P18" s="126"/>
      <c r="Q18" s="126"/>
      <c r="R18" s="126"/>
      <c r="S18" s="126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</row>
    <row r="19" spans="1:56">
      <c r="A19" s="58">
        <v>13</v>
      </c>
      <c r="B19" s="59">
        <v>31.3</v>
      </c>
      <c r="C19" s="59">
        <v>61.764705882352942</v>
      </c>
      <c r="D19" s="59">
        <v>3.6862745098039209</v>
      </c>
      <c r="E19"/>
      <c r="F19"/>
      <c r="G19"/>
      <c r="H19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</row>
    <row r="20" spans="1:56">
      <c r="A20" s="58">
        <v>14</v>
      </c>
      <c r="B20" s="59">
        <v>24.1</v>
      </c>
      <c r="C20" s="59">
        <v>56.862745098039213</v>
      </c>
      <c r="D20" s="59">
        <v>3.0901960784313718</v>
      </c>
      <c r="E20"/>
      <c r="F20"/>
      <c r="G20"/>
      <c r="H20"/>
      <c r="I20" s="126"/>
      <c r="J20" s="126"/>
      <c r="K20" s="126"/>
      <c r="L20" s="126"/>
      <c r="M20" s="126"/>
      <c r="N20" s="126"/>
      <c r="O20" s="126"/>
      <c r="P20" s="126"/>
      <c r="Q20" s="126"/>
      <c r="R20" s="126"/>
      <c r="S20" s="126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</row>
    <row r="21" spans="1:56">
      <c r="A21" s="58">
        <v>15</v>
      </c>
      <c r="B21" s="59">
        <v>25.1</v>
      </c>
      <c r="C21" s="59">
        <v>63.725490196078425</v>
      </c>
      <c r="D21" s="59">
        <v>3.5990196078431369</v>
      </c>
      <c r="E21"/>
      <c r="F21"/>
      <c r="G21"/>
      <c r="H21"/>
      <c r="I21" s="126"/>
      <c r="J21" s="126"/>
      <c r="K21" s="126"/>
      <c r="L21" s="126"/>
      <c r="M21" s="126"/>
      <c r="N21" s="126"/>
      <c r="O21" s="126"/>
      <c r="P21" s="126"/>
      <c r="Q21" s="126"/>
      <c r="R21" s="126"/>
      <c r="S21" s="126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</row>
    <row r="22" spans="1:56">
      <c r="A22" s="58">
        <v>16</v>
      </c>
      <c r="B22" s="59">
        <v>32.700000000000003</v>
      </c>
      <c r="C22" s="59">
        <v>58.82352941176471</v>
      </c>
      <c r="D22" s="59">
        <v>4.2294117647058824</v>
      </c>
      <c r="E22"/>
      <c r="F22"/>
      <c r="G22"/>
      <c r="H22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</row>
    <row r="23" spans="1:56">
      <c r="A23" s="58">
        <v>17</v>
      </c>
      <c r="B23" s="59">
        <v>38.6</v>
      </c>
      <c r="C23" s="59">
        <v>56.862745098039213</v>
      </c>
      <c r="D23" s="59">
        <v>2.8539215686274519</v>
      </c>
      <c r="E23"/>
      <c r="F23"/>
      <c r="G23"/>
      <c r="H23"/>
      <c r="I23" s="126"/>
      <c r="J23" s="126"/>
      <c r="K23" s="126"/>
      <c r="L23" s="126"/>
      <c r="M23" s="126"/>
      <c r="N23" s="126"/>
      <c r="O23" s="126"/>
      <c r="P23" s="126"/>
      <c r="Q23" s="126"/>
      <c r="R23" s="126"/>
      <c r="S23" s="126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</row>
    <row r="24" spans="1:56">
      <c r="A24" s="58">
        <v>18</v>
      </c>
      <c r="B24" s="59">
        <v>25.5</v>
      </c>
      <c r="C24" s="59">
        <v>57.843137254901968</v>
      </c>
      <c r="D24" s="59">
        <v>2.7803921568627445</v>
      </c>
      <c r="E24"/>
      <c r="F24"/>
      <c r="G24"/>
      <c r="H24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</row>
    <row r="25" spans="1:56">
      <c r="A25" s="58">
        <v>19</v>
      </c>
      <c r="B25" s="59">
        <v>33</v>
      </c>
      <c r="C25" s="59">
        <v>58.82352941176471</v>
      </c>
      <c r="D25" s="59">
        <v>3.6166666666666654</v>
      </c>
      <c r="E25"/>
      <c r="F25"/>
      <c r="G25"/>
      <c r="H25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</row>
    <row r="26" spans="1:56">
      <c r="A26" s="58">
        <v>20</v>
      </c>
      <c r="B26" s="59">
        <v>32.4</v>
      </c>
      <c r="C26" s="59">
        <v>59.803921568627452</v>
      </c>
      <c r="D26" s="59">
        <v>3.0078431372549019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</row>
    <row r="27" spans="1:56">
      <c r="A27" s="58">
        <v>21</v>
      </c>
      <c r="B27" s="59">
        <v>50.5</v>
      </c>
      <c r="C27" s="59">
        <v>58.82352941176471</v>
      </c>
      <c r="D27" s="59">
        <v>3.4852941176470589</v>
      </c>
      <c r="E27"/>
      <c r="F27"/>
      <c r="G27"/>
      <c r="H27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</row>
    <row r="28" spans="1:56">
      <c r="A28" s="58">
        <v>22</v>
      </c>
      <c r="B28" s="59">
        <v>48.5</v>
      </c>
      <c r="C28" s="59">
        <v>54.901960784313729</v>
      </c>
      <c r="D28" s="59">
        <v>3.3999999999999995</v>
      </c>
      <c r="E28"/>
      <c r="F28"/>
      <c r="G28"/>
      <c r="H28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</row>
    <row r="29" spans="1:56">
      <c r="A29" s="58">
        <v>23</v>
      </c>
      <c r="B29" s="59">
        <v>26</v>
      </c>
      <c r="C29" s="59">
        <v>57.843137254901968</v>
      </c>
      <c r="D29" s="59">
        <v>2.8019607843137249</v>
      </c>
      <c r="E29"/>
      <c r="F29"/>
      <c r="G29"/>
      <c r="H29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</row>
    <row r="30" spans="1:56">
      <c r="A30" s="58">
        <v>24</v>
      </c>
      <c r="B30" s="59">
        <v>30.2</v>
      </c>
      <c r="C30" s="59">
        <v>53.921568627450981</v>
      </c>
      <c r="D30" s="59">
        <v>1.3735294117647061</v>
      </c>
      <c r="E30"/>
      <c r="F30"/>
      <c r="G30"/>
      <c r="H30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</row>
    <row r="31" spans="1:56">
      <c r="A31" s="58">
        <v>25</v>
      </c>
      <c r="B31" s="59">
        <v>37.6</v>
      </c>
      <c r="C31" s="59">
        <v>61.764705882352942</v>
      </c>
      <c r="D31" s="59">
        <v>3.8843137254901969</v>
      </c>
      <c r="E31"/>
      <c r="F31"/>
      <c r="G31"/>
      <c r="H31"/>
      <c r="I31" s="126"/>
      <c r="J31" s="126"/>
      <c r="K31" s="126"/>
      <c r="L31" s="126"/>
      <c r="M31" s="126"/>
      <c r="N31" s="126"/>
      <c r="O31" s="126"/>
      <c r="P31" s="126"/>
      <c r="Q31" s="126"/>
      <c r="R31" s="126"/>
      <c r="S31" s="126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</row>
    <row r="32" spans="1:56">
      <c r="A32" s="58">
        <v>26</v>
      </c>
      <c r="B32" s="59">
        <v>39.1</v>
      </c>
      <c r="C32" s="59">
        <v>61.764705882352942</v>
      </c>
      <c r="D32" s="59">
        <v>3.4833333333333325</v>
      </c>
      <c r="E32"/>
      <c r="F32"/>
      <c r="G32"/>
      <c r="H32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</row>
    <row r="33" spans="1:56">
      <c r="A33" s="58">
        <v>27</v>
      </c>
      <c r="B33" s="59">
        <v>40</v>
      </c>
      <c r="C33" s="59">
        <v>57.843137254901968</v>
      </c>
      <c r="D33" s="59">
        <v>4.0333333333333341</v>
      </c>
      <c r="E33"/>
      <c r="F33"/>
      <c r="G33"/>
      <c r="H33"/>
      <c r="I33" s="126"/>
      <c r="J33" s="126"/>
      <c r="K33" s="126"/>
      <c r="L33" s="126"/>
      <c r="M33" s="126"/>
      <c r="N33" s="126"/>
      <c r="O33" s="126"/>
      <c r="P33" s="126"/>
      <c r="Q33" s="126"/>
      <c r="R33" s="126"/>
      <c r="S33" s="126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</row>
    <row r="34" spans="1:56">
      <c r="A34" s="58">
        <v>28</v>
      </c>
      <c r="B34" s="59">
        <v>19.8</v>
      </c>
      <c r="C34" s="59">
        <v>62.745098039215684</v>
      </c>
      <c r="D34" s="59">
        <v>2.7372549019607844</v>
      </c>
      <c r="E34"/>
      <c r="F34"/>
      <c r="G34"/>
      <c r="H34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</row>
    <row r="35" spans="1:56">
      <c r="A35" s="58">
        <v>29</v>
      </c>
      <c r="B35" s="59">
        <v>42.5</v>
      </c>
      <c r="C35" s="59">
        <v>62.745098039215684</v>
      </c>
      <c r="D35" s="59">
        <v>3.9931372549019613</v>
      </c>
      <c r="F35"/>
      <c r="G35"/>
      <c r="H35"/>
      <c r="I35" s="126"/>
      <c r="J35" s="126"/>
      <c r="K35" s="126"/>
      <c r="L35" s="126"/>
      <c r="M35" s="126"/>
      <c r="N35" s="126"/>
      <c r="O35" s="126"/>
      <c r="P35" s="126"/>
      <c r="Q35" s="126"/>
      <c r="R35" s="126"/>
      <c r="S35" s="126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</row>
    <row r="36" spans="1:56">
      <c r="A36" s="58">
        <v>30</v>
      </c>
      <c r="B36" s="59">
        <v>33.5</v>
      </c>
      <c r="C36" s="59">
        <v>66.666666666666657</v>
      </c>
      <c r="D36" s="59">
        <v>3.0205882352941189</v>
      </c>
      <c r="H3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</row>
    <row r="37" spans="1:56">
      <c r="A37" s="58">
        <v>31</v>
      </c>
      <c r="B37" s="59">
        <v>66</v>
      </c>
      <c r="C37" s="59">
        <v>62.745098039215684</v>
      </c>
      <c r="D37" s="59">
        <v>3.1666666666666665</v>
      </c>
      <c r="I37" s="126"/>
      <c r="J37" s="126"/>
      <c r="K37" s="126"/>
      <c r="L37" s="126"/>
      <c r="M37" s="126"/>
      <c r="N37" s="126"/>
      <c r="O37" s="126"/>
      <c r="P37" s="126"/>
      <c r="Q37" s="126"/>
      <c r="R37" s="126"/>
      <c r="S37" s="126"/>
    </row>
    <row r="38" spans="1:56">
      <c r="A38" s="61"/>
      <c r="B38" s="62"/>
      <c r="C38" s="61"/>
      <c r="D38" s="61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</row>
    <row r="39" spans="1:56">
      <c r="A39" s="61"/>
      <c r="B39" s="62"/>
      <c r="C39" s="62"/>
      <c r="D39" s="62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</row>
    <row r="40" spans="1:56">
      <c r="B40" s="60"/>
      <c r="C40" s="60"/>
      <c r="D40" s="60"/>
    </row>
    <row r="42" spans="1:56">
      <c r="C42" s="60"/>
    </row>
  </sheetData>
  <mergeCells count="5">
    <mergeCell ref="I1:S13"/>
    <mergeCell ref="I14:S25"/>
    <mergeCell ref="I27:S39"/>
    <mergeCell ref="A1:D4"/>
    <mergeCell ref="A5:A6"/>
  </mergeCells>
  <pageMargins left="0.19685039370078741" right="0.19685039370078741" top="0.19685039370078741" bottom="0.19685039370078741" header="0" footer="0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 codeName="Sayfa10"/>
  <dimension ref="A1:BD40"/>
  <sheetViews>
    <sheetView topLeftCell="J11" workbookViewId="0">
      <selection activeCell="C18" sqref="C18"/>
    </sheetView>
  </sheetViews>
  <sheetFormatPr defaultRowHeight="28.5"/>
  <cols>
    <col min="1" max="1" width="10.28515625" style="63" bestFit="1" customWidth="1"/>
    <col min="2" max="2" width="22.140625" style="63" bestFit="1" customWidth="1"/>
    <col min="3" max="3" width="23.42578125" style="63" bestFit="1" customWidth="1"/>
    <col min="4" max="4" width="18" style="63" bestFit="1" customWidth="1"/>
    <col min="5" max="5" width="5.5703125" style="26" customWidth="1"/>
    <col min="6" max="6" width="6" style="26" bestFit="1" customWidth="1"/>
    <col min="7" max="7" width="11.140625" style="26" bestFit="1" customWidth="1"/>
    <col min="8" max="8" width="5.140625" style="26" bestFit="1" customWidth="1"/>
    <col min="9" max="9" width="11.140625" style="46" bestFit="1" customWidth="1"/>
    <col min="10" max="10" width="7" style="46" bestFit="1" customWidth="1"/>
    <col min="11" max="11" width="12" style="46" bestFit="1" customWidth="1"/>
    <col min="12" max="12" width="9.140625" style="26"/>
    <col min="13" max="13" width="6" style="26" bestFit="1" customWidth="1"/>
    <col min="14" max="14" width="11.140625" style="26" bestFit="1" customWidth="1"/>
    <col min="15" max="15" width="7" style="46" bestFit="1" customWidth="1"/>
    <col min="16" max="16" width="9.140625" style="46" bestFit="1" customWidth="1"/>
    <col min="17" max="17" width="9.140625" style="26"/>
    <col min="18" max="18" width="6" style="26" bestFit="1" customWidth="1"/>
    <col min="19" max="19" width="9.42578125" style="26" bestFit="1" customWidth="1"/>
    <col min="20" max="20" width="12.42578125" style="46" bestFit="1" customWidth="1"/>
    <col min="21" max="21" width="12.42578125" style="46" customWidth="1"/>
    <col min="22" max="22" width="9.140625" style="26"/>
    <col min="23" max="23" width="7.5703125" style="26" bestFit="1" customWidth="1"/>
    <col min="24" max="24" width="9.42578125" style="26" bestFit="1" customWidth="1"/>
    <col min="25" max="25" width="12.42578125" style="46" bestFit="1" customWidth="1"/>
    <col min="26" max="26" width="12.42578125" style="46" customWidth="1"/>
    <col min="27" max="27" width="9.140625" style="26"/>
    <col min="28" max="28" width="8.5703125" style="26" bestFit="1" customWidth="1"/>
    <col min="29" max="29" width="9.42578125" style="26" bestFit="1" customWidth="1"/>
    <col min="30" max="30" width="12.42578125" style="46" bestFit="1" customWidth="1"/>
    <col min="31" max="31" width="12.42578125" style="46" customWidth="1"/>
    <col min="32" max="32" width="9.140625" style="26"/>
    <col min="33" max="33" width="8" style="26" bestFit="1" customWidth="1"/>
    <col min="34" max="34" width="9.42578125" style="26" bestFit="1" customWidth="1"/>
    <col min="35" max="35" width="12.42578125" style="46" bestFit="1" customWidth="1"/>
    <col min="36" max="36" width="12.42578125" style="46" customWidth="1"/>
    <col min="37" max="37" width="9.140625" style="26"/>
    <col min="38" max="38" width="5.28515625" style="26" bestFit="1" customWidth="1"/>
    <col min="39" max="39" width="9.42578125" style="26" bestFit="1" customWidth="1"/>
    <col min="40" max="40" width="12.42578125" style="46" bestFit="1" customWidth="1"/>
    <col min="41" max="41" width="12.42578125" style="46" customWidth="1"/>
    <col min="42" max="42" width="9.140625" style="26"/>
    <col min="43" max="43" width="5.28515625" style="26" bestFit="1" customWidth="1"/>
    <col min="44" max="44" width="9.42578125" style="26" bestFit="1" customWidth="1"/>
    <col min="45" max="45" width="12.42578125" style="46" bestFit="1" customWidth="1"/>
    <col min="46" max="46" width="12.42578125" style="46" customWidth="1"/>
    <col min="47" max="47" width="9.140625" style="26"/>
    <col min="48" max="48" width="6.140625" style="26" bestFit="1" customWidth="1"/>
    <col min="49" max="49" width="9.42578125" style="26" bestFit="1" customWidth="1"/>
    <col min="50" max="50" width="12.42578125" style="46" bestFit="1" customWidth="1"/>
    <col min="51" max="51" width="12.42578125" style="46" customWidth="1"/>
    <col min="52" max="52" width="9.140625" style="26"/>
    <col min="53" max="53" width="6" style="26" bestFit="1" customWidth="1"/>
    <col min="54" max="54" width="9.42578125" style="26" bestFit="1" customWidth="1"/>
    <col min="55" max="55" width="12.42578125" style="46" bestFit="1" customWidth="1"/>
    <col min="56" max="56" width="9.140625" style="26"/>
  </cols>
  <sheetData>
    <row r="1" spans="1:56" ht="28.5" customHeight="1">
      <c r="A1" s="127" t="s">
        <v>440</v>
      </c>
      <c r="B1" s="127"/>
      <c r="C1" s="127"/>
      <c r="D1" s="127"/>
      <c r="E1" s="30"/>
      <c r="F1"/>
      <c r="G1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</row>
    <row r="2" spans="1:56" ht="28.5" customHeight="1">
      <c r="A2" s="127"/>
      <c r="B2" s="127"/>
      <c r="C2" s="127"/>
      <c r="D2" s="127"/>
      <c r="E2"/>
      <c r="F2"/>
      <c r="G2"/>
      <c r="H2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</row>
    <row r="3" spans="1:56" ht="28.5" customHeight="1">
      <c r="A3" s="127"/>
      <c r="B3" s="127"/>
      <c r="C3" s="127"/>
      <c r="D3" s="127"/>
      <c r="E3"/>
      <c r="F3"/>
      <c r="G3"/>
      <c r="H3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</row>
    <row r="4" spans="1:56" ht="28.5" customHeight="1">
      <c r="A4" s="128"/>
      <c r="B4" s="128"/>
      <c r="C4" s="128"/>
      <c r="D4" s="128"/>
      <c r="E4"/>
      <c r="F4"/>
      <c r="G4"/>
      <c r="H4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</row>
    <row r="5" spans="1:56">
      <c r="A5" s="129" t="s">
        <v>6</v>
      </c>
      <c r="B5" s="56" t="s">
        <v>423</v>
      </c>
      <c r="C5" s="56" t="s">
        <v>449</v>
      </c>
      <c r="D5" s="57" t="s">
        <v>2</v>
      </c>
      <c r="E5"/>
      <c r="F5"/>
      <c r="G5"/>
      <c r="H5"/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</row>
    <row r="6" spans="1:56">
      <c r="A6" s="130"/>
      <c r="B6" s="56" t="s">
        <v>438</v>
      </c>
      <c r="C6" s="56" t="s">
        <v>437</v>
      </c>
      <c r="D6" s="64" t="s">
        <v>438</v>
      </c>
      <c r="E6"/>
      <c r="F6"/>
      <c r="G6"/>
      <c r="H6"/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</row>
    <row r="7" spans="1:56">
      <c r="A7" s="58">
        <v>1</v>
      </c>
      <c r="B7" s="59">
        <v>35.5</v>
      </c>
      <c r="C7" s="59">
        <v>58.82352941176471</v>
      </c>
      <c r="D7" s="59">
        <v>3.4098039215686269</v>
      </c>
      <c r="E7"/>
      <c r="F7"/>
      <c r="G7"/>
      <c r="H7"/>
      <c r="I7" s="125"/>
      <c r="J7" s="125"/>
      <c r="K7" s="125"/>
      <c r="L7" s="125"/>
      <c r="M7" s="125"/>
      <c r="N7" s="125"/>
      <c r="O7" s="125"/>
      <c r="P7" s="125"/>
      <c r="Q7" s="125"/>
      <c r="R7" s="125"/>
      <c r="S7" s="125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</row>
    <row r="8" spans="1:56">
      <c r="A8" s="58">
        <v>2</v>
      </c>
      <c r="B8" s="59">
        <v>39.299999999999997</v>
      </c>
      <c r="C8" s="59">
        <v>58.82352941176471</v>
      </c>
      <c r="D8" s="59">
        <v>4.0382352941176487</v>
      </c>
      <c r="E8"/>
      <c r="F8"/>
      <c r="G8"/>
      <c r="H8"/>
      <c r="I8" s="125"/>
      <c r="J8" s="125"/>
      <c r="K8" s="125"/>
      <c r="L8" s="125"/>
      <c r="M8" s="125"/>
      <c r="N8" s="125"/>
      <c r="O8" s="125"/>
      <c r="P8" s="125"/>
      <c r="Q8" s="125"/>
      <c r="R8" s="125"/>
      <c r="S8" s="125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</row>
    <row r="9" spans="1:56">
      <c r="A9" s="58">
        <v>3</v>
      </c>
      <c r="B9" s="59">
        <v>28.9</v>
      </c>
      <c r="C9" s="59">
        <v>59.803921568627452</v>
      </c>
      <c r="D9" s="59">
        <v>3.077450980392157</v>
      </c>
      <c r="E9"/>
      <c r="F9"/>
      <c r="G9"/>
      <c r="H9"/>
      <c r="I9" s="125"/>
      <c r="J9" s="125"/>
      <c r="K9" s="125"/>
      <c r="L9" s="125"/>
      <c r="M9" s="125"/>
      <c r="N9" s="125"/>
      <c r="O9" s="125"/>
      <c r="P9" s="125"/>
      <c r="Q9" s="125"/>
      <c r="R9" s="125"/>
      <c r="S9" s="125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</row>
    <row r="10" spans="1:56">
      <c r="A10" s="58">
        <v>4</v>
      </c>
      <c r="B10" s="59">
        <v>30</v>
      </c>
      <c r="C10" s="59">
        <v>48.03921568627451</v>
      </c>
      <c r="D10" s="59">
        <v>2.2696078431372544</v>
      </c>
      <c r="E10"/>
      <c r="F10"/>
      <c r="G10"/>
      <c r="H10"/>
      <c r="I10" s="125"/>
      <c r="J10" s="125"/>
      <c r="K10" s="125"/>
      <c r="L10" s="125"/>
      <c r="M10" s="125"/>
      <c r="N10" s="125"/>
      <c r="O10" s="125"/>
      <c r="P10" s="125"/>
      <c r="Q10" s="125"/>
      <c r="R10" s="125"/>
      <c r="S10" s="125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</row>
    <row r="11" spans="1:56">
      <c r="A11" s="58">
        <v>5</v>
      </c>
      <c r="B11" s="59">
        <v>51</v>
      </c>
      <c r="C11" s="59">
        <v>45.098039215686278</v>
      </c>
      <c r="D11" s="59">
        <v>2.7960784313725484</v>
      </c>
      <c r="E11"/>
      <c r="F11"/>
      <c r="G11"/>
      <c r="H11"/>
      <c r="I11" s="125"/>
      <c r="J11" s="125"/>
      <c r="K11" s="125"/>
      <c r="L11" s="125"/>
      <c r="M11" s="125"/>
      <c r="N11" s="125"/>
      <c r="O11" s="125"/>
      <c r="P11" s="125"/>
      <c r="Q11" s="125"/>
      <c r="R11" s="125"/>
      <c r="S11" s="125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</row>
    <row r="12" spans="1:56">
      <c r="A12" s="58">
        <v>6</v>
      </c>
      <c r="B12" s="59">
        <v>29</v>
      </c>
      <c r="C12" s="59">
        <v>60.784313725490193</v>
      </c>
      <c r="D12" s="59">
        <v>3.2274509803921556</v>
      </c>
      <c r="E12"/>
      <c r="F12"/>
      <c r="G12"/>
      <c r="H12"/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</row>
    <row r="13" spans="1:56">
      <c r="A13" s="58">
        <v>7</v>
      </c>
      <c r="B13" s="59">
        <v>33.700000000000003</v>
      </c>
      <c r="C13" s="59">
        <v>59.803921568627452</v>
      </c>
      <c r="D13" s="59">
        <v>3.4098039215686264</v>
      </c>
      <c r="E13"/>
      <c r="F13"/>
      <c r="G13"/>
      <c r="H13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</row>
    <row r="14" spans="1:56">
      <c r="A14" s="58">
        <v>8</v>
      </c>
      <c r="B14" s="59">
        <v>57.5</v>
      </c>
      <c r="C14" s="59">
        <v>51.960784313725497</v>
      </c>
      <c r="D14" s="59">
        <v>3.6215686274509817</v>
      </c>
      <c r="E14"/>
      <c r="F14"/>
      <c r="G14"/>
      <c r="H14"/>
      <c r="I14" s="126"/>
      <c r="J14" s="126"/>
      <c r="K14" s="126"/>
      <c r="L14" s="126"/>
      <c r="M14" s="126"/>
      <c r="N14" s="126"/>
      <c r="O14" s="126"/>
      <c r="P14" s="126"/>
      <c r="Q14" s="126"/>
      <c r="R14" s="126"/>
      <c r="S14" s="126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</row>
    <row r="15" spans="1:56">
      <c r="A15" s="58">
        <v>9</v>
      </c>
      <c r="B15" s="59">
        <v>42.2</v>
      </c>
      <c r="C15" s="59">
        <v>53.921568627450981</v>
      </c>
      <c r="D15" s="59">
        <v>3.0725490196078433</v>
      </c>
      <c r="E15"/>
      <c r="F15"/>
      <c r="G15"/>
      <c r="H15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</row>
    <row r="16" spans="1:56">
      <c r="A16" s="58">
        <v>10</v>
      </c>
      <c r="B16" s="59">
        <v>45.6</v>
      </c>
      <c r="C16" s="59">
        <v>47.058823529411761</v>
      </c>
      <c r="D16" s="59">
        <v>3.2382352941176475</v>
      </c>
      <c r="E16"/>
      <c r="F16"/>
      <c r="G16"/>
      <c r="H1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</row>
    <row r="17" spans="1:56">
      <c r="A17" s="58">
        <v>11</v>
      </c>
      <c r="B17" s="59">
        <v>31</v>
      </c>
      <c r="C17" s="59">
        <v>48.03921568627451</v>
      </c>
      <c r="D17" s="59">
        <v>2.9264705882352939</v>
      </c>
      <c r="E17"/>
      <c r="F17"/>
      <c r="G17"/>
      <c r="H17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</row>
    <row r="18" spans="1:56">
      <c r="A18" s="58">
        <v>12</v>
      </c>
      <c r="B18" s="59">
        <v>30.3</v>
      </c>
      <c r="C18" s="59">
        <v>49.019607843137251</v>
      </c>
      <c r="D18" s="59">
        <v>2.649999999999999</v>
      </c>
      <c r="E18"/>
      <c r="F18"/>
      <c r="G18"/>
      <c r="H18"/>
      <c r="I18" s="126"/>
      <c r="J18" s="126"/>
      <c r="K18" s="126"/>
      <c r="L18" s="126"/>
      <c r="M18" s="126"/>
      <c r="N18" s="126"/>
      <c r="O18" s="126"/>
      <c r="P18" s="126"/>
      <c r="Q18" s="126"/>
      <c r="R18" s="126"/>
      <c r="S18" s="126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</row>
    <row r="19" spans="1:56">
      <c r="A19" s="58">
        <v>13</v>
      </c>
      <c r="B19" s="59">
        <v>19.100000000000001</v>
      </c>
      <c r="C19" s="59">
        <v>54.901960784313729</v>
      </c>
      <c r="D19" s="59">
        <v>2.6333333333333337</v>
      </c>
      <c r="E19"/>
      <c r="F19"/>
      <c r="G19"/>
      <c r="H19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</row>
    <row r="20" spans="1:56">
      <c r="A20" s="58">
        <v>14</v>
      </c>
      <c r="B20" s="59">
        <v>51.1</v>
      </c>
      <c r="C20" s="59">
        <v>55.882352941176471</v>
      </c>
      <c r="D20" s="59">
        <v>3.8225490196078442</v>
      </c>
      <c r="E20"/>
      <c r="F20"/>
      <c r="G20"/>
      <c r="H20"/>
      <c r="I20" s="126"/>
      <c r="J20" s="126"/>
      <c r="K20" s="126"/>
      <c r="L20" s="126"/>
      <c r="M20" s="126"/>
      <c r="N20" s="126"/>
      <c r="O20" s="126"/>
      <c r="P20" s="126"/>
      <c r="Q20" s="126"/>
      <c r="R20" s="126"/>
      <c r="S20" s="126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</row>
    <row r="21" spans="1:56">
      <c r="A21" s="58">
        <v>15</v>
      </c>
      <c r="B21" s="59">
        <v>55.1</v>
      </c>
      <c r="C21" s="59">
        <v>59.803921568627452</v>
      </c>
      <c r="D21" s="59">
        <v>3.0303921568627463</v>
      </c>
      <c r="E21"/>
      <c r="F21"/>
      <c r="G21"/>
      <c r="H21"/>
      <c r="I21" s="126"/>
      <c r="J21" s="126"/>
      <c r="K21" s="126"/>
      <c r="L21" s="126"/>
      <c r="M21" s="126"/>
      <c r="N21" s="126"/>
      <c r="O21" s="126"/>
      <c r="P21" s="126"/>
      <c r="Q21" s="126"/>
      <c r="R21" s="126"/>
      <c r="S21" s="126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</row>
    <row r="22" spans="1:56">
      <c r="A22" s="58">
        <v>16</v>
      </c>
      <c r="B22" s="59">
        <v>86.9</v>
      </c>
      <c r="C22" s="59">
        <v>58.82352941176471</v>
      </c>
      <c r="D22" s="59">
        <v>3.6588235294117646</v>
      </c>
      <c r="E22"/>
      <c r="F22"/>
      <c r="G22"/>
      <c r="H22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</row>
    <row r="23" spans="1:56">
      <c r="A23" s="58">
        <v>17</v>
      </c>
      <c r="B23" s="59">
        <v>29.6</v>
      </c>
      <c r="C23" s="59">
        <v>50.980392156862742</v>
      </c>
      <c r="D23" s="59">
        <v>3.6990196078431379</v>
      </c>
      <c r="E23"/>
      <c r="F23"/>
      <c r="G23"/>
      <c r="H23"/>
      <c r="I23" s="126"/>
      <c r="J23" s="126"/>
      <c r="K23" s="126"/>
      <c r="L23" s="126"/>
      <c r="M23" s="126"/>
      <c r="N23" s="126"/>
      <c r="O23" s="126"/>
      <c r="P23" s="126"/>
      <c r="Q23" s="126"/>
      <c r="R23" s="126"/>
      <c r="S23" s="126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</row>
    <row r="24" spans="1:56">
      <c r="A24" s="58">
        <v>18</v>
      </c>
      <c r="B24" s="59">
        <v>26.4</v>
      </c>
      <c r="C24" s="59">
        <v>50.980392156862742</v>
      </c>
      <c r="D24" s="59">
        <v>2.5784313725490189</v>
      </c>
      <c r="E24"/>
      <c r="F24"/>
      <c r="G24"/>
      <c r="H24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</row>
    <row r="25" spans="1:56">
      <c r="A25" s="58">
        <v>19</v>
      </c>
      <c r="B25" s="59">
        <v>19.100000000000001</v>
      </c>
      <c r="C25" s="59">
        <v>47.058823529411761</v>
      </c>
      <c r="D25" s="59">
        <v>1.7735294117647054</v>
      </c>
      <c r="E25"/>
      <c r="F25"/>
      <c r="G25"/>
      <c r="H25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</row>
    <row r="26" spans="1:56">
      <c r="A26" s="58">
        <v>20</v>
      </c>
      <c r="B26" s="59">
        <v>52.5</v>
      </c>
      <c r="C26" s="59">
        <v>51.960784313725497</v>
      </c>
      <c r="D26" s="59">
        <v>3.6715686274509802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</row>
    <row r="27" spans="1:56">
      <c r="A27" s="58">
        <v>21</v>
      </c>
      <c r="B27" s="59">
        <v>13.4</v>
      </c>
      <c r="C27" s="59">
        <v>54.901960784313729</v>
      </c>
      <c r="D27" s="59">
        <v>1.9264705882352942</v>
      </c>
      <c r="E27"/>
      <c r="F27"/>
      <c r="G27"/>
      <c r="H27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</row>
    <row r="28" spans="1:56">
      <c r="A28" s="58">
        <v>22</v>
      </c>
      <c r="B28" s="59">
        <v>22.8</v>
      </c>
      <c r="C28" s="59">
        <v>57.843137254901968</v>
      </c>
      <c r="D28" s="59">
        <v>2.306862745098039</v>
      </c>
      <c r="E28"/>
      <c r="F28"/>
      <c r="G28"/>
      <c r="H28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</row>
    <row r="29" spans="1:56">
      <c r="A29" s="58">
        <v>23</v>
      </c>
      <c r="B29" s="59">
        <v>22.8</v>
      </c>
      <c r="C29" s="59">
        <v>56.862745098039213</v>
      </c>
      <c r="D29" s="59">
        <v>2.904901960784315</v>
      </c>
      <c r="E29"/>
      <c r="F29"/>
      <c r="G29"/>
      <c r="H29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</row>
    <row r="30" spans="1:56">
      <c r="A30" s="58">
        <v>24</v>
      </c>
      <c r="B30" s="59">
        <v>49.2</v>
      </c>
      <c r="C30" s="59">
        <v>56.862745098039213</v>
      </c>
      <c r="D30" s="59">
        <v>3.8205882352941187</v>
      </c>
      <c r="E30"/>
      <c r="F30"/>
      <c r="G30"/>
      <c r="H30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</row>
    <row r="31" spans="1:56">
      <c r="A31" s="58">
        <v>25</v>
      </c>
      <c r="B31" s="59">
        <v>26.3</v>
      </c>
      <c r="C31" s="59">
        <v>55.882352941176471</v>
      </c>
      <c r="D31" s="59">
        <v>3.1784313725490199</v>
      </c>
      <c r="E31"/>
      <c r="F31"/>
      <c r="G31"/>
      <c r="H31"/>
      <c r="I31" s="126"/>
      <c r="J31" s="126"/>
      <c r="K31" s="126"/>
      <c r="L31" s="126"/>
      <c r="M31" s="126"/>
      <c r="N31" s="126"/>
      <c r="O31" s="126"/>
      <c r="P31" s="126"/>
      <c r="Q31" s="126"/>
      <c r="R31" s="126"/>
      <c r="S31" s="126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</row>
    <row r="32" spans="1:56">
      <c r="A32" s="58">
        <v>26</v>
      </c>
      <c r="B32" s="59">
        <v>19</v>
      </c>
      <c r="C32" s="59">
        <v>52.941176470588239</v>
      </c>
      <c r="D32" s="59">
        <v>2.2176470588235291</v>
      </c>
      <c r="E32"/>
      <c r="F32"/>
      <c r="G32"/>
      <c r="H32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</row>
    <row r="33" spans="1:56">
      <c r="A33" s="58">
        <v>27</v>
      </c>
      <c r="B33" s="59">
        <v>31</v>
      </c>
      <c r="C33" s="59">
        <v>52.941176470588239</v>
      </c>
      <c r="D33" s="59">
        <v>2.8892156862745098</v>
      </c>
      <c r="E33"/>
      <c r="F33"/>
      <c r="G33"/>
      <c r="H33"/>
      <c r="I33" s="126"/>
      <c r="J33" s="126"/>
      <c r="K33" s="126"/>
      <c r="L33" s="126"/>
      <c r="M33" s="126"/>
      <c r="N33" s="126"/>
      <c r="O33" s="126"/>
      <c r="P33" s="126"/>
      <c r="Q33" s="126"/>
      <c r="R33" s="126"/>
      <c r="S33" s="126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</row>
    <row r="34" spans="1:56">
      <c r="A34" s="58">
        <v>28</v>
      </c>
      <c r="B34" s="59">
        <v>22</v>
      </c>
      <c r="C34" s="59">
        <v>47.058823529411761</v>
      </c>
      <c r="D34" s="59">
        <v>1.6725490196078425</v>
      </c>
      <c r="E34"/>
      <c r="F34"/>
      <c r="G34"/>
      <c r="H34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</row>
    <row r="35" spans="1:56">
      <c r="A35" s="58">
        <v>29</v>
      </c>
      <c r="B35" s="59">
        <v>25.9</v>
      </c>
      <c r="C35" s="59">
        <v>50.980392156862798</v>
      </c>
      <c r="D35" s="59">
        <f>0.518627450980392*4</f>
        <v>2.0745098039215679</v>
      </c>
      <c r="F35"/>
      <c r="G35"/>
      <c r="H35"/>
      <c r="I35" s="126"/>
      <c r="J35" s="126"/>
      <c r="K35" s="126"/>
      <c r="L35" s="126"/>
      <c r="M35" s="126"/>
      <c r="N35" s="126"/>
      <c r="O35" s="126"/>
      <c r="P35" s="126"/>
      <c r="Q35" s="126"/>
      <c r="R35" s="126"/>
      <c r="S35" s="126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</row>
    <row r="36" spans="1:56">
      <c r="A36" s="61"/>
      <c r="B36" s="62"/>
      <c r="C36" s="61"/>
      <c r="D36" s="61"/>
      <c r="H3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</row>
    <row r="37" spans="1:56">
      <c r="A37" s="61"/>
      <c r="B37" s="62"/>
      <c r="C37" s="62"/>
      <c r="D37" s="62"/>
      <c r="I37" s="126"/>
      <c r="J37" s="126"/>
      <c r="K37" s="126"/>
      <c r="L37" s="126"/>
      <c r="M37" s="126"/>
      <c r="N37" s="126"/>
      <c r="O37" s="126"/>
      <c r="P37" s="126"/>
      <c r="Q37" s="126"/>
      <c r="R37" s="126"/>
      <c r="S37" s="126"/>
    </row>
    <row r="38" spans="1:56">
      <c r="B38" s="60"/>
      <c r="C38" s="60"/>
      <c r="D38" s="60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</row>
    <row r="39" spans="1:56"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</row>
    <row r="40" spans="1:56">
      <c r="C40" s="60"/>
    </row>
  </sheetData>
  <mergeCells count="5">
    <mergeCell ref="A1:D4"/>
    <mergeCell ref="I1:S13"/>
    <mergeCell ref="A5:A6"/>
    <mergeCell ref="I14:S25"/>
    <mergeCell ref="I27:S39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ayfa11"/>
  <dimension ref="A1:BD40"/>
  <sheetViews>
    <sheetView topLeftCell="U20" workbookViewId="0">
      <selection activeCell="C18" sqref="C18"/>
    </sheetView>
  </sheetViews>
  <sheetFormatPr defaultRowHeight="28.5"/>
  <cols>
    <col min="1" max="1" width="10.28515625" style="63" bestFit="1" customWidth="1"/>
    <col min="2" max="2" width="22.140625" style="63" bestFit="1" customWidth="1"/>
    <col min="3" max="3" width="22" style="63" bestFit="1" customWidth="1"/>
    <col min="4" max="4" width="18" style="63" bestFit="1" customWidth="1"/>
    <col min="5" max="5" width="5.5703125" style="26" customWidth="1"/>
    <col min="6" max="6" width="6" style="26" bestFit="1" customWidth="1"/>
    <col min="7" max="7" width="11.140625" style="26" bestFit="1" customWidth="1"/>
    <col min="8" max="8" width="5.140625" style="26" bestFit="1" customWidth="1"/>
    <col min="9" max="9" width="11.140625" style="46" bestFit="1" customWidth="1"/>
    <col min="10" max="10" width="7" style="46" bestFit="1" customWidth="1"/>
    <col min="11" max="11" width="12" style="46" bestFit="1" customWidth="1"/>
    <col min="12" max="12" width="9.140625" style="26"/>
    <col min="13" max="13" width="6" style="26" bestFit="1" customWidth="1"/>
    <col min="14" max="14" width="11.140625" style="26" bestFit="1" customWidth="1"/>
    <col min="15" max="15" width="7" style="46" bestFit="1" customWidth="1"/>
    <col min="16" max="16" width="9.140625" style="46" bestFit="1" customWidth="1"/>
    <col min="17" max="17" width="9.140625" style="26"/>
    <col min="18" max="18" width="6" style="26" bestFit="1" customWidth="1"/>
    <col min="19" max="19" width="9.42578125" style="26" bestFit="1" customWidth="1"/>
    <col min="20" max="20" width="12.42578125" style="46" bestFit="1" customWidth="1"/>
    <col min="21" max="21" width="12.42578125" style="46" customWidth="1"/>
    <col min="22" max="22" width="9.140625" style="26"/>
    <col min="23" max="23" width="7.5703125" style="26" bestFit="1" customWidth="1"/>
    <col min="24" max="24" width="9.42578125" style="26" bestFit="1" customWidth="1"/>
    <col min="25" max="25" width="12.42578125" style="46" bestFit="1" customWidth="1"/>
    <col min="26" max="26" width="12.42578125" style="46" customWidth="1"/>
    <col min="27" max="27" width="9.140625" style="26"/>
    <col min="28" max="28" width="8.5703125" style="26" bestFit="1" customWidth="1"/>
    <col min="29" max="29" width="9.42578125" style="26" bestFit="1" customWidth="1"/>
    <col min="30" max="30" width="12.42578125" style="46" bestFit="1" customWidth="1"/>
    <col min="31" max="31" width="12.42578125" style="46" customWidth="1"/>
    <col min="32" max="32" width="9.140625" style="26"/>
    <col min="33" max="33" width="8" style="26" bestFit="1" customWidth="1"/>
    <col min="34" max="34" width="9.42578125" style="26" bestFit="1" customWidth="1"/>
    <col min="35" max="35" width="12.42578125" style="46" bestFit="1" customWidth="1"/>
    <col min="36" max="36" width="12.42578125" style="46" customWidth="1"/>
    <col min="37" max="37" width="9.140625" style="26"/>
    <col min="38" max="38" width="5.28515625" style="26" bestFit="1" customWidth="1"/>
    <col min="39" max="39" width="9.42578125" style="26" bestFit="1" customWidth="1"/>
    <col min="40" max="40" width="12.42578125" style="46" bestFit="1" customWidth="1"/>
    <col min="41" max="41" width="12.42578125" style="46" customWidth="1"/>
    <col min="42" max="42" width="9.140625" style="26"/>
    <col min="43" max="43" width="5.28515625" style="26" bestFit="1" customWidth="1"/>
    <col min="44" max="44" width="9.42578125" style="26" bestFit="1" customWidth="1"/>
    <col min="45" max="45" width="12.42578125" style="46" bestFit="1" customWidth="1"/>
    <col min="46" max="46" width="12.42578125" style="46" customWidth="1"/>
    <col min="47" max="47" width="9.140625" style="26"/>
    <col min="48" max="48" width="6.140625" style="26" bestFit="1" customWidth="1"/>
    <col min="49" max="49" width="9.42578125" style="26" bestFit="1" customWidth="1"/>
    <col min="50" max="50" width="12.42578125" style="46" bestFit="1" customWidth="1"/>
    <col min="51" max="51" width="12.42578125" style="46" customWidth="1"/>
    <col min="52" max="52" width="9.140625" style="26"/>
    <col min="53" max="53" width="6" style="26" bestFit="1" customWidth="1"/>
    <col min="54" max="54" width="9.42578125" style="26" bestFit="1" customWidth="1"/>
    <col min="55" max="55" width="12.42578125" style="46" bestFit="1" customWidth="1"/>
    <col min="56" max="56" width="9.140625" style="26"/>
  </cols>
  <sheetData>
    <row r="1" spans="1:56" ht="15">
      <c r="A1" s="127" t="s">
        <v>441</v>
      </c>
      <c r="B1" s="127"/>
      <c r="C1" s="127"/>
      <c r="D1" s="127"/>
      <c r="E1" s="30"/>
      <c r="F1"/>
      <c r="G1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</row>
    <row r="2" spans="1:56" ht="15">
      <c r="A2" s="127"/>
      <c r="B2" s="127"/>
      <c r="C2" s="127"/>
      <c r="D2" s="127"/>
      <c r="E2"/>
      <c r="F2"/>
      <c r="G2"/>
      <c r="H2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</row>
    <row r="3" spans="1:56" ht="15">
      <c r="A3" s="127"/>
      <c r="B3" s="127"/>
      <c r="C3" s="127"/>
      <c r="D3" s="127"/>
      <c r="E3"/>
      <c r="F3"/>
      <c r="G3"/>
      <c r="H3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</row>
    <row r="4" spans="1:56" ht="15">
      <c r="A4" s="128"/>
      <c r="B4" s="128"/>
      <c r="C4" s="128"/>
      <c r="D4" s="128"/>
      <c r="E4"/>
      <c r="F4"/>
      <c r="G4"/>
      <c r="H4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</row>
    <row r="5" spans="1:56">
      <c r="A5" s="129" t="s">
        <v>7</v>
      </c>
      <c r="B5" s="56" t="s">
        <v>423</v>
      </c>
      <c r="C5" s="56" t="s">
        <v>449</v>
      </c>
      <c r="D5" s="57" t="s">
        <v>2</v>
      </c>
      <c r="E5"/>
      <c r="F5"/>
      <c r="G5"/>
      <c r="H5"/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</row>
    <row r="6" spans="1:56">
      <c r="A6" s="130"/>
      <c r="B6" s="56" t="s">
        <v>438</v>
      </c>
      <c r="C6" s="56" t="s">
        <v>437</v>
      </c>
      <c r="D6" s="64" t="s">
        <v>438</v>
      </c>
      <c r="E6"/>
      <c r="F6"/>
      <c r="G6"/>
      <c r="H6"/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</row>
    <row r="7" spans="1:56">
      <c r="A7" s="58">
        <v>1</v>
      </c>
      <c r="B7" s="59">
        <v>19.7</v>
      </c>
      <c r="C7" s="59">
        <v>46.078431372549019</v>
      </c>
      <c r="D7" s="59">
        <v>2.3745098039215673</v>
      </c>
      <c r="E7"/>
      <c r="F7"/>
      <c r="G7"/>
      <c r="H7"/>
      <c r="I7" s="125"/>
      <c r="J7" s="125"/>
      <c r="K7" s="125"/>
      <c r="L7" s="125"/>
      <c r="M7" s="125"/>
      <c r="N7" s="125"/>
      <c r="O7" s="125"/>
      <c r="P7" s="125"/>
      <c r="Q7" s="125"/>
      <c r="R7" s="125"/>
      <c r="S7" s="125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</row>
    <row r="8" spans="1:56">
      <c r="A8" s="58">
        <v>2</v>
      </c>
      <c r="B8" s="59">
        <v>30</v>
      </c>
      <c r="C8" s="59">
        <v>56.862745098039213</v>
      </c>
      <c r="D8" s="59">
        <v>2.7990196078431362</v>
      </c>
      <c r="E8"/>
      <c r="F8"/>
      <c r="G8"/>
      <c r="H8"/>
      <c r="I8" s="125"/>
      <c r="J8" s="125"/>
      <c r="K8" s="125"/>
      <c r="L8" s="125"/>
      <c r="M8" s="125"/>
      <c r="N8" s="125"/>
      <c r="O8" s="125"/>
      <c r="P8" s="125"/>
      <c r="Q8" s="125"/>
      <c r="R8" s="125"/>
      <c r="S8" s="125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</row>
    <row r="9" spans="1:56">
      <c r="A9" s="58">
        <v>3</v>
      </c>
      <c r="B9" s="59">
        <v>25</v>
      </c>
      <c r="C9" s="59">
        <v>52.941176470588239</v>
      </c>
      <c r="D9" s="59">
        <v>2.0666666666666664</v>
      </c>
      <c r="E9"/>
      <c r="F9"/>
      <c r="G9"/>
      <c r="H9"/>
      <c r="I9" s="125"/>
      <c r="J9" s="125"/>
      <c r="K9" s="125"/>
      <c r="L9" s="125"/>
      <c r="M9" s="125"/>
      <c r="N9" s="125"/>
      <c r="O9" s="125"/>
      <c r="P9" s="125"/>
      <c r="Q9" s="125"/>
      <c r="R9" s="125"/>
      <c r="S9" s="125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</row>
    <row r="10" spans="1:56">
      <c r="A10" s="58">
        <v>4</v>
      </c>
      <c r="B10" s="59">
        <v>28.7</v>
      </c>
      <c r="C10" s="59">
        <v>43.137254901960787</v>
      </c>
      <c r="D10" s="59">
        <v>2.1549019607843132</v>
      </c>
      <c r="E10"/>
      <c r="F10"/>
      <c r="G10"/>
      <c r="H10"/>
      <c r="I10" s="125"/>
      <c r="J10" s="125"/>
      <c r="K10" s="125"/>
      <c r="L10" s="125"/>
      <c r="M10" s="125"/>
      <c r="N10" s="125"/>
      <c r="O10" s="125"/>
      <c r="P10" s="125"/>
      <c r="Q10" s="125"/>
      <c r="R10" s="125"/>
      <c r="S10" s="125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</row>
    <row r="11" spans="1:56">
      <c r="A11" s="58">
        <v>5</v>
      </c>
      <c r="B11" s="59">
        <v>43.6</v>
      </c>
      <c r="C11" s="59">
        <v>44.117647058823529</v>
      </c>
      <c r="D11" s="59">
        <v>2.6196078431372554</v>
      </c>
      <c r="E11"/>
      <c r="F11"/>
      <c r="G11"/>
      <c r="H11"/>
      <c r="I11" s="125"/>
      <c r="J11" s="125"/>
      <c r="K11" s="125"/>
      <c r="L11" s="125"/>
      <c r="M11" s="125"/>
      <c r="N11" s="125"/>
      <c r="O11" s="125"/>
      <c r="P11" s="125"/>
      <c r="Q11" s="125"/>
      <c r="R11" s="125"/>
      <c r="S11" s="125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</row>
    <row r="12" spans="1:56">
      <c r="A12" s="58">
        <v>6</v>
      </c>
      <c r="B12" s="59">
        <v>22.7</v>
      </c>
      <c r="C12" s="59">
        <v>46.078431372549019</v>
      </c>
      <c r="D12" s="59">
        <v>2.0598039215686272</v>
      </c>
      <c r="E12"/>
      <c r="F12"/>
      <c r="G12"/>
      <c r="H12"/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</row>
    <row r="13" spans="1:56">
      <c r="A13" s="58">
        <v>7</v>
      </c>
      <c r="B13" s="59">
        <v>43.8</v>
      </c>
      <c r="C13" s="59">
        <v>45.098039215686278</v>
      </c>
      <c r="D13" s="59">
        <v>2.9156862745098042</v>
      </c>
      <c r="E13"/>
      <c r="F13"/>
      <c r="G13"/>
      <c r="H13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</row>
    <row r="14" spans="1:56">
      <c r="A14" s="58">
        <v>8</v>
      </c>
      <c r="B14" s="59">
        <v>20</v>
      </c>
      <c r="C14" s="59">
        <v>46.078431372549019</v>
      </c>
      <c r="D14" s="59">
        <v>2.1137254901960785</v>
      </c>
      <c r="E14"/>
      <c r="F14"/>
      <c r="G14"/>
      <c r="H14"/>
      <c r="I14" s="126"/>
      <c r="J14" s="126"/>
      <c r="K14" s="126"/>
      <c r="L14" s="126"/>
      <c r="M14" s="126"/>
      <c r="N14" s="126"/>
      <c r="O14" s="126"/>
      <c r="P14" s="126"/>
      <c r="Q14" s="126"/>
      <c r="R14" s="126"/>
      <c r="S14" s="126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</row>
    <row r="15" spans="1:56">
      <c r="A15" s="58">
        <v>9</v>
      </c>
      <c r="B15" s="59">
        <v>26.4</v>
      </c>
      <c r="C15" s="59">
        <v>49.019607843137251</v>
      </c>
      <c r="D15" s="59">
        <v>2.3343137254901958</v>
      </c>
      <c r="E15"/>
      <c r="F15"/>
      <c r="G15"/>
      <c r="H15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</row>
    <row r="16" spans="1:56">
      <c r="A16" s="58">
        <v>10</v>
      </c>
      <c r="B16" s="59">
        <v>33.5</v>
      </c>
      <c r="C16" s="59">
        <v>51.960784313725497</v>
      </c>
      <c r="D16" s="59">
        <v>3.0627450980392155</v>
      </c>
      <c r="E16"/>
      <c r="F16"/>
      <c r="G16"/>
      <c r="H1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</row>
    <row r="17" spans="1:56">
      <c r="A17" s="58">
        <v>11</v>
      </c>
      <c r="B17" s="59">
        <v>27.6</v>
      </c>
      <c r="C17" s="59">
        <v>50</v>
      </c>
      <c r="D17" s="59">
        <v>2.8117647058823523</v>
      </c>
      <c r="E17"/>
      <c r="F17"/>
      <c r="G17"/>
      <c r="H17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</row>
    <row r="18" spans="1:56">
      <c r="A18" s="58">
        <v>12</v>
      </c>
      <c r="B18" s="59">
        <v>31</v>
      </c>
      <c r="C18" s="59">
        <v>46.078431372549019</v>
      </c>
      <c r="D18" s="59">
        <v>2.4578431372549021</v>
      </c>
      <c r="E18"/>
      <c r="F18"/>
      <c r="G18"/>
      <c r="H18"/>
      <c r="I18" s="126"/>
      <c r="J18" s="126"/>
      <c r="K18" s="126"/>
      <c r="L18" s="126"/>
      <c r="M18" s="126"/>
      <c r="N18" s="126"/>
      <c r="O18" s="126"/>
      <c r="P18" s="126"/>
      <c r="Q18" s="126"/>
      <c r="R18" s="126"/>
      <c r="S18" s="126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</row>
    <row r="19" spans="1:56">
      <c r="A19" s="58">
        <v>13</v>
      </c>
      <c r="B19" s="59">
        <v>16.899999999999999</v>
      </c>
      <c r="C19" s="59">
        <v>44.117647058823529</v>
      </c>
      <c r="D19" s="59">
        <v>1.8421568627450982</v>
      </c>
      <c r="E19"/>
      <c r="F19"/>
      <c r="G19"/>
      <c r="H19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</row>
    <row r="20" spans="1:56">
      <c r="A20" s="58">
        <v>14</v>
      </c>
      <c r="B20" s="59">
        <v>21.4</v>
      </c>
      <c r="C20" s="59">
        <v>48.03921568627451</v>
      </c>
      <c r="D20" s="59">
        <v>1.8294117647058821</v>
      </c>
      <c r="E20"/>
      <c r="F20"/>
      <c r="G20"/>
      <c r="H20"/>
      <c r="I20" s="126"/>
      <c r="J20" s="126"/>
      <c r="K20" s="126"/>
      <c r="L20" s="126"/>
      <c r="M20" s="126"/>
      <c r="N20" s="126"/>
      <c r="O20" s="126"/>
      <c r="P20" s="126"/>
      <c r="Q20" s="126"/>
      <c r="R20" s="126"/>
      <c r="S20" s="126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</row>
    <row r="21" spans="1:56">
      <c r="A21" s="58">
        <v>15</v>
      </c>
      <c r="B21" s="59">
        <v>39.299999999999997</v>
      </c>
      <c r="C21" s="59">
        <v>45.098039215686278</v>
      </c>
      <c r="D21" s="59">
        <v>2.4323529411764704</v>
      </c>
      <c r="E21"/>
      <c r="F21"/>
      <c r="G21"/>
      <c r="H21"/>
      <c r="I21" s="126"/>
      <c r="J21" s="126"/>
      <c r="K21" s="126"/>
      <c r="L21" s="126"/>
      <c r="M21" s="126"/>
      <c r="N21" s="126"/>
      <c r="O21" s="126"/>
      <c r="P21" s="126"/>
      <c r="Q21" s="126"/>
      <c r="R21" s="126"/>
      <c r="S21" s="126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</row>
    <row r="22" spans="1:56">
      <c r="A22" s="58">
        <v>16</v>
      </c>
      <c r="B22" s="59">
        <v>39.5</v>
      </c>
      <c r="C22" s="59">
        <v>50.980392156862742</v>
      </c>
      <c r="D22" s="59">
        <v>3.0441176470588234</v>
      </c>
      <c r="E22"/>
      <c r="F22"/>
      <c r="G22"/>
      <c r="H22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</row>
    <row r="23" spans="1:56">
      <c r="A23" s="58">
        <v>17</v>
      </c>
      <c r="B23" s="59">
        <v>41.3</v>
      </c>
      <c r="C23" s="59">
        <v>52.941176470588239</v>
      </c>
      <c r="D23" s="59">
        <v>3.2039215686274511</v>
      </c>
      <c r="E23"/>
      <c r="F23"/>
      <c r="G23"/>
      <c r="H23"/>
      <c r="I23" s="126"/>
      <c r="J23" s="126"/>
      <c r="K23" s="126"/>
      <c r="L23" s="126"/>
      <c r="M23" s="126"/>
      <c r="N23" s="126"/>
      <c r="O23" s="126"/>
      <c r="P23" s="126"/>
      <c r="Q23" s="126"/>
      <c r="R23" s="126"/>
      <c r="S23" s="126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</row>
    <row r="24" spans="1:56">
      <c r="A24" s="58">
        <v>18</v>
      </c>
      <c r="B24" s="59">
        <v>53</v>
      </c>
      <c r="C24" s="59">
        <v>46.078431372549019</v>
      </c>
      <c r="D24" s="59">
        <v>2.2362745098039216</v>
      </c>
      <c r="E24"/>
      <c r="F24"/>
      <c r="G24"/>
      <c r="H24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</row>
    <row r="25" spans="1:56">
      <c r="A25" s="58">
        <v>19</v>
      </c>
      <c r="B25" s="59">
        <v>25.2</v>
      </c>
      <c r="C25" s="59">
        <v>47.058823529411761</v>
      </c>
      <c r="D25" s="59">
        <v>1.6372549019607838</v>
      </c>
      <c r="E25"/>
      <c r="F25"/>
      <c r="G25"/>
      <c r="H25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</row>
    <row r="26" spans="1:56">
      <c r="A26" s="58">
        <v>20</v>
      </c>
      <c r="B26" s="59">
        <v>25.2</v>
      </c>
      <c r="C26" s="59">
        <v>42.156862745098039</v>
      </c>
      <c r="D26" s="59">
        <v>1.7950980392156859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</row>
    <row r="27" spans="1:56">
      <c r="A27" s="58">
        <v>21</v>
      </c>
      <c r="B27" s="59">
        <v>25</v>
      </c>
      <c r="C27" s="59">
        <v>36.274509803921568</v>
      </c>
      <c r="D27" s="59">
        <v>1.8490196078431369</v>
      </c>
      <c r="E27"/>
      <c r="F27"/>
      <c r="G27"/>
      <c r="H27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</row>
    <row r="28" spans="1:56">
      <c r="A28" s="58">
        <v>22</v>
      </c>
      <c r="B28" s="59">
        <v>31</v>
      </c>
      <c r="C28" s="59">
        <v>43.137254901960787</v>
      </c>
      <c r="D28" s="59">
        <v>2.2392156862745094</v>
      </c>
      <c r="E28"/>
      <c r="F28"/>
      <c r="G28"/>
      <c r="H28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</row>
    <row r="29" spans="1:56">
      <c r="A29" s="58">
        <v>23</v>
      </c>
      <c r="B29" s="59">
        <v>27.7</v>
      </c>
      <c r="C29" s="59">
        <v>38.235294117647058</v>
      </c>
      <c r="D29" s="59">
        <v>2.329411764705883</v>
      </c>
      <c r="E29"/>
      <c r="F29"/>
      <c r="G29"/>
      <c r="H29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</row>
    <row r="30" spans="1:56">
      <c r="A30" s="58">
        <v>24</v>
      </c>
      <c r="B30" s="59">
        <v>21.7</v>
      </c>
      <c r="C30" s="59">
        <v>43.137254901960787</v>
      </c>
      <c r="D30" s="59">
        <v>1.4813725490196077</v>
      </c>
      <c r="E30"/>
      <c r="F30"/>
      <c r="G30"/>
      <c r="H30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</row>
    <row r="31" spans="1:56">
      <c r="A31" s="58">
        <v>25</v>
      </c>
      <c r="B31" s="59">
        <v>26</v>
      </c>
      <c r="C31" s="59">
        <v>31.372549019607842</v>
      </c>
      <c r="D31" s="59">
        <v>1.4127450980392156</v>
      </c>
      <c r="E31"/>
      <c r="F31"/>
      <c r="G31"/>
      <c r="H31"/>
      <c r="I31" s="126"/>
      <c r="J31" s="126"/>
      <c r="K31" s="126"/>
      <c r="L31" s="126"/>
      <c r="M31" s="126"/>
      <c r="N31" s="126"/>
      <c r="O31" s="126"/>
      <c r="P31" s="126"/>
      <c r="Q31" s="126"/>
      <c r="R31" s="126"/>
      <c r="S31" s="126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</row>
    <row r="32" spans="1:56">
      <c r="A32" s="58">
        <v>26</v>
      </c>
      <c r="B32" s="59">
        <v>15.1</v>
      </c>
      <c r="C32" s="59">
        <v>37.254901960784316</v>
      </c>
      <c r="D32" s="59">
        <v>1.0764705882352938</v>
      </c>
      <c r="E32"/>
      <c r="F32"/>
      <c r="G32"/>
      <c r="H32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</row>
    <row r="33" spans="1:56">
      <c r="A33" s="58">
        <v>27</v>
      </c>
      <c r="B33" s="59">
        <v>47.5</v>
      </c>
      <c r="C33" s="59">
        <v>34.313725490196077</v>
      </c>
      <c r="D33" s="59">
        <v>2.4176470588235293</v>
      </c>
      <c r="E33"/>
      <c r="F33"/>
      <c r="G33"/>
      <c r="H33"/>
      <c r="I33" s="126"/>
      <c r="J33" s="126"/>
      <c r="K33" s="126"/>
      <c r="L33" s="126"/>
      <c r="M33" s="126"/>
      <c r="N33" s="126"/>
      <c r="O33" s="126"/>
      <c r="P33" s="126"/>
      <c r="Q33" s="126"/>
      <c r="R33" s="126"/>
      <c r="S33" s="126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</row>
    <row r="34" spans="1:56">
      <c r="A34" s="58">
        <v>28</v>
      </c>
      <c r="B34" s="59">
        <v>25</v>
      </c>
      <c r="C34" s="59">
        <v>47.058823529411761</v>
      </c>
      <c r="D34" s="59">
        <v>2.7245098039215683</v>
      </c>
      <c r="E34"/>
      <c r="F34"/>
      <c r="G34"/>
      <c r="H34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</row>
    <row r="35" spans="1:56">
      <c r="A35" s="58">
        <v>29</v>
      </c>
      <c r="B35" s="59">
        <v>27.3</v>
      </c>
      <c r="C35" s="59">
        <v>42.156862745098039</v>
      </c>
      <c r="D35" s="59">
        <v>2.2098039215686271</v>
      </c>
      <c r="F35"/>
      <c r="G35"/>
      <c r="H35"/>
      <c r="I35" s="126"/>
      <c r="J35" s="126"/>
      <c r="K35" s="126"/>
      <c r="L35" s="126"/>
      <c r="M35" s="126"/>
      <c r="N35" s="126"/>
      <c r="O35" s="126"/>
      <c r="P35" s="126"/>
      <c r="Q35" s="126"/>
      <c r="R35" s="126"/>
      <c r="S35" s="126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</row>
    <row r="36" spans="1:56">
      <c r="A36" s="65">
        <v>30</v>
      </c>
      <c r="B36" s="59">
        <v>16.8</v>
      </c>
      <c r="C36" s="59">
        <v>34.313725490196077</v>
      </c>
      <c r="D36" s="59">
        <v>1.5156862745098041</v>
      </c>
      <c r="H3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</row>
    <row r="37" spans="1:56">
      <c r="A37" s="65">
        <v>31</v>
      </c>
      <c r="B37" s="59">
        <v>14.2</v>
      </c>
      <c r="C37" s="59">
        <v>31.372549019607842</v>
      </c>
      <c r="D37" s="59">
        <v>0.97843137254901957</v>
      </c>
      <c r="I37" s="126"/>
      <c r="J37" s="126"/>
      <c r="K37" s="126"/>
      <c r="L37" s="126"/>
      <c r="M37" s="126"/>
      <c r="N37" s="126"/>
      <c r="O37" s="126"/>
      <c r="P37" s="126"/>
      <c r="Q37" s="126"/>
      <c r="R37" s="126"/>
      <c r="S37" s="126"/>
    </row>
    <row r="38" spans="1:56">
      <c r="B38" s="60"/>
      <c r="C38" s="60"/>
      <c r="D38" s="60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</row>
    <row r="39" spans="1:56"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</row>
    <row r="40" spans="1:56">
      <c r="C40" s="60"/>
    </row>
  </sheetData>
  <mergeCells count="5">
    <mergeCell ref="A1:D4"/>
    <mergeCell ref="I1:S13"/>
    <mergeCell ref="A5:A6"/>
    <mergeCell ref="I14:S25"/>
    <mergeCell ref="I27:S39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sheetPr codeName="Sayfa12"/>
  <dimension ref="A1:BD40"/>
  <sheetViews>
    <sheetView topLeftCell="I22" workbookViewId="0">
      <selection activeCell="C18" sqref="C18"/>
    </sheetView>
  </sheetViews>
  <sheetFormatPr defaultRowHeight="28.5"/>
  <cols>
    <col min="1" max="1" width="10.28515625" style="63" bestFit="1" customWidth="1"/>
    <col min="2" max="2" width="22.140625" style="63" bestFit="1" customWidth="1"/>
    <col min="3" max="3" width="21.85546875" style="63" bestFit="1" customWidth="1"/>
    <col min="4" max="4" width="18" style="63" bestFit="1" customWidth="1"/>
    <col min="5" max="5" width="5.5703125" style="26" customWidth="1"/>
    <col min="6" max="6" width="6" style="26" bestFit="1" customWidth="1"/>
    <col min="7" max="7" width="11.140625" style="26" bestFit="1" customWidth="1"/>
    <col min="8" max="8" width="5.140625" style="26" bestFit="1" customWidth="1"/>
    <col min="9" max="9" width="11.140625" style="46" bestFit="1" customWidth="1"/>
    <col min="10" max="10" width="7" style="46" bestFit="1" customWidth="1"/>
    <col min="11" max="11" width="12" style="46" bestFit="1" customWidth="1"/>
    <col min="12" max="12" width="9.140625" style="26"/>
    <col min="13" max="13" width="6" style="26" bestFit="1" customWidth="1"/>
    <col min="14" max="14" width="11.140625" style="26" bestFit="1" customWidth="1"/>
    <col min="15" max="15" width="7" style="46" bestFit="1" customWidth="1"/>
    <col min="16" max="16" width="9.140625" style="46" bestFit="1" customWidth="1"/>
    <col min="17" max="17" width="9.140625" style="26"/>
    <col min="18" max="18" width="6" style="26" bestFit="1" customWidth="1"/>
    <col min="19" max="19" width="9.42578125" style="26" bestFit="1" customWidth="1"/>
    <col min="20" max="20" width="12.42578125" style="46" bestFit="1" customWidth="1"/>
    <col min="21" max="21" width="12.42578125" style="46" customWidth="1"/>
    <col min="22" max="22" width="9.140625" style="26"/>
    <col min="23" max="23" width="7.5703125" style="26" bestFit="1" customWidth="1"/>
    <col min="24" max="24" width="9.42578125" style="26" bestFit="1" customWidth="1"/>
    <col min="25" max="25" width="12.42578125" style="46" bestFit="1" customWidth="1"/>
    <col min="26" max="26" width="12.42578125" style="46" customWidth="1"/>
    <col min="27" max="27" width="9.140625" style="26"/>
    <col min="28" max="28" width="8.5703125" style="26" bestFit="1" customWidth="1"/>
    <col min="29" max="29" width="9.42578125" style="26" bestFit="1" customWidth="1"/>
    <col min="30" max="30" width="12.42578125" style="46" bestFit="1" customWidth="1"/>
    <col min="31" max="31" width="12.42578125" style="46" customWidth="1"/>
    <col min="32" max="32" width="9.140625" style="26"/>
    <col min="33" max="33" width="8" style="26" bestFit="1" customWidth="1"/>
    <col min="34" max="34" width="9.42578125" style="26" bestFit="1" customWidth="1"/>
    <col min="35" max="35" width="12.42578125" style="46" bestFit="1" customWidth="1"/>
    <col min="36" max="36" width="12.42578125" style="46" customWidth="1"/>
    <col min="37" max="37" width="9.140625" style="26"/>
    <col min="38" max="38" width="5.28515625" style="26" bestFit="1" customWidth="1"/>
    <col min="39" max="39" width="9.42578125" style="26" bestFit="1" customWidth="1"/>
    <col min="40" max="40" width="12.42578125" style="46" bestFit="1" customWidth="1"/>
    <col min="41" max="41" width="12.42578125" style="46" customWidth="1"/>
    <col min="42" max="42" width="9.140625" style="26"/>
    <col min="43" max="43" width="5.28515625" style="26" bestFit="1" customWidth="1"/>
    <col min="44" max="44" width="9.42578125" style="26" bestFit="1" customWidth="1"/>
    <col min="45" max="45" width="12.42578125" style="46" bestFit="1" customWidth="1"/>
    <col min="46" max="46" width="12.42578125" style="46" customWidth="1"/>
    <col min="47" max="47" width="9.140625" style="26"/>
    <col min="48" max="48" width="6.140625" style="26" bestFit="1" customWidth="1"/>
    <col min="49" max="49" width="9.42578125" style="26" bestFit="1" customWidth="1"/>
    <col min="50" max="50" width="12.42578125" style="46" bestFit="1" customWidth="1"/>
    <col min="51" max="51" width="12.42578125" style="46" customWidth="1"/>
    <col min="52" max="52" width="9.140625" style="26"/>
    <col min="53" max="53" width="6" style="26" bestFit="1" customWidth="1"/>
    <col min="54" max="54" width="9.42578125" style="26" bestFit="1" customWidth="1"/>
    <col min="55" max="55" width="12.42578125" style="46" bestFit="1" customWidth="1"/>
    <col min="56" max="56" width="9.140625" style="26"/>
  </cols>
  <sheetData>
    <row r="1" spans="1:56" ht="15">
      <c r="A1" s="127" t="s">
        <v>442</v>
      </c>
      <c r="B1" s="127"/>
      <c r="C1" s="127"/>
      <c r="D1" s="127"/>
      <c r="E1" s="30"/>
      <c r="F1"/>
      <c r="G1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</row>
    <row r="2" spans="1:56" ht="15">
      <c r="A2" s="127"/>
      <c r="B2" s="127"/>
      <c r="C2" s="127"/>
      <c r="D2" s="127"/>
      <c r="E2"/>
      <c r="F2"/>
      <c r="G2"/>
      <c r="H2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</row>
    <row r="3" spans="1:56" ht="15">
      <c r="A3" s="127"/>
      <c r="B3" s="127"/>
      <c r="C3" s="127"/>
      <c r="D3" s="127"/>
      <c r="E3"/>
      <c r="F3"/>
      <c r="G3"/>
      <c r="H3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</row>
    <row r="4" spans="1:56" ht="15">
      <c r="A4" s="128"/>
      <c r="B4" s="128"/>
      <c r="C4" s="128"/>
      <c r="D4" s="128"/>
      <c r="E4"/>
      <c r="F4"/>
      <c r="G4"/>
      <c r="H4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</row>
    <row r="5" spans="1:56">
      <c r="A5" s="129" t="s">
        <v>8</v>
      </c>
      <c r="B5" s="56" t="s">
        <v>423</v>
      </c>
      <c r="C5" s="56" t="s">
        <v>449</v>
      </c>
      <c r="D5" s="57" t="s">
        <v>2</v>
      </c>
      <c r="E5"/>
      <c r="F5"/>
      <c r="G5"/>
      <c r="H5"/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</row>
    <row r="6" spans="1:56">
      <c r="A6" s="130"/>
      <c r="B6" s="56" t="s">
        <v>438</v>
      </c>
      <c r="C6" s="56" t="s">
        <v>437</v>
      </c>
      <c r="D6" s="64" t="s">
        <v>438</v>
      </c>
      <c r="E6"/>
      <c r="F6"/>
      <c r="G6"/>
      <c r="H6"/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</row>
    <row r="7" spans="1:56">
      <c r="A7" s="58">
        <v>1</v>
      </c>
      <c r="B7" s="59">
        <v>21.8</v>
      </c>
      <c r="C7" s="59">
        <v>36.274509803921568</v>
      </c>
      <c r="D7" s="59">
        <v>1.7666666666666668</v>
      </c>
      <c r="E7"/>
      <c r="F7"/>
      <c r="G7"/>
      <c r="H7"/>
      <c r="I7" s="125"/>
      <c r="J7" s="125"/>
      <c r="K7" s="125"/>
      <c r="L7" s="125"/>
      <c r="M7" s="125"/>
      <c r="N7" s="125"/>
      <c r="O7" s="125"/>
      <c r="P7" s="125"/>
      <c r="Q7" s="125"/>
      <c r="R7" s="125"/>
      <c r="S7" s="125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</row>
    <row r="8" spans="1:56">
      <c r="A8" s="58">
        <v>2</v>
      </c>
      <c r="B8" s="59">
        <v>23.2</v>
      </c>
      <c r="C8" s="59">
        <v>36.274509803921568</v>
      </c>
      <c r="D8" s="59">
        <v>1.5803921568627448</v>
      </c>
      <c r="E8"/>
      <c r="F8"/>
      <c r="G8"/>
      <c r="H8"/>
      <c r="I8" s="125"/>
      <c r="J8" s="125"/>
      <c r="K8" s="125"/>
      <c r="L8" s="125"/>
      <c r="M8" s="125"/>
      <c r="N8" s="125"/>
      <c r="O8" s="125"/>
      <c r="P8" s="125"/>
      <c r="Q8" s="125"/>
      <c r="R8" s="125"/>
      <c r="S8" s="125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</row>
    <row r="9" spans="1:56">
      <c r="A9" s="58">
        <v>3</v>
      </c>
      <c r="B9" s="59">
        <v>12.2</v>
      </c>
      <c r="C9" s="59">
        <v>30.392156862745097</v>
      </c>
      <c r="D9" s="59">
        <v>1.006862745098039</v>
      </c>
      <c r="E9"/>
      <c r="F9"/>
      <c r="G9"/>
      <c r="H9"/>
      <c r="I9" s="125"/>
      <c r="J9" s="125"/>
      <c r="K9" s="125"/>
      <c r="L9" s="125"/>
      <c r="M9" s="125"/>
      <c r="N9" s="125"/>
      <c r="O9" s="125"/>
      <c r="P9" s="125"/>
      <c r="Q9" s="125"/>
      <c r="R9" s="125"/>
      <c r="S9" s="125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</row>
    <row r="10" spans="1:56">
      <c r="A10" s="58">
        <v>4</v>
      </c>
      <c r="B10" s="59">
        <v>18.399999999999999</v>
      </c>
      <c r="C10" s="59">
        <v>33.333333333333329</v>
      </c>
      <c r="D10" s="59">
        <v>0.9539215686274507</v>
      </c>
      <c r="E10"/>
      <c r="F10"/>
      <c r="G10"/>
      <c r="H10"/>
      <c r="I10" s="125"/>
      <c r="J10" s="125"/>
      <c r="K10" s="125"/>
      <c r="L10" s="125"/>
      <c r="M10" s="125"/>
      <c r="N10" s="125"/>
      <c r="O10" s="125"/>
      <c r="P10" s="125"/>
      <c r="Q10" s="125"/>
      <c r="R10" s="125"/>
      <c r="S10" s="125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</row>
    <row r="11" spans="1:56">
      <c r="A11" s="58">
        <v>5</v>
      </c>
      <c r="B11" s="59">
        <v>30.9</v>
      </c>
      <c r="C11" s="59">
        <v>37.254901960784316</v>
      </c>
      <c r="D11" s="59">
        <v>1.9843137254901959</v>
      </c>
      <c r="E11"/>
      <c r="F11"/>
      <c r="G11"/>
      <c r="H11"/>
      <c r="I11" s="125"/>
      <c r="J11" s="125"/>
      <c r="K11" s="125"/>
      <c r="L11" s="125"/>
      <c r="M11" s="125"/>
      <c r="N11" s="125"/>
      <c r="O11" s="125"/>
      <c r="P11" s="125"/>
      <c r="Q11" s="125"/>
      <c r="R11" s="125"/>
      <c r="S11" s="125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</row>
    <row r="12" spans="1:56">
      <c r="A12" s="58">
        <v>6</v>
      </c>
      <c r="B12" s="59">
        <v>17.100000000000001</v>
      </c>
      <c r="C12" s="59">
        <v>35.294117647058826</v>
      </c>
      <c r="D12" s="59">
        <v>1.6147058823529414</v>
      </c>
      <c r="E12"/>
      <c r="F12"/>
      <c r="G12"/>
      <c r="H12"/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</row>
    <row r="13" spans="1:56">
      <c r="A13" s="58">
        <v>7</v>
      </c>
      <c r="B13" s="59">
        <v>23.2</v>
      </c>
      <c r="C13" s="59">
        <v>40.196078431372548</v>
      </c>
      <c r="D13" s="59">
        <v>2.2764705882352945</v>
      </c>
      <c r="E13"/>
      <c r="F13"/>
      <c r="G13"/>
      <c r="H13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</row>
    <row r="14" spans="1:56">
      <c r="A14" s="58">
        <v>8</v>
      </c>
      <c r="B14" s="59">
        <v>23</v>
      </c>
      <c r="C14" s="59">
        <v>40.196078431372548</v>
      </c>
      <c r="D14" s="59">
        <v>1.7313725490196075</v>
      </c>
      <c r="E14"/>
      <c r="F14"/>
      <c r="G14"/>
      <c r="H14"/>
      <c r="I14" s="126"/>
      <c r="J14" s="126"/>
      <c r="K14" s="126"/>
      <c r="L14" s="126"/>
      <c r="M14" s="126"/>
      <c r="N14" s="126"/>
      <c r="O14" s="126"/>
      <c r="P14" s="126"/>
      <c r="Q14" s="126"/>
      <c r="R14" s="126"/>
      <c r="S14" s="126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</row>
    <row r="15" spans="1:56">
      <c r="A15" s="58">
        <v>9</v>
      </c>
      <c r="B15" s="59">
        <v>45</v>
      </c>
      <c r="C15" s="59">
        <v>42.156862745098039</v>
      </c>
      <c r="D15" s="59">
        <v>2.6480392156862749</v>
      </c>
      <c r="E15"/>
      <c r="F15"/>
      <c r="G15"/>
      <c r="H15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</row>
    <row r="16" spans="1:56">
      <c r="A16" s="58">
        <v>10</v>
      </c>
      <c r="B16" s="59">
        <v>17.5</v>
      </c>
      <c r="C16" s="59">
        <v>36.274509803921568</v>
      </c>
      <c r="D16" s="59">
        <v>1.4294117647058822</v>
      </c>
      <c r="E16"/>
      <c r="F16"/>
      <c r="G16"/>
      <c r="H1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</row>
    <row r="17" spans="1:56">
      <c r="A17" s="58">
        <v>11</v>
      </c>
      <c r="B17" s="59">
        <v>30.6</v>
      </c>
      <c r="C17" s="59">
        <v>39.215686274509807</v>
      </c>
      <c r="D17" s="59">
        <v>1.723529411764706</v>
      </c>
      <c r="E17"/>
      <c r="F17"/>
      <c r="G17"/>
      <c r="H17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</row>
    <row r="18" spans="1:56">
      <c r="A18" s="58">
        <v>12</v>
      </c>
      <c r="B18" s="59">
        <v>24.8</v>
      </c>
      <c r="C18" s="59">
        <v>38.235294117647058</v>
      </c>
      <c r="D18" s="59">
        <v>1.6519607843137254</v>
      </c>
      <c r="E18"/>
      <c r="F18"/>
      <c r="G18"/>
      <c r="H18"/>
      <c r="I18" s="126"/>
      <c r="J18" s="126"/>
      <c r="K18" s="126"/>
      <c r="L18" s="126"/>
      <c r="M18" s="126"/>
      <c r="N18" s="126"/>
      <c r="O18" s="126"/>
      <c r="P18" s="126"/>
      <c r="Q18" s="126"/>
      <c r="R18" s="126"/>
      <c r="S18" s="126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</row>
    <row r="19" spans="1:56">
      <c r="A19" s="58">
        <v>13</v>
      </c>
      <c r="B19" s="59">
        <v>19</v>
      </c>
      <c r="C19" s="59">
        <v>40.196078431372548</v>
      </c>
      <c r="D19" s="59">
        <v>1.8117647058823523</v>
      </c>
      <c r="E19"/>
      <c r="F19"/>
      <c r="G19"/>
      <c r="H19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</row>
    <row r="20" spans="1:56">
      <c r="A20" s="58">
        <v>14</v>
      </c>
      <c r="B20" s="59">
        <v>36.5</v>
      </c>
      <c r="C20" s="59">
        <v>37.254901960784316</v>
      </c>
      <c r="D20" s="59">
        <v>1.5617647058823529</v>
      </c>
      <c r="E20"/>
      <c r="F20"/>
      <c r="G20"/>
      <c r="H20"/>
      <c r="I20" s="126"/>
      <c r="J20" s="126"/>
      <c r="K20" s="126"/>
      <c r="L20" s="126"/>
      <c r="M20" s="126"/>
      <c r="N20" s="126"/>
      <c r="O20" s="126"/>
      <c r="P20" s="126"/>
      <c r="Q20" s="126"/>
      <c r="R20" s="126"/>
      <c r="S20" s="126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</row>
    <row r="21" spans="1:56">
      <c r="A21" s="58">
        <v>15</v>
      </c>
      <c r="B21" s="59">
        <v>23</v>
      </c>
      <c r="C21" s="59">
        <v>48.03921568627451</v>
      </c>
      <c r="D21" s="59">
        <v>2.0333333333333328</v>
      </c>
      <c r="E21"/>
      <c r="F21"/>
      <c r="G21"/>
      <c r="H21"/>
      <c r="I21" s="126"/>
      <c r="J21" s="126"/>
      <c r="K21" s="126"/>
      <c r="L21" s="126"/>
      <c r="M21" s="126"/>
      <c r="N21" s="126"/>
      <c r="O21" s="126"/>
      <c r="P21" s="126"/>
      <c r="Q21" s="126"/>
      <c r="R21" s="126"/>
      <c r="S21" s="126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</row>
    <row r="22" spans="1:56">
      <c r="A22" s="58">
        <v>16</v>
      </c>
      <c r="B22" s="59">
        <v>40.799999999999997</v>
      </c>
      <c r="C22" s="59">
        <v>45.098039215686278</v>
      </c>
      <c r="D22" s="59">
        <v>2.5852941176470581</v>
      </c>
      <c r="E22"/>
      <c r="F22"/>
      <c r="G22"/>
      <c r="H22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</row>
    <row r="23" spans="1:56">
      <c r="A23" s="58">
        <v>17</v>
      </c>
      <c r="B23" s="59">
        <v>37</v>
      </c>
      <c r="C23" s="59">
        <v>41.17647058823529</v>
      </c>
      <c r="D23" s="59">
        <v>1.8019607843137253</v>
      </c>
      <c r="E23"/>
      <c r="F23"/>
      <c r="G23"/>
      <c r="H23"/>
      <c r="I23" s="126"/>
      <c r="J23" s="126"/>
      <c r="K23" s="126"/>
      <c r="L23" s="126"/>
      <c r="M23" s="126"/>
      <c r="N23" s="126"/>
      <c r="O23" s="126"/>
      <c r="P23" s="126"/>
      <c r="Q23" s="126"/>
      <c r="R23" s="126"/>
      <c r="S23" s="126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</row>
    <row r="24" spans="1:56">
      <c r="A24" s="58">
        <v>18</v>
      </c>
      <c r="B24" s="59">
        <v>40.5</v>
      </c>
      <c r="C24" s="59">
        <v>37.254901960784316</v>
      </c>
      <c r="D24" s="59">
        <v>2.2568627450980392</v>
      </c>
      <c r="E24"/>
      <c r="F24"/>
      <c r="G24"/>
      <c r="H24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</row>
    <row r="25" spans="1:56">
      <c r="A25" s="58">
        <v>19</v>
      </c>
      <c r="B25" s="59">
        <v>41.2</v>
      </c>
      <c r="C25" s="59">
        <v>41.17647058823529</v>
      </c>
      <c r="D25" s="59">
        <v>2.1607843137254901</v>
      </c>
      <c r="E25"/>
      <c r="F25"/>
      <c r="G25"/>
      <c r="H25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</row>
    <row r="26" spans="1:56">
      <c r="A26" s="58">
        <v>20</v>
      </c>
      <c r="B26" s="59">
        <v>22.1</v>
      </c>
      <c r="C26" s="59">
        <v>41.17647058823529</v>
      </c>
      <c r="D26" s="59">
        <v>1.7372549019607841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</row>
    <row r="27" spans="1:56">
      <c r="A27" s="58">
        <v>21</v>
      </c>
      <c r="B27" s="59">
        <v>42.5</v>
      </c>
      <c r="C27" s="59">
        <v>36.274509803921568</v>
      </c>
      <c r="D27" s="59">
        <v>1.800980392156863</v>
      </c>
      <c r="E27"/>
      <c r="F27"/>
      <c r="G27"/>
      <c r="H27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</row>
    <row r="28" spans="1:56">
      <c r="A28" s="58">
        <v>22</v>
      </c>
      <c r="B28" s="59">
        <v>35.4</v>
      </c>
      <c r="C28" s="59">
        <v>31.372549019607842</v>
      </c>
      <c r="D28" s="59">
        <v>1.5852941176470585</v>
      </c>
      <c r="E28"/>
      <c r="F28"/>
      <c r="G28"/>
      <c r="H28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</row>
    <row r="29" spans="1:56">
      <c r="A29" s="58">
        <v>23</v>
      </c>
      <c r="B29" s="59">
        <v>15.7</v>
      </c>
      <c r="C29" s="59">
        <v>30.392156862745097</v>
      </c>
      <c r="D29" s="59">
        <v>0.96372549019607823</v>
      </c>
      <c r="E29"/>
      <c r="F29"/>
      <c r="G29"/>
      <c r="H29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</row>
    <row r="30" spans="1:56">
      <c r="A30" s="58">
        <v>24</v>
      </c>
      <c r="B30" s="59">
        <v>12.6</v>
      </c>
      <c r="C30" s="59">
        <v>28.431372549019606</v>
      </c>
      <c r="D30" s="59">
        <v>1.0019607843137255</v>
      </c>
      <c r="E30"/>
      <c r="F30"/>
      <c r="G30"/>
      <c r="H30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</row>
    <row r="31" spans="1:56">
      <c r="A31" s="58">
        <v>25</v>
      </c>
      <c r="B31" s="59">
        <v>16.7</v>
      </c>
      <c r="C31" s="59">
        <v>31.372549019607842</v>
      </c>
      <c r="D31" s="59">
        <v>1.1323529411764706</v>
      </c>
      <c r="E31"/>
      <c r="F31"/>
      <c r="G31"/>
      <c r="H31"/>
      <c r="I31" s="126"/>
      <c r="J31" s="126"/>
      <c r="K31" s="126"/>
      <c r="L31" s="126"/>
      <c r="M31" s="126"/>
      <c r="N31" s="126"/>
      <c r="O31" s="126"/>
      <c r="P31" s="126"/>
      <c r="Q31" s="126"/>
      <c r="R31" s="126"/>
      <c r="S31" s="126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</row>
    <row r="32" spans="1:56">
      <c r="A32" s="58">
        <v>26</v>
      </c>
      <c r="B32" s="59">
        <v>16.7</v>
      </c>
      <c r="C32" s="59">
        <v>39.215686274509807</v>
      </c>
      <c r="D32" s="59">
        <v>1.8107843137254904</v>
      </c>
      <c r="E32"/>
      <c r="F32"/>
      <c r="G32"/>
      <c r="H32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</row>
    <row r="33" spans="1:56">
      <c r="A33" s="58">
        <v>27</v>
      </c>
      <c r="B33" s="59">
        <v>21</v>
      </c>
      <c r="C33" s="59">
        <v>30.392156862745097</v>
      </c>
      <c r="D33" s="59">
        <v>1.2264705882352942</v>
      </c>
      <c r="E33"/>
      <c r="F33"/>
      <c r="G33"/>
      <c r="H33"/>
      <c r="I33" s="126"/>
      <c r="J33" s="126"/>
      <c r="K33" s="126"/>
      <c r="L33" s="126"/>
      <c r="M33" s="126"/>
      <c r="N33" s="126"/>
      <c r="O33" s="126"/>
      <c r="P33" s="126"/>
      <c r="Q33" s="126"/>
      <c r="R33" s="126"/>
      <c r="S33" s="126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</row>
    <row r="34" spans="1:56">
      <c r="A34" s="58">
        <v>28</v>
      </c>
      <c r="B34" s="59">
        <v>7.6</v>
      </c>
      <c r="C34" s="59">
        <v>30.392156862745097</v>
      </c>
      <c r="D34" s="59">
        <v>0.61960784313725481</v>
      </c>
      <c r="E34"/>
      <c r="F34"/>
      <c r="G34"/>
      <c r="H34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</row>
    <row r="35" spans="1:56">
      <c r="A35" s="58">
        <v>29</v>
      </c>
      <c r="B35" s="59">
        <v>17.2</v>
      </c>
      <c r="C35" s="59">
        <v>29.411764705882355</v>
      </c>
      <c r="D35" s="59">
        <v>1.2313725490196077</v>
      </c>
      <c r="F35"/>
      <c r="G35"/>
      <c r="H35"/>
      <c r="I35" s="126"/>
      <c r="J35" s="126"/>
      <c r="K35" s="126"/>
      <c r="L35" s="126"/>
      <c r="M35" s="126"/>
      <c r="N35" s="126"/>
      <c r="O35" s="126"/>
      <c r="P35" s="126"/>
      <c r="Q35" s="126"/>
      <c r="R35" s="126"/>
      <c r="S35" s="126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</row>
    <row r="36" spans="1:56">
      <c r="A36" s="58">
        <v>30</v>
      </c>
      <c r="B36" s="59">
        <v>10.5</v>
      </c>
      <c r="C36" s="59">
        <v>27.450980392156865</v>
      </c>
      <c r="D36" s="59">
        <v>0.83921568627450993</v>
      </c>
      <c r="H3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</row>
    <row r="37" spans="1:56">
      <c r="A37" s="61"/>
      <c r="B37" s="62"/>
      <c r="C37" s="62"/>
      <c r="D37" s="62"/>
      <c r="I37" s="126"/>
      <c r="J37" s="126"/>
      <c r="K37" s="126"/>
      <c r="L37" s="126"/>
      <c r="M37" s="126"/>
      <c r="N37" s="126"/>
      <c r="O37" s="126"/>
      <c r="P37" s="126"/>
      <c r="Q37" s="126"/>
      <c r="R37" s="126"/>
      <c r="S37" s="126"/>
    </row>
    <row r="38" spans="1:56">
      <c r="B38" s="60"/>
      <c r="C38" s="60"/>
      <c r="D38" s="60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</row>
    <row r="39" spans="1:56"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</row>
    <row r="40" spans="1:56">
      <c r="C40" s="60"/>
    </row>
  </sheetData>
  <mergeCells count="5">
    <mergeCell ref="A1:D4"/>
    <mergeCell ref="I1:S13"/>
    <mergeCell ref="A5:A6"/>
    <mergeCell ref="I14:S25"/>
    <mergeCell ref="I27:S39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 codeName="Sayfa13"/>
  <dimension ref="A1:BD42"/>
  <sheetViews>
    <sheetView topLeftCell="O15" workbookViewId="0">
      <selection activeCell="C18" sqref="C18"/>
    </sheetView>
  </sheetViews>
  <sheetFormatPr defaultRowHeight="28.5"/>
  <cols>
    <col min="1" max="1" width="13.28515625" style="63" bestFit="1" customWidth="1"/>
    <col min="2" max="2" width="22.140625" style="63" bestFit="1" customWidth="1"/>
    <col min="3" max="3" width="23.28515625" style="63" bestFit="1" customWidth="1"/>
    <col min="4" max="4" width="18" style="63" bestFit="1" customWidth="1"/>
    <col min="5" max="5" width="5.5703125" style="26" customWidth="1"/>
    <col min="6" max="6" width="6" style="26" bestFit="1" customWidth="1"/>
    <col min="7" max="7" width="11.140625" style="26" bestFit="1" customWidth="1"/>
    <col min="8" max="8" width="5.140625" style="26" bestFit="1" customWidth="1"/>
    <col min="9" max="9" width="11.140625" style="46" bestFit="1" customWidth="1"/>
    <col min="10" max="10" width="7" style="46" bestFit="1" customWidth="1"/>
    <col min="11" max="11" width="12" style="46" bestFit="1" customWidth="1"/>
    <col min="12" max="12" width="9.140625" style="26"/>
    <col min="13" max="13" width="6" style="26" bestFit="1" customWidth="1"/>
    <col min="14" max="14" width="11.140625" style="26" bestFit="1" customWidth="1"/>
    <col min="15" max="15" width="7" style="46" bestFit="1" customWidth="1"/>
    <col min="16" max="16" width="9.140625" style="46" bestFit="1" customWidth="1"/>
    <col min="17" max="17" width="9.140625" style="26"/>
    <col min="18" max="18" width="6" style="26" bestFit="1" customWidth="1"/>
    <col min="19" max="19" width="9.42578125" style="26" bestFit="1" customWidth="1"/>
    <col min="20" max="20" width="12.42578125" style="46" bestFit="1" customWidth="1"/>
    <col min="21" max="21" width="12.42578125" style="46" customWidth="1"/>
    <col min="22" max="22" width="9.140625" style="26"/>
    <col min="23" max="23" width="7.5703125" style="26" bestFit="1" customWidth="1"/>
    <col min="24" max="24" width="9.42578125" style="26" bestFit="1" customWidth="1"/>
    <col min="25" max="25" width="12.42578125" style="46" bestFit="1" customWidth="1"/>
    <col min="26" max="26" width="12.42578125" style="46" customWidth="1"/>
    <col min="27" max="27" width="9.140625" style="26"/>
    <col min="28" max="28" width="8.5703125" style="26" bestFit="1" customWidth="1"/>
    <col min="29" max="29" width="9.42578125" style="26" bestFit="1" customWidth="1"/>
    <col min="30" max="30" width="12.42578125" style="46" bestFit="1" customWidth="1"/>
    <col min="31" max="31" width="12.42578125" style="46" customWidth="1"/>
    <col min="32" max="32" width="9.140625" style="26"/>
    <col min="33" max="33" width="8" style="26" bestFit="1" customWidth="1"/>
    <col min="34" max="34" width="9.42578125" style="26" bestFit="1" customWidth="1"/>
    <col min="35" max="35" width="12.42578125" style="46" bestFit="1" customWidth="1"/>
    <col min="36" max="36" width="12.42578125" style="46" customWidth="1"/>
    <col min="37" max="37" width="9.140625" style="26"/>
    <col min="38" max="38" width="5.28515625" style="26" bestFit="1" customWidth="1"/>
    <col min="39" max="39" width="9.42578125" style="26" bestFit="1" customWidth="1"/>
    <col min="40" max="40" width="12.42578125" style="46" bestFit="1" customWidth="1"/>
    <col min="41" max="41" width="12.42578125" style="46" customWidth="1"/>
    <col min="42" max="42" width="9.140625" style="26"/>
    <col min="43" max="43" width="5.28515625" style="26" bestFit="1" customWidth="1"/>
    <col min="44" max="44" width="9.42578125" style="26" bestFit="1" customWidth="1"/>
    <col min="45" max="45" width="12.42578125" style="46" bestFit="1" customWidth="1"/>
    <col min="46" max="46" width="12.42578125" style="46" customWidth="1"/>
    <col min="47" max="47" width="9.140625" style="26"/>
    <col min="48" max="48" width="6.140625" style="26" bestFit="1" customWidth="1"/>
    <col min="49" max="49" width="9.42578125" style="26" bestFit="1" customWidth="1"/>
    <col min="50" max="50" width="12.42578125" style="46" bestFit="1" customWidth="1"/>
    <col min="51" max="51" width="12.42578125" style="46" customWidth="1"/>
    <col min="52" max="52" width="9.140625" style="26"/>
    <col min="53" max="53" width="6" style="26" bestFit="1" customWidth="1"/>
    <col min="54" max="54" width="9.42578125" style="26" bestFit="1" customWidth="1"/>
    <col min="55" max="55" width="12.42578125" style="46" bestFit="1" customWidth="1"/>
    <col min="56" max="56" width="9.140625" style="26"/>
  </cols>
  <sheetData>
    <row r="1" spans="1:56" ht="15" customHeight="1">
      <c r="A1" s="127" t="s">
        <v>443</v>
      </c>
      <c r="B1" s="127"/>
      <c r="C1" s="127"/>
      <c r="D1" s="127"/>
      <c r="E1" s="30"/>
      <c r="F1"/>
      <c r="G1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</row>
    <row r="2" spans="1:56" ht="15" customHeight="1">
      <c r="A2" s="127"/>
      <c r="B2" s="127"/>
      <c r="C2" s="127"/>
      <c r="D2" s="127"/>
      <c r="E2"/>
      <c r="F2"/>
      <c r="G2"/>
      <c r="H2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</row>
    <row r="3" spans="1:56" ht="15" customHeight="1">
      <c r="A3" s="127"/>
      <c r="B3" s="127"/>
      <c r="C3" s="127"/>
      <c r="D3" s="127"/>
      <c r="E3"/>
      <c r="F3"/>
      <c r="G3"/>
      <c r="H3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</row>
    <row r="4" spans="1:56" ht="15" customHeight="1">
      <c r="A4" s="128"/>
      <c r="B4" s="128"/>
      <c r="C4" s="128"/>
      <c r="D4" s="128"/>
      <c r="E4"/>
      <c r="F4"/>
      <c r="G4"/>
      <c r="H4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</row>
    <row r="5" spans="1:56">
      <c r="A5" s="129" t="s">
        <v>9</v>
      </c>
      <c r="B5" s="56" t="s">
        <v>423</v>
      </c>
      <c r="C5" s="56" t="s">
        <v>449</v>
      </c>
      <c r="D5" s="57" t="s">
        <v>2</v>
      </c>
      <c r="E5"/>
      <c r="F5"/>
      <c r="G5"/>
      <c r="H5"/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</row>
    <row r="6" spans="1:56">
      <c r="A6" s="130"/>
      <c r="B6" s="56" t="s">
        <v>438</v>
      </c>
      <c r="C6" s="56" t="s">
        <v>437</v>
      </c>
      <c r="D6" s="64" t="s">
        <v>438</v>
      </c>
      <c r="E6"/>
      <c r="F6"/>
      <c r="G6"/>
      <c r="H6"/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</row>
    <row r="7" spans="1:56">
      <c r="A7" s="58">
        <v>1</v>
      </c>
      <c r="B7" s="59">
        <v>44.7</v>
      </c>
      <c r="C7" s="59">
        <v>35.294117647058826</v>
      </c>
      <c r="D7" s="59">
        <v>1.9519607843137254</v>
      </c>
      <c r="E7"/>
      <c r="F7"/>
      <c r="G7"/>
      <c r="H7"/>
      <c r="I7" s="125"/>
      <c r="J7" s="125"/>
      <c r="K7" s="125"/>
      <c r="L7" s="125"/>
      <c r="M7" s="125"/>
      <c r="N7" s="125"/>
      <c r="O7" s="125"/>
      <c r="P7" s="125"/>
      <c r="Q7" s="125"/>
      <c r="R7" s="125"/>
      <c r="S7" s="125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</row>
    <row r="8" spans="1:56">
      <c r="A8" s="58">
        <v>2</v>
      </c>
      <c r="B8" s="59">
        <v>43.2</v>
      </c>
      <c r="C8" s="59">
        <v>35.294117647058826</v>
      </c>
      <c r="D8" s="59">
        <v>1.7151515151508634</v>
      </c>
      <c r="E8"/>
      <c r="F8"/>
      <c r="G8"/>
      <c r="H8"/>
      <c r="I8" s="125"/>
      <c r="J8" s="125"/>
      <c r="K8" s="125"/>
      <c r="L8" s="125"/>
      <c r="M8" s="125"/>
      <c r="N8" s="125"/>
      <c r="O8" s="125"/>
      <c r="P8" s="125"/>
      <c r="Q8" s="125"/>
      <c r="R8" s="125"/>
      <c r="S8" s="125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</row>
    <row r="9" spans="1:56">
      <c r="A9" s="58">
        <v>3</v>
      </c>
      <c r="B9" s="59">
        <v>23.3</v>
      </c>
      <c r="C9" s="59">
        <v>33.333333333333329</v>
      </c>
      <c r="D9" s="59">
        <v>1.0202020202019113</v>
      </c>
      <c r="E9"/>
      <c r="F9"/>
      <c r="G9"/>
      <c r="H9"/>
      <c r="I9" s="125"/>
      <c r="J9" s="125"/>
      <c r="K9" s="125"/>
      <c r="L9" s="125"/>
      <c r="M9" s="125"/>
      <c r="N9" s="125"/>
      <c r="O9" s="125"/>
      <c r="P9" s="125"/>
      <c r="Q9" s="125"/>
      <c r="R9" s="125"/>
      <c r="S9" s="125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</row>
    <row r="10" spans="1:56">
      <c r="A10" s="58">
        <v>4</v>
      </c>
      <c r="B10" s="59">
        <v>14</v>
      </c>
      <c r="C10" s="59">
        <v>26.47058823529412</v>
      </c>
      <c r="D10" s="59">
        <v>1.1050505050503823</v>
      </c>
      <c r="E10"/>
      <c r="F10"/>
      <c r="G10"/>
      <c r="H10"/>
      <c r="I10" s="125"/>
      <c r="J10" s="125"/>
      <c r="K10" s="125"/>
      <c r="L10" s="125"/>
      <c r="M10" s="125"/>
      <c r="N10" s="125"/>
      <c r="O10" s="125"/>
      <c r="P10" s="125"/>
      <c r="Q10" s="125"/>
      <c r="R10" s="125"/>
      <c r="S10" s="125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</row>
    <row r="11" spans="1:56">
      <c r="A11" s="58">
        <v>5</v>
      </c>
      <c r="B11" s="59">
        <v>22</v>
      </c>
      <c r="C11" s="59">
        <v>24.509803921568626</v>
      </c>
      <c r="D11" s="59">
        <v>1.160606060605937</v>
      </c>
      <c r="E11"/>
      <c r="F11"/>
      <c r="G11"/>
      <c r="H11"/>
      <c r="I11" s="125"/>
      <c r="J11" s="125"/>
      <c r="K11" s="125"/>
      <c r="L11" s="125"/>
      <c r="M11" s="125"/>
      <c r="N11" s="125"/>
      <c r="O11" s="125"/>
      <c r="P11" s="125"/>
      <c r="Q11" s="125"/>
      <c r="R11" s="125"/>
      <c r="S11" s="125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</row>
    <row r="12" spans="1:56">
      <c r="A12" s="58">
        <v>6</v>
      </c>
      <c r="B12" s="59">
        <v>41.4</v>
      </c>
      <c r="C12" s="59">
        <v>24.509803921568626</v>
      </c>
      <c r="D12" s="59">
        <v>1.4323232323228143</v>
      </c>
      <c r="E12"/>
      <c r="F12"/>
      <c r="G12"/>
      <c r="H12"/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</row>
    <row r="13" spans="1:56">
      <c r="A13" s="58">
        <v>7</v>
      </c>
      <c r="B13" s="59">
        <v>27.8</v>
      </c>
      <c r="C13" s="59">
        <v>28.431372549019606</v>
      </c>
      <c r="D13" s="59">
        <v>1.2080808080804144</v>
      </c>
      <c r="E13"/>
      <c r="F13"/>
      <c r="G13"/>
      <c r="H13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</row>
    <row r="14" spans="1:56">
      <c r="A14" s="58">
        <v>8</v>
      </c>
      <c r="B14" s="59">
        <v>18.899999999999999</v>
      </c>
      <c r="C14" s="59">
        <v>26.47058823529412</v>
      </c>
      <c r="D14" s="59">
        <v>1.1121212121210287</v>
      </c>
      <c r="E14"/>
      <c r="F14"/>
      <c r="G14"/>
      <c r="H14"/>
      <c r="I14" s="126"/>
      <c r="J14" s="126"/>
      <c r="K14" s="126"/>
      <c r="L14" s="126"/>
      <c r="M14" s="126"/>
      <c r="N14" s="126"/>
      <c r="O14" s="126"/>
      <c r="P14" s="126"/>
      <c r="Q14" s="126"/>
      <c r="R14" s="126"/>
      <c r="S14" s="126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</row>
    <row r="15" spans="1:56">
      <c r="A15" s="58">
        <v>9</v>
      </c>
      <c r="B15" s="59">
        <v>11.4</v>
      </c>
      <c r="C15" s="59">
        <v>31.372549019607842</v>
      </c>
      <c r="D15" s="59">
        <v>0.77171717171696519</v>
      </c>
      <c r="E15"/>
      <c r="F15"/>
      <c r="G15"/>
      <c r="H15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</row>
    <row r="16" spans="1:56">
      <c r="A16" s="58">
        <v>10</v>
      </c>
      <c r="B16" s="59">
        <v>36.4</v>
      </c>
      <c r="C16" s="59">
        <v>26.47058823529412</v>
      </c>
      <c r="D16" s="59">
        <v>1.0171717171718899</v>
      </c>
      <c r="E16"/>
      <c r="F16"/>
      <c r="G16"/>
      <c r="H1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</row>
    <row r="17" spans="1:56">
      <c r="A17" s="58">
        <v>11</v>
      </c>
      <c r="B17" s="59">
        <v>84</v>
      </c>
      <c r="C17" s="59">
        <v>31.372549019607842</v>
      </c>
      <c r="D17" s="59">
        <v>1.8848484848484934</v>
      </c>
      <c r="E17"/>
      <c r="F17"/>
      <c r="G17"/>
      <c r="H17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</row>
    <row r="18" spans="1:56">
      <c r="A18" s="58">
        <v>12</v>
      </c>
      <c r="B18" s="59">
        <v>15.8</v>
      </c>
      <c r="C18" s="59">
        <v>31.372549019607842</v>
      </c>
      <c r="D18" s="59">
        <v>1.2747474747474006</v>
      </c>
      <c r="E18"/>
      <c r="F18"/>
      <c r="G18"/>
      <c r="H18"/>
      <c r="I18" s="126"/>
      <c r="J18" s="126"/>
      <c r="K18" s="126"/>
      <c r="L18" s="126"/>
      <c r="M18" s="126"/>
      <c r="N18" s="126"/>
      <c r="O18" s="126"/>
      <c r="P18" s="126"/>
      <c r="Q18" s="126"/>
      <c r="R18" s="126"/>
      <c r="S18" s="126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</row>
    <row r="19" spans="1:56">
      <c r="A19" s="58">
        <v>13</v>
      </c>
      <c r="B19" s="59">
        <v>15.5</v>
      </c>
      <c r="C19" s="59">
        <v>37.254901960784316</v>
      </c>
      <c r="D19" s="59">
        <v>1.3575757575753775</v>
      </c>
      <c r="E19"/>
      <c r="F19"/>
      <c r="G19"/>
      <c r="H19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</row>
    <row r="20" spans="1:56">
      <c r="A20" s="58">
        <v>14</v>
      </c>
      <c r="B20" s="59">
        <v>25.2</v>
      </c>
      <c r="C20" s="59">
        <v>30.392156862745097</v>
      </c>
      <c r="D20" s="59">
        <v>1.36161616161605</v>
      </c>
      <c r="E20"/>
      <c r="F20"/>
      <c r="G20"/>
      <c r="H20"/>
      <c r="I20" s="126"/>
      <c r="J20" s="126"/>
      <c r="K20" s="126"/>
      <c r="L20" s="126"/>
      <c r="M20" s="126"/>
      <c r="N20" s="126"/>
      <c r="O20" s="126"/>
      <c r="P20" s="126"/>
      <c r="Q20" s="126"/>
      <c r="R20" s="126"/>
      <c r="S20" s="126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</row>
    <row r="21" spans="1:56">
      <c r="A21" s="58">
        <v>15</v>
      </c>
      <c r="B21" s="59">
        <v>19.399999999999999</v>
      </c>
      <c r="C21" s="59">
        <v>28.431372549019606</v>
      </c>
      <c r="D21" s="59">
        <v>1.1393939393935888</v>
      </c>
      <c r="E21"/>
      <c r="F21"/>
      <c r="G21"/>
      <c r="H21"/>
      <c r="I21" s="126"/>
      <c r="J21" s="126"/>
      <c r="K21" s="126"/>
      <c r="L21" s="126"/>
      <c r="M21" s="126"/>
      <c r="N21" s="126"/>
      <c r="O21" s="126"/>
      <c r="P21" s="126"/>
      <c r="Q21" s="126"/>
      <c r="R21" s="126"/>
      <c r="S21" s="126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</row>
    <row r="22" spans="1:56">
      <c r="A22" s="58">
        <v>16</v>
      </c>
      <c r="B22" s="59">
        <v>27</v>
      </c>
      <c r="C22" s="59">
        <v>26.47058823529412</v>
      </c>
      <c r="D22" s="59">
        <v>0.88484848484838319</v>
      </c>
      <c r="E22"/>
      <c r="F22"/>
      <c r="G22"/>
      <c r="H22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</row>
    <row r="23" spans="1:56">
      <c r="A23" s="58">
        <v>17</v>
      </c>
      <c r="B23" s="59">
        <v>24</v>
      </c>
      <c r="C23" s="59">
        <v>27.450980392156865</v>
      </c>
      <c r="D23" s="59">
        <v>1.42828282828246</v>
      </c>
      <c r="E23"/>
      <c r="F23"/>
      <c r="G23"/>
      <c r="H23"/>
      <c r="I23" s="126"/>
      <c r="J23" s="126"/>
      <c r="K23" s="126"/>
      <c r="L23" s="126"/>
      <c r="M23" s="126"/>
      <c r="N23" s="126"/>
      <c r="O23" s="126"/>
      <c r="P23" s="126"/>
      <c r="Q23" s="126"/>
      <c r="R23" s="126"/>
      <c r="S23" s="126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</row>
    <row r="24" spans="1:56">
      <c r="A24" s="58">
        <v>18</v>
      </c>
      <c r="B24" s="59">
        <v>24.6</v>
      </c>
      <c r="C24" s="59">
        <v>27.450980392156865</v>
      </c>
      <c r="D24" s="59">
        <v>0.86262626262606357</v>
      </c>
      <c r="E24"/>
      <c r="F24"/>
      <c r="G24"/>
      <c r="H24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</row>
    <row r="25" spans="1:56">
      <c r="A25" s="58">
        <v>19</v>
      </c>
      <c r="B25" s="59">
        <v>21.1</v>
      </c>
      <c r="C25" s="59">
        <v>29.411764705882355</v>
      </c>
      <c r="D25" s="59">
        <v>0.95272727272719304</v>
      </c>
      <c r="E25"/>
      <c r="F25"/>
      <c r="G25"/>
      <c r="H25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</row>
    <row r="26" spans="1:56">
      <c r="A26" s="58">
        <v>20</v>
      </c>
      <c r="B26" s="59">
        <v>37</v>
      </c>
      <c r="C26" s="59">
        <v>25.490196078431371</v>
      </c>
      <c r="D26" s="59">
        <v>0.95555555555550409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</row>
    <row r="27" spans="1:56">
      <c r="A27" s="58">
        <v>21</v>
      </c>
      <c r="B27" s="59">
        <v>41.5</v>
      </c>
      <c r="C27" s="59">
        <v>25.490196078431371</v>
      </c>
      <c r="D27" s="59">
        <v>1.6141414141413657</v>
      </c>
      <c r="E27"/>
      <c r="F27"/>
      <c r="G27"/>
      <c r="H27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</row>
    <row r="28" spans="1:56">
      <c r="A28" s="58">
        <v>22</v>
      </c>
      <c r="B28" s="59">
        <v>33.4</v>
      </c>
      <c r="C28" s="59">
        <v>23.52941176470588</v>
      </c>
      <c r="D28" s="59">
        <v>1.1171717171716971</v>
      </c>
      <c r="E28"/>
      <c r="F28"/>
      <c r="G28"/>
      <c r="H28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</row>
    <row r="29" spans="1:56">
      <c r="A29" s="58">
        <v>23</v>
      </c>
      <c r="B29" s="59">
        <v>27.6</v>
      </c>
      <c r="C29" s="59">
        <v>26.47058823529412</v>
      </c>
      <c r="D29" s="59">
        <v>1.4747474747472111</v>
      </c>
      <c r="E29"/>
      <c r="F29"/>
      <c r="G29"/>
      <c r="H29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</row>
    <row r="30" spans="1:56">
      <c r="A30" s="58">
        <v>24</v>
      </c>
      <c r="B30" s="59">
        <v>22.2</v>
      </c>
      <c r="C30" s="59">
        <v>24.509803921568626</v>
      </c>
      <c r="D30" s="59">
        <v>0.89393939393935773</v>
      </c>
      <c r="E30"/>
      <c r="F30"/>
      <c r="G30"/>
      <c r="H30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</row>
    <row r="31" spans="1:56">
      <c r="A31" s="58">
        <v>25</v>
      </c>
      <c r="B31" s="59">
        <v>16.100000000000001</v>
      </c>
      <c r="C31" s="59">
        <v>27.450980392156865</v>
      </c>
      <c r="D31" s="59">
        <v>0.86969696969689447</v>
      </c>
      <c r="E31"/>
      <c r="F31"/>
      <c r="G31"/>
      <c r="H31"/>
      <c r="I31" s="126"/>
      <c r="J31" s="126"/>
      <c r="K31" s="126"/>
      <c r="L31" s="126"/>
      <c r="M31" s="126"/>
      <c r="N31" s="126"/>
      <c r="O31" s="126"/>
      <c r="P31" s="126"/>
      <c r="Q31" s="126"/>
      <c r="R31" s="126"/>
      <c r="S31" s="126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</row>
    <row r="32" spans="1:56">
      <c r="A32" s="58">
        <v>26</v>
      </c>
      <c r="B32" s="59">
        <v>26.5</v>
      </c>
      <c r="C32" s="59">
        <v>29.411764705882355</v>
      </c>
      <c r="D32" s="59">
        <v>1.0868686868686024</v>
      </c>
      <c r="E32"/>
      <c r="F32"/>
      <c r="G32"/>
      <c r="H32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</row>
    <row r="33" spans="1:56">
      <c r="A33" s="58">
        <v>27</v>
      </c>
      <c r="B33" s="59">
        <v>27</v>
      </c>
      <c r="C33" s="59">
        <v>18.627450980392158</v>
      </c>
      <c r="D33" s="59">
        <v>0.8404040404039117</v>
      </c>
      <c r="E33"/>
      <c r="F33"/>
      <c r="G33"/>
      <c r="H33"/>
      <c r="I33" s="126"/>
      <c r="J33" s="126"/>
      <c r="K33" s="126"/>
      <c r="L33" s="126"/>
      <c r="M33" s="126"/>
      <c r="N33" s="126"/>
      <c r="O33" s="126"/>
      <c r="P33" s="126"/>
      <c r="Q33" s="126"/>
      <c r="R33" s="126"/>
      <c r="S33" s="126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</row>
    <row r="34" spans="1:56">
      <c r="A34" s="58">
        <v>28</v>
      </c>
      <c r="B34" s="59">
        <v>24.5</v>
      </c>
      <c r="C34" s="59">
        <v>24.509803921568626</v>
      </c>
      <c r="D34" s="59">
        <v>1.2242424242422769</v>
      </c>
      <c r="E34"/>
      <c r="F34"/>
      <c r="G34"/>
      <c r="H34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</row>
    <row r="35" spans="1:56">
      <c r="A35" s="58">
        <v>29</v>
      </c>
      <c r="B35" s="59">
        <v>18.7</v>
      </c>
      <c r="C35" s="59">
        <v>26.47058823529412</v>
      </c>
      <c r="D35" s="59">
        <v>1.1909090909087579</v>
      </c>
      <c r="F35"/>
      <c r="G35"/>
      <c r="H35"/>
      <c r="I35" s="126"/>
      <c r="J35" s="126"/>
      <c r="K35" s="126"/>
      <c r="L35" s="126"/>
      <c r="M35" s="126"/>
      <c r="N35" s="126"/>
      <c r="O35" s="126"/>
      <c r="P35" s="126"/>
      <c r="Q35" s="126"/>
      <c r="R35" s="126"/>
      <c r="S35" s="126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</row>
    <row r="36" spans="1:56">
      <c r="A36" s="58">
        <v>30</v>
      </c>
      <c r="B36" s="59">
        <v>6.4</v>
      </c>
      <c r="C36" s="59">
        <v>29.411764705882355</v>
      </c>
      <c r="D36" s="59">
        <v>0.57070707070699689</v>
      </c>
      <c r="H3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</row>
    <row r="37" spans="1:56">
      <c r="A37" s="58">
        <v>31</v>
      </c>
      <c r="B37" s="59">
        <v>15.8</v>
      </c>
      <c r="C37" s="59">
        <v>21.568627450980394</v>
      </c>
      <c r="D37" s="59">
        <v>1.1373737373736659</v>
      </c>
      <c r="I37" s="126"/>
      <c r="J37" s="126"/>
      <c r="K37" s="126"/>
      <c r="L37" s="126"/>
      <c r="M37" s="126"/>
      <c r="N37" s="126"/>
      <c r="O37" s="126"/>
      <c r="P37" s="126"/>
      <c r="Q37" s="126"/>
      <c r="R37" s="126"/>
      <c r="S37" s="126"/>
    </row>
    <row r="38" spans="1:56">
      <c r="A38" s="61"/>
      <c r="B38" s="62"/>
      <c r="C38" s="61"/>
      <c r="D38" s="61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</row>
    <row r="39" spans="1:56">
      <c r="A39" s="61"/>
      <c r="B39" s="62"/>
      <c r="C39" s="62"/>
      <c r="D39" s="62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</row>
    <row r="40" spans="1:56">
      <c r="B40" s="60"/>
      <c r="C40" s="60"/>
      <c r="D40" s="60"/>
    </row>
    <row r="42" spans="1:56">
      <c r="C42" s="60"/>
    </row>
  </sheetData>
  <mergeCells count="5">
    <mergeCell ref="A1:D4"/>
    <mergeCell ref="I1:S13"/>
    <mergeCell ref="A5:A6"/>
    <mergeCell ref="I14:S25"/>
    <mergeCell ref="I27:S39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sheetPr codeName="Sayfa14"/>
  <dimension ref="A1:BD42"/>
  <sheetViews>
    <sheetView topLeftCell="O15" workbookViewId="0">
      <selection activeCell="C18" sqref="C18"/>
    </sheetView>
  </sheetViews>
  <sheetFormatPr defaultRowHeight="28.5"/>
  <cols>
    <col min="1" max="1" width="16.7109375" style="63" bestFit="1" customWidth="1"/>
    <col min="2" max="2" width="22.140625" style="63" bestFit="1" customWidth="1"/>
    <col min="3" max="3" width="23.28515625" style="63" bestFit="1" customWidth="1"/>
    <col min="4" max="4" width="18" style="63" bestFit="1" customWidth="1"/>
    <col min="5" max="5" width="5.5703125" style="26" customWidth="1"/>
    <col min="6" max="6" width="6" style="26" bestFit="1" customWidth="1"/>
    <col min="7" max="7" width="11.140625" style="26" bestFit="1" customWidth="1"/>
    <col min="8" max="8" width="5.140625" style="26" bestFit="1" customWidth="1"/>
    <col min="9" max="9" width="11.140625" style="46" bestFit="1" customWidth="1"/>
    <col min="10" max="10" width="7" style="46" bestFit="1" customWidth="1"/>
    <col min="11" max="11" width="12" style="46" bestFit="1" customWidth="1"/>
    <col min="12" max="12" width="9.140625" style="26"/>
    <col min="13" max="13" width="6" style="26" bestFit="1" customWidth="1"/>
    <col min="14" max="14" width="11.140625" style="26" bestFit="1" customWidth="1"/>
    <col min="15" max="15" width="7" style="46" bestFit="1" customWidth="1"/>
    <col min="16" max="16" width="9.140625" style="46" bestFit="1" customWidth="1"/>
    <col min="17" max="17" width="9.140625" style="26"/>
    <col min="18" max="18" width="6" style="26" bestFit="1" customWidth="1"/>
    <col min="19" max="19" width="9.42578125" style="26" bestFit="1" customWidth="1"/>
    <col min="20" max="20" width="12.42578125" style="46" bestFit="1" customWidth="1"/>
    <col min="21" max="21" width="12.42578125" style="46" customWidth="1"/>
    <col min="22" max="22" width="9.140625" style="26"/>
    <col min="23" max="23" width="7.5703125" style="26" bestFit="1" customWidth="1"/>
    <col min="24" max="24" width="9.42578125" style="26" bestFit="1" customWidth="1"/>
    <col min="25" max="25" width="12.42578125" style="46" bestFit="1" customWidth="1"/>
    <col min="26" max="26" width="12.42578125" style="46" customWidth="1"/>
    <col min="27" max="27" width="9.140625" style="26"/>
    <col min="28" max="28" width="8.5703125" style="26" bestFit="1" customWidth="1"/>
    <col min="29" max="29" width="9.42578125" style="26" bestFit="1" customWidth="1"/>
    <col min="30" max="30" width="12.42578125" style="46" bestFit="1" customWidth="1"/>
    <col min="31" max="31" width="12.42578125" style="46" customWidth="1"/>
    <col min="32" max="32" width="9.140625" style="26"/>
    <col min="33" max="33" width="8" style="26" bestFit="1" customWidth="1"/>
    <col min="34" max="34" width="9.42578125" style="26" bestFit="1" customWidth="1"/>
    <col min="35" max="35" width="12.42578125" style="46" bestFit="1" customWidth="1"/>
    <col min="36" max="36" width="12.42578125" style="46" customWidth="1"/>
    <col min="37" max="37" width="9.140625" style="26"/>
    <col min="38" max="38" width="5.28515625" style="26" bestFit="1" customWidth="1"/>
    <col min="39" max="39" width="9.42578125" style="26" bestFit="1" customWidth="1"/>
    <col min="40" max="40" width="12.42578125" style="46" bestFit="1" customWidth="1"/>
    <col min="41" max="41" width="12.42578125" style="46" customWidth="1"/>
    <col min="42" max="42" width="9.140625" style="26"/>
    <col min="43" max="43" width="5.28515625" style="26" bestFit="1" customWidth="1"/>
    <col min="44" max="44" width="9.42578125" style="26" bestFit="1" customWidth="1"/>
    <col min="45" max="45" width="12.42578125" style="46" bestFit="1" customWidth="1"/>
    <col min="46" max="46" width="12.42578125" style="46" customWidth="1"/>
    <col min="47" max="47" width="9.140625" style="26"/>
    <col min="48" max="48" width="6.140625" style="26" bestFit="1" customWidth="1"/>
    <col min="49" max="49" width="9.42578125" style="26" bestFit="1" customWidth="1"/>
    <col min="50" max="50" width="12.42578125" style="46" bestFit="1" customWidth="1"/>
    <col min="51" max="51" width="12.42578125" style="46" customWidth="1"/>
    <col min="52" max="52" width="9.140625" style="26"/>
    <col min="53" max="53" width="6" style="26" bestFit="1" customWidth="1"/>
    <col min="54" max="54" width="9.42578125" style="26" bestFit="1" customWidth="1"/>
    <col min="55" max="55" width="12.42578125" style="46" bestFit="1" customWidth="1"/>
    <col min="56" max="56" width="9.140625" style="26"/>
  </cols>
  <sheetData>
    <row r="1" spans="1:56" ht="15" customHeight="1">
      <c r="A1" s="127" t="s">
        <v>439</v>
      </c>
      <c r="B1" s="127"/>
      <c r="C1" s="127"/>
      <c r="D1" s="127"/>
      <c r="E1" s="30"/>
      <c r="F1"/>
      <c r="G1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</row>
    <row r="2" spans="1:56" ht="15" customHeight="1">
      <c r="A2" s="127"/>
      <c r="B2" s="127"/>
      <c r="C2" s="127"/>
      <c r="D2" s="127"/>
      <c r="E2"/>
      <c r="F2"/>
      <c r="G2"/>
      <c r="H2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</row>
    <row r="3" spans="1:56" ht="15" customHeight="1">
      <c r="A3" s="127"/>
      <c r="B3" s="127"/>
      <c r="C3" s="127"/>
      <c r="D3" s="127"/>
      <c r="E3"/>
      <c r="F3"/>
      <c r="G3"/>
      <c r="H3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</row>
    <row r="4" spans="1:56" ht="15" customHeight="1">
      <c r="A4" s="128"/>
      <c r="B4" s="128"/>
      <c r="C4" s="128"/>
      <c r="D4" s="128"/>
      <c r="E4"/>
      <c r="F4"/>
      <c r="G4"/>
      <c r="H4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</row>
    <row r="5" spans="1:56">
      <c r="A5" s="129" t="s">
        <v>10</v>
      </c>
      <c r="B5" s="56" t="s">
        <v>423</v>
      </c>
      <c r="C5" s="56" t="s">
        <v>449</v>
      </c>
      <c r="D5" s="57" t="s">
        <v>2</v>
      </c>
      <c r="E5"/>
      <c r="F5"/>
      <c r="G5"/>
      <c r="H5"/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</row>
    <row r="6" spans="1:56">
      <c r="A6" s="130"/>
      <c r="B6" s="56" t="s">
        <v>438</v>
      </c>
      <c r="C6" s="56" t="s">
        <v>437</v>
      </c>
      <c r="D6" s="64" t="s">
        <v>438</v>
      </c>
      <c r="E6"/>
      <c r="F6"/>
      <c r="G6"/>
      <c r="H6"/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</row>
    <row r="7" spans="1:56">
      <c r="A7" s="58">
        <v>1</v>
      </c>
      <c r="B7" s="59">
        <v>48</v>
      </c>
      <c r="C7" s="59">
        <v>28.431372549019606</v>
      </c>
      <c r="D7" s="59">
        <v>1.2598039215686274</v>
      </c>
      <c r="E7"/>
      <c r="F7"/>
      <c r="G7"/>
      <c r="H7"/>
      <c r="I7" s="125"/>
      <c r="J7" s="125"/>
      <c r="K7" s="125"/>
      <c r="L7" s="125"/>
      <c r="M7" s="125"/>
      <c r="N7" s="125"/>
      <c r="O7" s="125"/>
      <c r="P7" s="125"/>
      <c r="Q7" s="125"/>
      <c r="R7" s="125"/>
      <c r="S7" s="125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</row>
    <row r="8" spans="1:56">
      <c r="A8" s="58">
        <v>2</v>
      </c>
      <c r="B8" s="59">
        <v>24</v>
      </c>
      <c r="C8" s="59">
        <v>24.509803921568626</v>
      </c>
      <c r="D8" s="59">
        <v>1.1911764705882353</v>
      </c>
      <c r="E8"/>
      <c r="F8"/>
      <c r="G8"/>
      <c r="H8"/>
      <c r="I8" s="125"/>
      <c r="J8" s="125"/>
      <c r="K8" s="125"/>
      <c r="L8" s="125"/>
      <c r="M8" s="125"/>
      <c r="N8" s="125"/>
      <c r="O8" s="125"/>
      <c r="P8" s="125"/>
      <c r="Q8" s="125"/>
      <c r="R8" s="125"/>
      <c r="S8" s="125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</row>
    <row r="9" spans="1:56">
      <c r="A9" s="58">
        <v>3</v>
      </c>
      <c r="B9" s="59">
        <v>11.5</v>
      </c>
      <c r="C9" s="59">
        <v>20.588235294117645</v>
      </c>
      <c r="D9" s="59">
        <v>0.80490196078431386</v>
      </c>
      <c r="E9"/>
      <c r="F9"/>
      <c r="G9"/>
      <c r="H9"/>
      <c r="I9" s="125"/>
      <c r="J9" s="125"/>
      <c r="K9" s="125"/>
      <c r="L9" s="125"/>
      <c r="M9" s="125"/>
      <c r="N9" s="125"/>
      <c r="O9" s="125"/>
      <c r="P9" s="125"/>
      <c r="Q9" s="125"/>
      <c r="R9" s="125"/>
      <c r="S9" s="125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</row>
    <row r="10" spans="1:56">
      <c r="A10" s="58">
        <v>4</v>
      </c>
      <c r="B10" s="59">
        <v>13.1</v>
      </c>
      <c r="C10" s="59">
        <v>24.509803921568626</v>
      </c>
      <c r="D10" s="59">
        <v>0.91176470588235303</v>
      </c>
      <c r="E10"/>
      <c r="F10"/>
      <c r="G10"/>
      <c r="H10"/>
      <c r="I10" s="125"/>
      <c r="J10" s="125"/>
      <c r="K10" s="125"/>
      <c r="L10" s="125"/>
      <c r="M10" s="125"/>
      <c r="N10" s="125"/>
      <c r="O10" s="125"/>
      <c r="P10" s="125"/>
      <c r="Q10" s="125"/>
      <c r="R10" s="125"/>
      <c r="S10" s="125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</row>
    <row r="11" spans="1:56">
      <c r="A11" s="58">
        <v>5</v>
      </c>
      <c r="B11" s="59">
        <v>24.5</v>
      </c>
      <c r="C11" s="59">
        <v>24.509803921568626</v>
      </c>
      <c r="D11" s="59">
        <v>0.97549019607843124</v>
      </c>
      <c r="E11"/>
      <c r="F11"/>
      <c r="G11"/>
      <c r="H11"/>
      <c r="I11" s="125"/>
      <c r="J11" s="125"/>
      <c r="K11" s="125"/>
      <c r="L11" s="125"/>
      <c r="M11" s="125"/>
      <c r="N11" s="125"/>
      <c r="O11" s="125"/>
      <c r="P11" s="125"/>
      <c r="Q11" s="125"/>
      <c r="R11" s="125"/>
      <c r="S11" s="125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</row>
    <row r="12" spans="1:56">
      <c r="A12" s="58">
        <v>6</v>
      </c>
      <c r="B12" s="59">
        <v>33.5</v>
      </c>
      <c r="C12" s="59">
        <v>21.568627450980394</v>
      </c>
      <c r="D12" s="59">
        <v>1.9549019607843134</v>
      </c>
      <c r="E12"/>
      <c r="F12"/>
      <c r="G12"/>
      <c r="H12"/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</row>
    <row r="13" spans="1:56">
      <c r="A13" s="58">
        <v>7</v>
      </c>
      <c r="B13" s="59">
        <v>46</v>
      </c>
      <c r="C13" s="59">
        <v>23.52941176470588</v>
      </c>
      <c r="D13" s="59">
        <v>2.3264705882352943</v>
      </c>
      <c r="E13"/>
      <c r="F13"/>
      <c r="G13"/>
      <c r="H13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</row>
    <row r="14" spans="1:56">
      <c r="A14" s="58">
        <v>8</v>
      </c>
      <c r="B14" s="59">
        <v>34.200000000000003</v>
      </c>
      <c r="C14" s="59">
        <v>33.333333333333329</v>
      </c>
      <c r="D14" s="59">
        <v>1.8049019607843133</v>
      </c>
      <c r="E14"/>
      <c r="F14"/>
      <c r="G14"/>
      <c r="H14"/>
      <c r="I14" s="126"/>
      <c r="J14" s="126"/>
      <c r="K14" s="126"/>
      <c r="L14" s="126"/>
      <c r="M14" s="126"/>
      <c r="N14" s="126"/>
      <c r="O14" s="126"/>
      <c r="P14" s="126"/>
      <c r="Q14" s="126"/>
      <c r="R14" s="126"/>
      <c r="S14" s="126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</row>
    <row r="15" spans="1:56">
      <c r="A15" s="58">
        <v>9</v>
      </c>
      <c r="B15" s="59">
        <v>30.9</v>
      </c>
      <c r="C15" s="59">
        <v>22.549019607843139</v>
      </c>
      <c r="D15" s="59">
        <v>0.80980392156862735</v>
      </c>
      <c r="E15"/>
      <c r="F15"/>
      <c r="G15"/>
      <c r="H15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</row>
    <row r="16" spans="1:56">
      <c r="A16" s="58">
        <v>10</v>
      </c>
      <c r="B16" s="59">
        <v>49</v>
      </c>
      <c r="C16" s="59">
        <v>28.431372549019606</v>
      </c>
      <c r="D16" s="59">
        <v>1.2705882352941174</v>
      </c>
      <c r="E16"/>
      <c r="F16"/>
      <c r="G16"/>
      <c r="H1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</row>
    <row r="17" spans="1:56">
      <c r="A17" s="58">
        <v>11</v>
      </c>
      <c r="B17" s="59">
        <v>48.6</v>
      </c>
      <c r="C17" s="59">
        <v>21.568627450980394</v>
      </c>
      <c r="D17" s="59">
        <v>1.4970588235294116</v>
      </c>
      <c r="E17"/>
      <c r="F17"/>
      <c r="G17"/>
      <c r="H17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</row>
    <row r="18" spans="1:56">
      <c r="A18" s="58">
        <v>12</v>
      </c>
      <c r="B18" s="59">
        <v>25.6</v>
      </c>
      <c r="C18" s="59">
        <v>25.490196078431371</v>
      </c>
      <c r="D18" s="59">
        <v>1.5303921568627448</v>
      </c>
      <c r="E18"/>
      <c r="F18"/>
      <c r="G18"/>
      <c r="H18"/>
      <c r="I18" s="126"/>
      <c r="J18" s="126"/>
      <c r="K18" s="126"/>
      <c r="L18" s="126"/>
      <c r="M18" s="126"/>
      <c r="N18" s="126"/>
      <c r="O18" s="126"/>
      <c r="P18" s="126"/>
      <c r="Q18" s="126"/>
      <c r="R18" s="126"/>
      <c r="S18" s="126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</row>
    <row r="19" spans="1:56">
      <c r="A19" s="58">
        <v>13</v>
      </c>
      <c r="B19" s="59">
        <v>26.8</v>
      </c>
      <c r="C19" s="59">
        <v>17.647058823529413</v>
      </c>
      <c r="D19" s="59">
        <v>0.8715686274509804</v>
      </c>
      <c r="E19"/>
      <c r="F19"/>
      <c r="G19"/>
      <c r="H19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</row>
    <row r="20" spans="1:56">
      <c r="A20" s="58">
        <v>14</v>
      </c>
      <c r="B20" s="59">
        <v>27.4</v>
      </c>
      <c r="C20" s="59">
        <v>19.607843137254903</v>
      </c>
      <c r="D20" s="59">
        <v>1.1078431372549018</v>
      </c>
      <c r="E20"/>
      <c r="F20"/>
      <c r="G20"/>
      <c r="H20"/>
      <c r="I20" s="126"/>
      <c r="J20" s="126"/>
      <c r="K20" s="126"/>
      <c r="L20" s="126"/>
      <c r="M20" s="126"/>
      <c r="N20" s="126"/>
      <c r="O20" s="126"/>
      <c r="P20" s="126"/>
      <c r="Q20" s="126"/>
      <c r="R20" s="126"/>
      <c r="S20" s="126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</row>
    <row r="21" spans="1:56">
      <c r="A21" s="58">
        <v>15</v>
      </c>
      <c r="B21" s="59">
        <v>32.4</v>
      </c>
      <c r="C21" s="59">
        <v>17.647058823529413</v>
      </c>
      <c r="D21" s="59">
        <v>0.91176470588235292</v>
      </c>
      <c r="E21"/>
      <c r="F21"/>
      <c r="G21"/>
      <c r="H21"/>
      <c r="I21" s="126"/>
      <c r="J21" s="126"/>
      <c r="K21" s="126"/>
      <c r="L21" s="126"/>
      <c r="M21" s="126"/>
      <c r="N21" s="126"/>
      <c r="O21" s="126"/>
      <c r="P21" s="126"/>
      <c r="Q21" s="126"/>
      <c r="R21" s="126"/>
      <c r="S21" s="126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</row>
    <row r="22" spans="1:56">
      <c r="A22" s="58">
        <v>16</v>
      </c>
      <c r="B22" s="59">
        <v>28</v>
      </c>
      <c r="C22" s="59">
        <v>20.588235294117645</v>
      </c>
      <c r="D22" s="59">
        <v>0.98627450980392151</v>
      </c>
      <c r="E22"/>
      <c r="F22"/>
      <c r="G22"/>
      <c r="H22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</row>
    <row r="23" spans="1:56">
      <c r="A23" s="58">
        <v>17</v>
      </c>
      <c r="B23" s="59">
        <v>12.9</v>
      </c>
      <c r="C23" s="59">
        <v>21.568627450980394</v>
      </c>
      <c r="D23" s="59">
        <v>0.49411764705882366</v>
      </c>
      <c r="E23"/>
      <c r="F23"/>
      <c r="G23"/>
      <c r="H23"/>
      <c r="I23" s="126"/>
      <c r="J23" s="126"/>
      <c r="K23" s="126"/>
      <c r="L23" s="126"/>
      <c r="M23" s="126"/>
      <c r="N23" s="126"/>
      <c r="O23" s="126"/>
      <c r="P23" s="126"/>
      <c r="Q23" s="126"/>
      <c r="R23" s="126"/>
      <c r="S23" s="126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</row>
    <row r="24" spans="1:56">
      <c r="A24" s="58">
        <v>18</v>
      </c>
      <c r="B24" s="59">
        <v>57</v>
      </c>
      <c r="C24" s="59">
        <v>19.607843137254903</v>
      </c>
      <c r="D24" s="59">
        <v>1.3852941176470586</v>
      </c>
      <c r="E24"/>
      <c r="F24"/>
      <c r="G24"/>
      <c r="H24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</row>
    <row r="25" spans="1:56">
      <c r="A25" s="58">
        <v>19</v>
      </c>
      <c r="B25" s="59">
        <v>30.5</v>
      </c>
      <c r="C25" s="59">
        <v>18.627450980392158</v>
      </c>
      <c r="D25" s="59">
        <v>0.58235294117647063</v>
      </c>
      <c r="E25"/>
      <c r="F25"/>
      <c r="G25"/>
      <c r="H25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</row>
    <row r="26" spans="1:56">
      <c r="A26" s="58">
        <v>20</v>
      </c>
      <c r="B26" s="59">
        <v>91</v>
      </c>
      <c r="C26" s="59">
        <v>22.549019607843139</v>
      </c>
      <c r="D26" s="59">
        <v>2.3823529411764706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</row>
    <row r="27" spans="1:56">
      <c r="A27" s="58">
        <v>21</v>
      </c>
      <c r="B27" s="59">
        <v>36</v>
      </c>
      <c r="C27" s="59">
        <v>20.588235294117645</v>
      </c>
      <c r="D27" s="59">
        <v>0.99607843137254914</v>
      </c>
      <c r="E27"/>
      <c r="F27"/>
      <c r="G27"/>
      <c r="H27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</row>
    <row r="28" spans="1:56">
      <c r="A28" s="58">
        <v>22</v>
      </c>
      <c r="B28" s="59">
        <v>15.7</v>
      </c>
      <c r="C28" s="59">
        <v>22.549019607843139</v>
      </c>
      <c r="D28" s="59">
        <v>0.92450980392156878</v>
      </c>
      <c r="E28"/>
      <c r="F28"/>
      <c r="G28"/>
      <c r="H28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</row>
    <row r="29" spans="1:56">
      <c r="A29" s="58">
        <v>23</v>
      </c>
      <c r="B29" s="59">
        <v>31.6</v>
      </c>
      <c r="C29" s="59">
        <v>19.607843137254903</v>
      </c>
      <c r="D29" s="59">
        <v>0.82254901960784321</v>
      </c>
      <c r="E29"/>
      <c r="F29"/>
      <c r="G29"/>
      <c r="H29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</row>
    <row r="30" spans="1:56">
      <c r="A30" s="58">
        <v>24</v>
      </c>
      <c r="B30" s="59">
        <v>25.5</v>
      </c>
      <c r="C30" s="59">
        <v>19.607843137254903</v>
      </c>
      <c r="D30" s="59">
        <v>1.0431372549019606</v>
      </c>
      <c r="E30"/>
      <c r="F30"/>
      <c r="G30"/>
      <c r="H30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</row>
    <row r="31" spans="1:56">
      <c r="A31" s="58">
        <v>25</v>
      </c>
      <c r="B31" s="59">
        <v>14.8</v>
      </c>
      <c r="C31" s="59">
        <v>19.607843137254903</v>
      </c>
      <c r="D31" s="59">
        <v>0.75686274509803919</v>
      </c>
      <c r="E31"/>
      <c r="F31"/>
      <c r="G31"/>
      <c r="H31"/>
      <c r="I31" s="126"/>
      <c r="J31" s="126"/>
      <c r="K31" s="126"/>
      <c r="L31" s="126"/>
      <c r="M31" s="126"/>
      <c r="N31" s="126"/>
      <c r="O31" s="126"/>
      <c r="P31" s="126"/>
      <c r="Q31" s="126"/>
      <c r="R31" s="126"/>
      <c r="S31" s="126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</row>
    <row r="32" spans="1:56">
      <c r="A32" s="58">
        <v>26</v>
      </c>
      <c r="B32" s="59">
        <v>21.5</v>
      </c>
      <c r="C32" s="59">
        <v>20.588235294117645</v>
      </c>
      <c r="D32" s="59">
        <v>0.9529411764705884</v>
      </c>
      <c r="E32"/>
      <c r="F32"/>
      <c r="G32"/>
      <c r="H32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</row>
    <row r="33" spans="1:56">
      <c r="A33" s="58">
        <v>27</v>
      </c>
      <c r="B33" s="59">
        <v>40.4</v>
      </c>
      <c r="C33" s="59">
        <v>21.568627450980394</v>
      </c>
      <c r="D33" s="59">
        <v>1.4196078431372541</v>
      </c>
      <c r="E33"/>
      <c r="F33"/>
      <c r="G33"/>
      <c r="H33"/>
      <c r="I33" s="126"/>
      <c r="J33" s="126"/>
      <c r="K33" s="126"/>
      <c r="L33" s="126"/>
      <c r="M33" s="126"/>
      <c r="N33" s="126"/>
      <c r="O33" s="126"/>
      <c r="P33" s="126"/>
      <c r="Q33" s="126"/>
      <c r="R33" s="126"/>
      <c r="S33" s="126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</row>
    <row r="34" spans="1:56">
      <c r="A34" s="58">
        <v>28</v>
      </c>
      <c r="B34" s="59">
        <v>35</v>
      </c>
      <c r="C34" s="59">
        <v>17.647058823529413</v>
      </c>
      <c r="D34" s="59">
        <v>0.51764705882352957</v>
      </c>
      <c r="E34"/>
      <c r="F34"/>
      <c r="G34"/>
      <c r="H34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</row>
    <row r="35" spans="1:56">
      <c r="A35" s="58">
        <v>29</v>
      </c>
      <c r="B35" s="59">
        <v>31</v>
      </c>
      <c r="C35" s="59">
        <v>19.607843137254903</v>
      </c>
      <c r="D35" s="59">
        <v>0.96470588235294108</v>
      </c>
      <c r="F35"/>
      <c r="G35"/>
      <c r="H35"/>
      <c r="I35" s="126"/>
      <c r="J35" s="126"/>
      <c r="K35" s="126"/>
      <c r="L35" s="126"/>
      <c r="M35" s="126"/>
      <c r="N35" s="126"/>
      <c r="O35" s="126"/>
      <c r="P35" s="126"/>
      <c r="Q35" s="126"/>
      <c r="R35" s="126"/>
      <c r="S35" s="126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</row>
    <row r="36" spans="1:56">
      <c r="A36" s="58">
        <v>30</v>
      </c>
      <c r="B36" s="59">
        <v>26.6</v>
      </c>
      <c r="C36" s="59">
        <v>13.725490196078432</v>
      </c>
      <c r="D36" s="59">
        <v>0.54803921568627445</v>
      </c>
      <c r="H3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</row>
    <row r="37" spans="1:56">
      <c r="A37" s="58"/>
      <c r="B37" s="59"/>
      <c r="C37" s="59"/>
      <c r="D37" s="59"/>
      <c r="I37" s="126"/>
      <c r="J37" s="126"/>
      <c r="K37" s="126"/>
      <c r="L37" s="126"/>
      <c r="M37" s="126"/>
      <c r="N37" s="126"/>
      <c r="O37" s="126"/>
      <c r="P37" s="126"/>
      <c r="Q37" s="126"/>
      <c r="R37" s="126"/>
      <c r="S37" s="126"/>
    </row>
    <row r="38" spans="1:56">
      <c r="A38" s="61"/>
      <c r="B38" s="62"/>
      <c r="C38" s="61"/>
      <c r="D38" s="61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</row>
    <row r="39" spans="1:56">
      <c r="A39" s="61"/>
      <c r="B39" s="62"/>
      <c r="C39" s="62"/>
      <c r="D39" s="62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</row>
    <row r="40" spans="1:56">
      <c r="B40" s="60"/>
      <c r="C40" s="60"/>
      <c r="D40" s="60"/>
    </row>
    <row r="42" spans="1:56">
      <c r="C42" s="60"/>
    </row>
  </sheetData>
  <mergeCells count="5">
    <mergeCell ref="A1:D4"/>
    <mergeCell ref="I1:S13"/>
    <mergeCell ref="A5:A6"/>
    <mergeCell ref="I14:S25"/>
    <mergeCell ref="I27:S39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sheetPr codeName="Sayfa15"/>
  <dimension ref="A1:BD42"/>
  <sheetViews>
    <sheetView topLeftCell="O15" workbookViewId="0">
      <selection activeCell="C18" sqref="C18"/>
    </sheetView>
  </sheetViews>
  <sheetFormatPr defaultRowHeight="28.5"/>
  <cols>
    <col min="1" max="1" width="10.28515625" style="63" bestFit="1" customWidth="1"/>
    <col min="2" max="2" width="22.140625" style="63" bestFit="1" customWidth="1"/>
    <col min="3" max="3" width="23.28515625" style="63" bestFit="1" customWidth="1"/>
    <col min="4" max="4" width="18" style="63" bestFit="1" customWidth="1"/>
    <col min="5" max="5" width="5.5703125" style="26" customWidth="1"/>
    <col min="6" max="6" width="6" style="26" bestFit="1" customWidth="1"/>
    <col min="7" max="7" width="11.140625" style="26" bestFit="1" customWidth="1"/>
    <col min="8" max="8" width="5.140625" style="26" bestFit="1" customWidth="1"/>
    <col min="9" max="9" width="11.140625" style="46" bestFit="1" customWidth="1"/>
    <col min="10" max="10" width="7" style="46" bestFit="1" customWidth="1"/>
    <col min="11" max="11" width="12" style="46" bestFit="1" customWidth="1"/>
    <col min="12" max="12" width="9.140625" style="26"/>
    <col min="13" max="13" width="6" style="26" bestFit="1" customWidth="1"/>
    <col min="14" max="14" width="11.140625" style="26" bestFit="1" customWidth="1"/>
    <col min="15" max="15" width="7" style="46" bestFit="1" customWidth="1"/>
    <col min="16" max="16" width="9.140625" style="46" bestFit="1" customWidth="1"/>
    <col min="17" max="17" width="9.140625" style="26"/>
    <col min="18" max="18" width="6" style="26" bestFit="1" customWidth="1"/>
    <col min="19" max="19" width="9.42578125" style="26" bestFit="1" customWidth="1"/>
    <col min="20" max="20" width="12.42578125" style="46" bestFit="1" customWidth="1"/>
    <col min="21" max="21" width="12.42578125" style="46" customWidth="1"/>
    <col min="22" max="22" width="9.140625" style="26"/>
    <col min="23" max="23" width="7.5703125" style="26" bestFit="1" customWidth="1"/>
    <col min="24" max="24" width="9.42578125" style="26" bestFit="1" customWidth="1"/>
    <col min="25" max="25" width="12.42578125" style="46" bestFit="1" customWidth="1"/>
    <col min="26" max="26" width="12.42578125" style="46" customWidth="1"/>
    <col min="27" max="27" width="9.140625" style="26"/>
    <col min="28" max="28" width="8.5703125" style="26" bestFit="1" customWidth="1"/>
    <col min="29" max="29" width="9.42578125" style="26" bestFit="1" customWidth="1"/>
    <col min="30" max="30" width="12.42578125" style="46" bestFit="1" customWidth="1"/>
    <col min="31" max="31" width="12.42578125" style="46" customWidth="1"/>
    <col min="32" max="32" width="9.140625" style="26"/>
    <col min="33" max="33" width="8" style="26" bestFit="1" customWidth="1"/>
    <col min="34" max="34" width="9.42578125" style="26" bestFit="1" customWidth="1"/>
    <col min="35" max="35" width="12.42578125" style="46" bestFit="1" customWidth="1"/>
    <col min="36" max="36" width="12.42578125" style="46" customWidth="1"/>
    <col min="37" max="37" width="9.140625" style="26"/>
    <col min="38" max="38" width="5.28515625" style="26" bestFit="1" customWidth="1"/>
    <col min="39" max="39" width="9.42578125" style="26" bestFit="1" customWidth="1"/>
    <col min="40" max="40" width="12.42578125" style="46" bestFit="1" customWidth="1"/>
    <col min="41" max="41" width="12.42578125" style="46" customWidth="1"/>
    <col min="42" max="42" width="9.140625" style="26"/>
    <col min="43" max="43" width="5.28515625" style="26" bestFit="1" customWidth="1"/>
    <col min="44" max="44" width="9.42578125" style="26" bestFit="1" customWidth="1"/>
    <col min="45" max="45" width="12.42578125" style="46" bestFit="1" customWidth="1"/>
    <col min="46" max="46" width="12.42578125" style="46" customWidth="1"/>
    <col min="47" max="47" width="9.140625" style="26"/>
    <col min="48" max="48" width="6.140625" style="26" bestFit="1" customWidth="1"/>
    <col min="49" max="49" width="9.42578125" style="26" bestFit="1" customWidth="1"/>
    <col min="50" max="50" width="12.42578125" style="46" bestFit="1" customWidth="1"/>
    <col min="51" max="51" width="12.42578125" style="46" customWidth="1"/>
    <col min="52" max="52" width="9.140625" style="26"/>
    <col min="53" max="53" width="6" style="26" bestFit="1" customWidth="1"/>
    <col min="54" max="54" width="9.42578125" style="26" bestFit="1" customWidth="1"/>
    <col min="55" max="55" width="12.42578125" style="46" bestFit="1" customWidth="1"/>
    <col min="56" max="56" width="9.140625" style="26"/>
  </cols>
  <sheetData>
    <row r="1" spans="1:56" ht="15" customHeight="1">
      <c r="A1" s="127" t="s">
        <v>439</v>
      </c>
      <c r="B1" s="127"/>
      <c r="C1" s="127"/>
      <c r="D1" s="127"/>
      <c r="E1" s="30"/>
      <c r="F1"/>
      <c r="G1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</row>
    <row r="2" spans="1:56" ht="15" customHeight="1">
      <c r="A2" s="127"/>
      <c r="B2" s="127"/>
      <c r="C2" s="127"/>
      <c r="D2" s="127"/>
      <c r="E2"/>
      <c r="F2"/>
      <c r="G2"/>
      <c r="H2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</row>
    <row r="3" spans="1:56" ht="15" customHeight="1">
      <c r="A3" s="127"/>
      <c r="B3" s="127"/>
      <c r="C3" s="127"/>
      <c r="D3" s="127"/>
      <c r="E3"/>
      <c r="F3"/>
      <c r="G3"/>
      <c r="H3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</row>
    <row r="4" spans="1:56" ht="15" customHeight="1">
      <c r="A4" s="128"/>
      <c r="B4" s="128"/>
      <c r="C4" s="128"/>
      <c r="D4" s="128"/>
      <c r="E4"/>
      <c r="F4"/>
      <c r="G4"/>
      <c r="H4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</row>
    <row r="5" spans="1:56">
      <c r="A5" s="129" t="s">
        <v>5</v>
      </c>
      <c r="B5" s="56" t="s">
        <v>423</v>
      </c>
      <c r="C5" s="56" t="s">
        <v>449</v>
      </c>
      <c r="D5" s="57" t="s">
        <v>2</v>
      </c>
      <c r="E5"/>
      <c r="F5"/>
      <c r="G5"/>
      <c r="H5"/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</row>
    <row r="6" spans="1:56">
      <c r="A6" s="130"/>
      <c r="B6" s="56" t="s">
        <v>438</v>
      </c>
      <c r="C6" s="56" t="s">
        <v>437</v>
      </c>
      <c r="D6" s="64" t="s">
        <v>438</v>
      </c>
      <c r="E6"/>
      <c r="F6"/>
      <c r="G6"/>
      <c r="H6"/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</row>
    <row r="7" spans="1:56">
      <c r="A7" s="58">
        <v>1</v>
      </c>
      <c r="B7" s="59">
        <v>30.7</v>
      </c>
      <c r="C7" s="59">
        <v>19.607843137254903</v>
      </c>
      <c r="D7" s="59">
        <v>1.0352941176470587</v>
      </c>
      <c r="E7"/>
      <c r="F7"/>
      <c r="G7"/>
      <c r="H7"/>
      <c r="I7" s="125"/>
      <c r="J7" s="125"/>
      <c r="K7" s="125"/>
      <c r="L7" s="125"/>
      <c r="M7" s="125"/>
      <c r="N7" s="125"/>
      <c r="O7" s="125"/>
      <c r="P7" s="125"/>
      <c r="Q7" s="125"/>
      <c r="R7" s="125"/>
      <c r="S7" s="125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</row>
    <row r="8" spans="1:56">
      <c r="A8" s="58">
        <v>2</v>
      </c>
      <c r="B8" s="59">
        <v>24.5</v>
      </c>
      <c r="C8" s="59">
        <v>19.607843137254903</v>
      </c>
      <c r="D8" s="59">
        <v>1.5941176470588234</v>
      </c>
      <c r="E8"/>
      <c r="F8"/>
      <c r="G8"/>
      <c r="H8"/>
      <c r="I8" s="125"/>
      <c r="J8" s="125"/>
      <c r="K8" s="125"/>
      <c r="L8" s="125"/>
      <c r="M8" s="125"/>
      <c r="N8" s="125"/>
      <c r="O8" s="125"/>
      <c r="P8" s="125"/>
      <c r="Q8" s="125"/>
      <c r="R8" s="125"/>
      <c r="S8" s="125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</row>
    <row r="9" spans="1:56">
      <c r="A9" s="58">
        <v>3</v>
      </c>
      <c r="B9" s="59">
        <v>71.5</v>
      </c>
      <c r="C9" s="59">
        <v>18.627450980392158</v>
      </c>
      <c r="D9" s="59">
        <v>2.197058823529412</v>
      </c>
      <c r="E9"/>
      <c r="F9"/>
      <c r="G9"/>
      <c r="H9"/>
      <c r="I9" s="125"/>
      <c r="J9" s="125"/>
      <c r="K9" s="125"/>
      <c r="L9" s="125"/>
      <c r="M9" s="125"/>
      <c r="N9" s="125"/>
      <c r="O9" s="125"/>
      <c r="P9" s="125"/>
      <c r="Q9" s="125"/>
      <c r="R9" s="125"/>
      <c r="S9" s="125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</row>
    <row r="10" spans="1:56">
      <c r="A10" s="58">
        <v>4</v>
      </c>
      <c r="B10" s="59">
        <v>33.200000000000003</v>
      </c>
      <c r="C10" s="59">
        <v>16.666666666666664</v>
      </c>
      <c r="D10" s="59">
        <v>1.5284313725490197</v>
      </c>
      <c r="E10"/>
      <c r="F10"/>
      <c r="G10"/>
      <c r="H10"/>
      <c r="I10" s="125"/>
      <c r="J10" s="125"/>
      <c r="K10" s="125"/>
      <c r="L10" s="125"/>
      <c r="M10" s="125"/>
      <c r="N10" s="125"/>
      <c r="O10" s="125"/>
      <c r="P10" s="125"/>
      <c r="Q10" s="125"/>
      <c r="R10" s="125"/>
      <c r="S10" s="125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</row>
    <row r="11" spans="1:56">
      <c r="A11" s="58">
        <v>5</v>
      </c>
      <c r="B11" s="59">
        <v>33.799999999999997</v>
      </c>
      <c r="C11" s="59">
        <v>18.627450980392158</v>
      </c>
      <c r="D11" s="59">
        <v>1.0490196078431371</v>
      </c>
      <c r="E11"/>
      <c r="F11"/>
      <c r="G11"/>
      <c r="H11"/>
      <c r="I11" s="125"/>
      <c r="J11" s="125"/>
      <c r="K11" s="125"/>
      <c r="L11" s="125"/>
      <c r="M11" s="125"/>
      <c r="N11" s="125"/>
      <c r="O11" s="125"/>
      <c r="P11" s="125"/>
      <c r="Q11" s="125"/>
      <c r="R11" s="125"/>
      <c r="S11" s="125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</row>
    <row r="12" spans="1:56">
      <c r="A12" s="58">
        <v>6</v>
      </c>
      <c r="B12" s="59">
        <v>100.5</v>
      </c>
      <c r="C12" s="59">
        <v>17.647058823529413</v>
      </c>
      <c r="D12" s="59">
        <v>2.8127450980392159</v>
      </c>
      <c r="E12"/>
      <c r="F12"/>
      <c r="G12"/>
      <c r="H12"/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</row>
    <row r="13" spans="1:56">
      <c r="A13" s="58">
        <v>7</v>
      </c>
      <c r="B13" s="59">
        <v>16.100000000000001</v>
      </c>
      <c r="C13" s="59">
        <v>19.607843137254903</v>
      </c>
      <c r="D13" s="59">
        <v>0.6</v>
      </c>
      <c r="E13"/>
      <c r="F13"/>
      <c r="G13"/>
      <c r="H13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</row>
    <row r="14" spans="1:56">
      <c r="A14" s="58">
        <v>8</v>
      </c>
      <c r="B14" s="59">
        <v>41.7</v>
      </c>
      <c r="C14" s="59">
        <v>16.666666666666664</v>
      </c>
      <c r="D14" s="59">
        <v>0.96666666666666679</v>
      </c>
      <c r="E14"/>
      <c r="F14"/>
      <c r="G14"/>
      <c r="H14"/>
      <c r="I14" s="126"/>
      <c r="J14" s="126"/>
      <c r="K14" s="126"/>
      <c r="L14" s="126"/>
      <c r="M14" s="126"/>
      <c r="N14" s="126"/>
      <c r="O14" s="126"/>
      <c r="P14" s="126"/>
      <c r="Q14" s="126"/>
      <c r="R14" s="126"/>
      <c r="S14" s="126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</row>
    <row r="15" spans="1:56">
      <c r="A15" s="58">
        <v>9</v>
      </c>
      <c r="B15" s="59">
        <v>67.5</v>
      </c>
      <c r="C15" s="59">
        <v>18.627450980392158</v>
      </c>
      <c r="D15" s="59">
        <v>2.1450980392156862</v>
      </c>
      <c r="E15"/>
      <c r="F15"/>
      <c r="G15"/>
      <c r="H15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</row>
    <row r="16" spans="1:56">
      <c r="A16" s="58">
        <v>10</v>
      </c>
      <c r="B16" s="59">
        <v>22.3</v>
      </c>
      <c r="C16" s="59">
        <v>15.686274509803921</v>
      </c>
      <c r="D16" s="59">
        <v>1.0774509803921566</v>
      </c>
      <c r="E16"/>
      <c r="F16"/>
      <c r="G16"/>
      <c r="H1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</row>
    <row r="17" spans="1:56">
      <c r="A17" s="58">
        <v>11</v>
      </c>
      <c r="B17" s="59">
        <v>59</v>
      </c>
      <c r="C17" s="59">
        <v>8.8235294117647065</v>
      </c>
      <c r="D17" s="59">
        <v>0.74019607843137258</v>
      </c>
      <c r="E17"/>
      <c r="F17"/>
      <c r="G17"/>
      <c r="H17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</row>
    <row r="18" spans="1:56">
      <c r="A18" s="58">
        <v>12</v>
      </c>
      <c r="B18" s="59">
        <v>45.5</v>
      </c>
      <c r="C18" s="59">
        <v>19.607843137254903</v>
      </c>
      <c r="D18" s="59">
        <v>1.2117647058823531</v>
      </c>
      <c r="E18"/>
      <c r="F18"/>
      <c r="G18"/>
      <c r="H18"/>
      <c r="I18" s="126"/>
      <c r="J18" s="126"/>
      <c r="K18" s="126"/>
      <c r="L18" s="126"/>
      <c r="M18" s="126"/>
      <c r="N18" s="126"/>
      <c r="O18" s="126"/>
      <c r="P18" s="126"/>
      <c r="Q18" s="126"/>
      <c r="R18" s="126"/>
      <c r="S18" s="126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</row>
    <row r="19" spans="1:56">
      <c r="A19" s="58">
        <v>13</v>
      </c>
      <c r="B19" s="59">
        <v>30.9</v>
      </c>
      <c r="C19" s="59">
        <v>15.686274509803921</v>
      </c>
      <c r="D19" s="59">
        <v>1.3333333333333333</v>
      </c>
      <c r="E19"/>
      <c r="F19"/>
      <c r="G19"/>
      <c r="H19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</row>
    <row r="20" spans="1:56">
      <c r="A20" s="58">
        <v>14</v>
      </c>
      <c r="B20" s="59">
        <v>9.6999999999999993</v>
      </c>
      <c r="C20" s="59">
        <v>11.76470588235294</v>
      </c>
      <c r="D20" s="59">
        <v>0.37941176470588234</v>
      </c>
      <c r="E20"/>
      <c r="F20"/>
      <c r="G20"/>
      <c r="H20"/>
      <c r="I20" s="126"/>
      <c r="J20" s="126"/>
      <c r="K20" s="126"/>
      <c r="L20" s="126"/>
      <c r="M20" s="126"/>
      <c r="N20" s="126"/>
      <c r="O20" s="126"/>
      <c r="P20" s="126"/>
      <c r="Q20" s="126"/>
      <c r="R20" s="126"/>
      <c r="S20" s="126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</row>
    <row r="21" spans="1:56">
      <c r="A21" s="58">
        <v>15</v>
      </c>
      <c r="B21" s="59">
        <v>27</v>
      </c>
      <c r="C21" s="59">
        <v>18.627450980392158</v>
      </c>
      <c r="D21" s="59">
        <v>0.75098039215686274</v>
      </c>
      <c r="E21"/>
      <c r="F21"/>
      <c r="G21"/>
      <c r="H21"/>
      <c r="I21" s="126"/>
      <c r="J21" s="126"/>
      <c r="K21" s="126"/>
      <c r="L21" s="126"/>
      <c r="M21" s="126"/>
      <c r="N21" s="126"/>
      <c r="O21" s="126"/>
      <c r="P21" s="126"/>
      <c r="Q21" s="126"/>
      <c r="R21" s="126"/>
      <c r="S21" s="126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</row>
    <row r="22" spans="1:56">
      <c r="A22" s="58">
        <v>16</v>
      </c>
      <c r="B22" s="59">
        <v>20.7</v>
      </c>
      <c r="C22" s="59">
        <v>8.8235294117647065</v>
      </c>
      <c r="D22" s="59">
        <v>0.45980392156862743</v>
      </c>
      <c r="E22"/>
      <c r="F22"/>
      <c r="G22"/>
      <c r="H22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</row>
    <row r="23" spans="1:56">
      <c r="A23" s="58">
        <v>17</v>
      </c>
      <c r="B23" s="59">
        <v>13.6</v>
      </c>
      <c r="C23" s="59">
        <v>9.8039215686274517</v>
      </c>
      <c r="D23" s="59">
        <v>0.30784313725490198</v>
      </c>
      <c r="E23"/>
      <c r="F23"/>
      <c r="G23"/>
      <c r="H23"/>
      <c r="I23" s="126"/>
      <c r="J23" s="126"/>
      <c r="K23" s="126"/>
      <c r="L23" s="126"/>
      <c r="M23" s="126"/>
      <c r="N23" s="126"/>
      <c r="O23" s="126"/>
      <c r="P23" s="126"/>
      <c r="Q23" s="126"/>
      <c r="R23" s="126"/>
      <c r="S23" s="126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</row>
    <row r="24" spans="1:56">
      <c r="A24" s="58">
        <v>18</v>
      </c>
      <c r="B24" s="59">
        <v>6</v>
      </c>
      <c r="C24" s="59">
        <v>8.8235294117647065</v>
      </c>
      <c r="D24" s="59">
        <v>0.28823529411764709</v>
      </c>
      <c r="E24"/>
      <c r="F24"/>
      <c r="G24"/>
      <c r="H24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</row>
    <row r="25" spans="1:56">
      <c r="A25" s="58">
        <v>19</v>
      </c>
      <c r="B25" s="59">
        <v>9.1999999999999993</v>
      </c>
      <c r="C25" s="59">
        <v>7.8431372549019605</v>
      </c>
      <c r="D25" s="59">
        <v>0.18235294117647052</v>
      </c>
      <c r="E25"/>
      <c r="F25"/>
      <c r="G25"/>
      <c r="H25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</row>
    <row r="26" spans="1:56">
      <c r="A26" s="58">
        <v>20</v>
      </c>
      <c r="B26" s="59">
        <v>165.8</v>
      </c>
      <c r="C26" s="59">
        <v>12.745098039215685</v>
      </c>
      <c r="D26" s="59">
        <v>2.3196078431372547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</row>
    <row r="27" spans="1:56">
      <c r="A27" s="58">
        <v>21</v>
      </c>
      <c r="B27" s="59">
        <v>32.9</v>
      </c>
      <c r="C27" s="59">
        <v>11.76470588235294</v>
      </c>
      <c r="D27" s="59">
        <v>0.91960784313725497</v>
      </c>
      <c r="E27"/>
      <c r="F27"/>
      <c r="G27"/>
      <c r="H27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</row>
    <row r="28" spans="1:56">
      <c r="A28" s="58">
        <v>22</v>
      </c>
      <c r="B28" s="59">
        <v>18.8</v>
      </c>
      <c r="C28" s="59">
        <v>9.8039215686274517</v>
      </c>
      <c r="D28" s="59">
        <v>0.50196078431372548</v>
      </c>
      <c r="E28"/>
      <c r="F28"/>
      <c r="G28"/>
      <c r="H28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</row>
    <row r="29" spans="1:56">
      <c r="A29" s="58">
        <v>23</v>
      </c>
      <c r="B29" s="59">
        <v>6</v>
      </c>
      <c r="C29" s="59">
        <v>3.9215686274509802</v>
      </c>
      <c r="D29" s="59">
        <v>6.7647058823529407E-2</v>
      </c>
      <c r="E29"/>
      <c r="F29"/>
      <c r="G29"/>
      <c r="H29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</row>
    <row r="30" spans="1:56">
      <c r="A30" s="58">
        <v>24</v>
      </c>
      <c r="B30" s="59">
        <v>23.7</v>
      </c>
      <c r="C30" s="59">
        <v>9.8039215686274517</v>
      </c>
      <c r="D30" s="59">
        <v>0.59215686274509804</v>
      </c>
      <c r="E30"/>
      <c r="F30"/>
      <c r="G30"/>
      <c r="H30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</row>
    <row r="31" spans="1:56">
      <c r="A31" s="58">
        <v>25</v>
      </c>
      <c r="B31" s="59">
        <v>48.9</v>
      </c>
      <c r="C31" s="59">
        <v>8.8235294117647065</v>
      </c>
      <c r="D31" s="59">
        <v>0.84019607843137267</v>
      </c>
      <c r="E31"/>
      <c r="F31"/>
      <c r="G31"/>
      <c r="H31"/>
      <c r="I31" s="126"/>
      <c r="J31" s="126"/>
      <c r="K31" s="126"/>
      <c r="L31" s="126"/>
      <c r="M31" s="126"/>
      <c r="N31" s="126"/>
      <c r="O31" s="126"/>
      <c r="P31" s="126"/>
      <c r="Q31" s="126"/>
      <c r="R31" s="126"/>
      <c r="S31" s="126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</row>
    <row r="32" spans="1:56">
      <c r="A32" s="58">
        <v>26</v>
      </c>
      <c r="B32" s="59">
        <v>33.6</v>
      </c>
      <c r="C32" s="59">
        <v>12.745098039215685</v>
      </c>
      <c r="D32" s="59">
        <v>0.95882352941176463</v>
      </c>
      <c r="E32"/>
      <c r="F32"/>
      <c r="G32"/>
      <c r="H32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</row>
    <row r="33" spans="1:56">
      <c r="A33" s="58">
        <v>27</v>
      </c>
      <c r="B33" s="59">
        <v>22.2</v>
      </c>
      <c r="C33" s="59">
        <v>15.686274509803921</v>
      </c>
      <c r="D33" s="59">
        <v>0.97941176470588232</v>
      </c>
      <c r="E33"/>
      <c r="F33"/>
      <c r="G33"/>
      <c r="H33"/>
      <c r="I33" s="126"/>
      <c r="J33" s="126"/>
      <c r="K33" s="126"/>
      <c r="L33" s="126"/>
      <c r="M33" s="126"/>
      <c r="N33" s="126"/>
      <c r="O33" s="126"/>
      <c r="P33" s="126"/>
      <c r="Q33" s="126"/>
      <c r="R33" s="126"/>
      <c r="S33" s="126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</row>
    <row r="34" spans="1:56">
      <c r="A34" s="58">
        <v>28</v>
      </c>
      <c r="B34" s="59">
        <v>37.299999999999997</v>
      </c>
      <c r="C34" s="59">
        <v>18.627450980392158</v>
      </c>
      <c r="D34" s="59">
        <v>1.3372549019607844</v>
      </c>
      <c r="E34"/>
      <c r="F34"/>
      <c r="G34"/>
      <c r="H34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</row>
    <row r="35" spans="1:56">
      <c r="A35" s="58">
        <v>29</v>
      </c>
      <c r="B35" s="59">
        <v>22.7</v>
      </c>
      <c r="C35" s="59">
        <v>10.784313725490197</v>
      </c>
      <c r="D35" s="59">
        <v>0.71960784313725501</v>
      </c>
      <c r="F35"/>
      <c r="G35"/>
      <c r="H35"/>
      <c r="I35" s="126"/>
      <c r="J35" s="126"/>
      <c r="K35" s="126"/>
      <c r="L35" s="126"/>
      <c r="M35" s="126"/>
      <c r="N35" s="126"/>
      <c r="O35" s="126"/>
      <c r="P35" s="126"/>
      <c r="Q35" s="126"/>
      <c r="R35" s="126"/>
      <c r="S35" s="126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</row>
    <row r="36" spans="1:56">
      <c r="A36" s="58">
        <v>30</v>
      </c>
      <c r="B36" s="59">
        <v>27.4</v>
      </c>
      <c r="C36" s="59">
        <v>14.705882352941178</v>
      </c>
      <c r="D36" s="59">
        <v>1.2990196078431373</v>
      </c>
      <c r="H3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</row>
    <row r="37" spans="1:56">
      <c r="A37" s="58">
        <v>31</v>
      </c>
      <c r="B37" s="59">
        <v>35.1</v>
      </c>
      <c r="C37" s="59">
        <v>17.647058823529413</v>
      </c>
      <c r="D37" s="59">
        <v>0.7686274509803922</v>
      </c>
      <c r="I37" s="126"/>
      <c r="J37" s="126"/>
      <c r="K37" s="126"/>
      <c r="L37" s="126"/>
      <c r="M37" s="126"/>
      <c r="N37" s="126"/>
      <c r="O37" s="126"/>
      <c r="P37" s="126"/>
      <c r="Q37" s="126"/>
      <c r="R37" s="126"/>
      <c r="S37" s="126"/>
    </row>
    <row r="38" spans="1:56">
      <c r="A38" s="61"/>
      <c r="B38" s="62"/>
      <c r="C38" s="61"/>
      <c r="D38" s="61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</row>
    <row r="39" spans="1:56">
      <c r="A39" s="61"/>
      <c r="B39" s="62"/>
      <c r="C39" s="62"/>
      <c r="D39" s="62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</row>
    <row r="40" spans="1:56">
      <c r="B40" s="60"/>
      <c r="C40" s="60"/>
      <c r="D40" s="60"/>
    </row>
    <row r="42" spans="1:56">
      <c r="C42" s="60"/>
    </row>
  </sheetData>
  <mergeCells count="5">
    <mergeCell ref="A1:D4"/>
    <mergeCell ref="I1:S13"/>
    <mergeCell ref="A5:A6"/>
    <mergeCell ref="I14:S25"/>
    <mergeCell ref="I27:S39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sheetPr codeName="Sayfa16"/>
  <dimension ref="A1:BD42"/>
  <sheetViews>
    <sheetView topLeftCell="O15" workbookViewId="0">
      <selection activeCell="C18" sqref="C18"/>
    </sheetView>
  </sheetViews>
  <sheetFormatPr defaultRowHeight="28.5"/>
  <cols>
    <col min="1" max="1" width="19" style="63" bestFit="1" customWidth="1"/>
    <col min="2" max="2" width="22.140625" style="63" bestFit="1" customWidth="1"/>
    <col min="3" max="3" width="23.28515625" style="63" bestFit="1" customWidth="1"/>
    <col min="4" max="4" width="18" style="63" bestFit="1" customWidth="1"/>
    <col min="5" max="5" width="5.5703125" style="26" customWidth="1"/>
    <col min="6" max="6" width="6" style="26" bestFit="1" customWidth="1"/>
    <col min="7" max="7" width="11.140625" style="26" bestFit="1" customWidth="1"/>
    <col min="8" max="8" width="5.140625" style="26" bestFit="1" customWidth="1"/>
    <col min="9" max="9" width="11.140625" style="46" bestFit="1" customWidth="1"/>
    <col min="10" max="10" width="7" style="46" bestFit="1" customWidth="1"/>
    <col min="11" max="11" width="12" style="46" bestFit="1" customWidth="1"/>
    <col min="12" max="12" width="9.140625" style="26"/>
    <col min="13" max="13" width="6" style="26" bestFit="1" customWidth="1"/>
    <col min="14" max="14" width="11.140625" style="26" bestFit="1" customWidth="1"/>
    <col min="15" max="15" width="7" style="46" bestFit="1" customWidth="1"/>
    <col min="16" max="16" width="9.140625" style="46" bestFit="1" customWidth="1"/>
    <col min="17" max="17" width="9.140625" style="26"/>
    <col min="18" max="18" width="6" style="26" bestFit="1" customWidth="1"/>
    <col min="19" max="19" width="9.42578125" style="26" bestFit="1" customWidth="1"/>
    <col min="20" max="20" width="12.42578125" style="46" bestFit="1" customWidth="1"/>
    <col min="21" max="21" width="12.42578125" style="46" customWidth="1"/>
    <col min="22" max="22" width="9.140625" style="26"/>
    <col min="23" max="23" width="7.5703125" style="26" bestFit="1" customWidth="1"/>
    <col min="24" max="24" width="9.42578125" style="26" bestFit="1" customWidth="1"/>
    <col min="25" max="25" width="12.42578125" style="46" bestFit="1" customWidth="1"/>
    <col min="26" max="26" width="12.42578125" style="46" customWidth="1"/>
    <col min="27" max="27" width="9.140625" style="26"/>
    <col min="28" max="28" width="8.5703125" style="26" bestFit="1" customWidth="1"/>
    <col min="29" max="29" width="9.42578125" style="26" bestFit="1" customWidth="1"/>
    <col min="30" max="30" width="12.42578125" style="46" bestFit="1" customWidth="1"/>
    <col min="31" max="31" width="12.42578125" style="46" customWidth="1"/>
    <col min="32" max="32" width="9.140625" style="26"/>
    <col min="33" max="33" width="8" style="26" bestFit="1" customWidth="1"/>
    <col min="34" max="34" width="9.42578125" style="26" bestFit="1" customWidth="1"/>
    <col min="35" max="35" width="12.42578125" style="46" bestFit="1" customWidth="1"/>
    <col min="36" max="36" width="12.42578125" style="46" customWidth="1"/>
    <col min="37" max="37" width="9.140625" style="26"/>
    <col min="38" max="38" width="5.28515625" style="26" bestFit="1" customWidth="1"/>
    <col min="39" max="39" width="9.42578125" style="26" bestFit="1" customWidth="1"/>
    <col min="40" max="40" width="12.42578125" style="46" bestFit="1" customWidth="1"/>
    <col min="41" max="41" width="12.42578125" style="46" customWidth="1"/>
    <col min="42" max="42" width="9.140625" style="26"/>
    <col min="43" max="43" width="5.28515625" style="26" bestFit="1" customWidth="1"/>
    <col min="44" max="44" width="9.42578125" style="26" bestFit="1" customWidth="1"/>
    <col min="45" max="45" width="12.42578125" style="46" bestFit="1" customWidth="1"/>
    <col min="46" max="46" width="12.42578125" style="46" customWidth="1"/>
    <col min="47" max="47" width="9.140625" style="26"/>
    <col min="48" max="48" width="6.140625" style="26" bestFit="1" customWidth="1"/>
    <col min="49" max="49" width="9.42578125" style="26" bestFit="1" customWidth="1"/>
    <col min="50" max="50" width="12.42578125" style="46" bestFit="1" customWidth="1"/>
    <col min="51" max="51" width="12.42578125" style="46" customWidth="1"/>
    <col min="52" max="52" width="9.140625" style="26"/>
    <col min="53" max="53" width="6" style="26" bestFit="1" customWidth="1"/>
    <col min="54" max="54" width="9.42578125" style="26" bestFit="1" customWidth="1"/>
    <col min="55" max="55" width="12.42578125" style="46" bestFit="1" customWidth="1"/>
    <col min="56" max="56" width="9.140625" style="26"/>
  </cols>
  <sheetData>
    <row r="1" spans="1:56" ht="15" customHeight="1">
      <c r="A1" s="127" t="s">
        <v>439</v>
      </c>
      <c r="B1" s="127"/>
      <c r="C1" s="127"/>
      <c r="D1" s="127"/>
      <c r="E1" s="30"/>
      <c r="F1"/>
      <c r="G1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</row>
    <row r="2" spans="1:56" ht="15" customHeight="1">
      <c r="A2" s="127"/>
      <c r="B2" s="127"/>
      <c r="C2" s="127"/>
      <c r="D2" s="127"/>
      <c r="E2"/>
      <c r="F2"/>
      <c r="G2"/>
      <c r="H2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</row>
    <row r="3" spans="1:56" ht="15" customHeight="1">
      <c r="A3" s="127"/>
      <c r="B3" s="127"/>
      <c r="C3" s="127"/>
      <c r="D3" s="127"/>
      <c r="E3"/>
      <c r="F3"/>
      <c r="G3"/>
      <c r="H3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</row>
    <row r="4" spans="1:56" ht="15" customHeight="1">
      <c r="A4" s="128"/>
      <c r="B4" s="128"/>
      <c r="C4" s="128"/>
      <c r="D4" s="128"/>
      <c r="E4"/>
      <c r="F4"/>
      <c r="G4"/>
      <c r="H4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</row>
    <row r="5" spans="1:56">
      <c r="A5" s="129" t="s">
        <v>444</v>
      </c>
      <c r="B5" s="56" t="s">
        <v>423</v>
      </c>
      <c r="C5" s="56" t="s">
        <v>449</v>
      </c>
      <c r="D5" s="57" t="s">
        <v>2</v>
      </c>
      <c r="E5"/>
      <c r="F5"/>
      <c r="G5"/>
      <c r="H5"/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</row>
    <row r="6" spans="1:56">
      <c r="A6" s="130"/>
      <c r="B6" s="56" t="s">
        <v>438</v>
      </c>
      <c r="C6" s="56" t="s">
        <v>437</v>
      </c>
      <c r="D6" s="64" t="s">
        <v>438</v>
      </c>
      <c r="E6"/>
      <c r="F6"/>
      <c r="G6"/>
      <c r="H6"/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</row>
    <row r="7" spans="1:56">
      <c r="A7" s="58">
        <v>1</v>
      </c>
      <c r="B7" s="59">
        <v>29.9</v>
      </c>
      <c r="C7" s="59">
        <v>11.650485436893204</v>
      </c>
      <c r="D7" s="59">
        <v>0.65436893203883506</v>
      </c>
      <c r="E7"/>
      <c r="F7"/>
      <c r="G7"/>
      <c r="H7"/>
      <c r="I7" s="125"/>
      <c r="J7" s="125"/>
      <c r="K7" s="125"/>
      <c r="L7" s="125"/>
      <c r="M7" s="125"/>
      <c r="N7" s="125"/>
      <c r="O7" s="125"/>
      <c r="P7" s="125"/>
      <c r="Q7" s="125"/>
      <c r="R7" s="125"/>
      <c r="S7" s="125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</row>
    <row r="8" spans="1:56">
      <c r="A8" s="58">
        <v>2</v>
      </c>
      <c r="B8" s="59">
        <v>82.1</v>
      </c>
      <c r="C8" s="59">
        <v>12.621359223300971</v>
      </c>
      <c r="D8" s="59">
        <v>1.0631067961165046</v>
      </c>
      <c r="E8"/>
      <c r="F8"/>
      <c r="G8"/>
      <c r="H8"/>
      <c r="I8" s="125"/>
      <c r="J8" s="125"/>
      <c r="K8" s="125"/>
      <c r="L8" s="125"/>
      <c r="M8" s="125"/>
      <c r="N8" s="125"/>
      <c r="O8" s="125"/>
      <c r="P8" s="125"/>
      <c r="Q8" s="125"/>
      <c r="R8" s="125"/>
      <c r="S8" s="125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</row>
    <row r="9" spans="1:56">
      <c r="A9" s="58">
        <v>3</v>
      </c>
      <c r="B9" s="59">
        <v>24.5</v>
      </c>
      <c r="C9" s="59">
        <v>13.592233009708737</v>
      </c>
      <c r="D9" s="59">
        <v>0.78737864077669895</v>
      </c>
      <c r="E9"/>
      <c r="F9"/>
      <c r="G9"/>
      <c r="H9"/>
      <c r="I9" s="125"/>
      <c r="J9" s="125"/>
      <c r="K9" s="125"/>
      <c r="L9" s="125"/>
      <c r="M9" s="125"/>
      <c r="N9" s="125"/>
      <c r="O9" s="125"/>
      <c r="P9" s="125"/>
      <c r="Q9" s="125"/>
      <c r="R9" s="125"/>
      <c r="S9" s="125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</row>
    <row r="10" spans="1:56">
      <c r="A10" s="58">
        <v>4</v>
      </c>
      <c r="B10" s="59">
        <v>13.9</v>
      </c>
      <c r="C10" s="59">
        <v>14.563106796116504</v>
      </c>
      <c r="D10" s="59">
        <v>0.56213592233009713</v>
      </c>
      <c r="E10"/>
      <c r="F10"/>
      <c r="G10"/>
      <c r="H10"/>
      <c r="I10" s="125"/>
      <c r="J10" s="125"/>
      <c r="K10" s="125"/>
      <c r="L10" s="125"/>
      <c r="M10" s="125"/>
      <c r="N10" s="125"/>
      <c r="O10" s="125"/>
      <c r="P10" s="125"/>
      <c r="Q10" s="125"/>
      <c r="R10" s="125"/>
      <c r="S10" s="125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</row>
    <row r="11" spans="1:56">
      <c r="A11" s="58">
        <v>5</v>
      </c>
      <c r="B11" s="59">
        <v>35</v>
      </c>
      <c r="C11" s="59">
        <v>15.53398058252427</v>
      </c>
      <c r="D11" s="59">
        <v>0.93106796116504831</v>
      </c>
      <c r="E11"/>
      <c r="F11"/>
      <c r="G11"/>
      <c r="H11"/>
      <c r="I11" s="125"/>
      <c r="J11" s="125"/>
      <c r="K11" s="125"/>
      <c r="L11" s="125"/>
      <c r="M11" s="125"/>
      <c r="N11" s="125"/>
      <c r="O11" s="125"/>
      <c r="P11" s="125"/>
      <c r="Q11" s="125"/>
      <c r="R11" s="125"/>
      <c r="S11" s="125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</row>
    <row r="12" spans="1:56">
      <c r="A12" s="58">
        <v>6</v>
      </c>
      <c r="B12" s="59">
        <v>32.700000000000003</v>
      </c>
      <c r="C12" s="59">
        <v>12.621359223300971</v>
      </c>
      <c r="D12" s="59">
        <v>0.77184466019417475</v>
      </c>
      <c r="E12"/>
      <c r="F12"/>
      <c r="G12"/>
      <c r="H12"/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</row>
    <row r="13" spans="1:56">
      <c r="A13" s="58">
        <v>7</v>
      </c>
      <c r="B13" s="59">
        <v>23.7</v>
      </c>
      <c r="C13" s="59">
        <v>18.446601941747574</v>
      </c>
      <c r="D13" s="59">
        <v>0.67864077669902922</v>
      </c>
      <c r="E13"/>
      <c r="F13"/>
      <c r="G13"/>
      <c r="H13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</row>
    <row r="14" spans="1:56">
      <c r="A14" s="58">
        <v>8</v>
      </c>
      <c r="B14" s="59">
        <v>88.7</v>
      </c>
      <c r="C14" s="59">
        <v>13.592233009708737</v>
      </c>
      <c r="D14" s="59">
        <v>1.6077669902912619</v>
      </c>
      <c r="E14"/>
      <c r="F14"/>
      <c r="G14"/>
      <c r="H14"/>
      <c r="I14" s="126"/>
      <c r="J14" s="126"/>
      <c r="K14" s="126"/>
      <c r="L14" s="126"/>
      <c r="M14" s="126"/>
      <c r="N14" s="126"/>
      <c r="O14" s="126"/>
      <c r="P14" s="126"/>
      <c r="Q14" s="126"/>
      <c r="R14" s="126"/>
      <c r="S14" s="126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</row>
    <row r="15" spans="1:56">
      <c r="A15" s="58">
        <v>9</v>
      </c>
      <c r="B15" s="59">
        <v>8.8000000000000007</v>
      </c>
      <c r="C15" s="59">
        <v>17.475728155339805</v>
      </c>
      <c r="D15" s="59">
        <v>0.43398058252427196</v>
      </c>
      <c r="E15"/>
      <c r="F15"/>
      <c r="G15"/>
      <c r="H15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</row>
    <row r="16" spans="1:56">
      <c r="A16" s="58">
        <v>10</v>
      </c>
      <c r="B16" s="59">
        <v>30.9</v>
      </c>
      <c r="C16" s="59">
        <v>21.359223300970871</v>
      </c>
      <c r="D16" s="59">
        <v>1.4922330097087377</v>
      </c>
      <c r="E16"/>
      <c r="F16"/>
      <c r="G16"/>
      <c r="H1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</row>
    <row r="17" spans="1:56">
      <c r="A17" s="58">
        <v>11</v>
      </c>
      <c r="B17" s="59">
        <v>77.5</v>
      </c>
      <c r="C17" s="59">
        <v>16.50485436893204</v>
      </c>
      <c r="D17" s="59">
        <v>2.1951456310679616</v>
      </c>
      <c r="E17"/>
      <c r="F17"/>
      <c r="G17"/>
      <c r="H17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</row>
    <row r="18" spans="1:56">
      <c r="A18" s="58">
        <v>12</v>
      </c>
      <c r="B18" s="59">
        <v>38.9</v>
      </c>
      <c r="C18" s="59">
        <v>14.563106796116504</v>
      </c>
      <c r="D18" s="59">
        <v>1.1990291262135919</v>
      </c>
      <c r="E18"/>
      <c r="F18"/>
      <c r="G18"/>
      <c r="H18"/>
      <c r="I18" s="126"/>
      <c r="J18" s="126"/>
      <c r="K18" s="126"/>
      <c r="L18" s="126"/>
      <c r="M18" s="126"/>
      <c r="N18" s="126"/>
      <c r="O18" s="126"/>
      <c r="P18" s="126"/>
      <c r="Q18" s="126"/>
      <c r="R18" s="126"/>
      <c r="S18" s="126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</row>
    <row r="19" spans="1:56">
      <c r="A19" s="58">
        <v>13</v>
      </c>
      <c r="B19" s="59">
        <v>49.5</v>
      </c>
      <c r="C19" s="59">
        <v>17.475728155339805</v>
      </c>
      <c r="D19" s="59">
        <v>1.6300970873786411</v>
      </c>
      <c r="E19"/>
      <c r="F19"/>
      <c r="G19"/>
      <c r="H19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</row>
    <row r="20" spans="1:56">
      <c r="A20" s="58">
        <v>14</v>
      </c>
      <c r="B20" s="59">
        <v>84</v>
      </c>
      <c r="C20" s="59">
        <v>12.621359223300971</v>
      </c>
      <c r="D20" s="59">
        <v>1.2776699029126213</v>
      </c>
      <c r="E20"/>
      <c r="F20"/>
      <c r="G20"/>
      <c r="H20"/>
      <c r="I20" s="126"/>
      <c r="J20" s="126"/>
      <c r="K20" s="126"/>
      <c r="L20" s="126"/>
      <c r="M20" s="126"/>
      <c r="N20" s="126"/>
      <c r="O20" s="126"/>
      <c r="P20" s="126"/>
      <c r="Q20" s="126"/>
      <c r="R20" s="126"/>
      <c r="S20" s="126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</row>
    <row r="21" spans="1:56">
      <c r="A21" s="58">
        <v>15</v>
      </c>
      <c r="B21" s="59">
        <v>2.8</v>
      </c>
      <c r="C21" s="59">
        <v>12.621359223300971</v>
      </c>
      <c r="D21" s="59">
        <v>0.1174757281553398</v>
      </c>
      <c r="E21"/>
      <c r="F21"/>
      <c r="G21"/>
      <c r="H21"/>
      <c r="I21" s="126"/>
      <c r="J21" s="126"/>
      <c r="K21" s="126"/>
      <c r="L21" s="126"/>
      <c r="M21" s="126"/>
      <c r="N21" s="126"/>
      <c r="O21" s="126"/>
      <c r="P21" s="126"/>
      <c r="Q21" s="126"/>
      <c r="R21" s="126"/>
      <c r="S21" s="126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</row>
    <row r="22" spans="1:56">
      <c r="A22" s="58">
        <v>16</v>
      </c>
      <c r="B22" s="59">
        <v>41.6</v>
      </c>
      <c r="C22" s="59">
        <v>13.592233009708737</v>
      </c>
      <c r="D22" s="59">
        <v>0.64174757281553396</v>
      </c>
      <c r="E22"/>
      <c r="F22"/>
      <c r="G22"/>
      <c r="H22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</row>
    <row r="23" spans="1:56">
      <c r="A23" s="58">
        <v>17</v>
      </c>
      <c r="B23" s="59">
        <v>56.3</v>
      </c>
      <c r="C23" s="59">
        <v>13.592233009708737</v>
      </c>
      <c r="D23" s="59">
        <v>0.99126213592233015</v>
      </c>
      <c r="E23"/>
      <c r="F23"/>
      <c r="G23"/>
      <c r="H23"/>
      <c r="I23" s="126"/>
      <c r="J23" s="126"/>
      <c r="K23" s="126"/>
      <c r="L23" s="126"/>
      <c r="M23" s="126"/>
      <c r="N23" s="126"/>
      <c r="O23" s="126"/>
      <c r="P23" s="126"/>
      <c r="Q23" s="126"/>
      <c r="R23" s="126"/>
      <c r="S23" s="126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</row>
    <row r="24" spans="1:56">
      <c r="A24" s="58">
        <v>18</v>
      </c>
      <c r="B24" s="59">
        <v>43.8</v>
      </c>
      <c r="C24" s="59">
        <v>10.679611650485436</v>
      </c>
      <c r="D24" s="59">
        <v>0.81747572815533986</v>
      </c>
      <c r="E24"/>
      <c r="F24"/>
      <c r="G24"/>
      <c r="H24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</row>
    <row r="25" spans="1:56">
      <c r="A25" s="58">
        <v>19</v>
      </c>
      <c r="B25" s="59">
        <v>47</v>
      </c>
      <c r="C25" s="59">
        <v>13.592233009708737</v>
      </c>
      <c r="D25" s="59">
        <v>1.5689320388349515</v>
      </c>
      <c r="E25"/>
      <c r="F25"/>
      <c r="G25"/>
      <c r="H25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</row>
    <row r="26" spans="1:56">
      <c r="A26" s="58">
        <v>20</v>
      </c>
      <c r="B26" s="59">
        <v>49</v>
      </c>
      <c r="C26" s="59">
        <v>17.475728155339805</v>
      </c>
      <c r="D26" s="59">
        <v>1.4446601941747574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</row>
    <row r="27" spans="1:56">
      <c r="A27" s="58">
        <v>21</v>
      </c>
      <c r="B27" s="59">
        <v>56</v>
      </c>
      <c r="C27" s="59">
        <v>19.417475728155338</v>
      </c>
      <c r="D27" s="59">
        <v>1.3563106796116504</v>
      </c>
      <c r="E27"/>
      <c r="F27"/>
      <c r="G27"/>
      <c r="H27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</row>
    <row r="28" spans="1:56">
      <c r="A28" s="58">
        <v>22</v>
      </c>
      <c r="B28" s="59">
        <v>21</v>
      </c>
      <c r="C28" s="59">
        <v>18.446601941747574</v>
      </c>
      <c r="D28" s="59">
        <v>0.83495145631067957</v>
      </c>
      <c r="E28"/>
      <c r="F28"/>
      <c r="G28"/>
      <c r="H28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</row>
    <row r="29" spans="1:56">
      <c r="A29" s="58">
        <v>23</v>
      </c>
      <c r="B29" s="59">
        <v>43</v>
      </c>
      <c r="C29" s="59">
        <v>15.53398058252427</v>
      </c>
      <c r="D29" s="59">
        <v>1.383495145631068</v>
      </c>
      <c r="E29"/>
      <c r="F29"/>
      <c r="G29"/>
      <c r="H29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</row>
    <row r="30" spans="1:56">
      <c r="A30" s="58">
        <v>24</v>
      </c>
      <c r="B30" s="59">
        <v>33.700000000000003</v>
      </c>
      <c r="C30" s="59">
        <v>17.475728155339805</v>
      </c>
      <c r="D30" s="59">
        <v>1.0077669902912623</v>
      </c>
      <c r="E30"/>
      <c r="F30"/>
      <c r="G30"/>
      <c r="H30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</row>
    <row r="31" spans="1:56">
      <c r="A31" s="58">
        <v>25</v>
      </c>
      <c r="B31" s="59">
        <v>85.4</v>
      </c>
      <c r="C31" s="59">
        <v>17.475728155339805</v>
      </c>
      <c r="D31" s="59">
        <v>1.9058252427184468</v>
      </c>
      <c r="E31"/>
      <c r="F31"/>
      <c r="G31"/>
      <c r="H31"/>
      <c r="I31" s="126"/>
      <c r="J31" s="126"/>
      <c r="K31" s="126"/>
      <c r="L31" s="126"/>
      <c r="M31" s="126"/>
      <c r="N31" s="126"/>
      <c r="O31" s="126"/>
      <c r="P31" s="126"/>
      <c r="Q31" s="126"/>
      <c r="R31" s="126"/>
      <c r="S31" s="126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</row>
    <row r="32" spans="1:56">
      <c r="A32" s="58">
        <v>26</v>
      </c>
      <c r="B32" s="59">
        <v>15.4</v>
      </c>
      <c r="C32" s="59">
        <v>15.53398058252427</v>
      </c>
      <c r="D32" s="59">
        <v>0.63495145631067962</v>
      </c>
      <c r="E32"/>
      <c r="F32"/>
      <c r="G32"/>
      <c r="H32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</row>
    <row r="33" spans="1:56">
      <c r="A33" s="58">
        <v>27</v>
      </c>
      <c r="B33" s="59">
        <v>44.2</v>
      </c>
      <c r="C33" s="59">
        <v>18.446601941747574</v>
      </c>
      <c r="D33" s="59">
        <v>2.1543689320388348</v>
      </c>
      <c r="E33"/>
      <c r="F33"/>
      <c r="G33"/>
      <c r="H33"/>
      <c r="I33" s="126"/>
      <c r="J33" s="126"/>
      <c r="K33" s="126"/>
      <c r="L33" s="126"/>
      <c r="M33" s="126"/>
      <c r="N33" s="126"/>
      <c r="O33" s="126"/>
      <c r="P33" s="126"/>
      <c r="Q33" s="126"/>
      <c r="R33" s="126"/>
      <c r="S33" s="126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</row>
    <row r="34" spans="1:56">
      <c r="A34" s="58">
        <v>28</v>
      </c>
      <c r="B34" s="59">
        <v>13.3</v>
      </c>
      <c r="C34" s="59">
        <v>17.475728155339805</v>
      </c>
      <c r="D34" s="59">
        <v>0.63980582524271845</v>
      </c>
      <c r="E34"/>
      <c r="F34"/>
      <c r="G34"/>
      <c r="H34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</row>
    <row r="35" spans="1:56">
      <c r="A35" s="58">
        <v>29</v>
      </c>
      <c r="B35" s="59">
        <v>42.1</v>
      </c>
      <c r="C35" s="59">
        <v>22.330097087378643</v>
      </c>
      <c r="D35" s="59">
        <v>2.4300970873786407</v>
      </c>
      <c r="F35"/>
      <c r="G35"/>
      <c r="H35"/>
      <c r="I35" s="126"/>
      <c r="J35" s="126"/>
      <c r="K35" s="126"/>
      <c r="L35" s="126"/>
      <c r="M35" s="126"/>
      <c r="N35" s="126"/>
      <c r="O35" s="126"/>
      <c r="P35" s="126"/>
      <c r="Q35" s="126"/>
      <c r="R35" s="126"/>
      <c r="S35" s="126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</row>
    <row r="36" spans="1:56">
      <c r="A36" s="58">
        <v>30</v>
      </c>
      <c r="B36" s="59">
        <v>32.299999999999997</v>
      </c>
      <c r="C36" s="59">
        <v>21.359223300970871</v>
      </c>
      <c r="D36" s="59">
        <v>1.2922330097087378</v>
      </c>
      <c r="H3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</row>
    <row r="37" spans="1:56">
      <c r="A37" s="58">
        <v>31</v>
      </c>
      <c r="B37" s="59">
        <v>42.9</v>
      </c>
      <c r="C37" s="59">
        <v>19.417475728155338</v>
      </c>
      <c r="D37" s="59">
        <v>1.1893203883495143</v>
      </c>
      <c r="I37" s="126"/>
      <c r="J37" s="126"/>
      <c r="K37" s="126"/>
      <c r="L37" s="126"/>
      <c r="M37" s="126"/>
      <c r="N37" s="126"/>
      <c r="O37" s="126"/>
      <c r="P37" s="126"/>
      <c r="Q37" s="126"/>
      <c r="R37" s="126"/>
      <c r="S37" s="126"/>
    </row>
    <row r="38" spans="1:56">
      <c r="A38" s="61"/>
      <c r="B38" s="62"/>
      <c r="C38" s="61"/>
      <c r="D38" s="61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</row>
    <row r="39" spans="1:56">
      <c r="A39" s="61"/>
      <c r="B39" s="62"/>
      <c r="C39" s="62"/>
      <c r="D39" s="62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</row>
    <row r="40" spans="1:56">
      <c r="B40" s="60"/>
      <c r="C40" s="60"/>
      <c r="D40" s="60"/>
    </row>
    <row r="42" spans="1:56">
      <c r="C42" s="60"/>
    </row>
  </sheetData>
  <mergeCells count="5">
    <mergeCell ref="A1:D4"/>
    <mergeCell ref="I1:S13"/>
    <mergeCell ref="A5:A6"/>
    <mergeCell ref="I14:S25"/>
    <mergeCell ref="I27:S39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sheetPr codeName="Sayfa17"/>
  <dimension ref="A1:BD42"/>
  <sheetViews>
    <sheetView topLeftCell="O15" workbookViewId="0">
      <selection activeCell="C18" sqref="C18"/>
    </sheetView>
  </sheetViews>
  <sheetFormatPr defaultRowHeight="28.5"/>
  <cols>
    <col min="1" max="1" width="12.85546875" style="63" bestFit="1" customWidth="1"/>
    <col min="2" max="2" width="22.140625" style="63" bestFit="1" customWidth="1"/>
    <col min="3" max="3" width="23.28515625" style="63" bestFit="1" customWidth="1"/>
    <col min="4" max="4" width="18" style="63" bestFit="1" customWidth="1"/>
    <col min="5" max="5" width="5.5703125" style="26" customWidth="1"/>
    <col min="6" max="6" width="6" style="26" bestFit="1" customWidth="1"/>
    <col min="7" max="7" width="11.140625" style="26" bestFit="1" customWidth="1"/>
    <col min="8" max="8" width="5.140625" style="26" bestFit="1" customWidth="1"/>
    <col min="9" max="9" width="11.140625" style="46" bestFit="1" customWidth="1"/>
    <col min="10" max="10" width="7" style="46" bestFit="1" customWidth="1"/>
    <col min="11" max="11" width="12" style="46" bestFit="1" customWidth="1"/>
    <col min="12" max="12" width="9.140625" style="26"/>
    <col min="13" max="13" width="6" style="26" bestFit="1" customWidth="1"/>
    <col min="14" max="14" width="11.140625" style="26" bestFit="1" customWidth="1"/>
    <col min="15" max="15" width="7" style="46" bestFit="1" customWidth="1"/>
    <col min="16" max="16" width="9.140625" style="46" bestFit="1" customWidth="1"/>
    <col min="17" max="17" width="9.140625" style="26"/>
    <col min="18" max="18" width="6" style="26" bestFit="1" customWidth="1"/>
    <col min="19" max="19" width="9.42578125" style="26" bestFit="1" customWidth="1"/>
    <col min="20" max="20" width="12.42578125" style="46" bestFit="1" customWidth="1"/>
    <col min="21" max="21" width="12.42578125" style="46" customWidth="1"/>
    <col min="22" max="22" width="9.140625" style="26"/>
    <col min="23" max="23" width="7.5703125" style="26" bestFit="1" customWidth="1"/>
    <col min="24" max="24" width="9.42578125" style="26" bestFit="1" customWidth="1"/>
    <col min="25" max="25" width="12.42578125" style="46" bestFit="1" customWidth="1"/>
    <col min="26" max="26" width="12.42578125" style="46" customWidth="1"/>
    <col min="27" max="27" width="9.140625" style="26"/>
    <col min="28" max="28" width="8.5703125" style="26" bestFit="1" customWidth="1"/>
    <col min="29" max="29" width="9.42578125" style="26" bestFit="1" customWidth="1"/>
    <col min="30" max="30" width="12.42578125" style="46" bestFit="1" customWidth="1"/>
    <col min="31" max="31" width="12.42578125" style="46" customWidth="1"/>
    <col min="32" max="32" width="9.140625" style="26"/>
    <col min="33" max="33" width="8" style="26" bestFit="1" customWidth="1"/>
    <col min="34" max="34" width="9.42578125" style="26" bestFit="1" customWidth="1"/>
    <col min="35" max="35" width="12.42578125" style="46" bestFit="1" customWidth="1"/>
    <col min="36" max="36" width="12.42578125" style="46" customWidth="1"/>
    <col min="37" max="37" width="9.140625" style="26"/>
    <col min="38" max="38" width="5.28515625" style="26" bestFit="1" customWidth="1"/>
    <col min="39" max="39" width="9.42578125" style="26" bestFit="1" customWidth="1"/>
    <col min="40" max="40" width="12.42578125" style="46" bestFit="1" customWidth="1"/>
    <col min="41" max="41" width="12.42578125" style="46" customWidth="1"/>
    <col min="42" max="42" width="9.140625" style="26"/>
    <col min="43" max="43" width="5.28515625" style="26" bestFit="1" customWidth="1"/>
    <col min="44" max="44" width="9.42578125" style="26" bestFit="1" customWidth="1"/>
    <col min="45" max="45" width="12.42578125" style="46" bestFit="1" customWidth="1"/>
    <col min="46" max="46" width="12.42578125" style="46" customWidth="1"/>
    <col min="47" max="47" width="9.140625" style="26"/>
    <col min="48" max="48" width="6.140625" style="26" bestFit="1" customWidth="1"/>
    <col min="49" max="49" width="9.42578125" style="26" bestFit="1" customWidth="1"/>
    <col min="50" max="50" width="12.42578125" style="46" bestFit="1" customWidth="1"/>
    <col min="51" max="51" width="12.42578125" style="46" customWidth="1"/>
    <col min="52" max="52" width="9.140625" style="26"/>
    <col min="53" max="53" width="6" style="26" bestFit="1" customWidth="1"/>
    <col min="54" max="54" width="9.42578125" style="26" bestFit="1" customWidth="1"/>
    <col min="55" max="55" width="12.42578125" style="46" bestFit="1" customWidth="1"/>
    <col min="56" max="56" width="9.140625" style="26"/>
  </cols>
  <sheetData>
    <row r="1" spans="1:56" ht="15" customHeight="1">
      <c r="A1" s="127" t="s">
        <v>439</v>
      </c>
      <c r="B1" s="127"/>
      <c r="C1" s="127"/>
      <c r="D1" s="127"/>
      <c r="E1" s="30"/>
      <c r="F1"/>
      <c r="G1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</row>
    <row r="2" spans="1:56" ht="15" customHeight="1">
      <c r="A2" s="127"/>
      <c r="B2" s="127"/>
      <c r="C2" s="127"/>
      <c r="D2" s="127"/>
      <c r="E2"/>
      <c r="F2"/>
      <c r="G2"/>
      <c r="H2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</row>
    <row r="3" spans="1:56" ht="15" customHeight="1">
      <c r="A3" s="127"/>
      <c r="B3" s="127"/>
      <c r="C3" s="127"/>
      <c r="D3" s="127"/>
      <c r="E3"/>
      <c r="F3"/>
      <c r="G3"/>
      <c r="H3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</row>
    <row r="4" spans="1:56" ht="15" customHeight="1">
      <c r="A4" s="128"/>
      <c r="B4" s="128"/>
      <c r="C4" s="128"/>
      <c r="D4" s="128"/>
      <c r="E4"/>
      <c r="F4"/>
      <c r="G4"/>
      <c r="H4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</row>
    <row r="5" spans="1:56">
      <c r="A5" s="129" t="s">
        <v>445</v>
      </c>
      <c r="B5" s="56" t="s">
        <v>423</v>
      </c>
      <c r="C5" s="56" t="s">
        <v>449</v>
      </c>
      <c r="D5" s="57" t="s">
        <v>2</v>
      </c>
      <c r="E5"/>
      <c r="F5"/>
      <c r="G5"/>
      <c r="H5"/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</row>
    <row r="6" spans="1:56">
      <c r="A6" s="130"/>
      <c r="B6" s="56" t="s">
        <v>438</v>
      </c>
      <c r="C6" s="56" t="s">
        <v>437</v>
      </c>
      <c r="D6" s="64" t="s">
        <v>438</v>
      </c>
      <c r="E6"/>
      <c r="F6"/>
      <c r="G6"/>
      <c r="H6"/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</row>
    <row r="7" spans="1:56">
      <c r="A7" s="58">
        <v>1</v>
      </c>
      <c r="B7" s="59">
        <v>37.799999999999997</v>
      </c>
      <c r="C7" s="59">
        <v>38.834951456310677</v>
      </c>
      <c r="D7" s="59">
        <v>3.119417475728155</v>
      </c>
      <c r="E7"/>
      <c r="F7"/>
      <c r="G7"/>
      <c r="H7"/>
      <c r="I7" s="125"/>
      <c r="J7" s="125"/>
      <c r="K7" s="125"/>
      <c r="L7" s="125"/>
      <c r="M7" s="125"/>
      <c r="N7" s="125"/>
      <c r="O7" s="125"/>
      <c r="P7" s="125"/>
      <c r="Q7" s="125"/>
      <c r="R7" s="125"/>
      <c r="S7" s="125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</row>
    <row r="8" spans="1:56">
      <c r="A8" s="58">
        <v>2</v>
      </c>
      <c r="B8" s="59">
        <v>32.9</v>
      </c>
      <c r="C8" s="59">
        <v>33.009708737864081</v>
      </c>
      <c r="D8" s="59">
        <v>2.1271844660194175</v>
      </c>
      <c r="E8"/>
      <c r="F8"/>
      <c r="G8"/>
      <c r="H8"/>
      <c r="I8" s="125"/>
      <c r="J8" s="125"/>
      <c r="K8" s="125"/>
      <c r="L8" s="125"/>
      <c r="M8" s="125"/>
      <c r="N8" s="125"/>
      <c r="O8" s="125"/>
      <c r="P8" s="125"/>
      <c r="Q8" s="125"/>
      <c r="R8" s="125"/>
      <c r="S8" s="125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</row>
    <row r="9" spans="1:56">
      <c r="A9" s="58">
        <v>3</v>
      </c>
      <c r="B9" s="59">
        <v>37</v>
      </c>
      <c r="C9" s="59">
        <v>32.038834951456316</v>
      </c>
      <c r="D9" s="59">
        <v>2.1970873786407772</v>
      </c>
      <c r="E9"/>
      <c r="F9"/>
      <c r="G9"/>
      <c r="H9"/>
      <c r="I9" s="125"/>
      <c r="J9" s="125"/>
      <c r="K9" s="125"/>
      <c r="L9" s="125"/>
      <c r="M9" s="125"/>
      <c r="N9" s="125"/>
      <c r="O9" s="125"/>
      <c r="P9" s="125"/>
      <c r="Q9" s="125"/>
      <c r="R9" s="125"/>
      <c r="S9" s="125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</row>
    <row r="10" spans="1:56">
      <c r="A10" s="58">
        <v>4</v>
      </c>
      <c r="B10" s="59">
        <v>23.7</v>
      </c>
      <c r="C10" s="59">
        <v>27.184466019417474</v>
      </c>
      <c r="D10" s="59">
        <v>1.480582524271844</v>
      </c>
      <c r="E10"/>
      <c r="F10"/>
      <c r="G10"/>
      <c r="H10"/>
      <c r="I10" s="125"/>
      <c r="J10" s="125"/>
      <c r="K10" s="125"/>
      <c r="L10" s="125"/>
      <c r="M10" s="125"/>
      <c r="N10" s="125"/>
      <c r="O10" s="125"/>
      <c r="P10" s="125"/>
      <c r="Q10" s="125"/>
      <c r="R10" s="125"/>
      <c r="S10" s="125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</row>
    <row r="11" spans="1:56">
      <c r="A11" s="58">
        <v>5</v>
      </c>
      <c r="B11" s="59">
        <v>19.8</v>
      </c>
      <c r="C11" s="59">
        <v>28.155339805825243</v>
      </c>
      <c r="D11" s="59">
        <v>1.6611650485436891</v>
      </c>
      <c r="E11"/>
      <c r="F11"/>
      <c r="G11"/>
      <c r="H11"/>
      <c r="I11" s="125"/>
      <c r="J11" s="125"/>
      <c r="K11" s="125"/>
      <c r="L11" s="125"/>
      <c r="M11" s="125"/>
      <c r="N11" s="125"/>
      <c r="O11" s="125"/>
      <c r="P11" s="125"/>
      <c r="Q11" s="125"/>
      <c r="R11" s="125"/>
      <c r="S11" s="125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</row>
    <row r="12" spans="1:56">
      <c r="A12" s="58">
        <v>6</v>
      </c>
      <c r="B12" s="59">
        <v>66.400000000000006</v>
      </c>
      <c r="C12" s="59">
        <v>31.067961165048541</v>
      </c>
      <c r="D12" s="59">
        <v>3.5485436893203883</v>
      </c>
      <c r="E12"/>
      <c r="F12"/>
      <c r="G12"/>
      <c r="H12"/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</row>
    <row r="13" spans="1:56">
      <c r="A13" s="58">
        <v>7</v>
      </c>
      <c r="B13" s="59">
        <v>80.099999999999994</v>
      </c>
      <c r="C13" s="59">
        <v>33.980582524271846</v>
      </c>
      <c r="D13" s="59">
        <v>4.272815533980582</v>
      </c>
      <c r="E13"/>
      <c r="F13"/>
      <c r="G13"/>
      <c r="H13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</row>
    <row r="14" spans="1:56">
      <c r="A14" s="58">
        <v>8</v>
      </c>
      <c r="B14" s="59">
        <v>76.400000000000006</v>
      </c>
      <c r="C14" s="59">
        <v>29.126213592233007</v>
      </c>
      <c r="D14" s="59">
        <v>3.330097087378642</v>
      </c>
      <c r="E14"/>
      <c r="F14"/>
      <c r="G14"/>
      <c r="H14"/>
      <c r="I14" s="126"/>
      <c r="J14" s="126"/>
      <c r="K14" s="126"/>
      <c r="L14" s="126"/>
      <c r="M14" s="126"/>
      <c r="N14" s="126"/>
      <c r="O14" s="126"/>
      <c r="P14" s="126"/>
      <c r="Q14" s="126"/>
      <c r="R14" s="126"/>
      <c r="S14" s="126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</row>
    <row r="15" spans="1:56">
      <c r="A15" s="58">
        <v>9</v>
      </c>
      <c r="B15" s="59">
        <v>78.2</v>
      </c>
      <c r="C15" s="59">
        <v>21.359223300970871</v>
      </c>
      <c r="D15" s="59">
        <v>1.4533980582524273</v>
      </c>
      <c r="E15"/>
      <c r="F15"/>
      <c r="G15"/>
      <c r="H15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</row>
    <row r="16" spans="1:56">
      <c r="A16" s="58">
        <v>10</v>
      </c>
      <c r="B16" s="59">
        <v>123</v>
      </c>
      <c r="C16" s="59">
        <v>27.184466019417474</v>
      </c>
      <c r="D16" s="59">
        <v>4.4902912621359228</v>
      </c>
      <c r="E16"/>
      <c r="F16"/>
      <c r="G16"/>
      <c r="H1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</row>
    <row r="17" spans="1:56">
      <c r="A17" s="58">
        <v>11</v>
      </c>
      <c r="B17" s="59">
        <v>27</v>
      </c>
      <c r="C17" s="59">
        <v>28.155339805825243</v>
      </c>
      <c r="D17" s="59">
        <v>1.6019417475728153</v>
      </c>
      <c r="E17"/>
      <c r="F17"/>
      <c r="G17"/>
      <c r="H17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</row>
    <row r="18" spans="1:56">
      <c r="A18" s="58">
        <v>12</v>
      </c>
      <c r="B18" s="59">
        <v>30.9</v>
      </c>
      <c r="C18" s="59">
        <v>25.242718446601941</v>
      </c>
      <c r="D18" s="59">
        <v>1.2747572815533978</v>
      </c>
      <c r="E18"/>
      <c r="F18"/>
      <c r="G18"/>
      <c r="H18"/>
      <c r="I18" s="126"/>
      <c r="J18" s="126"/>
      <c r="K18" s="126"/>
      <c r="L18" s="126"/>
      <c r="M18" s="126"/>
      <c r="N18" s="126"/>
      <c r="O18" s="126"/>
      <c r="P18" s="126"/>
      <c r="Q18" s="126"/>
      <c r="R18" s="126"/>
      <c r="S18" s="126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</row>
    <row r="19" spans="1:56">
      <c r="A19" s="58">
        <v>13</v>
      </c>
      <c r="B19" s="59">
        <v>23.8</v>
      </c>
      <c r="C19" s="59">
        <v>26.21359223300971</v>
      </c>
      <c r="D19" s="59">
        <v>1.4213592233009706</v>
      </c>
      <c r="E19"/>
      <c r="F19"/>
      <c r="G19"/>
      <c r="H19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</row>
    <row r="20" spans="1:56">
      <c r="A20" s="58">
        <v>14</v>
      </c>
      <c r="B20" s="59">
        <v>77.8</v>
      </c>
      <c r="C20" s="59">
        <v>28.155339805825243</v>
      </c>
      <c r="D20" s="59">
        <v>3.055339805825243</v>
      </c>
      <c r="E20"/>
      <c r="F20"/>
      <c r="G20"/>
      <c r="H20"/>
      <c r="I20" s="126"/>
      <c r="J20" s="126"/>
      <c r="K20" s="126"/>
      <c r="L20" s="126"/>
      <c r="M20" s="126"/>
      <c r="N20" s="126"/>
      <c r="O20" s="126"/>
      <c r="P20" s="126"/>
      <c r="Q20" s="126"/>
      <c r="R20" s="126"/>
      <c r="S20" s="126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</row>
    <row r="21" spans="1:56">
      <c r="A21" s="58">
        <v>15</v>
      </c>
      <c r="B21" s="59">
        <v>79.900000000000006</v>
      </c>
      <c r="C21" s="59">
        <v>26.21359223300971</v>
      </c>
      <c r="D21" s="59">
        <v>3.0582524271844673</v>
      </c>
      <c r="E21"/>
      <c r="F21"/>
      <c r="G21"/>
      <c r="H21"/>
      <c r="I21" s="126"/>
      <c r="J21" s="126"/>
      <c r="K21" s="126"/>
      <c r="L21" s="126"/>
      <c r="M21" s="126"/>
      <c r="N21" s="126"/>
      <c r="O21" s="126"/>
      <c r="P21" s="126"/>
      <c r="Q21" s="126"/>
      <c r="R21" s="126"/>
      <c r="S21" s="126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</row>
    <row r="22" spans="1:56">
      <c r="A22" s="58">
        <v>16</v>
      </c>
      <c r="B22" s="59">
        <v>25.2</v>
      </c>
      <c r="C22" s="59">
        <v>27.184466019417474</v>
      </c>
      <c r="D22" s="59">
        <v>1.1291262135922331</v>
      </c>
      <c r="E22"/>
      <c r="F22"/>
      <c r="G22"/>
      <c r="H22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</row>
    <row r="23" spans="1:56">
      <c r="A23" s="58">
        <v>17</v>
      </c>
      <c r="B23" s="59">
        <v>44</v>
      </c>
      <c r="C23" s="59">
        <v>19.417475728155338</v>
      </c>
      <c r="D23" s="59">
        <v>0.8087378640776699</v>
      </c>
      <c r="E23"/>
      <c r="F23"/>
      <c r="G23"/>
      <c r="H23"/>
      <c r="I23" s="126"/>
      <c r="J23" s="126"/>
      <c r="K23" s="126"/>
      <c r="L23" s="126"/>
      <c r="M23" s="126"/>
      <c r="N23" s="126"/>
      <c r="O23" s="126"/>
      <c r="P23" s="126"/>
      <c r="Q23" s="126"/>
      <c r="R23" s="126"/>
      <c r="S23" s="126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</row>
    <row r="24" spans="1:56">
      <c r="A24" s="58">
        <v>18</v>
      </c>
      <c r="B24" s="59">
        <v>19.600000000000001</v>
      </c>
      <c r="C24" s="59">
        <v>21.359223300970871</v>
      </c>
      <c r="D24" s="59">
        <v>1.1145631067961166</v>
      </c>
      <c r="E24"/>
      <c r="F24"/>
      <c r="G24"/>
      <c r="H24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</row>
    <row r="25" spans="1:56">
      <c r="A25" s="58">
        <v>19</v>
      </c>
      <c r="B25" s="59">
        <v>33</v>
      </c>
      <c r="C25" s="59">
        <v>26.21359223300971</v>
      </c>
      <c r="D25" s="59">
        <v>1.5805825242718448</v>
      </c>
      <c r="E25"/>
      <c r="F25"/>
      <c r="G25"/>
      <c r="H25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</row>
    <row r="26" spans="1:56">
      <c r="A26" s="58">
        <v>20</v>
      </c>
      <c r="B26" s="59">
        <v>17.2</v>
      </c>
      <c r="C26" s="59">
        <v>27.184466019417474</v>
      </c>
      <c r="D26" s="59">
        <v>0.97961165048543686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</row>
    <row r="27" spans="1:56">
      <c r="A27" s="58">
        <v>21</v>
      </c>
      <c r="B27" s="59">
        <v>55</v>
      </c>
      <c r="C27" s="59">
        <v>24.271844660194176</v>
      </c>
      <c r="D27" s="59">
        <v>2.1174757281553402</v>
      </c>
      <c r="E27"/>
      <c r="F27"/>
      <c r="G27"/>
      <c r="H27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</row>
    <row r="28" spans="1:56">
      <c r="A28" s="58">
        <v>22</v>
      </c>
      <c r="B28" s="59">
        <v>50.8</v>
      </c>
      <c r="C28" s="59">
        <v>28.155339805825243</v>
      </c>
      <c r="D28" s="59">
        <v>2.5970873786407767</v>
      </c>
      <c r="E28"/>
      <c r="F28"/>
      <c r="G28"/>
      <c r="H28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</row>
    <row r="29" spans="1:56">
      <c r="A29" s="58">
        <v>23</v>
      </c>
      <c r="B29" s="59">
        <v>47.6</v>
      </c>
      <c r="C29" s="59">
        <v>36.893203883495147</v>
      </c>
      <c r="D29" s="59">
        <v>3.7242718446601946</v>
      </c>
      <c r="E29"/>
      <c r="F29"/>
      <c r="G29"/>
      <c r="H29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</row>
    <row r="30" spans="1:56">
      <c r="A30" s="58">
        <v>24</v>
      </c>
      <c r="B30" s="59">
        <v>34.4</v>
      </c>
      <c r="C30" s="59">
        <v>39.805825242718448</v>
      </c>
      <c r="D30" s="59">
        <v>2.0097087378640781</v>
      </c>
      <c r="E30"/>
      <c r="F30"/>
      <c r="G30"/>
      <c r="H30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</row>
    <row r="31" spans="1:56">
      <c r="A31" s="58">
        <v>25</v>
      </c>
      <c r="B31" s="59">
        <v>39</v>
      </c>
      <c r="C31" s="59">
        <v>24.271844660194176</v>
      </c>
      <c r="D31" s="59">
        <v>1.3747572815533984</v>
      </c>
      <c r="E31"/>
      <c r="F31"/>
      <c r="G31"/>
      <c r="H31"/>
      <c r="I31" s="126"/>
      <c r="J31" s="126"/>
      <c r="K31" s="126"/>
      <c r="L31" s="126"/>
      <c r="M31" s="126"/>
      <c r="N31" s="126"/>
      <c r="O31" s="126"/>
      <c r="P31" s="126"/>
      <c r="Q31" s="126"/>
      <c r="R31" s="126"/>
      <c r="S31" s="126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</row>
    <row r="32" spans="1:56">
      <c r="A32" s="58">
        <v>26</v>
      </c>
      <c r="B32" s="59">
        <v>35.700000000000003</v>
      </c>
      <c r="C32" s="59">
        <v>35.922330097087382</v>
      </c>
      <c r="D32" s="59">
        <v>1.5320388349514562</v>
      </c>
      <c r="E32"/>
      <c r="F32"/>
      <c r="G32"/>
      <c r="H32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</row>
    <row r="33" spans="1:56">
      <c r="A33" s="58">
        <v>27</v>
      </c>
      <c r="B33" s="59">
        <v>70.099999999999994</v>
      </c>
      <c r="C33" s="59">
        <v>39.805825242718448</v>
      </c>
      <c r="D33" s="59">
        <v>3.5961165048543693</v>
      </c>
      <c r="E33"/>
      <c r="F33"/>
      <c r="G33"/>
      <c r="H33"/>
      <c r="I33" s="126"/>
      <c r="J33" s="126"/>
      <c r="K33" s="126"/>
      <c r="L33" s="126"/>
      <c r="M33" s="126"/>
      <c r="N33" s="126"/>
      <c r="O33" s="126"/>
      <c r="P33" s="126"/>
      <c r="Q33" s="126"/>
      <c r="R33" s="126"/>
      <c r="S33" s="126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</row>
    <row r="34" spans="1:56">
      <c r="A34" s="58">
        <v>28</v>
      </c>
      <c r="B34" s="59">
        <v>45.9</v>
      </c>
      <c r="C34" s="59">
        <v>34.95145631067961</v>
      </c>
      <c r="D34" s="59">
        <v>3.9553398058252429</v>
      </c>
      <c r="E34"/>
      <c r="F34"/>
      <c r="G34"/>
      <c r="H34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</row>
    <row r="35" spans="1:56">
      <c r="A35" s="58">
        <v>29</v>
      </c>
      <c r="B35" s="59">
        <v>25.3</v>
      </c>
      <c r="C35" s="59">
        <v>40.776699029126213</v>
      </c>
      <c r="D35" s="59">
        <v>1.7611650485436892</v>
      </c>
      <c r="F35"/>
      <c r="G35"/>
      <c r="H35"/>
      <c r="I35" s="126"/>
      <c r="J35" s="126"/>
      <c r="K35" s="126"/>
      <c r="L35" s="126"/>
      <c r="M35" s="126"/>
      <c r="N35" s="126"/>
      <c r="O35" s="126"/>
      <c r="P35" s="126"/>
      <c r="Q35" s="126"/>
      <c r="R35" s="126"/>
      <c r="S35" s="126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</row>
    <row r="36" spans="1:56">
      <c r="A36" s="58">
        <v>30</v>
      </c>
      <c r="B36" s="59">
        <v>85.7</v>
      </c>
      <c r="C36" s="59">
        <v>33.009708737864081</v>
      </c>
      <c r="D36" s="59">
        <v>2.6320388349514565</v>
      </c>
      <c r="H3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</row>
    <row r="37" spans="1:56">
      <c r="A37" s="58"/>
      <c r="B37" s="59"/>
      <c r="C37" s="59"/>
      <c r="D37" s="59"/>
      <c r="I37" s="126"/>
      <c r="J37" s="126"/>
      <c r="K37" s="126"/>
      <c r="L37" s="126"/>
      <c r="M37" s="126"/>
      <c r="N37" s="126"/>
      <c r="O37" s="126"/>
      <c r="P37" s="126"/>
      <c r="Q37" s="126"/>
      <c r="R37" s="126"/>
      <c r="S37" s="126"/>
    </row>
    <row r="38" spans="1:56">
      <c r="A38" s="61"/>
      <c r="B38" s="62"/>
      <c r="C38" s="61"/>
      <c r="D38" s="61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</row>
    <row r="39" spans="1:56">
      <c r="A39" s="61"/>
      <c r="B39" s="62"/>
      <c r="C39" s="62"/>
      <c r="D39" s="62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</row>
    <row r="40" spans="1:56">
      <c r="B40" s="60"/>
      <c r="C40" s="60"/>
      <c r="D40" s="60"/>
    </row>
    <row r="42" spans="1:56">
      <c r="C42" s="60"/>
    </row>
  </sheetData>
  <mergeCells count="5">
    <mergeCell ref="A1:D4"/>
    <mergeCell ref="I1:S13"/>
    <mergeCell ref="A5:A6"/>
    <mergeCell ref="I14:S25"/>
    <mergeCell ref="I27:S39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sheetPr codeName="Sayfa18"/>
  <dimension ref="A1:BD42"/>
  <sheetViews>
    <sheetView topLeftCell="O15" workbookViewId="0">
      <selection activeCell="C18" sqref="C18"/>
    </sheetView>
  </sheetViews>
  <sheetFormatPr defaultRowHeight="28.5"/>
  <cols>
    <col min="1" max="1" width="11.28515625" style="63" bestFit="1" customWidth="1"/>
    <col min="2" max="2" width="22.140625" style="63" bestFit="1" customWidth="1"/>
    <col min="3" max="3" width="23.28515625" style="63" bestFit="1" customWidth="1"/>
    <col min="4" max="4" width="18" style="63" bestFit="1" customWidth="1"/>
    <col min="5" max="5" width="5.5703125" style="26" customWidth="1"/>
    <col min="6" max="6" width="6" style="26" bestFit="1" customWidth="1"/>
    <col min="7" max="7" width="11.140625" style="26" bestFit="1" customWidth="1"/>
    <col min="8" max="8" width="5.140625" style="26" bestFit="1" customWidth="1"/>
    <col min="9" max="9" width="11.140625" style="46" bestFit="1" customWidth="1"/>
    <col min="10" max="10" width="7" style="46" bestFit="1" customWidth="1"/>
    <col min="11" max="11" width="12" style="46" bestFit="1" customWidth="1"/>
    <col min="12" max="12" width="9.140625" style="26"/>
    <col min="13" max="13" width="6" style="26" bestFit="1" customWidth="1"/>
    <col min="14" max="14" width="11.140625" style="26" bestFit="1" customWidth="1"/>
    <col min="15" max="15" width="7" style="46" bestFit="1" customWidth="1"/>
    <col min="16" max="16" width="9.140625" style="46" bestFit="1" customWidth="1"/>
    <col min="17" max="17" width="9.140625" style="26"/>
    <col min="18" max="18" width="6" style="26" bestFit="1" customWidth="1"/>
    <col min="19" max="19" width="9.42578125" style="26" bestFit="1" customWidth="1"/>
    <col min="20" max="20" width="12.42578125" style="46" bestFit="1" customWidth="1"/>
    <col min="21" max="21" width="12.42578125" style="46" customWidth="1"/>
    <col min="22" max="22" width="9.140625" style="26"/>
    <col min="23" max="23" width="7.5703125" style="26" bestFit="1" customWidth="1"/>
    <col min="24" max="24" width="9.42578125" style="26" bestFit="1" customWidth="1"/>
    <col min="25" max="25" width="12.42578125" style="46" bestFit="1" customWidth="1"/>
    <col min="26" max="26" width="12.42578125" style="46" customWidth="1"/>
    <col min="27" max="27" width="9.140625" style="26"/>
    <col min="28" max="28" width="8.5703125" style="26" bestFit="1" customWidth="1"/>
    <col min="29" max="29" width="9.42578125" style="26" bestFit="1" customWidth="1"/>
    <col min="30" max="30" width="12.42578125" style="46" bestFit="1" customWidth="1"/>
    <col min="31" max="31" width="12.42578125" style="46" customWidth="1"/>
    <col min="32" max="32" width="9.140625" style="26"/>
    <col min="33" max="33" width="8" style="26" bestFit="1" customWidth="1"/>
    <col min="34" max="34" width="9.42578125" style="26" bestFit="1" customWidth="1"/>
    <col min="35" max="35" width="12.42578125" style="46" bestFit="1" customWidth="1"/>
    <col min="36" max="36" width="12.42578125" style="46" customWidth="1"/>
    <col min="37" max="37" width="9.140625" style="26"/>
    <col min="38" max="38" width="5.28515625" style="26" bestFit="1" customWidth="1"/>
    <col min="39" max="39" width="9.42578125" style="26" bestFit="1" customWidth="1"/>
    <col min="40" max="40" width="12.42578125" style="46" bestFit="1" customWidth="1"/>
    <col min="41" max="41" width="12.42578125" style="46" customWidth="1"/>
    <col min="42" max="42" width="9.140625" style="26"/>
    <col min="43" max="43" width="5.28515625" style="26" bestFit="1" customWidth="1"/>
    <col min="44" max="44" width="9.42578125" style="26" bestFit="1" customWidth="1"/>
    <col min="45" max="45" width="12.42578125" style="46" bestFit="1" customWidth="1"/>
    <col min="46" max="46" width="12.42578125" style="46" customWidth="1"/>
    <col min="47" max="47" width="9.140625" style="26"/>
    <col min="48" max="48" width="6.140625" style="26" bestFit="1" customWidth="1"/>
    <col min="49" max="49" width="9.42578125" style="26" bestFit="1" customWidth="1"/>
    <col min="50" max="50" width="12.42578125" style="46" bestFit="1" customWidth="1"/>
    <col min="51" max="51" width="12.42578125" style="46" customWidth="1"/>
    <col min="52" max="52" width="9.140625" style="26"/>
    <col min="53" max="53" width="6" style="26" bestFit="1" customWidth="1"/>
    <col min="54" max="54" width="9.42578125" style="26" bestFit="1" customWidth="1"/>
    <col min="55" max="55" width="12.42578125" style="46" bestFit="1" customWidth="1"/>
    <col min="56" max="56" width="9.140625" style="26"/>
  </cols>
  <sheetData>
    <row r="1" spans="1:56" ht="15" customHeight="1">
      <c r="A1" s="127" t="s">
        <v>439</v>
      </c>
      <c r="B1" s="127"/>
      <c r="C1" s="127"/>
      <c r="D1" s="127"/>
      <c r="E1" s="30"/>
      <c r="F1"/>
      <c r="G1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</row>
    <row r="2" spans="1:56" ht="15" customHeight="1">
      <c r="A2" s="127"/>
      <c r="B2" s="127"/>
      <c r="C2" s="127"/>
      <c r="D2" s="127"/>
      <c r="E2"/>
      <c r="F2"/>
      <c r="G2"/>
      <c r="H2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</row>
    <row r="3" spans="1:56" ht="15" customHeight="1">
      <c r="A3" s="127"/>
      <c r="B3" s="127"/>
      <c r="C3" s="127"/>
      <c r="D3" s="127"/>
      <c r="E3"/>
      <c r="F3"/>
      <c r="G3"/>
      <c r="H3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</row>
    <row r="4" spans="1:56" ht="15" customHeight="1">
      <c r="A4" s="128"/>
      <c r="B4" s="128"/>
      <c r="C4" s="128"/>
      <c r="D4" s="128"/>
      <c r="E4"/>
      <c r="F4"/>
      <c r="G4"/>
      <c r="H4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</row>
    <row r="5" spans="1:56">
      <c r="A5" s="129" t="s">
        <v>446</v>
      </c>
      <c r="B5" s="56" t="s">
        <v>423</v>
      </c>
      <c r="C5" s="56" t="s">
        <v>449</v>
      </c>
      <c r="D5" s="57" t="s">
        <v>2</v>
      </c>
      <c r="E5"/>
      <c r="F5"/>
      <c r="G5"/>
      <c r="H5"/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</row>
    <row r="6" spans="1:56">
      <c r="A6" s="130"/>
      <c r="B6" s="56" t="s">
        <v>438</v>
      </c>
      <c r="C6" s="56" t="s">
        <v>437</v>
      </c>
      <c r="D6" s="64" t="s">
        <v>438</v>
      </c>
      <c r="E6"/>
      <c r="F6"/>
      <c r="G6"/>
      <c r="H6"/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</row>
    <row r="7" spans="1:56">
      <c r="A7" s="58">
        <v>1</v>
      </c>
      <c r="B7" s="59">
        <v>31</v>
      </c>
      <c r="C7" s="59">
        <v>36.893203883495147</v>
      </c>
      <c r="D7" s="59">
        <v>2.4873786407766985</v>
      </c>
      <c r="E7"/>
      <c r="F7"/>
      <c r="G7"/>
      <c r="H7"/>
      <c r="I7" s="125"/>
      <c r="J7" s="125"/>
      <c r="K7" s="125"/>
      <c r="L7" s="125"/>
      <c r="M7" s="125"/>
      <c r="N7" s="125"/>
      <c r="O7" s="125"/>
      <c r="P7" s="125"/>
      <c r="Q7" s="125"/>
      <c r="R7" s="125"/>
      <c r="S7" s="125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</row>
    <row r="8" spans="1:56">
      <c r="A8" s="58">
        <v>2</v>
      </c>
      <c r="B8" s="59">
        <v>26</v>
      </c>
      <c r="C8" s="59">
        <v>35.922330097087382</v>
      </c>
      <c r="D8" s="59">
        <v>1.6407766990291259</v>
      </c>
      <c r="E8"/>
      <c r="F8"/>
      <c r="G8"/>
      <c r="H8"/>
      <c r="I8" s="125"/>
      <c r="J8" s="125"/>
      <c r="K8" s="125"/>
      <c r="L8" s="125"/>
      <c r="M8" s="125"/>
      <c r="N8" s="125"/>
      <c r="O8" s="125"/>
      <c r="P8" s="125"/>
      <c r="Q8" s="125"/>
      <c r="R8" s="125"/>
      <c r="S8" s="125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</row>
    <row r="9" spans="1:56">
      <c r="A9" s="58">
        <v>3</v>
      </c>
      <c r="B9" s="59">
        <v>131.30000000000001</v>
      </c>
      <c r="C9" s="59">
        <v>39.805825242718448</v>
      </c>
      <c r="D9" s="59">
        <v>3.3203883495145639</v>
      </c>
      <c r="E9"/>
      <c r="F9"/>
      <c r="G9"/>
      <c r="H9"/>
      <c r="I9" s="125"/>
      <c r="J9" s="125"/>
      <c r="K9" s="125"/>
      <c r="L9" s="125"/>
      <c r="M9" s="125"/>
      <c r="N9" s="125"/>
      <c r="O9" s="125"/>
      <c r="P9" s="125"/>
      <c r="Q9" s="125"/>
      <c r="R9" s="125"/>
      <c r="S9" s="125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</row>
    <row r="10" spans="1:56">
      <c r="A10" s="58">
        <v>4</v>
      </c>
      <c r="B10" s="59">
        <v>38.5</v>
      </c>
      <c r="C10" s="59">
        <v>38.834951456310677</v>
      </c>
      <c r="D10" s="59">
        <v>2.3106796116504853</v>
      </c>
      <c r="E10"/>
      <c r="F10"/>
      <c r="G10"/>
      <c r="H10"/>
      <c r="I10" s="125"/>
      <c r="J10" s="125"/>
      <c r="K10" s="125"/>
      <c r="L10" s="125"/>
      <c r="M10" s="125"/>
      <c r="N10" s="125"/>
      <c r="O10" s="125"/>
      <c r="P10" s="125"/>
      <c r="Q10" s="125"/>
      <c r="R10" s="125"/>
      <c r="S10" s="125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</row>
    <row r="11" spans="1:56">
      <c r="A11" s="58">
        <v>5</v>
      </c>
      <c r="B11" s="59">
        <v>34.5</v>
      </c>
      <c r="C11" s="59">
        <v>27.184466019417474</v>
      </c>
      <c r="D11" s="59">
        <v>1.4213592233009706</v>
      </c>
      <c r="E11"/>
      <c r="F11"/>
      <c r="G11"/>
      <c r="H11"/>
      <c r="I11" s="125"/>
      <c r="J11" s="125"/>
      <c r="K11" s="125"/>
      <c r="L11" s="125"/>
      <c r="M11" s="125"/>
      <c r="N11" s="125"/>
      <c r="O11" s="125"/>
      <c r="P11" s="125"/>
      <c r="Q11" s="125"/>
      <c r="R11" s="125"/>
      <c r="S11" s="125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</row>
    <row r="12" spans="1:56">
      <c r="A12" s="58">
        <v>6</v>
      </c>
      <c r="B12" s="59">
        <v>37.700000000000003</v>
      </c>
      <c r="C12" s="59">
        <v>33.980582524271846</v>
      </c>
      <c r="D12" s="59">
        <v>2.1368932038834947</v>
      </c>
      <c r="E12"/>
      <c r="F12"/>
      <c r="G12"/>
      <c r="H12"/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</row>
    <row r="13" spans="1:56">
      <c r="A13" s="58">
        <v>7</v>
      </c>
      <c r="B13" s="59">
        <v>120.5</v>
      </c>
      <c r="C13" s="59">
        <v>31.067961165048541</v>
      </c>
      <c r="D13" s="59">
        <v>3.8126213592233009</v>
      </c>
      <c r="E13"/>
      <c r="F13"/>
      <c r="G13"/>
      <c r="H13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</row>
    <row r="14" spans="1:56">
      <c r="A14" s="58">
        <v>8</v>
      </c>
      <c r="B14" s="59">
        <v>91.2</v>
      </c>
      <c r="C14" s="59">
        <v>34.95145631067961</v>
      </c>
      <c r="D14" s="59">
        <v>3.1378640776699029</v>
      </c>
      <c r="E14"/>
      <c r="F14"/>
      <c r="G14"/>
      <c r="H14"/>
      <c r="I14" s="126"/>
      <c r="J14" s="126"/>
      <c r="K14" s="126"/>
      <c r="L14" s="126"/>
      <c r="M14" s="126"/>
      <c r="N14" s="126"/>
      <c r="O14" s="126"/>
      <c r="P14" s="126"/>
      <c r="Q14" s="126"/>
      <c r="R14" s="126"/>
      <c r="S14" s="126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</row>
    <row r="15" spans="1:56">
      <c r="A15" s="58">
        <v>9</v>
      </c>
      <c r="B15" s="59">
        <v>42</v>
      </c>
      <c r="C15" s="59">
        <v>35.922330097087382</v>
      </c>
      <c r="D15" s="59">
        <v>1.8456310679611647</v>
      </c>
      <c r="E15"/>
      <c r="F15"/>
      <c r="G15"/>
      <c r="H15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</row>
    <row r="16" spans="1:56">
      <c r="A16" s="58">
        <v>10</v>
      </c>
      <c r="B16" s="59">
        <v>53</v>
      </c>
      <c r="C16" s="59">
        <v>40.776699029126213</v>
      </c>
      <c r="D16" s="59">
        <v>3.1067961165048539</v>
      </c>
      <c r="E16"/>
      <c r="F16"/>
      <c r="G16"/>
      <c r="H1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</row>
    <row r="17" spans="1:56">
      <c r="A17" s="58">
        <v>11</v>
      </c>
      <c r="B17" s="59">
        <v>47.9</v>
      </c>
      <c r="C17" s="59">
        <v>34.95145631067961</v>
      </c>
      <c r="D17" s="59">
        <v>2.5815533980582526</v>
      </c>
      <c r="E17"/>
      <c r="F17"/>
      <c r="G17"/>
      <c r="H17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</row>
    <row r="18" spans="1:56">
      <c r="A18" s="58">
        <v>12</v>
      </c>
      <c r="B18" s="59">
        <v>27.4</v>
      </c>
      <c r="C18" s="59">
        <v>42.718446601941743</v>
      </c>
      <c r="D18" s="59">
        <v>2.4990291262135909</v>
      </c>
      <c r="E18"/>
      <c r="F18"/>
      <c r="G18"/>
      <c r="H18"/>
      <c r="I18" s="126"/>
      <c r="J18" s="126"/>
      <c r="K18" s="126"/>
      <c r="L18" s="126"/>
      <c r="M18" s="126"/>
      <c r="N18" s="126"/>
      <c r="O18" s="126"/>
      <c r="P18" s="126"/>
      <c r="Q18" s="126"/>
      <c r="R18" s="126"/>
      <c r="S18" s="126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</row>
    <row r="19" spans="1:56">
      <c r="A19" s="58">
        <v>13</v>
      </c>
      <c r="B19" s="59">
        <v>117</v>
      </c>
      <c r="C19" s="59">
        <v>44.660194174757287</v>
      </c>
      <c r="D19" s="59">
        <v>5.7533980582524276</v>
      </c>
      <c r="E19"/>
      <c r="F19"/>
      <c r="G19"/>
      <c r="H19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</row>
    <row r="20" spans="1:56">
      <c r="A20" s="58">
        <v>14</v>
      </c>
      <c r="B20" s="59">
        <v>44.5</v>
      </c>
      <c r="C20" s="59">
        <v>41.747572815533978</v>
      </c>
      <c r="D20" s="59">
        <v>3.1611650485436891</v>
      </c>
      <c r="E20"/>
      <c r="F20"/>
      <c r="G20"/>
      <c r="H20"/>
      <c r="I20" s="126"/>
      <c r="J20" s="126"/>
      <c r="K20" s="126"/>
      <c r="L20" s="126"/>
      <c r="M20" s="126"/>
      <c r="N20" s="126"/>
      <c r="O20" s="126"/>
      <c r="P20" s="126"/>
      <c r="Q20" s="126"/>
      <c r="R20" s="126"/>
      <c r="S20" s="126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</row>
    <row r="21" spans="1:56">
      <c r="A21" s="58">
        <v>15</v>
      </c>
      <c r="B21" s="59">
        <v>111.8</v>
      </c>
      <c r="C21" s="59">
        <v>39.805825242718448</v>
      </c>
      <c r="D21" s="59">
        <v>5.1514563106796123</v>
      </c>
      <c r="E21"/>
      <c r="F21"/>
      <c r="G21"/>
      <c r="H21"/>
      <c r="I21" s="126"/>
      <c r="J21" s="126"/>
      <c r="K21" s="126"/>
      <c r="L21" s="126"/>
      <c r="M21" s="126"/>
      <c r="N21" s="126"/>
      <c r="O21" s="126"/>
      <c r="P21" s="126"/>
      <c r="Q21" s="126"/>
      <c r="R21" s="126"/>
      <c r="S21" s="126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</row>
    <row r="22" spans="1:56">
      <c r="A22" s="58">
        <v>16</v>
      </c>
      <c r="B22" s="59">
        <v>103.7</v>
      </c>
      <c r="C22" s="59">
        <v>41.747572815533978</v>
      </c>
      <c r="D22" s="59">
        <v>3.9466019417475726</v>
      </c>
      <c r="E22"/>
      <c r="F22"/>
      <c r="G22"/>
      <c r="H22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</row>
    <row r="23" spans="1:56">
      <c r="A23" s="58">
        <v>17</v>
      </c>
      <c r="B23" s="59">
        <v>51.5</v>
      </c>
      <c r="C23" s="59">
        <v>42.718446601941743</v>
      </c>
      <c r="D23" s="59">
        <v>3.1864077669902913</v>
      </c>
      <c r="E23"/>
      <c r="F23"/>
      <c r="G23"/>
      <c r="H23"/>
      <c r="I23" s="126"/>
      <c r="J23" s="126"/>
      <c r="K23" s="126"/>
      <c r="L23" s="126"/>
      <c r="M23" s="126"/>
      <c r="N23" s="126"/>
      <c r="O23" s="126"/>
      <c r="P23" s="126"/>
      <c r="Q23" s="126"/>
      <c r="R23" s="126"/>
      <c r="S23" s="126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</row>
    <row r="24" spans="1:56">
      <c r="A24" s="58">
        <v>18</v>
      </c>
      <c r="B24" s="59">
        <v>36.799999999999997</v>
      </c>
      <c r="C24" s="59">
        <v>33.009708737864081</v>
      </c>
      <c r="D24" s="59">
        <v>2.2902912621359226</v>
      </c>
      <c r="E24"/>
      <c r="F24"/>
      <c r="G24"/>
      <c r="H24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</row>
    <row r="25" spans="1:56">
      <c r="A25" s="58">
        <v>19</v>
      </c>
      <c r="B25" s="59">
        <v>45.2</v>
      </c>
      <c r="C25" s="59">
        <v>41.747572815533978</v>
      </c>
      <c r="D25" s="59">
        <v>3.6786407766990301</v>
      </c>
      <c r="E25"/>
      <c r="F25"/>
      <c r="G25"/>
      <c r="H25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</row>
    <row r="26" spans="1:56">
      <c r="A26" s="58">
        <v>20</v>
      </c>
      <c r="B26" s="59">
        <v>21.4</v>
      </c>
      <c r="C26" s="59">
        <v>31.067961165048541</v>
      </c>
      <c r="D26" s="59">
        <v>1.6902912621359223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</row>
    <row r="27" spans="1:56">
      <c r="A27" s="58">
        <v>21</v>
      </c>
      <c r="B27" s="59">
        <v>30.9</v>
      </c>
      <c r="C27" s="59">
        <v>42.718446601941743</v>
      </c>
      <c r="D27" s="59">
        <v>2.8320388349514563</v>
      </c>
      <c r="E27"/>
      <c r="F27"/>
      <c r="G27"/>
      <c r="H27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</row>
    <row r="28" spans="1:56">
      <c r="A28" s="58">
        <v>22</v>
      </c>
      <c r="B28" s="59">
        <v>34.5</v>
      </c>
      <c r="C28" s="59">
        <v>39.805825242718448</v>
      </c>
      <c r="D28" s="59">
        <v>2.4582524271844655</v>
      </c>
      <c r="E28"/>
      <c r="F28"/>
      <c r="G28"/>
      <c r="H28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</row>
    <row r="29" spans="1:56">
      <c r="A29" s="58">
        <v>23</v>
      </c>
      <c r="B29" s="59">
        <v>22.3</v>
      </c>
      <c r="C29" s="59">
        <v>39.805825242718448</v>
      </c>
      <c r="D29" s="59">
        <v>2.3592233009708732</v>
      </c>
      <c r="E29"/>
      <c r="F29"/>
      <c r="G29"/>
      <c r="H29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</row>
    <row r="30" spans="1:56">
      <c r="A30" s="58">
        <v>24</v>
      </c>
      <c r="B30" s="59">
        <v>47</v>
      </c>
      <c r="C30" s="59">
        <v>43.689320388349515</v>
      </c>
      <c r="D30" s="59">
        <v>4.0271844660194178</v>
      </c>
      <c r="E30"/>
      <c r="F30"/>
      <c r="G30"/>
      <c r="H30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</row>
    <row r="31" spans="1:56">
      <c r="A31" s="58">
        <v>25</v>
      </c>
      <c r="B31" s="59">
        <v>55.8</v>
      </c>
      <c r="C31" s="59">
        <v>51.456310679611647</v>
      </c>
      <c r="D31" s="59">
        <v>3.9456310679611639</v>
      </c>
      <c r="E31"/>
      <c r="F31"/>
      <c r="G31"/>
      <c r="H31"/>
      <c r="I31" s="126"/>
      <c r="J31" s="126"/>
      <c r="K31" s="126"/>
      <c r="L31" s="126"/>
      <c r="M31" s="126"/>
      <c r="N31" s="126"/>
      <c r="O31" s="126"/>
      <c r="P31" s="126"/>
      <c r="Q31" s="126"/>
      <c r="R31" s="126"/>
      <c r="S31" s="126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</row>
    <row r="32" spans="1:56">
      <c r="A32" s="58">
        <v>26</v>
      </c>
      <c r="B32" s="59">
        <v>110</v>
      </c>
      <c r="C32" s="59">
        <v>37.864077669902912</v>
      </c>
      <c r="D32" s="59">
        <v>3.7281553398058258</v>
      </c>
      <c r="E32"/>
      <c r="F32"/>
      <c r="G32"/>
      <c r="H32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</row>
    <row r="33" spans="1:56">
      <c r="A33" s="58">
        <v>27</v>
      </c>
      <c r="B33" s="59">
        <v>104.9</v>
      </c>
      <c r="C33" s="59">
        <v>40.776699029126213</v>
      </c>
      <c r="D33" s="59">
        <v>3.8087378640776706</v>
      </c>
      <c r="E33"/>
      <c r="F33"/>
      <c r="G33"/>
      <c r="H33"/>
      <c r="I33" s="126"/>
      <c r="J33" s="126"/>
      <c r="K33" s="126"/>
      <c r="L33" s="126"/>
      <c r="M33" s="126"/>
      <c r="N33" s="126"/>
      <c r="O33" s="126"/>
      <c r="P33" s="126"/>
      <c r="Q33" s="126"/>
      <c r="R33" s="126"/>
      <c r="S33" s="126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</row>
    <row r="34" spans="1:56">
      <c r="A34" s="58">
        <v>28</v>
      </c>
      <c r="B34" s="59">
        <v>50.4</v>
      </c>
      <c r="C34" s="59">
        <v>33.009708737864081</v>
      </c>
      <c r="D34" s="59">
        <v>2.8436893203883491</v>
      </c>
      <c r="E34"/>
      <c r="F34"/>
      <c r="G34"/>
      <c r="H34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</row>
    <row r="35" spans="1:56">
      <c r="A35" s="58">
        <v>29</v>
      </c>
      <c r="B35" s="59">
        <v>91</v>
      </c>
      <c r="C35" s="59">
        <v>36.893203883495147</v>
      </c>
      <c r="D35" s="59">
        <v>3.0223300970873783</v>
      </c>
      <c r="F35"/>
      <c r="G35"/>
      <c r="H35"/>
      <c r="I35" s="126"/>
      <c r="J35" s="126"/>
      <c r="K35" s="126"/>
      <c r="L35" s="126"/>
      <c r="M35" s="126"/>
      <c r="N35" s="126"/>
      <c r="O35" s="126"/>
      <c r="P35" s="126"/>
      <c r="Q35" s="126"/>
      <c r="R35" s="126"/>
      <c r="S35" s="126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</row>
    <row r="36" spans="1:56">
      <c r="A36" s="58">
        <v>30</v>
      </c>
      <c r="B36" s="59">
        <v>33.6</v>
      </c>
      <c r="C36" s="59">
        <v>37.864077669902912</v>
      </c>
      <c r="D36" s="59">
        <v>1.7456310679611644</v>
      </c>
      <c r="H3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</row>
    <row r="37" spans="1:56">
      <c r="A37" s="58">
        <v>31</v>
      </c>
      <c r="B37" s="59">
        <v>57.5</v>
      </c>
      <c r="C37" s="59">
        <v>33.009708737864081</v>
      </c>
      <c r="D37" s="59">
        <v>3.1805825242718444</v>
      </c>
      <c r="I37" s="126"/>
      <c r="J37" s="126"/>
      <c r="K37" s="126"/>
      <c r="L37" s="126"/>
      <c r="M37" s="126"/>
      <c r="N37" s="126"/>
      <c r="O37" s="126"/>
      <c r="P37" s="126"/>
      <c r="Q37" s="126"/>
      <c r="R37" s="126"/>
      <c r="S37" s="126"/>
    </row>
    <row r="38" spans="1:56">
      <c r="A38" s="61"/>
      <c r="B38" s="62"/>
      <c r="C38" s="61"/>
      <c r="D38" s="61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</row>
    <row r="39" spans="1:56">
      <c r="A39" s="61"/>
      <c r="B39" s="62"/>
      <c r="C39" s="62"/>
      <c r="D39" s="62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</row>
    <row r="40" spans="1:56">
      <c r="B40" s="60"/>
      <c r="C40" s="60"/>
      <c r="D40" s="60"/>
    </row>
    <row r="42" spans="1:56">
      <c r="C42" s="60"/>
    </row>
  </sheetData>
  <mergeCells count="5">
    <mergeCell ref="A1:D4"/>
    <mergeCell ref="I1:S13"/>
    <mergeCell ref="A5:A6"/>
    <mergeCell ref="I14:S25"/>
    <mergeCell ref="I27:S39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sheetPr codeName="Sayfa19"/>
  <dimension ref="A1:BD42"/>
  <sheetViews>
    <sheetView topLeftCell="O15" workbookViewId="0">
      <selection activeCell="C18" sqref="C18"/>
    </sheetView>
  </sheetViews>
  <sheetFormatPr defaultRowHeight="28.5"/>
  <cols>
    <col min="1" max="1" width="13.7109375" style="63" bestFit="1" customWidth="1"/>
    <col min="2" max="2" width="22.140625" style="63" bestFit="1" customWidth="1"/>
    <col min="3" max="3" width="23.28515625" style="63" bestFit="1" customWidth="1"/>
    <col min="4" max="4" width="18" style="63" bestFit="1" customWidth="1"/>
    <col min="5" max="5" width="5.5703125" style="26" customWidth="1"/>
    <col min="6" max="6" width="6" style="26" bestFit="1" customWidth="1"/>
    <col min="7" max="7" width="11.140625" style="26" bestFit="1" customWidth="1"/>
    <col min="8" max="8" width="5.140625" style="26" bestFit="1" customWidth="1"/>
    <col min="9" max="9" width="11.140625" style="46" bestFit="1" customWidth="1"/>
    <col min="10" max="10" width="7" style="46" bestFit="1" customWidth="1"/>
    <col min="11" max="11" width="12" style="46" bestFit="1" customWidth="1"/>
    <col min="12" max="12" width="9.140625" style="26"/>
    <col min="13" max="13" width="6" style="26" bestFit="1" customWidth="1"/>
    <col min="14" max="14" width="11.140625" style="26" bestFit="1" customWidth="1"/>
    <col min="15" max="15" width="7" style="46" bestFit="1" customWidth="1"/>
    <col min="16" max="16" width="9.140625" style="46" bestFit="1" customWidth="1"/>
    <col min="17" max="17" width="9.140625" style="26"/>
    <col min="18" max="18" width="6" style="26" bestFit="1" customWidth="1"/>
    <col min="19" max="19" width="9.42578125" style="26" bestFit="1" customWidth="1"/>
    <col min="20" max="20" width="12.42578125" style="46" bestFit="1" customWidth="1"/>
    <col min="21" max="21" width="12.42578125" style="46" customWidth="1"/>
    <col min="22" max="22" width="9.140625" style="26"/>
    <col min="23" max="23" width="7.5703125" style="26" bestFit="1" customWidth="1"/>
    <col min="24" max="24" width="9.42578125" style="26" bestFit="1" customWidth="1"/>
    <col min="25" max="25" width="12.42578125" style="46" bestFit="1" customWidth="1"/>
    <col min="26" max="26" width="12.42578125" style="46" customWidth="1"/>
    <col min="27" max="27" width="9.140625" style="26"/>
    <col min="28" max="28" width="8.5703125" style="26" bestFit="1" customWidth="1"/>
    <col min="29" max="29" width="9.42578125" style="26" bestFit="1" customWidth="1"/>
    <col min="30" max="30" width="12.42578125" style="46" bestFit="1" customWidth="1"/>
    <col min="31" max="31" width="12.42578125" style="46" customWidth="1"/>
    <col min="32" max="32" width="9.140625" style="26"/>
    <col min="33" max="33" width="8" style="26" bestFit="1" customWidth="1"/>
    <col min="34" max="34" width="9.42578125" style="26" bestFit="1" customWidth="1"/>
    <col min="35" max="35" width="12.42578125" style="46" bestFit="1" customWidth="1"/>
    <col min="36" max="36" width="12.42578125" style="46" customWidth="1"/>
    <col min="37" max="37" width="9.140625" style="26"/>
    <col min="38" max="38" width="5.28515625" style="26" bestFit="1" customWidth="1"/>
    <col min="39" max="39" width="9.42578125" style="26" bestFit="1" customWidth="1"/>
    <col min="40" max="40" width="12.42578125" style="46" bestFit="1" customWidth="1"/>
    <col min="41" max="41" width="12.42578125" style="46" customWidth="1"/>
    <col min="42" max="42" width="9.140625" style="26"/>
    <col min="43" max="43" width="5.28515625" style="26" bestFit="1" customWidth="1"/>
    <col min="44" max="44" width="9.42578125" style="26" bestFit="1" customWidth="1"/>
    <col min="45" max="45" width="12.42578125" style="46" bestFit="1" customWidth="1"/>
    <col min="46" max="46" width="12.42578125" style="46" customWidth="1"/>
    <col min="47" max="47" width="9.140625" style="26"/>
    <col min="48" max="48" width="6.140625" style="26" bestFit="1" customWidth="1"/>
    <col min="49" max="49" width="9.42578125" style="26" bestFit="1" customWidth="1"/>
    <col min="50" max="50" width="12.42578125" style="46" bestFit="1" customWidth="1"/>
    <col min="51" max="51" width="12.42578125" style="46" customWidth="1"/>
    <col min="52" max="52" width="9.140625" style="26"/>
    <col min="53" max="53" width="6" style="26" bestFit="1" customWidth="1"/>
    <col min="54" max="54" width="9.42578125" style="26" bestFit="1" customWidth="1"/>
    <col min="55" max="55" width="12.42578125" style="46" bestFit="1" customWidth="1"/>
    <col min="56" max="56" width="9.140625" style="26"/>
  </cols>
  <sheetData>
    <row r="1" spans="1:56" ht="15" customHeight="1">
      <c r="A1" s="127" t="s">
        <v>439</v>
      </c>
      <c r="B1" s="127"/>
      <c r="C1" s="127"/>
      <c r="D1" s="127"/>
      <c r="E1" s="30"/>
      <c r="F1"/>
      <c r="G1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</row>
    <row r="2" spans="1:56" ht="15" customHeight="1">
      <c r="A2" s="127"/>
      <c r="B2" s="127"/>
      <c r="C2" s="127"/>
      <c r="D2" s="127"/>
      <c r="E2"/>
      <c r="F2"/>
      <c r="G2"/>
      <c r="H2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</row>
    <row r="3" spans="1:56" ht="15" customHeight="1">
      <c r="A3" s="127"/>
      <c r="B3" s="127"/>
      <c r="C3" s="127"/>
      <c r="D3" s="127"/>
      <c r="E3"/>
      <c r="F3"/>
      <c r="G3"/>
      <c r="H3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</row>
    <row r="4" spans="1:56" ht="15" customHeight="1">
      <c r="A4" s="128"/>
      <c r="B4" s="128"/>
      <c r="C4" s="128"/>
      <c r="D4" s="128"/>
      <c r="E4"/>
      <c r="F4"/>
      <c r="G4"/>
      <c r="H4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</row>
    <row r="5" spans="1:56">
      <c r="A5" s="129" t="s">
        <v>447</v>
      </c>
      <c r="B5" s="56" t="s">
        <v>423</v>
      </c>
      <c r="C5" s="56" t="s">
        <v>449</v>
      </c>
      <c r="D5" s="57" t="s">
        <v>2</v>
      </c>
      <c r="E5"/>
      <c r="F5"/>
      <c r="G5"/>
      <c r="H5"/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</row>
    <row r="6" spans="1:56">
      <c r="A6" s="130"/>
      <c r="B6" s="56" t="s">
        <v>438</v>
      </c>
      <c r="C6" s="56" t="s">
        <v>437</v>
      </c>
      <c r="D6" s="64" t="s">
        <v>438</v>
      </c>
      <c r="E6"/>
      <c r="F6"/>
      <c r="G6"/>
      <c r="H6"/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</row>
    <row r="7" spans="1:56">
      <c r="A7" s="58">
        <v>1</v>
      </c>
      <c r="B7" s="59">
        <v>47</v>
      </c>
      <c r="C7" s="59">
        <v>43.689320388349515</v>
      </c>
      <c r="D7" s="59">
        <v>1.9776699029126212</v>
      </c>
      <c r="E7"/>
      <c r="F7"/>
      <c r="G7"/>
      <c r="H7"/>
      <c r="I7" s="125"/>
      <c r="J7" s="125"/>
      <c r="K7" s="125"/>
      <c r="L7" s="125"/>
      <c r="M7" s="125"/>
      <c r="N7" s="125"/>
      <c r="O7" s="125"/>
      <c r="P7" s="125"/>
      <c r="Q7" s="125"/>
      <c r="R7" s="125"/>
      <c r="S7" s="125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</row>
    <row r="8" spans="1:56">
      <c r="A8" s="58">
        <v>2</v>
      </c>
      <c r="B8" s="59">
        <v>38.200000000000003</v>
      </c>
      <c r="C8" s="59">
        <v>40.776699029126213</v>
      </c>
      <c r="D8" s="59">
        <v>2.4067961165048546</v>
      </c>
      <c r="E8"/>
      <c r="F8"/>
      <c r="G8"/>
      <c r="H8"/>
      <c r="I8" s="125"/>
      <c r="J8" s="125"/>
      <c r="K8" s="125"/>
      <c r="L8" s="125"/>
      <c r="M8" s="125"/>
      <c r="N8" s="125"/>
      <c r="O8" s="125"/>
      <c r="P8" s="125"/>
      <c r="Q8" s="125"/>
      <c r="R8" s="125"/>
      <c r="S8" s="125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</row>
    <row r="9" spans="1:56">
      <c r="A9" s="58">
        <v>3</v>
      </c>
      <c r="B9" s="59">
        <v>44.5</v>
      </c>
      <c r="C9" s="59">
        <v>36.893203883495147</v>
      </c>
      <c r="D9" s="59">
        <v>2.063106796116505</v>
      </c>
      <c r="E9"/>
      <c r="F9"/>
      <c r="G9"/>
      <c r="H9"/>
      <c r="I9" s="125"/>
      <c r="J9" s="125"/>
      <c r="K9" s="125"/>
      <c r="L9" s="125"/>
      <c r="M9" s="125"/>
      <c r="N9" s="125"/>
      <c r="O9" s="125"/>
      <c r="P9" s="125"/>
      <c r="Q9" s="125"/>
      <c r="R9" s="125"/>
      <c r="S9" s="125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</row>
    <row r="10" spans="1:56">
      <c r="A10" s="58">
        <v>4</v>
      </c>
      <c r="B10" s="59">
        <v>29.3</v>
      </c>
      <c r="C10" s="59">
        <v>39.805825242718448</v>
      </c>
      <c r="D10" s="59">
        <v>2.2640776699029121</v>
      </c>
      <c r="E10"/>
      <c r="F10"/>
      <c r="G10"/>
      <c r="H10"/>
      <c r="I10" s="125"/>
      <c r="J10" s="125"/>
      <c r="K10" s="125"/>
      <c r="L10" s="125"/>
      <c r="M10" s="125"/>
      <c r="N10" s="125"/>
      <c r="O10" s="125"/>
      <c r="P10" s="125"/>
      <c r="Q10" s="125"/>
      <c r="R10" s="125"/>
      <c r="S10" s="125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</row>
    <row r="11" spans="1:56">
      <c r="A11" s="58">
        <v>5</v>
      </c>
      <c r="B11" s="59">
        <v>34</v>
      </c>
      <c r="C11" s="59">
        <v>47.572815533980581</v>
      </c>
      <c r="D11" s="59">
        <v>2.9640776699029128</v>
      </c>
      <c r="E11"/>
      <c r="F11"/>
      <c r="G11"/>
      <c r="H11"/>
      <c r="I11" s="125"/>
      <c r="J11" s="125"/>
      <c r="K11" s="125"/>
      <c r="L11" s="125"/>
      <c r="M11" s="125"/>
      <c r="N11" s="125"/>
      <c r="O11" s="125"/>
      <c r="P11" s="125"/>
      <c r="Q11" s="125"/>
      <c r="R11" s="125"/>
      <c r="S11" s="125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</row>
    <row r="12" spans="1:56">
      <c r="A12" s="58">
        <v>6</v>
      </c>
      <c r="B12" s="59">
        <v>32.5</v>
      </c>
      <c r="C12" s="59">
        <v>44.660194174757287</v>
      </c>
      <c r="D12" s="59">
        <v>2.7349514563106792</v>
      </c>
      <c r="E12"/>
      <c r="F12"/>
      <c r="G12"/>
      <c r="H12"/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</row>
    <row r="13" spans="1:56">
      <c r="A13" s="58">
        <v>7</v>
      </c>
      <c r="B13" s="59">
        <v>35.299999999999997</v>
      </c>
      <c r="C13" s="59">
        <v>41.747572815533978</v>
      </c>
      <c r="D13" s="59">
        <v>2.1902912621359221</v>
      </c>
      <c r="E13"/>
      <c r="F13"/>
      <c r="G13"/>
      <c r="H13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</row>
    <row r="14" spans="1:56">
      <c r="A14" s="58">
        <v>8</v>
      </c>
      <c r="B14" s="59">
        <v>23.6</v>
      </c>
      <c r="C14" s="59">
        <v>44.660194174757287</v>
      </c>
      <c r="D14" s="59">
        <v>1.9611650485436893</v>
      </c>
      <c r="E14"/>
      <c r="F14"/>
      <c r="G14"/>
      <c r="H14"/>
      <c r="I14" s="126"/>
      <c r="J14" s="126"/>
      <c r="K14" s="126"/>
      <c r="L14" s="126"/>
      <c r="M14" s="126"/>
      <c r="N14" s="126"/>
      <c r="O14" s="126"/>
      <c r="P14" s="126"/>
      <c r="Q14" s="126"/>
      <c r="R14" s="126"/>
      <c r="S14" s="126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</row>
    <row r="15" spans="1:56">
      <c r="A15" s="58">
        <v>9</v>
      </c>
      <c r="B15" s="59">
        <v>39.5</v>
      </c>
      <c r="C15" s="59">
        <v>45.631067961165051</v>
      </c>
      <c r="D15" s="59">
        <v>3.116504854368932</v>
      </c>
      <c r="E15"/>
      <c r="F15"/>
      <c r="G15"/>
      <c r="H15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</row>
    <row r="16" spans="1:56">
      <c r="A16" s="58">
        <v>10</v>
      </c>
      <c r="B16" s="59">
        <v>47.5</v>
      </c>
      <c r="C16" s="59">
        <v>39.805825242718448</v>
      </c>
      <c r="D16" s="59">
        <v>3.0854368932038847</v>
      </c>
      <c r="E16"/>
      <c r="F16"/>
      <c r="G16"/>
      <c r="H1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</row>
    <row r="17" spans="1:56">
      <c r="A17" s="58">
        <v>11</v>
      </c>
      <c r="B17" s="59">
        <v>55.5</v>
      </c>
      <c r="C17" s="59">
        <v>42.718446601941743</v>
      </c>
      <c r="D17" s="59">
        <v>3.2572815533980592</v>
      </c>
      <c r="E17"/>
      <c r="F17"/>
      <c r="G17"/>
      <c r="H17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</row>
    <row r="18" spans="1:56">
      <c r="A18" s="58">
        <v>12</v>
      </c>
      <c r="B18" s="59">
        <v>37.6</v>
      </c>
      <c r="C18" s="59">
        <v>49.514563106796118</v>
      </c>
      <c r="D18" s="59">
        <v>2.2699029126213595</v>
      </c>
      <c r="E18"/>
      <c r="F18"/>
      <c r="G18"/>
      <c r="H18"/>
      <c r="I18" s="126"/>
      <c r="J18" s="126"/>
      <c r="K18" s="126"/>
      <c r="L18" s="126"/>
      <c r="M18" s="126"/>
      <c r="N18" s="126"/>
      <c r="O18" s="126"/>
      <c r="P18" s="126"/>
      <c r="Q18" s="126"/>
      <c r="R18" s="126"/>
      <c r="S18" s="126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</row>
    <row r="19" spans="1:56">
      <c r="A19" s="58">
        <v>13</v>
      </c>
      <c r="B19" s="59">
        <v>37.5</v>
      </c>
      <c r="C19" s="59">
        <v>42.718446601941743</v>
      </c>
      <c r="D19" s="59">
        <v>3.0271844660194183</v>
      </c>
      <c r="E19"/>
      <c r="F19"/>
      <c r="G19"/>
      <c r="H19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</row>
    <row r="20" spans="1:56">
      <c r="A20" s="58">
        <v>14</v>
      </c>
      <c r="B20" s="59">
        <v>40.5</v>
      </c>
      <c r="C20" s="59">
        <v>43.689320388349515</v>
      </c>
      <c r="D20" s="59">
        <v>3.3834951456310676</v>
      </c>
      <c r="E20"/>
      <c r="F20"/>
      <c r="G20"/>
      <c r="H20"/>
      <c r="I20" s="126"/>
      <c r="J20" s="126"/>
      <c r="K20" s="126"/>
      <c r="L20" s="126"/>
      <c r="M20" s="126"/>
      <c r="N20" s="126"/>
      <c r="O20" s="126"/>
      <c r="P20" s="126"/>
      <c r="Q20" s="126"/>
      <c r="R20" s="126"/>
      <c r="S20" s="126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</row>
    <row r="21" spans="1:56">
      <c r="A21" s="58">
        <v>15</v>
      </c>
      <c r="B21" s="59">
        <v>60.2</v>
      </c>
      <c r="C21" s="59">
        <v>51.456310679611647</v>
      </c>
      <c r="D21" s="59">
        <v>3.1475728155339815</v>
      </c>
      <c r="E21"/>
      <c r="F21"/>
      <c r="G21"/>
      <c r="H21"/>
      <c r="I21" s="126"/>
      <c r="J21" s="126"/>
      <c r="K21" s="126"/>
      <c r="L21" s="126"/>
      <c r="M21" s="126"/>
      <c r="N21" s="126"/>
      <c r="O21" s="126"/>
      <c r="P21" s="126"/>
      <c r="Q21" s="126"/>
      <c r="R21" s="126"/>
      <c r="S21" s="126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</row>
    <row r="22" spans="1:56">
      <c r="A22" s="58">
        <v>16</v>
      </c>
      <c r="B22" s="59">
        <v>94.2</v>
      </c>
      <c r="C22" s="59">
        <v>53.398058252427184</v>
      </c>
      <c r="D22" s="59">
        <v>3.9854368932038842</v>
      </c>
      <c r="E22"/>
      <c r="F22"/>
      <c r="G22"/>
      <c r="H22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</row>
    <row r="23" spans="1:56">
      <c r="A23" s="58">
        <v>17</v>
      </c>
      <c r="B23" s="59">
        <v>68.099999999999994</v>
      </c>
      <c r="C23" s="59">
        <v>49.514563106796118</v>
      </c>
      <c r="D23" s="59">
        <v>3.7378640776699044</v>
      </c>
      <c r="E23"/>
      <c r="F23"/>
      <c r="G23"/>
      <c r="H23"/>
      <c r="I23" s="126"/>
      <c r="J23" s="126"/>
      <c r="K23" s="126"/>
      <c r="L23" s="126"/>
      <c r="M23" s="126"/>
      <c r="N23" s="126"/>
      <c r="O23" s="126"/>
      <c r="P23" s="126"/>
      <c r="Q23" s="126"/>
      <c r="R23" s="126"/>
      <c r="S23" s="126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</row>
    <row r="24" spans="1:56">
      <c r="A24" s="58">
        <v>18</v>
      </c>
      <c r="B24" s="59">
        <v>45</v>
      </c>
      <c r="C24" s="59">
        <v>50.485436893203882</v>
      </c>
      <c r="D24" s="59">
        <v>3.2087378640776687</v>
      </c>
      <c r="E24"/>
      <c r="F24"/>
      <c r="G24"/>
      <c r="H24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</row>
    <row r="25" spans="1:56">
      <c r="A25" s="58">
        <v>19</v>
      </c>
      <c r="B25" s="59">
        <v>61</v>
      </c>
      <c r="C25" s="59">
        <v>51.456310679611647</v>
      </c>
      <c r="D25" s="59">
        <v>5.0902912621359233</v>
      </c>
      <c r="E25"/>
      <c r="F25"/>
      <c r="G25"/>
      <c r="H25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</row>
    <row r="26" spans="1:56">
      <c r="A26" s="58">
        <v>20</v>
      </c>
      <c r="B26" s="59">
        <v>49.6</v>
      </c>
      <c r="C26" s="59">
        <v>58.252427184466015</v>
      </c>
      <c r="D26" s="59">
        <v>4.5631067961165046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</row>
    <row r="27" spans="1:56">
      <c r="A27" s="58">
        <v>21</v>
      </c>
      <c r="B27" s="59">
        <v>42.6</v>
      </c>
      <c r="C27" s="59">
        <v>50.485436893203882</v>
      </c>
      <c r="D27" s="59">
        <v>3.4000000000000004</v>
      </c>
      <c r="E27"/>
      <c r="F27"/>
      <c r="G27"/>
      <c r="H27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</row>
    <row r="28" spans="1:56">
      <c r="A28" s="58">
        <v>22</v>
      </c>
      <c r="B28" s="59">
        <v>33.9</v>
      </c>
      <c r="C28" s="59">
        <v>48.543689320388353</v>
      </c>
      <c r="D28" s="59">
        <v>3.8106796116504862</v>
      </c>
      <c r="E28"/>
      <c r="F28"/>
      <c r="G28"/>
      <c r="H28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</row>
    <row r="29" spans="1:56">
      <c r="A29" s="58">
        <v>23</v>
      </c>
      <c r="B29" s="59">
        <v>29.7</v>
      </c>
      <c r="C29" s="59">
        <v>51.456310679611647</v>
      </c>
      <c r="D29" s="59">
        <v>4.2213592233009694</v>
      </c>
      <c r="E29"/>
      <c r="F29"/>
      <c r="G29"/>
      <c r="H29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</row>
    <row r="30" spans="1:56">
      <c r="A30" s="58">
        <v>24</v>
      </c>
      <c r="B30" s="59">
        <v>44.5</v>
      </c>
      <c r="C30" s="59">
        <v>47.572815533980581</v>
      </c>
      <c r="D30" s="59">
        <v>4.6242718446601936</v>
      </c>
      <c r="E30"/>
      <c r="F30"/>
      <c r="G30"/>
      <c r="H30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</row>
    <row r="31" spans="1:56">
      <c r="A31" s="58">
        <v>25</v>
      </c>
      <c r="B31" s="59">
        <v>74.2</v>
      </c>
      <c r="C31" s="59">
        <v>56.310679611650485</v>
      </c>
      <c r="D31" s="59">
        <v>4.9009708737864086</v>
      </c>
      <c r="E31"/>
      <c r="F31"/>
      <c r="G31"/>
      <c r="H31"/>
      <c r="I31" s="126"/>
      <c r="J31" s="126"/>
      <c r="K31" s="126"/>
      <c r="L31" s="126"/>
      <c r="M31" s="126"/>
      <c r="N31" s="126"/>
      <c r="O31" s="126"/>
      <c r="P31" s="126"/>
      <c r="Q31" s="126"/>
      <c r="R31" s="126"/>
      <c r="S31" s="126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</row>
    <row r="32" spans="1:56">
      <c r="A32" s="58">
        <v>26</v>
      </c>
      <c r="B32" s="59">
        <v>37.200000000000003</v>
      </c>
      <c r="C32" s="59">
        <v>54.368932038834949</v>
      </c>
      <c r="D32" s="59">
        <v>4.2621359223300965</v>
      </c>
      <c r="E32"/>
      <c r="F32"/>
      <c r="G32"/>
      <c r="H32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</row>
    <row r="33" spans="1:56">
      <c r="A33" s="58">
        <v>27</v>
      </c>
      <c r="B33" s="59">
        <v>51.5</v>
      </c>
      <c r="C33" s="59">
        <v>55.339805825242713</v>
      </c>
      <c r="D33" s="59">
        <v>3.5592233009708751</v>
      </c>
      <c r="E33"/>
      <c r="F33"/>
      <c r="G33"/>
      <c r="H33"/>
      <c r="I33" s="126"/>
      <c r="J33" s="126"/>
      <c r="K33" s="126"/>
      <c r="L33" s="126"/>
      <c r="M33" s="126"/>
      <c r="N33" s="126"/>
      <c r="O33" s="126"/>
      <c r="P33" s="126"/>
      <c r="Q33" s="126"/>
      <c r="R33" s="126"/>
      <c r="S33" s="126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</row>
    <row r="34" spans="1:56">
      <c r="A34" s="58">
        <v>28</v>
      </c>
      <c r="B34" s="59">
        <v>40.200000000000003</v>
      </c>
      <c r="C34" s="59">
        <v>51.456310679611647</v>
      </c>
      <c r="D34" s="59">
        <v>4.6776699029126219</v>
      </c>
      <c r="E34"/>
      <c r="F34"/>
      <c r="G34"/>
      <c r="H34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</row>
    <row r="35" spans="1:56">
      <c r="A35" s="58">
        <v>29</v>
      </c>
      <c r="B35" s="59">
        <v>17.600000000000001</v>
      </c>
      <c r="C35" s="59">
        <v>51.456310679611647</v>
      </c>
      <c r="D35" s="59">
        <v>2.6660194174757272</v>
      </c>
      <c r="F35"/>
      <c r="G35"/>
      <c r="H35"/>
      <c r="I35" s="126"/>
      <c r="J35" s="126"/>
      <c r="K35" s="126"/>
      <c r="L35" s="126"/>
      <c r="M35" s="126"/>
      <c r="N35" s="126"/>
      <c r="O35" s="126"/>
      <c r="P35" s="126"/>
      <c r="Q35" s="126"/>
      <c r="R35" s="126"/>
      <c r="S35" s="126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</row>
    <row r="36" spans="1:56">
      <c r="A36" s="58">
        <v>30</v>
      </c>
      <c r="B36" s="59">
        <v>54.5</v>
      </c>
      <c r="C36" s="59">
        <v>50.485436893203882</v>
      </c>
      <c r="D36" s="59">
        <v>3.9262135922330099</v>
      </c>
      <c r="H3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</row>
    <row r="37" spans="1:56">
      <c r="A37" s="58"/>
      <c r="B37" s="59"/>
      <c r="C37" s="59"/>
      <c r="D37" s="59"/>
      <c r="I37" s="126"/>
      <c r="J37" s="126"/>
      <c r="K37" s="126"/>
      <c r="L37" s="126"/>
      <c r="M37" s="126"/>
      <c r="N37" s="126"/>
      <c r="O37" s="126"/>
      <c r="P37" s="126"/>
      <c r="Q37" s="126"/>
      <c r="R37" s="126"/>
      <c r="S37" s="126"/>
    </row>
    <row r="38" spans="1:56">
      <c r="A38" s="61"/>
      <c r="B38" s="62"/>
      <c r="C38" s="61"/>
      <c r="D38" s="61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</row>
    <row r="39" spans="1:56">
      <c r="A39" s="61"/>
      <c r="B39" s="62"/>
      <c r="C39" s="62"/>
      <c r="D39" s="62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</row>
    <row r="40" spans="1:56">
      <c r="B40" s="60"/>
      <c r="C40" s="60"/>
      <c r="D40" s="60"/>
    </row>
    <row r="42" spans="1:56">
      <c r="C42" s="60"/>
    </row>
  </sheetData>
  <mergeCells count="5">
    <mergeCell ref="A1:D4"/>
    <mergeCell ref="I1:S13"/>
    <mergeCell ref="A5:A6"/>
    <mergeCell ref="I14:S25"/>
    <mergeCell ref="I27:S39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sheetPr codeName="Sayfa20"/>
  <dimension ref="A1:BD42"/>
  <sheetViews>
    <sheetView topLeftCell="O15" workbookViewId="0">
      <selection activeCell="C18" sqref="C18"/>
    </sheetView>
  </sheetViews>
  <sheetFormatPr defaultRowHeight="28.5"/>
  <cols>
    <col min="1" max="1" width="14.85546875" style="63" bestFit="1" customWidth="1"/>
    <col min="2" max="2" width="22.140625" style="63" bestFit="1" customWidth="1"/>
    <col min="3" max="3" width="24.140625" style="63" bestFit="1" customWidth="1"/>
    <col min="4" max="4" width="18" style="63" bestFit="1" customWidth="1"/>
    <col min="5" max="5" width="5.5703125" style="26" customWidth="1"/>
    <col min="6" max="6" width="6" style="26" bestFit="1" customWidth="1"/>
    <col min="7" max="7" width="11.140625" style="26" bestFit="1" customWidth="1"/>
    <col min="8" max="8" width="5.140625" style="26" bestFit="1" customWidth="1"/>
    <col min="9" max="9" width="11.140625" style="46" bestFit="1" customWidth="1"/>
    <col min="10" max="10" width="7" style="46" bestFit="1" customWidth="1"/>
    <col min="11" max="11" width="12" style="46" bestFit="1" customWidth="1"/>
    <col min="12" max="12" width="9.140625" style="26"/>
    <col min="13" max="13" width="6" style="26" bestFit="1" customWidth="1"/>
    <col min="14" max="14" width="11.140625" style="26" bestFit="1" customWidth="1"/>
    <col min="15" max="15" width="7" style="46" bestFit="1" customWidth="1"/>
    <col min="16" max="16" width="9.140625" style="46" bestFit="1" customWidth="1"/>
    <col min="17" max="17" width="9.140625" style="26"/>
    <col min="18" max="18" width="6" style="26" bestFit="1" customWidth="1"/>
    <col min="19" max="19" width="9.42578125" style="26" bestFit="1" customWidth="1"/>
    <col min="20" max="20" width="12.42578125" style="46" bestFit="1" customWidth="1"/>
    <col min="21" max="21" width="12.42578125" style="46" customWidth="1"/>
    <col min="22" max="22" width="9.140625" style="26"/>
    <col min="23" max="23" width="7.5703125" style="26" bestFit="1" customWidth="1"/>
    <col min="24" max="24" width="9.42578125" style="26" bestFit="1" customWidth="1"/>
    <col min="25" max="25" width="12.42578125" style="46" bestFit="1" customWidth="1"/>
    <col min="26" max="26" width="12.42578125" style="46" customWidth="1"/>
    <col min="27" max="27" width="9.140625" style="26"/>
    <col min="28" max="28" width="8.5703125" style="26" bestFit="1" customWidth="1"/>
    <col min="29" max="29" width="9.42578125" style="26" bestFit="1" customWidth="1"/>
    <col min="30" max="30" width="12.42578125" style="46" bestFit="1" customWidth="1"/>
    <col min="31" max="31" width="12.42578125" style="46" customWidth="1"/>
    <col min="32" max="32" width="9.140625" style="26"/>
    <col min="33" max="33" width="8" style="26" bestFit="1" customWidth="1"/>
    <col min="34" max="34" width="9.42578125" style="26" bestFit="1" customWidth="1"/>
    <col min="35" max="35" width="12.42578125" style="46" bestFit="1" customWidth="1"/>
    <col min="36" max="36" width="12.42578125" style="46" customWidth="1"/>
    <col min="37" max="37" width="9.140625" style="26"/>
    <col min="38" max="38" width="5.28515625" style="26" bestFit="1" customWidth="1"/>
    <col min="39" max="39" width="9.42578125" style="26" bestFit="1" customWidth="1"/>
    <col min="40" max="40" width="12.42578125" style="46" bestFit="1" customWidth="1"/>
    <col min="41" max="41" width="12.42578125" style="46" customWidth="1"/>
    <col min="42" max="42" width="9.140625" style="26"/>
    <col min="43" max="43" width="5.28515625" style="26" bestFit="1" customWidth="1"/>
    <col min="44" max="44" width="9.42578125" style="26" bestFit="1" customWidth="1"/>
    <col min="45" max="45" width="12.42578125" style="46" bestFit="1" customWidth="1"/>
    <col min="46" max="46" width="12.42578125" style="46" customWidth="1"/>
    <col min="47" max="47" width="9.140625" style="26"/>
    <col min="48" max="48" width="6.140625" style="26" bestFit="1" customWidth="1"/>
    <col min="49" max="49" width="9.42578125" style="26" bestFit="1" customWidth="1"/>
    <col min="50" max="50" width="12.42578125" style="46" bestFit="1" customWidth="1"/>
    <col min="51" max="51" width="12.42578125" style="46" customWidth="1"/>
    <col min="52" max="52" width="9.140625" style="26"/>
    <col min="53" max="53" width="6" style="26" bestFit="1" customWidth="1"/>
    <col min="54" max="54" width="9.42578125" style="26" bestFit="1" customWidth="1"/>
    <col min="55" max="55" width="12.42578125" style="46" bestFit="1" customWidth="1"/>
    <col min="56" max="56" width="9.140625" style="26"/>
  </cols>
  <sheetData>
    <row r="1" spans="1:56" ht="15" customHeight="1">
      <c r="A1" s="127" t="s">
        <v>439</v>
      </c>
      <c r="B1" s="127"/>
      <c r="C1" s="127"/>
      <c r="D1" s="127"/>
      <c r="E1" s="30"/>
      <c r="F1"/>
      <c r="G1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</row>
    <row r="2" spans="1:56" ht="15" customHeight="1">
      <c r="A2" s="127"/>
      <c r="B2" s="127"/>
      <c r="C2" s="127"/>
      <c r="D2" s="127"/>
      <c r="E2"/>
      <c r="F2"/>
      <c r="G2"/>
      <c r="H2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</row>
    <row r="3" spans="1:56" ht="15" customHeight="1">
      <c r="A3" s="127"/>
      <c r="B3" s="127"/>
      <c r="C3" s="127"/>
      <c r="D3" s="127"/>
      <c r="E3"/>
      <c r="F3"/>
      <c r="G3"/>
      <c r="H3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</row>
    <row r="4" spans="1:56" ht="15" customHeight="1">
      <c r="A4" s="128"/>
      <c r="B4" s="128"/>
      <c r="C4" s="128"/>
      <c r="D4" s="128"/>
      <c r="E4"/>
      <c r="F4"/>
      <c r="G4"/>
      <c r="H4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</row>
    <row r="5" spans="1:56">
      <c r="A5" s="129" t="s">
        <v>448</v>
      </c>
      <c r="B5" s="56" t="s">
        <v>423</v>
      </c>
      <c r="C5" s="56" t="s">
        <v>449</v>
      </c>
      <c r="D5" s="57" t="s">
        <v>2</v>
      </c>
      <c r="E5"/>
      <c r="F5"/>
      <c r="G5"/>
      <c r="H5"/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</row>
    <row r="6" spans="1:56">
      <c r="A6" s="130"/>
      <c r="B6" s="56" t="s">
        <v>438</v>
      </c>
      <c r="C6" s="56" t="s">
        <v>437</v>
      </c>
      <c r="D6" s="64" t="s">
        <v>438</v>
      </c>
      <c r="E6"/>
      <c r="F6"/>
      <c r="G6"/>
      <c r="H6"/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</row>
    <row r="7" spans="1:56">
      <c r="A7" s="58">
        <v>1</v>
      </c>
      <c r="B7" s="59">
        <v>51.8</v>
      </c>
      <c r="C7" s="59">
        <v>53.398058252427184</v>
      </c>
      <c r="D7" s="59">
        <v>3.5067961165048533</v>
      </c>
      <c r="E7"/>
      <c r="F7"/>
      <c r="G7"/>
      <c r="H7"/>
      <c r="I7" s="125"/>
      <c r="J7" s="125"/>
      <c r="K7" s="125"/>
      <c r="L7" s="125"/>
      <c r="M7" s="125"/>
      <c r="N7" s="125"/>
      <c r="O7" s="125"/>
      <c r="P7" s="125"/>
      <c r="Q7" s="125"/>
      <c r="R7" s="125"/>
      <c r="S7" s="125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</row>
    <row r="8" spans="1:56">
      <c r="A8" s="58">
        <v>2</v>
      </c>
      <c r="B8" s="59">
        <v>42.5</v>
      </c>
      <c r="C8" s="59">
        <v>53.398058252427184</v>
      </c>
      <c r="D8" s="59">
        <v>4.5203883495145636</v>
      </c>
      <c r="E8"/>
      <c r="F8"/>
      <c r="G8"/>
      <c r="H8"/>
      <c r="I8" s="125"/>
      <c r="J8" s="125"/>
      <c r="K8" s="125"/>
      <c r="L8" s="125"/>
      <c r="M8" s="125"/>
      <c r="N8" s="125"/>
      <c r="O8" s="125"/>
      <c r="P8" s="125"/>
      <c r="Q8" s="125"/>
      <c r="R8" s="125"/>
      <c r="S8" s="125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</row>
    <row r="9" spans="1:56">
      <c r="A9" s="58">
        <v>3</v>
      </c>
      <c r="B9" s="59">
        <v>30</v>
      </c>
      <c r="C9" s="59">
        <v>49.514563106796118</v>
      </c>
      <c r="D9" s="59">
        <v>3.0485436893203883</v>
      </c>
      <c r="E9"/>
      <c r="F9"/>
      <c r="G9"/>
      <c r="H9"/>
      <c r="I9" s="125"/>
      <c r="J9" s="125"/>
      <c r="K9" s="125"/>
      <c r="L9" s="125"/>
      <c r="M9" s="125"/>
      <c r="N9" s="125"/>
      <c r="O9" s="125"/>
      <c r="P9" s="125"/>
      <c r="Q9" s="125"/>
      <c r="R9" s="125"/>
      <c r="S9" s="125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</row>
    <row r="10" spans="1:56">
      <c r="A10" s="58">
        <v>4</v>
      </c>
      <c r="B10" s="59">
        <v>55.1</v>
      </c>
      <c r="C10" s="59">
        <v>47.572815533980581</v>
      </c>
      <c r="D10" s="59">
        <v>4.0970873786407775</v>
      </c>
      <c r="E10"/>
      <c r="F10"/>
      <c r="G10"/>
      <c r="H10"/>
      <c r="I10" s="125"/>
      <c r="J10" s="125"/>
      <c r="K10" s="125"/>
      <c r="L10" s="125"/>
      <c r="M10" s="125"/>
      <c r="N10" s="125"/>
      <c r="O10" s="125"/>
      <c r="P10" s="125"/>
      <c r="Q10" s="125"/>
      <c r="R10" s="125"/>
      <c r="S10" s="125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</row>
    <row r="11" spans="1:56">
      <c r="A11" s="58">
        <v>5</v>
      </c>
      <c r="B11" s="59">
        <v>36.4</v>
      </c>
      <c r="C11" s="59">
        <v>55.339805825242713</v>
      </c>
      <c r="D11" s="59">
        <v>3.8155339805825244</v>
      </c>
      <c r="E11"/>
      <c r="F11"/>
      <c r="G11"/>
      <c r="H11"/>
      <c r="I11" s="125"/>
      <c r="J11" s="125"/>
      <c r="K11" s="125"/>
      <c r="L11" s="125"/>
      <c r="M11" s="125"/>
      <c r="N11" s="125"/>
      <c r="O11" s="125"/>
      <c r="P11" s="125"/>
      <c r="Q11" s="125"/>
      <c r="R11" s="125"/>
      <c r="S11" s="125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</row>
    <row r="12" spans="1:56">
      <c r="A12" s="58">
        <v>6</v>
      </c>
      <c r="B12" s="59">
        <v>59.3</v>
      </c>
      <c r="C12" s="59">
        <v>51.456310679611647</v>
      </c>
      <c r="D12" s="59">
        <v>3.7029126213592236</v>
      </c>
      <c r="E12"/>
      <c r="F12"/>
      <c r="G12"/>
      <c r="H12"/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</row>
    <row r="13" spans="1:56">
      <c r="A13" s="58">
        <v>7</v>
      </c>
      <c r="B13" s="59">
        <v>66</v>
      </c>
      <c r="C13" s="59">
        <v>60.194174757281552</v>
      </c>
      <c r="D13" s="59">
        <v>5.4067961165048546</v>
      </c>
      <c r="E13"/>
      <c r="F13"/>
      <c r="G13"/>
      <c r="H13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</row>
    <row r="14" spans="1:56">
      <c r="A14" s="58">
        <v>8</v>
      </c>
      <c r="B14" s="59">
        <v>29.2</v>
      </c>
      <c r="C14" s="59">
        <v>61.165048543689316</v>
      </c>
      <c r="D14" s="59">
        <v>4.5504854368932035</v>
      </c>
      <c r="E14"/>
      <c r="F14"/>
      <c r="G14"/>
      <c r="H14"/>
      <c r="I14" s="126"/>
      <c r="J14" s="126"/>
      <c r="K14" s="126"/>
      <c r="L14" s="126"/>
      <c r="M14" s="126"/>
      <c r="N14" s="126"/>
      <c r="O14" s="126"/>
      <c r="P14" s="126"/>
      <c r="Q14" s="126"/>
      <c r="R14" s="126"/>
      <c r="S14" s="126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</row>
    <row r="15" spans="1:56">
      <c r="A15" s="58">
        <v>9</v>
      </c>
      <c r="B15" s="59">
        <v>58.5</v>
      </c>
      <c r="C15" s="59">
        <v>57.28155339805825</v>
      </c>
      <c r="D15" s="59">
        <v>5.776699029126215</v>
      </c>
      <c r="E15"/>
      <c r="F15"/>
      <c r="G15"/>
      <c r="H15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</row>
    <row r="16" spans="1:56">
      <c r="A16" s="58">
        <v>10</v>
      </c>
      <c r="B16" s="59">
        <v>28.5</v>
      </c>
      <c r="C16" s="59">
        <v>58.252427184466015</v>
      </c>
      <c r="D16" s="59">
        <v>3.1029126213592226</v>
      </c>
      <c r="E16"/>
      <c r="F16"/>
      <c r="G16"/>
      <c r="H1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</row>
    <row r="17" spans="1:56">
      <c r="A17" s="58">
        <v>11</v>
      </c>
      <c r="B17" s="59">
        <v>47.2</v>
      </c>
      <c r="C17" s="59">
        <v>57.28155339805825</v>
      </c>
      <c r="D17" s="59">
        <v>4.1252427184466018</v>
      </c>
      <c r="E17"/>
      <c r="F17"/>
      <c r="G17"/>
      <c r="H17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</row>
    <row r="18" spans="1:56">
      <c r="A18" s="58">
        <v>12</v>
      </c>
      <c r="B18" s="59">
        <v>44.3</v>
      </c>
      <c r="C18" s="59">
        <v>65.048543689320397</v>
      </c>
      <c r="D18" s="59">
        <v>5.3203883495145643</v>
      </c>
      <c r="E18"/>
      <c r="F18"/>
      <c r="G18"/>
      <c r="H18"/>
      <c r="I18" s="126"/>
      <c r="J18" s="126"/>
      <c r="K18" s="126"/>
      <c r="L18" s="126"/>
      <c r="M18" s="126"/>
      <c r="N18" s="126"/>
      <c r="O18" s="126"/>
      <c r="P18" s="126"/>
      <c r="Q18" s="126"/>
      <c r="R18" s="126"/>
      <c r="S18" s="126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</row>
    <row r="19" spans="1:56">
      <c r="A19" s="58">
        <v>13</v>
      </c>
      <c r="B19" s="59">
        <v>30</v>
      </c>
      <c r="C19" s="59">
        <v>59.22330097087378</v>
      </c>
      <c r="D19" s="59">
        <v>3.9941747572815536</v>
      </c>
      <c r="E19"/>
      <c r="F19"/>
      <c r="G19"/>
      <c r="H19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</row>
    <row r="20" spans="1:56">
      <c r="A20" s="58">
        <v>14</v>
      </c>
      <c r="B20" s="59">
        <v>48</v>
      </c>
      <c r="C20" s="59">
        <v>56.310679611650485</v>
      </c>
      <c r="D20" s="59">
        <v>3.9048543689320399</v>
      </c>
      <c r="E20"/>
      <c r="F20"/>
      <c r="G20"/>
      <c r="H20"/>
      <c r="I20" s="126"/>
      <c r="J20" s="126"/>
      <c r="K20" s="126"/>
      <c r="L20" s="126"/>
      <c r="M20" s="126"/>
      <c r="N20" s="126"/>
      <c r="O20" s="126"/>
      <c r="P20" s="126"/>
      <c r="Q20" s="126"/>
      <c r="R20" s="126"/>
      <c r="S20" s="126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</row>
    <row r="21" spans="1:56">
      <c r="A21" s="58">
        <v>15</v>
      </c>
      <c r="B21" s="59">
        <v>36.700000000000003</v>
      </c>
      <c r="C21" s="59">
        <v>56.310679611650485</v>
      </c>
      <c r="D21" s="59">
        <v>4.463106796116505</v>
      </c>
      <c r="E21"/>
      <c r="F21"/>
      <c r="G21"/>
      <c r="H21"/>
      <c r="I21" s="126"/>
      <c r="J21" s="126"/>
      <c r="K21" s="126"/>
      <c r="L21" s="126"/>
      <c r="M21" s="126"/>
      <c r="N21" s="126"/>
      <c r="O21" s="126"/>
      <c r="P21" s="126"/>
      <c r="Q21" s="126"/>
      <c r="R21" s="126"/>
      <c r="S21" s="126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</row>
    <row r="22" spans="1:56">
      <c r="A22" s="58">
        <v>16</v>
      </c>
      <c r="B22" s="59">
        <v>50.6</v>
      </c>
      <c r="C22" s="59">
        <v>59.22330097087378</v>
      </c>
      <c r="D22" s="59">
        <v>5.4097087378640785</v>
      </c>
      <c r="E22"/>
      <c r="F22"/>
      <c r="G22"/>
      <c r="H22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</row>
    <row r="23" spans="1:56">
      <c r="A23" s="58">
        <v>17</v>
      </c>
      <c r="B23" s="59">
        <v>67</v>
      </c>
      <c r="C23" s="59">
        <v>57.28155339805825</v>
      </c>
      <c r="D23" s="59">
        <v>5.1310679611650487</v>
      </c>
      <c r="E23"/>
      <c r="F23"/>
      <c r="G23"/>
      <c r="H23"/>
      <c r="I23" s="126"/>
      <c r="J23" s="126"/>
      <c r="K23" s="126"/>
      <c r="L23" s="126"/>
      <c r="M23" s="126"/>
      <c r="N23" s="126"/>
      <c r="O23" s="126"/>
      <c r="P23" s="126"/>
      <c r="Q23" s="126"/>
      <c r="R23" s="126"/>
      <c r="S23" s="126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</row>
    <row r="24" spans="1:56">
      <c r="A24" s="58">
        <v>18</v>
      </c>
      <c r="B24" s="59">
        <v>58.2</v>
      </c>
      <c r="C24" s="59">
        <v>58.252427184466015</v>
      </c>
      <c r="D24" s="59">
        <v>4.8640776699029118</v>
      </c>
      <c r="E24"/>
      <c r="F24"/>
      <c r="G24"/>
      <c r="H24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</row>
    <row r="25" spans="1:56">
      <c r="A25" s="58">
        <v>19</v>
      </c>
      <c r="B25" s="59">
        <v>28.8</v>
      </c>
      <c r="C25" s="59">
        <v>64.077669902912632</v>
      </c>
      <c r="D25" s="59">
        <v>3.1184466019417476</v>
      </c>
      <c r="E25"/>
      <c r="F25"/>
      <c r="G25"/>
      <c r="H25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</row>
    <row r="26" spans="1:56">
      <c r="A26" s="58">
        <v>20</v>
      </c>
      <c r="B26" s="59">
        <v>28.2</v>
      </c>
      <c r="C26" s="59">
        <v>59.22330097087378</v>
      </c>
      <c r="D26" s="59">
        <v>4.383495145631068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</row>
    <row r="27" spans="1:56">
      <c r="A27" s="58">
        <v>21</v>
      </c>
      <c r="B27" s="59">
        <v>43.3</v>
      </c>
      <c r="C27" s="59">
        <v>57.28155339805825</v>
      </c>
      <c r="D27" s="59">
        <v>4.3320388349514554</v>
      </c>
      <c r="E27"/>
      <c r="F27"/>
      <c r="G27"/>
      <c r="H27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</row>
    <row r="28" spans="1:56">
      <c r="A28" s="58">
        <v>22</v>
      </c>
      <c r="B28" s="59">
        <v>50.1</v>
      </c>
      <c r="C28" s="59">
        <v>62.135922330097081</v>
      </c>
      <c r="D28" s="59">
        <v>4.2834951456310684</v>
      </c>
      <c r="E28"/>
      <c r="F28"/>
      <c r="G28"/>
      <c r="H28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</row>
    <row r="29" spans="1:56">
      <c r="A29" s="58">
        <v>23</v>
      </c>
      <c r="B29" s="59">
        <v>36.6</v>
      </c>
      <c r="C29" s="59">
        <v>56.310679611650485</v>
      </c>
      <c r="D29" s="59">
        <v>3.4640776699029132</v>
      </c>
      <c r="E29"/>
      <c r="F29"/>
      <c r="G29"/>
      <c r="H29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</row>
    <row r="30" spans="1:56">
      <c r="A30" s="58">
        <v>24</v>
      </c>
      <c r="B30" s="59">
        <v>38.299999999999997</v>
      </c>
      <c r="C30" s="59">
        <v>62.135922330097081</v>
      </c>
      <c r="D30" s="59">
        <v>3.0757281553398053</v>
      </c>
      <c r="E30"/>
      <c r="F30"/>
      <c r="G30"/>
      <c r="H30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</row>
    <row r="31" spans="1:56">
      <c r="A31" s="58">
        <v>25</v>
      </c>
      <c r="B31" s="59">
        <v>41.3</v>
      </c>
      <c r="C31" s="59">
        <v>54.368932038834949</v>
      </c>
      <c r="D31" s="59">
        <v>4.2592233009708744</v>
      </c>
      <c r="E31"/>
      <c r="F31"/>
      <c r="G31"/>
      <c r="H31"/>
      <c r="I31" s="126"/>
      <c r="J31" s="126"/>
      <c r="K31" s="126"/>
      <c r="L31" s="126"/>
      <c r="M31" s="126"/>
      <c r="N31" s="126"/>
      <c r="O31" s="126"/>
      <c r="P31" s="126"/>
      <c r="Q31" s="126"/>
      <c r="R31" s="126"/>
      <c r="S31" s="126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</row>
    <row r="32" spans="1:56">
      <c r="A32" s="58">
        <v>26</v>
      </c>
      <c r="B32" s="59">
        <v>68</v>
      </c>
      <c r="C32" s="59">
        <v>58.252427184466015</v>
      </c>
      <c r="D32" s="59">
        <v>4.0184466019417489</v>
      </c>
      <c r="E32"/>
      <c r="F32"/>
      <c r="G32"/>
      <c r="H32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</row>
    <row r="33" spans="1:56">
      <c r="A33" s="58">
        <v>27</v>
      </c>
      <c r="B33" s="59">
        <v>56.5</v>
      </c>
      <c r="C33" s="59">
        <v>55.339805825242713</v>
      </c>
      <c r="D33" s="59">
        <v>5.2631067961165048</v>
      </c>
      <c r="E33"/>
      <c r="F33"/>
      <c r="G33"/>
      <c r="H33"/>
      <c r="I33" s="126"/>
      <c r="J33" s="126"/>
      <c r="K33" s="126"/>
      <c r="L33" s="126"/>
      <c r="M33" s="126"/>
      <c r="N33" s="126"/>
      <c r="O33" s="126"/>
      <c r="P33" s="126"/>
      <c r="Q33" s="126"/>
      <c r="R33" s="126"/>
      <c r="S33" s="126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</row>
    <row r="34" spans="1:56">
      <c r="A34" s="58">
        <v>28</v>
      </c>
      <c r="B34" s="59">
        <v>34</v>
      </c>
      <c r="C34" s="59">
        <v>58.252427184466015</v>
      </c>
      <c r="D34" s="59">
        <v>4.0922330097087389</v>
      </c>
      <c r="E34"/>
      <c r="F34"/>
      <c r="G34"/>
      <c r="H34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</row>
    <row r="35" spans="1:56">
      <c r="A35" s="58">
        <v>29</v>
      </c>
      <c r="B35" s="59">
        <v>34.700000000000003</v>
      </c>
      <c r="C35" s="59">
        <v>54.368932038834949</v>
      </c>
      <c r="D35" s="59">
        <v>3.1252427184466023</v>
      </c>
      <c r="F35"/>
      <c r="G35"/>
      <c r="H35"/>
      <c r="I35" s="126"/>
      <c r="J35" s="126"/>
      <c r="K35" s="126"/>
      <c r="L35" s="126"/>
      <c r="M35" s="126"/>
      <c r="N35" s="126"/>
      <c r="O35" s="126"/>
      <c r="P35" s="126"/>
      <c r="Q35" s="126"/>
      <c r="R35" s="126"/>
      <c r="S35" s="126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</row>
    <row r="36" spans="1:56">
      <c r="A36" s="58">
        <v>30</v>
      </c>
      <c r="B36" s="59">
        <v>34.5</v>
      </c>
      <c r="C36" s="59">
        <v>53.398058252427184</v>
      </c>
      <c r="D36" s="59">
        <v>2.8854368932038823</v>
      </c>
      <c r="H3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</row>
    <row r="37" spans="1:56">
      <c r="A37" s="58">
        <v>31</v>
      </c>
      <c r="B37" s="59">
        <v>42.4</v>
      </c>
      <c r="C37" s="59">
        <v>49.514563106796118</v>
      </c>
      <c r="D37" s="59">
        <v>2.9737864077669887</v>
      </c>
      <c r="I37" s="126"/>
      <c r="J37" s="126"/>
      <c r="K37" s="126"/>
      <c r="L37" s="126"/>
      <c r="M37" s="126"/>
      <c r="N37" s="126"/>
      <c r="O37" s="126"/>
      <c r="P37" s="126"/>
      <c r="Q37" s="126"/>
      <c r="R37" s="126"/>
      <c r="S37" s="126"/>
    </row>
    <row r="38" spans="1:56">
      <c r="A38" s="61"/>
      <c r="B38" s="62"/>
      <c r="C38" s="61"/>
      <c r="D38" s="61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</row>
    <row r="39" spans="1:56">
      <c r="A39" s="61"/>
      <c r="B39" s="62"/>
      <c r="C39" s="62"/>
      <c r="D39" s="62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</row>
    <row r="40" spans="1:56">
      <c r="B40" s="60"/>
      <c r="C40" s="60"/>
      <c r="D40" s="60"/>
    </row>
    <row r="42" spans="1:56">
      <c r="C42" s="60"/>
    </row>
  </sheetData>
  <mergeCells count="5">
    <mergeCell ref="A1:D4"/>
    <mergeCell ref="I1:S13"/>
    <mergeCell ref="A5:A6"/>
    <mergeCell ref="I14:S25"/>
    <mergeCell ref="I27:S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20</vt:i4>
      </vt:variant>
    </vt:vector>
  </HeadingPairs>
  <TitlesOfParts>
    <vt:vector size="20" baseType="lpstr">
      <vt:lpstr>verilerin Hepsi</vt:lpstr>
      <vt:lpstr>Şenol</vt:lpstr>
      <vt:lpstr>Bahar 1</vt:lpstr>
      <vt:lpstr>Bahar 2</vt:lpstr>
      <vt:lpstr>Aylık</vt:lpstr>
      <vt:lpstr>Veriler Yedek</vt:lpstr>
      <vt:lpstr>Sayfa1</vt:lpstr>
      <vt:lpstr>Aylık Yedek</vt:lpstr>
      <vt:lpstr>Ocak</vt:lpstr>
      <vt:lpstr>Şubat</vt:lpstr>
      <vt:lpstr>Mart</vt:lpstr>
      <vt:lpstr>Nisan</vt:lpstr>
      <vt:lpstr>Mayıs</vt:lpstr>
      <vt:lpstr>Haziran</vt:lpstr>
      <vt:lpstr>Temmuz</vt:lpstr>
      <vt:lpstr>Ağustos</vt:lpstr>
      <vt:lpstr>Eylül</vt:lpstr>
      <vt:lpstr>Ekim</vt:lpstr>
      <vt:lpstr>Kasım</vt:lpstr>
      <vt:lpstr>Aralık</vt:lpstr>
    </vt:vector>
  </TitlesOfParts>
  <Company>Boun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Meteoroloji</dc:creator>
  <cp:lastModifiedBy>Ortak</cp:lastModifiedBy>
  <cp:lastPrinted>2014-03-09T11:42:51Z</cp:lastPrinted>
  <dcterms:created xsi:type="dcterms:W3CDTF">2013-11-27T14:19:36Z</dcterms:created>
  <dcterms:modified xsi:type="dcterms:W3CDTF">2014-04-05T07:26:20Z</dcterms:modified>
</cp:coreProperties>
</file>