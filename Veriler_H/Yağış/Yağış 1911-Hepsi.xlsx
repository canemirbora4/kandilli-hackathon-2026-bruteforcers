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20" windowWidth="14880" windowHeight="7935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Sayfa1!$A$1:$DC$376</definedName>
  </definedNames>
  <calcPr calcId="125725"/>
</workbook>
</file>

<file path=xl/calcChain.xml><?xml version="1.0" encoding="utf-8"?>
<calcChain xmlns="http://schemas.openxmlformats.org/spreadsheetml/2006/main">
  <c r="DC389" i="1"/>
  <c r="DD389"/>
  <c r="DC378"/>
  <c r="DD378"/>
  <c r="DC379"/>
  <c r="DD379"/>
  <c r="DC380"/>
  <c r="DD380"/>
  <c r="DC381"/>
  <c r="DD381"/>
  <c r="DC382"/>
  <c r="DD382"/>
  <c r="DC383"/>
  <c r="DD383"/>
  <c r="DC384"/>
  <c r="DD384"/>
  <c r="DC385"/>
  <c r="DD385"/>
  <c r="DC386"/>
  <c r="DD386"/>
  <c r="DC387"/>
  <c r="DD387"/>
  <c r="DB370"/>
  <c r="DC370"/>
  <c r="DD370"/>
  <c r="DB371"/>
  <c r="DC371"/>
  <c r="DD371"/>
  <c r="DB372"/>
  <c r="DC372"/>
  <c r="DC375" s="1"/>
  <c r="DD372"/>
  <c r="DB373"/>
  <c r="DC373"/>
  <c r="DD373"/>
  <c r="DB374"/>
  <c r="DC374"/>
  <c r="DD374"/>
  <c r="DB375"/>
  <c r="DD375"/>
  <c r="DK3"/>
  <c r="DL3"/>
  <c r="DM3"/>
  <c r="DN3"/>
  <c r="DK4"/>
  <c r="DL4"/>
  <c r="DM4"/>
  <c r="DN4"/>
  <c r="DK5"/>
  <c r="DL5"/>
  <c r="DM5"/>
  <c r="DN5"/>
  <c r="DK6"/>
  <c r="DL6"/>
  <c r="DM6"/>
  <c r="DN6"/>
  <c r="DK7"/>
  <c r="DL7"/>
  <c r="DM7"/>
  <c r="DN7"/>
  <c r="DK8"/>
  <c r="DL8"/>
  <c r="DM8"/>
  <c r="DN8"/>
  <c r="DK9"/>
  <c r="DL9"/>
  <c r="DM9"/>
  <c r="DN9"/>
  <c r="DK10"/>
  <c r="DL10"/>
  <c r="DM10"/>
  <c r="DN10"/>
  <c r="DK11"/>
  <c r="DL11"/>
  <c r="DM11"/>
  <c r="DN11"/>
  <c r="DK12"/>
  <c r="DL12"/>
  <c r="DM12"/>
  <c r="DN12"/>
  <c r="DK13"/>
  <c r="DL13"/>
  <c r="DM13"/>
  <c r="DN13"/>
  <c r="DK14"/>
  <c r="DL14"/>
  <c r="DM14"/>
  <c r="DN14"/>
  <c r="DK15"/>
  <c r="DL15"/>
  <c r="DM15"/>
  <c r="DN15"/>
  <c r="DK16"/>
  <c r="DL16"/>
  <c r="DM16"/>
  <c r="DN16"/>
  <c r="DK17"/>
  <c r="DL17"/>
  <c r="DM17"/>
  <c r="DN17"/>
  <c r="DK18"/>
  <c r="DL18"/>
  <c r="DM18"/>
  <c r="DN18"/>
  <c r="DK19"/>
  <c r="DL19"/>
  <c r="DM19"/>
  <c r="DN19"/>
  <c r="DK20"/>
  <c r="DL20"/>
  <c r="DM20"/>
  <c r="DN20"/>
  <c r="DK21"/>
  <c r="DL21"/>
  <c r="DM21"/>
  <c r="DN21"/>
  <c r="DK22"/>
  <c r="DL22"/>
  <c r="DM22"/>
  <c r="DN22"/>
  <c r="DK23"/>
  <c r="DL23"/>
  <c r="DM23"/>
  <c r="DN23"/>
  <c r="DK24"/>
  <c r="DL24"/>
  <c r="DM24"/>
  <c r="DN24"/>
  <c r="DK25"/>
  <c r="DL25"/>
  <c r="DM25"/>
  <c r="DN25"/>
  <c r="DK26"/>
  <c r="DL26"/>
  <c r="DM26"/>
  <c r="DN26"/>
  <c r="DK27"/>
  <c r="DL27"/>
  <c r="DM27"/>
  <c r="DN27"/>
  <c r="DK28"/>
  <c r="DL28"/>
  <c r="DM28"/>
  <c r="DN28"/>
  <c r="DK29"/>
  <c r="DL29"/>
  <c r="DM29"/>
  <c r="DN29"/>
  <c r="DK30"/>
  <c r="DL30"/>
  <c r="DM30"/>
  <c r="DN30"/>
  <c r="DK31"/>
  <c r="DL31"/>
  <c r="DM31"/>
  <c r="DN31"/>
  <c r="DK32"/>
  <c r="DL32"/>
  <c r="DM32"/>
  <c r="DN32"/>
  <c r="DK33"/>
  <c r="DL33"/>
  <c r="DM33"/>
  <c r="DN33"/>
  <c r="DK34"/>
  <c r="DL34"/>
  <c r="DM34"/>
  <c r="DN34"/>
  <c r="DK35"/>
  <c r="DL35"/>
  <c r="DM35"/>
  <c r="DN35"/>
  <c r="DK36"/>
  <c r="DL36"/>
  <c r="DM36"/>
  <c r="DN36"/>
  <c r="DK37"/>
  <c r="DL37"/>
  <c r="DM37"/>
  <c r="DN37"/>
  <c r="DK38"/>
  <c r="DL38"/>
  <c r="DM38"/>
  <c r="DN38"/>
  <c r="DK39"/>
  <c r="DL39"/>
  <c r="DM39"/>
  <c r="DN39"/>
  <c r="DK40"/>
  <c r="DL40"/>
  <c r="DM40"/>
  <c r="DN40"/>
  <c r="DK41"/>
  <c r="DL41"/>
  <c r="DM41"/>
  <c r="DN41"/>
  <c r="DK42"/>
  <c r="DL42"/>
  <c r="DM42"/>
  <c r="DN42"/>
  <c r="DK43"/>
  <c r="DL43"/>
  <c r="DM43"/>
  <c r="DN43"/>
  <c r="DK44"/>
  <c r="DL44"/>
  <c r="DM44"/>
  <c r="DN44"/>
  <c r="DK45"/>
  <c r="DL45"/>
  <c r="DM45"/>
  <c r="DN45"/>
  <c r="DK46"/>
  <c r="DL46"/>
  <c r="DM46"/>
  <c r="DN46"/>
  <c r="DK47"/>
  <c r="DL47"/>
  <c r="DM47"/>
  <c r="DN47"/>
  <c r="DK48"/>
  <c r="DL48"/>
  <c r="DM48"/>
  <c r="DN48"/>
  <c r="DK49"/>
  <c r="DL49"/>
  <c r="DM49"/>
  <c r="DN49"/>
  <c r="DK50"/>
  <c r="DL50"/>
  <c r="DM50"/>
  <c r="DN50"/>
  <c r="DK51"/>
  <c r="DL51"/>
  <c r="DM51"/>
  <c r="DN51"/>
  <c r="DK52"/>
  <c r="DL52"/>
  <c r="DM52"/>
  <c r="DN52"/>
  <c r="DK53"/>
  <c r="DL53"/>
  <c r="DM53"/>
  <c r="DN53"/>
  <c r="DK54"/>
  <c r="DL54"/>
  <c r="DM54"/>
  <c r="DN54"/>
  <c r="DK55"/>
  <c r="DL55"/>
  <c r="DM55"/>
  <c r="DN55"/>
  <c r="DK56"/>
  <c r="DL56"/>
  <c r="DM56"/>
  <c r="DN56"/>
  <c r="DK57"/>
  <c r="DL57"/>
  <c r="DM57"/>
  <c r="DN57"/>
  <c r="DK58"/>
  <c r="DL58"/>
  <c r="DM58"/>
  <c r="DN58"/>
  <c r="DK59"/>
  <c r="DL59"/>
  <c r="DM59"/>
  <c r="DN59"/>
  <c r="DK60"/>
  <c r="DL60"/>
  <c r="DM60"/>
  <c r="DN60"/>
  <c r="DK61"/>
  <c r="DL61"/>
  <c r="DM61"/>
  <c r="DN61"/>
  <c r="DK62"/>
  <c r="DL62"/>
  <c r="DM62"/>
  <c r="DN62"/>
  <c r="DK63"/>
  <c r="DL63"/>
  <c r="DM63"/>
  <c r="DN63"/>
  <c r="DK64"/>
  <c r="DL64"/>
  <c r="DM64"/>
  <c r="DN64"/>
  <c r="DK65"/>
  <c r="DL65"/>
  <c r="DM65"/>
  <c r="DN65"/>
  <c r="DK66"/>
  <c r="DL66"/>
  <c r="DM66"/>
  <c r="DN66"/>
  <c r="DK67"/>
  <c r="DL67"/>
  <c r="DM67"/>
  <c r="DN67"/>
  <c r="DK68"/>
  <c r="DL68"/>
  <c r="DM68"/>
  <c r="DN68"/>
  <c r="DK69"/>
  <c r="DL69"/>
  <c r="DM69"/>
  <c r="DN69"/>
  <c r="DK70"/>
  <c r="DL70"/>
  <c r="DM70"/>
  <c r="DN70"/>
  <c r="DK71"/>
  <c r="DL71"/>
  <c r="DM71"/>
  <c r="DN71"/>
  <c r="DK72"/>
  <c r="DL72"/>
  <c r="DM72"/>
  <c r="DN72"/>
  <c r="DK73"/>
  <c r="DL73"/>
  <c r="DM73"/>
  <c r="DN73"/>
  <c r="DK74"/>
  <c r="DL74"/>
  <c r="DM74"/>
  <c r="DN74"/>
  <c r="DK75"/>
  <c r="DL75"/>
  <c r="DM75"/>
  <c r="DN75"/>
  <c r="DK76"/>
  <c r="DL76"/>
  <c r="DM76"/>
  <c r="DN76"/>
  <c r="DK77"/>
  <c r="DL77"/>
  <c r="DM77"/>
  <c r="DN77"/>
  <c r="DK78"/>
  <c r="DL78"/>
  <c r="DM78"/>
  <c r="DN78"/>
  <c r="DK79"/>
  <c r="DL79"/>
  <c r="DM79"/>
  <c r="DN79"/>
  <c r="DK80"/>
  <c r="DL80"/>
  <c r="DM80"/>
  <c r="DN80"/>
  <c r="DK81"/>
  <c r="DL81"/>
  <c r="DM81"/>
  <c r="DN81"/>
  <c r="DK82"/>
  <c r="DL82"/>
  <c r="DM82"/>
  <c r="DN82"/>
  <c r="DK83"/>
  <c r="DL83"/>
  <c r="DM83"/>
  <c r="DN83"/>
  <c r="DK84"/>
  <c r="DL84"/>
  <c r="DM84"/>
  <c r="DN84"/>
  <c r="DK85"/>
  <c r="DL85"/>
  <c r="DM85"/>
  <c r="DN85"/>
  <c r="DK86"/>
  <c r="DL86"/>
  <c r="DM86"/>
  <c r="DN86"/>
  <c r="DK87"/>
  <c r="DL87"/>
  <c r="DM87"/>
  <c r="DN87"/>
  <c r="DK88"/>
  <c r="DL88"/>
  <c r="DM88"/>
  <c r="DN88"/>
  <c r="DK89"/>
  <c r="DL89"/>
  <c r="DM89"/>
  <c r="DN89"/>
  <c r="DK90"/>
  <c r="DL90"/>
  <c r="DM90"/>
  <c r="DN90"/>
  <c r="DK91"/>
  <c r="DL91"/>
  <c r="DM91"/>
  <c r="DN91"/>
  <c r="DK92"/>
  <c r="DL92"/>
  <c r="DM92"/>
  <c r="DN92"/>
  <c r="DK93"/>
  <c r="DL93"/>
  <c r="DM93"/>
  <c r="DN93"/>
  <c r="DK94"/>
  <c r="DL94"/>
  <c r="DM94"/>
  <c r="DN94"/>
  <c r="DK95"/>
  <c r="DL95"/>
  <c r="DM95"/>
  <c r="DN95"/>
  <c r="DK96"/>
  <c r="DL96"/>
  <c r="DM96"/>
  <c r="DN96"/>
  <c r="DK97"/>
  <c r="DL97"/>
  <c r="DM97"/>
  <c r="DN97"/>
  <c r="DK98"/>
  <c r="DL98"/>
  <c r="DM98"/>
  <c r="DN98"/>
  <c r="DK99"/>
  <c r="DL99"/>
  <c r="DM99"/>
  <c r="DN99"/>
  <c r="DK100"/>
  <c r="DL100"/>
  <c r="DM100"/>
  <c r="DN100"/>
  <c r="DK101"/>
  <c r="DL101"/>
  <c r="DM101"/>
  <c r="DN101"/>
  <c r="DK102"/>
  <c r="DL102"/>
  <c r="DM102"/>
  <c r="DN102"/>
  <c r="DK103"/>
  <c r="DL103"/>
  <c r="DM103"/>
  <c r="DN103"/>
  <c r="DK104"/>
  <c r="DL104"/>
  <c r="DM104"/>
  <c r="DN104"/>
  <c r="DK105"/>
  <c r="DL105"/>
  <c r="DM105"/>
  <c r="DN105"/>
  <c r="DK106"/>
  <c r="DL106"/>
  <c r="DM106"/>
  <c r="DN106"/>
  <c r="DK107"/>
  <c r="DL107"/>
  <c r="DM107"/>
  <c r="DN107"/>
  <c r="DK108"/>
  <c r="DL108"/>
  <c r="DM108"/>
  <c r="DN108"/>
  <c r="DK109"/>
  <c r="DL109"/>
  <c r="DM109"/>
  <c r="DN109"/>
  <c r="DK110"/>
  <c r="DL110"/>
  <c r="DM110"/>
  <c r="DN110"/>
  <c r="DK111"/>
  <c r="DL111"/>
  <c r="DM111"/>
  <c r="DN111"/>
  <c r="DK112"/>
  <c r="DL112"/>
  <c r="DM112"/>
  <c r="DN112"/>
  <c r="DK113"/>
  <c r="DL113"/>
  <c r="DM113"/>
  <c r="DN113"/>
  <c r="DK114"/>
  <c r="DL114"/>
  <c r="DM114"/>
  <c r="DN114"/>
  <c r="DK115"/>
  <c r="DL115"/>
  <c r="DM115"/>
  <c r="DN115"/>
  <c r="DK116"/>
  <c r="DL116"/>
  <c r="DM116"/>
  <c r="DN116"/>
  <c r="DK117"/>
  <c r="DL117"/>
  <c r="DM117"/>
  <c r="DN117"/>
  <c r="DK118"/>
  <c r="DL118"/>
  <c r="DM118"/>
  <c r="DN118"/>
  <c r="DK119"/>
  <c r="DL119"/>
  <c r="DM119"/>
  <c r="DN119"/>
  <c r="DK120"/>
  <c r="DL120"/>
  <c r="DM120"/>
  <c r="DN120"/>
  <c r="DK121"/>
  <c r="DL121"/>
  <c r="DM121"/>
  <c r="DN121"/>
  <c r="DK122"/>
  <c r="DL122"/>
  <c r="DM122"/>
  <c r="DN122"/>
  <c r="DK123"/>
  <c r="DL123"/>
  <c r="DM123"/>
  <c r="DN123"/>
  <c r="DK124"/>
  <c r="DL124"/>
  <c r="DM124"/>
  <c r="DN124"/>
  <c r="DK125"/>
  <c r="DL125"/>
  <c r="DM125"/>
  <c r="DN125"/>
  <c r="DK126"/>
  <c r="DL126"/>
  <c r="DM126"/>
  <c r="DN126"/>
  <c r="DK127"/>
  <c r="DL127"/>
  <c r="DM127"/>
  <c r="DN127"/>
  <c r="DK128"/>
  <c r="DL128"/>
  <c r="DM128"/>
  <c r="DN128"/>
  <c r="DK129"/>
  <c r="DL129"/>
  <c r="DM129"/>
  <c r="DN129"/>
  <c r="DK130"/>
  <c r="DL130"/>
  <c r="DM130"/>
  <c r="DN130"/>
  <c r="DK131"/>
  <c r="DL131"/>
  <c r="DM131"/>
  <c r="DN131"/>
  <c r="DK132"/>
  <c r="DL132"/>
  <c r="DM132"/>
  <c r="DN132"/>
  <c r="DK133"/>
  <c r="DL133"/>
  <c r="DM133"/>
  <c r="DN133"/>
  <c r="DK134"/>
  <c r="DL134"/>
  <c r="DM134"/>
  <c r="DN134"/>
  <c r="DK135"/>
  <c r="DL135"/>
  <c r="DM135"/>
  <c r="DN135"/>
  <c r="DK136"/>
  <c r="DL136"/>
  <c r="DM136"/>
  <c r="DN136"/>
  <c r="DK137"/>
  <c r="DL137"/>
  <c r="DM137"/>
  <c r="DN137"/>
  <c r="DK138"/>
  <c r="DL138"/>
  <c r="DM138"/>
  <c r="DN138"/>
  <c r="DK139"/>
  <c r="DL139"/>
  <c r="DM139"/>
  <c r="DN139"/>
  <c r="DK140"/>
  <c r="DL140"/>
  <c r="DM140"/>
  <c r="DN140"/>
  <c r="DK141"/>
  <c r="DL141"/>
  <c r="DM141"/>
  <c r="DN141"/>
  <c r="DK142"/>
  <c r="DL142"/>
  <c r="DM142"/>
  <c r="DN142"/>
  <c r="DK143"/>
  <c r="DL143"/>
  <c r="DM143"/>
  <c r="DN143"/>
  <c r="DK144"/>
  <c r="DL144"/>
  <c r="DM144"/>
  <c r="DN144"/>
  <c r="DK145"/>
  <c r="DL145"/>
  <c r="DM145"/>
  <c r="DN145"/>
  <c r="DK146"/>
  <c r="DL146"/>
  <c r="DM146"/>
  <c r="DN146"/>
  <c r="DK147"/>
  <c r="DL147"/>
  <c r="DM147"/>
  <c r="DN147"/>
  <c r="DK148"/>
  <c r="DL148"/>
  <c r="DM148"/>
  <c r="DN148"/>
  <c r="DK149"/>
  <c r="DL149"/>
  <c r="DM149"/>
  <c r="DN149"/>
  <c r="DK150"/>
  <c r="DL150"/>
  <c r="DM150"/>
  <c r="DN150"/>
  <c r="DK151"/>
  <c r="DL151"/>
  <c r="DM151"/>
  <c r="DN151"/>
  <c r="DK152"/>
  <c r="DL152"/>
  <c r="DM152"/>
  <c r="DN152"/>
  <c r="DK153"/>
  <c r="DL153"/>
  <c r="DM153"/>
  <c r="DN153"/>
  <c r="DK154"/>
  <c r="DL154"/>
  <c r="DM154"/>
  <c r="DN154"/>
  <c r="DK155"/>
  <c r="DL155"/>
  <c r="DM155"/>
  <c r="DN155"/>
  <c r="DK156"/>
  <c r="DL156"/>
  <c r="DM156"/>
  <c r="DN156"/>
  <c r="DK157"/>
  <c r="DL157"/>
  <c r="DM157"/>
  <c r="DN157"/>
  <c r="DK158"/>
  <c r="DL158"/>
  <c r="DM158"/>
  <c r="DN158"/>
  <c r="DK159"/>
  <c r="DL159"/>
  <c r="DM159"/>
  <c r="DN159"/>
  <c r="DK160"/>
  <c r="DL160"/>
  <c r="DM160"/>
  <c r="DN160"/>
  <c r="DK161"/>
  <c r="DL161"/>
  <c r="DM161"/>
  <c r="DN161"/>
  <c r="DK162"/>
  <c r="DL162"/>
  <c r="DM162"/>
  <c r="DN162"/>
  <c r="DK163"/>
  <c r="DL163"/>
  <c r="DM163"/>
  <c r="DN163"/>
  <c r="DK164"/>
  <c r="DL164"/>
  <c r="DM164"/>
  <c r="DN164"/>
  <c r="DK165"/>
  <c r="DL165"/>
  <c r="DM165"/>
  <c r="DN165"/>
  <c r="DK166"/>
  <c r="DL166"/>
  <c r="DM166"/>
  <c r="DN166"/>
  <c r="DK167"/>
  <c r="DL167"/>
  <c r="DM167"/>
  <c r="DN167"/>
  <c r="DK168"/>
  <c r="DL168"/>
  <c r="DM168"/>
  <c r="DN168"/>
  <c r="DK169"/>
  <c r="DL169"/>
  <c r="DM169"/>
  <c r="DN169"/>
  <c r="DK170"/>
  <c r="DL170"/>
  <c r="DM170"/>
  <c r="DN170"/>
  <c r="DK171"/>
  <c r="DL171"/>
  <c r="DM171"/>
  <c r="DN171"/>
  <c r="DK172"/>
  <c r="DL172"/>
  <c r="DM172"/>
  <c r="DN172"/>
  <c r="DK173"/>
  <c r="DL173"/>
  <c r="DM173"/>
  <c r="DN173"/>
  <c r="DK174"/>
  <c r="DL174"/>
  <c r="DM174"/>
  <c r="DN174"/>
  <c r="DK175"/>
  <c r="DL175"/>
  <c r="DM175"/>
  <c r="DN175"/>
  <c r="DK176"/>
  <c r="DL176"/>
  <c r="DM176"/>
  <c r="DN176"/>
  <c r="DK177"/>
  <c r="DL177"/>
  <c r="DM177"/>
  <c r="DN177"/>
  <c r="DK178"/>
  <c r="DL178"/>
  <c r="DM178"/>
  <c r="DN178"/>
  <c r="DK179"/>
  <c r="DL179"/>
  <c r="DM179"/>
  <c r="DN179"/>
  <c r="DK180"/>
  <c r="DL180"/>
  <c r="DM180"/>
  <c r="DN180"/>
  <c r="DK181"/>
  <c r="DL181"/>
  <c r="DM181"/>
  <c r="DN181"/>
  <c r="DK182"/>
  <c r="DL182"/>
  <c r="DM182"/>
  <c r="DN182"/>
  <c r="DK183"/>
  <c r="DL183"/>
  <c r="DM183"/>
  <c r="DN183"/>
  <c r="DM2"/>
  <c r="DK185"/>
  <c r="DL185"/>
  <c r="DM185"/>
  <c r="DN185"/>
  <c r="DK186"/>
  <c r="DL186"/>
  <c r="DM186"/>
  <c r="DN186"/>
  <c r="DK187"/>
  <c r="DL187"/>
  <c r="DM187"/>
  <c r="DN187"/>
  <c r="DK188"/>
  <c r="DL188"/>
  <c r="DM188"/>
  <c r="DN188"/>
  <c r="DK189"/>
  <c r="DL189"/>
  <c r="DM189"/>
  <c r="DN189"/>
  <c r="DK190"/>
  <c r="DL190"/>
  <c r="DM190"/>
  <c r="DN190"/>
  <c r="DK191"/>
  <c r="DL191"/>
  <c r="DM191"/>
  <c r="DN191"/>
  <c r="DK192"/>
  <c r="DL192"/>
  <c r="DM192"/>
  <c r="DN192"/>
  <c r="DK193"/>
  <c r="DL193"/>
  <c r="DM193"/>
  <c r="DN193"/>
  <c r="DK194"/>
  <c r="DL194"/>
  <c r="DM194"/>
  <c r="DN194"/>
  <c r="DK195"/>
  <c r="DL195"/>
  <c r="DM195"/>
  <c r="DN195"/>
  <c r="DK196"/>
  <c r="DL196"/>
  <c r="DM196"/>
  <c r="DN196"/>
  <c r="DK197"/>
  <c r="DL197"/>
  <c r="DM197"/>
  <c r="DN197"/>
  <c r="DK198"/>
  <c r="DL198"/>
  <c r="DM198"/>
  <c r="DN198"/>
  <c r="DK199"/>
  <c r="DL199"/>
  <c r="DM199"/>
  <c r="DN199"/>
  <c r="DK200"/>
  <c r="DL200"/>
  <c r="DM200"/>
  <c r="DN200"/>
  <c r="DK201"/>
  <c r="DL201"/>
  <c r="DM201"/>
  <c r="DN201"/>
  <c r="DK202"/>
  <c r="DL202"/>
  <c r="DM202"/>
  <c r="DN202"/>
  <c r="DK203"/>
  <c r="DL203"/>
  <c r="DM203"/>
  <c r="DN203"/>
  <c r="DK204"/>
  <c r="DL204"/>
  <c r="DM204"/>
  <c r="DN204"/>
  <c r="DK205"/>
  <c r="DL205"/>
  <c r="DM205"/>
  <c r="DN205"/>
  <c r="DK206"/>
  <c r="DL206"/>
  <c r="DM206"/>
  <c r="DN206"/>
  <c r="DK207"/>
  <c r="DL207"/>
  <c r="DM207"/>
  <c r="DN207"/>
  <c r="DK208"/>
  <c r="DL208"/>
  <c r="DM208"/>
  <c r="DN208"/>
  <c r="DK209"/>
  <c r="DL209"/>
  <c r="DM209"/>
  <c r="DN209"/>
  <c r="DK210"/>
  <c r="DL210"/>
  <c r="DM210"/>
  <c r="DN210"/>
  <c r="DK211"/>
  <c r="DL211"/>
  <c r="DM211"/>
  <c r="DN211"/>
  <c r="DK212"/>
  <c r="DL212"/>
  <c r="DM212"/>
  <c r="DN212"/>
  <c r="DK213"/>
  <c r="DL213"/>
  <c r="DM213"/>
  <c r="DN213"/>
  <c r="DK214"/>
  <c r="DL214"/>
  <c r="DM214"/>
  <c r="DN214"/>
  <c r="DK215"/>
  <c r="DL215"/>
  <c r="DM215"/>
  <c r="DN215"/>
  <c r="DK216"/>
  <c r="DL216"/>
  <c r="DM216"/>
  <c r="DN216"/>
  <c r="DK217"/>
  <c r="DL217"/>
  <c r="DM217"/>
  <c r="DN217"/>
  <c r="DK218"/>
  <c r="DL218"/>
  <c r="DM218"/>
  <c r="DN218"/>
  <c r="DK219"/>
  <c r="DL219"/>
  <c r="DM219"/>
  <c r="DN219"/>
  <c r="DK220"/>
  <c r="DL220"/>
  <c r="DM220"/>
  <c r="DN220"/>
  <c r="DK221"/>
  <c r="DL221"/>
  <c r="DM221"/>
  <c r="DN221"/>
  <c r="DK222"/>
  <c r="DL222"/>
  <c r="DM222"/>
  <c r="DN222"/>
  <c r="DK223"/>
  <c r="DL223"/>
  <c r="DM223"/>
  <c r="DN223"/>
  <c r="DK224"/>
  <c r="DL224"/>
  <c r="DM224"/>
  <c r="DN224"/>
  <c r="DK225"/>
  <c r="DL225"/>
  <c r="DM225"/>
  <c r="DN225"/>
  <c r="DK226"/>
  <c r="DL226"/>
  <c r="DM226"/>
  <c r="DN226"/>
  <c r="DK227"/>
  <c r="DL227"/>
  <c r="DM227"/>
  <c r="DN227"/>
  <c r="DK228"/>
  <c r="DL228"/>
  <c r="DM228"/>
  <c r="DN228"/>
  <c r="DK229"/>
  <c r="DL229"/>
  <c r="DM229"/>
  <c r="DN229"/>
  <c r="DK230"/>
  <c r="DL230"/>
  <c r="DM230"/>
  <c r="DN230"/>
  <c r="DK231"/>
  <c r="DL231"/>
  <c r="DM231"/>
  <c r="DN231"/>
  <c r="DK232"/>
  <c r="DL232"/>
  <c r="DM232"/>
  <c r="DN232"/>
  <c r="DK233"/>
  <c r="DL233"/>
  <c r="DM233"/>
  <c r="DN233"/>
  <c r="DK234"/>
  <c r="DL234"/>
  <c r="DM234"/>
  <c r="DN234"/>
  <c r="DK235"/>
  <c r="DL235"/>
  <c r="DM235"/>
  <c r="DN235"/>
  <c r="DK236"/>
  <c r="DL236"/>
  <c r="DM236"/>
  <c r="DN236"/>
  <c r="DK237"/>
  <c r="DL237"/>
  <c r="DM237"/>
  <c r="DN237"/>
  <c r="DK238"/>
  <c r="DL238"/>
  <c r="DM238"/>
  <c r="DN238"/>
  <c r="DK239"/>
  <c r="DL239"/>
  <c r="DM239"/>
  <c r="DN239"/>
  <c r="DK240"/>
  <c r="DL240"/>
  <c r="DM240"/>
  <c r="DN240"/>
  <c r="DK241"/>
  <c r="DL241"/>
  <c r="DM241"/>
  <c r="DN241"/>
  <c r="DK242"/>
  <c r="DL242"/>
  <c r="DM242"/>
  <c r="DN242"/>
  <c r="DK243"/>
  <c r="DL243"/>
  <c r="DM243"/>
  <c r="DN243"/>
  <c r="DK244"/>
  <c r="DL244"/>
  <c r="DM244"/>
  <c r="DN244"/>
  <c r="DK245"/>
  <c r="DL245"/>
  <c r="DM245"/>
  <c r="DN245"/>
  <c r="DK246"/>
  <c r="DL246"/>
  <c r="DM246"/>
  <c r="DN246"/>
  <c r="DK247"/>
  <c r="DL247"/>
  <c r="DM247"/>
  <c r="DN247"/>
  <c r="DK248"/>
  <c r="DL248"/>
  <c r="DM248"/>
  <c r="DN248"/>
  <c r="DK249"/>
  <c r="DL249"/>
  <c r="DM249"/>
  <c r="DN249"/>
  <c r="DK250"/>
  <c r="DL250"/>
  <c r="DM250"/>
  <c r="DN250"/>
  <c r="DK251"/>
  <c r="DL251"/>
  <c r="DM251"/>
  <c r="DN251"/>
  <c r="DK252"/>
  <c r="DL252"/>
  <c r="DM252"/>
  <c r="DN252"/>
  <c r="DK253"/>
  <c r="DL253"/>
  <c r="DM253"/>
  <c r="DN253"/>
  <c r="DK254"/>
  <c r="DL254"/>
  <c r="DM254"/>
  <c r="DN254"/>
  <c r="DK255"/>
  <c r="DL255"/>
  <c r="DM255"/>
  <c r="DN255"/>
  <c r="DK256"/>
  <c r="DL256"/>
  <c r="DM256"/>
  <c r="DN256"/>
  <c r="DK257"/>
  <c r="DL257"/>
  <c r="DM257"/>
  <c r="DN257"/>
  <c r="DK258"/>
  <c r="DL258"/>
  <c r="DM258"/>
  <c r="DN258"/>
  <c r="DK259"/>
  <c r="DL259"/>
  <c r="DM259"/>
  <c r="DN259"/>
  <c r="DK260"/>
  <c r="DL260"/>
  <c r="DM260"/>
  <c r="DN260"/>
  <c r="DK261"/>
  <c r="DL261"/>
  <c r="DM261"/>
  <c r="DN261"/>
  <c r="DK262"/>
  <c r="DL262"/>
  <c r="DM262"/>
  <c r="DN262"/>
  <c r="DK263"/>
  <c r="DL263"/>
  <c r="DM263"/>
  <c r="DN263"/>
  <c r="DK264"/>
  <c r="DL264"/>
  <c r="DM264"/>
  <c r="DN264"/>
  <c r="DK265"/>
  <c r="DL265"/>
  <c r="DM265"/>
  <c r="DN265"/>
  <c r="DK266"/>
  <c r="DL266"/>
  <c r="DM266"/>
  <c r="DN266"/>
  <c r="DK267"/>
  <c r="DL267"/>
  <c r="DM267"/>
  <c r="DN267"/>
  <c r="DK268"/>
  <c r="DL268"/>
  <c r="DM268"/>
  <c r="DN268"/>
  <c r="DK269"/>
  <c r="DL269"/>
  <c r="DM269"/>
  <c r="DN269"/>
  <c r="DK270"/>
  <c r="DL270"/>
  <c r="DM270"/>
  <c r="DN270"/>
  <c r="DK271"/>
  <c r="DL271"/>
  <c r="DM271"/>
  <c r="DN271"/>
  <c r="DK272"/>
  <c r="DL272"/>
  <c r="DM272"/>
  <c r="DN272"/>
  <c r="DK273"/>
  <c r="DL273"/>
  <c r="DM273"/>
  <c r="DN273"/>
  <c r="DK274"/>
  <c r="DL274"/>
  <c r="DM274"/>
  <c r="DN274"/>
  <c r="DK275"/>
  <c r="DL275"/>
  <c r="DM275"/>
  <c r="DN275"/>
  <c r="DK276"/>
  <c r="DL276"/>
  <c r="DM276"/>
  <c r="DN276"/>
  <c r="DK277"/>
  <c r="DL277"/>
  <c r="DM277"/>
  <c r="DN277"/>
  <c r="DK278"/>
  <c r="DL278"/>
  <c r="DM278"/>
  <c r="DN278"/>
  <c r="DK279"/>
  <c r="DL279"/>
  <c r="DM279"/>
  <c r="DN279"/>
  <c r="DK280"/>
  <c r="DL280"/>
  <c r="DM280"/>
  <c r="DN280"/>
  <c r="DK281"/>
  <c r="DL281"/>
  <c r="DM281"/>
  <c r="DN281"/>
  <c r="DK282"/>
  <c r="DL282"/>
  <c r="DM282"/>
  <c r="DN282"/>
  <c r="DK283"/>
  <c r="DL283"/>
  <c r="DM283"/>
  <c r="DN283"/>
  <c r="DK284"/>
  <c r="DL284"/>
  <c r="DM284"/>
  <c r="DN284"/>
  <c r="DK285"/>
  <c r="DL285"/>
  <c r="DM285"/>
  <c r="DN285"/>
  <c r="DK286"/>
  <c r="DL286"/>
  <c r="DM286"/>
  <c r="DN286"/>
  <c r="DK287"/>
  <c r="DL287"/>
  <c r="DM287"/>
  <c r="DN287"/>
  <c r="DK288"/>
  <c r="DL288"/>
  <c r="DM288"/>
  <c r="DN288"/>
  <c r="DK289"/>
  <c r="DL289"/>
  <c r="DM289"/>
  <c r="DN289"/>
  <c r="DK290"/>
  <c r="DL290"/>
  <c r="DM290"/>
  <c r="DN290"/>
  <c r="DK291"/>
  <c r="DL291"/>
  <c r="DM291"/>
  <c r="DN291"/>
  <c r="DK292"/>
  <c r="DL292"/>
  <c r="DM292"/>
  <c r="DN292"/>
  <c r="DK293"/>
  <c r="DL293"/>
  <c r="DM293"/>
  <c r="DN293"/>
  <c r="DK294"/>
  <c r="DL294"/>
  <c r="DM294"/>
  <c r="DN294"/>
  <c r="DK295"/>
  <c r="DL295"/>
  <c r="DM295"/>
  <c r="DN295"/>
  <c r="DK296"/>
  <c r="DL296"/>
  <c r="DM296"/>
  <c r="DN296"/>
  <c r="DK297"/>
  <c r="DL297"/>
  <c r="DM297"/>
  <c r="DN297"/>
  <c r="DK298"/>
  <c r="DL298"/>
  <c r="DM298"/>
  <c r="DN298"/>
  <c r="DK299"/>
  <c r="DL299"/>
  <c r="DM299"/>
  <c r="DN299"/>
  <c r="DK300"/>
  <c r="DL300"/>
  <c r="DM300"/>
  <c r="DN300"/>
  <c r="DK301"/>
  <c r="DL301"/>
  <c r="DM301"/>
  <c r="DN301"/>
  <c r="DK302"/>
  <c r="DL302"/>
  <c r="DM302"/>
  <c r="DN302"/>
  <c r="DK303"/>
  <c r="DL303"/>
  <c r="DM303"/>
  <c r="DN303"/>
  <c r="DK304"/>
  <c r="DL304"/>
  <c r="DM304"/>
  <c r="DN304"/>
  <c r="DK305"/>
  <c r="DL305"/>
  <c r="DM305"/>
  <c r="DN305"/>
  <c r="DK306"/>
  <c r="DL306"/>
  <c r="DM306"/>
  <c r="DN306"/>
  <c r="DK307"/>
  <c r="DL307"/>
  <c r="DM307"/>
  <c r="DN307"/>
  <c r="DK308"/>
  <c r="DL308"/>
  <c r="DM308"/>
  <c r="DN308"/>
  <c r="DK309"/>
  <c r="DL309"/>
  <c r="DM309"/>
  <c r="DN309"/>
  <c r="DK310"/>
  <c r="DL310"/>
  <c r="DM310"/>
  <c r="DN310"/>
  <c r="DK311"/>
  <c r="DL311"/>
  <c r="DM311"/>
  <c r="DN311"/>
  <c r="DK312"/>
  <c r="DL312"/>
  <c r="DM312"/>
  <c r="DN312"/>
  <c r="DK313"/>
  <c r="DL313"/>
  <c r="DM313"/>
  <c r="DN313"/>
  <c r="DK314"/>
  <c r="DL314"/>
  <c r="DM314"/>
  <c r="DN314"/>
  <c r="DK315"/>
  <c r="DL315"/>
  <c r="DM315"/>
  <c r="DN315"/>
  <c r="DK316"/>
  <c r="DL316"/>
  <c r="DM316"/>
  <c r="DN316"/>
  <c r="DK317"/>
  <c r="DL317"/>
  <c r="DM317"/>
  <c r="DN317"/>
  <c r="DK318"/>
  <c r="DL318"/>
  <c r="DM318"/>
  <c r="DN318"/>
  <c r="DK319"/>
  <c r="DL319"/>
  <c r="DM319"/>
  <c r="DN319"/>
  <c r="DK320"/>
  <c r="DL320"/>
  <c r="DM320"/>
  <c r="DN320"/>
  <c r="DK321"/>
  <c r="DL321"/>
  <c r="DM321"/>
  <c r="DN321"/>
  <c r="DK322"/>
  <c r="DL322"/>
  <c r="DM322"/>
  <c r="DN322"/>
  <c r="DK323"/>
  <c r="DL323"/>
  <c r="DM323"/>
  <c r="DN323"/>
  <c r="DK324"/>
  <c r="DL324"/>
  <c r="DM324"/>
  <c r="DN324"/>
  <c r="DK325"/>
  <c r="DL325"/>
  <c r="DM325"/>
  <c r="DN325"/>
  <c r="DK326"/>
  <c r="DL326"/>
  <c r="DM326"/>
  <c r="DN326"/>
  <c r="DK327"/>
  <c r="DL327"/>
  <c r="DM327"/>
  <c r="DN327"/>
  <c r="DK328"/>
  <c r="DL328"/>
  <c r="DM328"/>
  <c r="DN328"/>
  <c r="DK329"/>
  <c r="DL329"/>
  <c r="DM329"/>
  <c r="DN329"/>
  <c r="DK330"/>
  <c r="DL330"/>
  <c r="DM330"/>
  <c r="DN330"/>
  <c r="DK331"/>
  <c r="DL331"/>
  <c r="DM331"/>
  <c r="DN331"/>
  <c r="DK332"/>
  <c r="DL332"/>
  <c r="DM332"/>
  <c r="DN332"/>
  <c r="DK333"/>
  <c r="DL333"/>
  <c r="DM333"/>
  <c r="DN333"/>
  <c r="DK334"/>
  <c r="DL334"/>
  <c r="DM334"/>
  <c r="DN334"/>
  <c r="DK335"/>
  <c r="DL335"/>
  <c r="DM335"/>
  <c r="DN335"/>
  <c r="DK336"/>
  <c r="DL336"/>
  <c r="DM336"/>
  <c r="DN336"/>
  <c r="DK337"/>
  <c r="DL337"/>
  <c r="DM337"/>
  <c r="DN337"/>
  <c r="DK338"/>
  <c r="DL338"/>
  <c r="DM338"/>
  <c r="DN338"/>
  <c r="DK339"/>
  <c r="DL339"/>
  <c r="DM339"/>
  <c r="DN339"/>
  <c r="DK340"/>
  <c r="DL340"/>
  <c r="DM340"/>
  <c r="DN340"/>
  <c r="DK341"/>
  <c r="DL341"/>
  <c r="DM341"/>
  <c r="DN341"/>
  <c r="DK342"/>
  <c r="DL342"/>
  <c r="DM342"/>
  <c r="DN342"/>
  <c r="DK343"/>
  <c r="DL343"/>
  <c r="DM343"/>
  <c r="DN343"/>
  <c r="DK344"/>
  <c r="DL344"/>
  <c r="DM344"/>
  <c r="DN344"/>
  <c r="DK345"/>
  <c r="DL345"/>
  <c r="DM345"/>
  <c r="DN345"/>
  <c r="DK346"/>
  <c r="DL346"/>
  <c r="DM346"/>
  <c r="DN346"/>
  <c r="DK347"/>
  <c r="DL347"/>
  <c r="DM347"/>
  <c r="DN347"/>
  <c r="DK348"/>
  <c r="DL348"/>
  <c r="DM348"/>
  <c r="DN348"/>
  <c r="DK349"/>
  <c r="DL349"/>
  <c r="DM349"/>
  <c r="DN349"/>
  <c r="DK350"/>
  <c r="DL350"/>
  <c r="DM350"/>
  <c r="DN350"/>
  <c r="DK351"/>
  <c r="DL351"/>
  <c r="DM351"/>
  <c r="DN351"/>
  <c r="DK352"/>
  <c r="DL352"/>
  <c r="DM352"/>
  <c r="DN352"/>
  <c r="DK353"/>
  <c r="DL353"/>
  <c r="DM353"/>
  <c r="DN353"/>
  <c r="DK354"/>
  <c r="DL354"/>
  <c r="DM354"/>
  <c r="DN354"/>
  <c r="DK355"/>
  <c r="DL355"/>
  <c r="DM355"/>
  <c r="DN355"/>
  <c r="DK356"/>
  <c r="DL356"/>
  <c r="DM356"/>
  <c r="DN356"/>
  <c r="DK357"/>
  <c r="DL357"/>
  <c r="DM357"/>
  <c r="DN357"/>
  <c r="DK358"/>
  <c r="DL358"/>
  <c r="DM358"/>
  <c r="DN358"/>
  <c r="DK359"/>
  <c r="DL359"/>
  <c r="DM359"/>
  <c r="DN359"/>
  <c r="DK360"/>
  <c r="DL360"/>
  <c r="DM360"/>
  <c r="DN360"/>
  <c r="DK361"/>
  <c r="DL361"/>
  <c r="DM361"/>
  <c r="DN361"/>
  <c r="DK362"/>
  <c r="DL362"/>
  <c r="DM362"/>
  <c r="DN362"/>
  <c r="DK363"/>
  <c r="DL363"/>
  <c r="DM363"/>
  <c r="DN363"/>
  <c r="DK364"/>
  <c r="DL364"/>
  <c r="DM364"/>
  <c r="DN364"/>
  <c r="DK365"/>
  <c r="DL365"/>
  <c r="DM365"/>
  <c r="DN365"/>
  <c r="DK366"/>
  <c r="DL366"/>
  <c r="DM366"/>
  <c r="DN366"/>
  <c r="DK367"/>
  <c r="DL367"/>
  <c r="DM367"/>
  <c r="DN367"/>
  <c r="DN184"/>
  <c r="DL184"/>
  <c r="DK184"/>
  <c r="DK2"/>
  <c r="DL2"/>
  <c r="DM184"/>
  <c r="DN2"/>
  <c r="E383"/>
  <c r="E389" s="1"/>
  <c r="F383"/>
  <c r="F389" s="1"/>
  <c r="G383"/>
  <c r="G389" s="1"/>
  <c r="H383"/>
  <c r="H389" s="1"/>
  <c r="I383"/>
  <c r="I389" s="1"/>
  <c r="J383"/>
  <c r="J389" s="1"/>
  <c r="K383"/>
  <c r="K389" s="1"/>
  <c r="L383"/>
  <c r="L389" s="1"/>
  <c r="M383"/>
  <c r="M389" s="1"/>
  <c r="N383"/>
  <c r="N389" s="1"/>
  <c r="O383"/>
  <c r="O389" s="1"/>
  <c r="P383"/>
  <c r="P389" s="1"/>
  <c r="Q383"/>
  <c r="Q389" s="1"/>
  <c r="R383"/>
  <c r="R389" s="1"/>
  <c r="S383"/>
  <c r="S389" s="1"/>
  <c r="T383"/>
  <c r="T389" s="1"/>
  <c r="U383"/>
  <c r="U389" s="1"/>
  <c r="V383"/>
  <c r="V389" s="1"/>
  <c r="W383"/>
  <c r="W389" s="1"/>
  <c r="X383"/>
  <c r="X389" s="1"/>
  <c r="Y383"/>
  <c r="Y389" s="1"/>
  <c r="Z383"/>
  <c r="Z389" s="1"/>
  <c r="AA383"/>
  <c r="AA389" s="1"/>
  <c r="AB383"/>
  <c r="AB389" s="1"/>
  <c r="AC383"/>
  <c r="AC389" s="1"/>
  <c r="AD383"/>
  <c r="AD389" s="1"/>
  <c r="AE383"/>
  <c r="AE389" s="1"/>
  <c r="AF383"/>
  <c r="AF389" s="1"/>
  <c r="AG383"/>
  <c r="AG389" s="1"/>
  <c r="AH383"/>
  <c r="AH389" s="1"/>
  <c r="AI383"/>
  <c r="AI389" s="1"/>
  <c r="AJ383"/>
  <c r="AJ389" s="1"/>
  <c r="AK383"/>
  <c r="AK389" s="1"/>
  <c r="AL383"/>
  <c r="AL389" s="1"/>
  <c r="AM383"/>
  <c r="AM389" s="1"/>
  <c r="AN383"/>
  <c r="AN389" s="1"/>
  <c r="AO383"/>
  <c r="AO389" s="1"/>
  <c r="AP383"/>
  <c r="AP389" s="1"/>
  <c r="AQ383"/>
  <c r="AQ389" s="1"/>
  <c r="AR383"/>
  <c r="AR389" s="1"/>
  <c r="AS383"/>
  <c r="AS389" s="1"/>
  <c r="AT383"/>
  <c r="AT389" s="1"/>
  <c r="AU383"/>
  <c r="AU389" s="1"/>
  <c r="AV383"/>
  <c r="AV389" s="1"/>
  <c r="AW383"/>
  <c r="AW389" s="1"/>
  <c r="AX383"/>
  <c r="AX389" s="1"/>
  <c r="AY383"/>
  <c r="AY389" s="1"/>
  <c r="AZ383"/>
  <c r="AZ389" s="1"/>
  <c r="BA383"/>
  <c r="BA389" s="1"/>
  <c r="BB383"/>
  <c r="BB389" s="1"/>
  <c r="BC383"/>
  <c r="BC389" s="1"/>
  <c r="BD383"/>
  <c r="BD389" s="1"/>
  <c r="BE383"/>
  <c r="BE389" s="1"/>
  <c r="BF383"/>
  <c r="BF389" s="1"/>
  <c r="BG383"/>
  <c r="BG389" s="1"/>
  <c r="BH383"/>
  <c r="BH389" s="1"/>
  <c r="BI383"/>
  <c r="BI389" s="1"/>
  <c r="BJ383"/>
  <c r="BJ389" s="1"/>
  <c r="BK383"/>
  <c r="BK389" s="1"/>
  <c r="BL383"/>
  <c r="BL389" s="1"/>
  <c r="BM383"/>
  <c r="BM389" s="1"/>
  <c r="BN383"/>
  <c r="BN389" s="1"/>
  <c r="BO383"/>
  <c r="BO389" s="1"/>
  <c r="BP383"/>
  <c r="BP389" s="1"/>
  <c r="BQ383"/>
  <c r="BQ389" s="1"/>
  <c r="BR383"/>
  <c r="BR389" s="1"/>
  <c r="BS383"/>
  <c r="BS389" s="1"/>
  <c r="BT383"/>
  <c r="BT389" s="1"/>
  <c r="BU383"/>
  <c r="BU389" s="1"/>
  <c r="BV383"/>
  <c r="BV389" s="1"/>
  <c r="BW383"/>
  <c r="BW389" s="1"/>
  <c r="BX383"/>
  <c r="BX389" s="1"/>
  <c r="BY383"/>
  <c r="BY389" s="1"/>
  <c r="BZ383"/>
  <c r="BZ389" s="1"/>
  <c r="CA383"/>
  <c r="CA389" s="1"/>
  <c r="CB383"/>
  <c r="CB389" s="1"/>
  <c r="CC383"/>
  <c r="CC389" s="1"/>
  <c r="CD383"/>
  <c r="CD389" s="1"/>
  <c r="CE383"/>
  <c r="CE389" s="1"/>
  <c r="CF383"/>
  <c r="CF389" s="1"/>
  <c r="CG383"/>
  <c r="CG389" s="1"/>
  <c r="CH383"/>
  <c r="CH389" s="1"/>
  <c r="CI383"/>
  <c r="CI389" s="1"/>
  <c r="CJ383"/>
  <c r="CJ389" s="1"/>
  <c r="CK383"/>
  <c r="CK389" s="1"/>
  <c r="CL383"/>
  <c r="CL389" s="1"/>
  <c r="CM383"/>
  <c r="CM389" s="1"/>
  <c r="CN383"/>
  <c r="CN389" s="1"/>
  <c r="CO383"/>
  <c r="CO389" s="1"/>
  <c r="CP383"/>
  <c r="CP389" s="1"/>
  <c r="CQ383"/>
  <c r="CQ389" s="1"/>
  <c r="CR383"/>
  <c r="CR389" s="1"/>
  <c r="CS383"/>
  <c r="CS389" s="1"/>
  <c r="CT383"/>
  <c r="CT389" s="1"/>
  <c r="CU383"/>
  <c r="CU389" s="1"/>
  <c r="CV383"/>
  <c r="CV389" s="1"/>
  <c r="CW383"/>
  <c r="CW389" s="1"/>
  <c r="CX383"/>
  <c r="CX389" s="1"/>
  <c r="CY383"/>
  <c r="CY389" s="1"/>
  <c r="CZ383"/>
  <c r="CZ389" s="1"/>
  <c r="DA383"/>
  <c r="DA389" s="1"/>
  <c r="DB383"/>
  <c r="E384"/>
  <c r="F384"/>
  <c r="G384"/>
  <c r="H384"/>
  <c r="I384"/>
  <c r="J384"/>
  <c r="K384"/>
  <c r="L384"/>
  <c r="M384"/>
  <c r="N384"/>
  <c r="O384"/>
  <c r="P384"/>
  <c r="Q384"/>
  <c r="R384"/>
  <c r="S384"/>
  <c r="T384"/>
  <c r="U384"/>
  <c r="V384"/>
  <c r="W384"/>
  <c r="X384"/>
  <c r="Y384"/>
  <c r="Z384"/>
  <c r="AA384"/>
  <c r="AB384"/>
  <c r="AC384"/>
  <c r="AD384"/>
  <c r="AE384"/>
  <c r="AF384"/>
  <c r="AG384"/>
  <c r="AH384"/>
  <c r="AI384"/>
  <c r="AJ384"/>
  <c r="AK384"/>
  <c r="AL384"/>
  <c r="AM384"/>
  <c r="AN384"/>
  <c r="AO384"/>
  <c r="AP384"/>
  <c r="AQ384"/>
  <c r="AR384"/>
  <c r="AS384"/>
  <c r="AT384"/>
  <c r="AU384"/>
  <c r="AV384"/>
  <c r="AW384"/>
  <c r="AX384"/>
  <c r="AY384"/>
  <c r="AZ384"/>
  <c r="BA384"/>
  <c r="BB384"/>
  <c r="BC384"/>
  <c r="BD384"/>
  <c r="BE384"/>
  <c r="BF384"/>
  <c r="BG384"/>
  <c r="BH384"/>
  <c r="BI384"/>
  <c r="BJ384"/>
  <c r="BK384"/>
  <c r="BL384"/>
  <c r="BM384"/>
  <c r="BN384"/>
  <c r="BO384"/>
  <c r="BP384"/>
  <c r="BQ384"/>
  <c r="BR384"/>
  <c r="BS384"/>
  <c r="BT384"/>
  <c r="BU384"/>
  <c r="BV384"/>
  <c r="BW384"/>
  <c r="BX384"/>
  <c r="BY384"/>
  <c r="BZ384"/>
  <c r="CA384"/>
  <c r="CB384"/>
  <c r="CC384"/>
  <c r="CD384"/>
  <c r="CE384"/>
  <c r="CF384"/>
  <c r="CG384"/>
  <c r="CH384"/>
  <c r="CI384"/>
  <c r="CJ384"/>
  <c r="CK384"/>
  <c r="CL384"/>
  <c r="CM384"/>
  <c r="CN384"/>
  <c r="CO384"/>
  <c r="CP384"/>
  <c r="CQ384"/>
  <c r="CR384"/>
  <c r="CS384"/>
  <c r="CT384"/>
  <c r="CU384"/>
  <c r="CV384"/>
  <c r="CW384"/>
  <c r="CX384"/>
  <c r="CY384"/>
  <c r="CZ384"/>
  <c r="DA384"/>
  <c r="DB384"/>
  <c r="E385"/>
  <c r="F385"/>
  <c r="G385"/>
  <c r="H385"/>
  <c r="I385"/>
  <c r="J385"/>
  <c r="K385"/>
  <c r="L385"/>
  <c r="M385"/>
  <c r="N385"/>
  <c r="O385"/>
  <c r="P385"/>
  <c r="Q385"/>
  <c r="R385"/>
  <c r="S385"/>
  <c r="T385"/>
  <c r="U385"/>
  <c r="V385"/>
  <c r="W385"/>
  <c r="X385"/>
  <c r="Y385"/>
  <c r="Z385"/>
  <c r="AA385"/>
  <c r="AB385"/>
  <c r="AC385"/>
  <c r="AD385"/>
  <c r="AE385"/>
  <c r="AF385"/>
  <c r="AG385"/>
  <c r="AH385"/>
  <c r="AI385"/>
  <c r="AJ385"/>
  <c r="AK385"/>
  <c r="AL385"/>
  <c r="AM385"/>
  <c r="AN385"/>
  <c r="AO385"/>
  <c r="AP385"/>
  <c r="AQ385"/>
  <c r="AR385"/>
  <c r="AS385"/>
  <c r="AT385"/>
  <c r="AU385"/>
  <c r="AV385"/>
  <c r="AW385"/>
  <c r="AX385"/>
  <c r="AY385"/>
  <c r="AZ385"/>
  <c r="BA385"/>
  <c r="BB385"/>
  <c r="BC385"/>
  <c r="BD385"/>
  <c r="BE385"/>
  <c r="BF385"/>
  <c r="BG385"/>
  <c r="BH385"/>
  <c r="BI385"/>
  <c r="BJ385"/>
  <c r="BK385"/>
  <c r="BL385"/>
  <c r="BM385"/>
  <c r="BN385"/>
  <c r="BO385"/>
  <c r="BP385"/>
  <c r="BQ385"/>
  <c r="BR385"/>
  <c r="BS385"/>
  <c r="BT385"/>
  <c r="BU385"/>
  <c r="BV385"/>
  <c r="BW385"/>
  <c r="BX385"/>
  <c r="BY385"/>
  <c r="BZ385"/>
  <c r="CA385"/>
  <c r="CB385"/>
  <c r="CC385"/>
  <c r="CD385"/>
  <c r="CE385"/>
  <c r="CF385"/>
  <c r="CG385"/>
  <c r="CH385"/>
  <c r="CI385"/>
  <c r="CJ385"/>
  <c r="CK385"/>
  <c r="CL385"/>
  <c r="CM385"/>
  <c r="CN385"/>
  <c r="CO385"/>
  <c r="CP385"/>
  <c r="CQ385"/>
  <c r="CR385"/>
  <c r="CS385"/>
  <c r="CT385"/>
  <c r="CU385"/>
  <c r="CV385"/>
  <c r="CW385"/>
  <c r="CX385"/>
  <c r="CY385"/>
  <c r="CZ385"/>
  <c r="DA385"/>
  <c r="DB385"/>
  <c r="E386"/>
  <c r="F386"/>
  <c r="G386"/>
  <c r="H386"/>
  <c r="I386"/>
  <c r="J386"/>
  <c r="K386"/>
  <c r="L386"/>
  <c r="M386"/>
  <c r="N386"/>
  <c r="O386"/>
  <c r="P386"/>
  <c r="Q386"/>
  <c r="R386"/>
  <c r="S386"/>
  <c r="T386"/>
  <c r="U386"/>
  <c r="V386"/>
  <c r="W386"/>
  <c r="X386"/>
  <c r="Y386"/>
  <c r="Z386"/>
  <c r="AA386"/>
  <c r="AB386"/>
  <c r="AC386"/>
  <c r="AD386"/>
  <c r="AE386"/>
  <c r="AF386"/>
  <c r="AG386"/>
  <c r="AH386"/>
  <c r="AI386"/>
  <c r="AJ386"/>
  <c r="AK386"/>
  <c r="AL386"/>
  <c r="AM386"/>
  <c r="AN386"/>
  <c r="AO386"/>
  <c r="AP386"/>
  <c r="AQ386"/>
  <c r="AR386"/>
  <c r="AS386"/>
  <c r="AT386"/>
  <c r="AU386"/>
  <c r="AV386"/>
  <c r="AW386"/>
  <c r="AX386"/>
  <c r="AY386"/>
  <c r="AZ386"/>
  <c r="BA386"/>
  <c r="BB386"/>
  <c r="BC386"/>
  <c r="BD386"/>
  <c r="BE386"/>
  <c r="BF386"/>
  <c r="BG386"/>
  <c r="BH386"/>
  <c r="BI386"/>
  <c r="BJ386"/>
  <c r="BK386"/>
  <c r="BL386"/>
  <c r="BM386"/>
  <c r="BN386"/>
  <c r="BO386"/>
  <c r="BP386"/>
  <c r="BQ386"/>
  <c r="BR386"/>
  <c r="BS386"/>
  <c r="BT386"/>
  <c r="BU386"/>
  <c r="BV386"/>
  <c r="BW386"/>
  <c r="BX386"/>
  <c r="BY386"/>
  <c r="BZ386"/>
  <c r="CA386"/>
  <c r="CB386"/>
  <c r="CC386"/>
  <c r="CD386"/>
  <c r="CE386"/>
  <c r="CF386"/>
  <c r="CG386"/>
  <c r="CH386"/>
  <c r="CI386"/>
  <c r="CJ386"/>
  <c r="CK386"/>
  <c r="CL386"/>
  <c r="CM386"/>
  <c r="CN386"/>
  <c r="CO386"/>
  <c r="CP386"/>
  <c r="CQ386"/>
  <c r="CR386"/>
  <c r="CS386"/>
  <c r="CT386"/>
  <c r="CU386"/>
  <c r="CV386"/>
  <c r="CW386"/>
  <c r="CX386"/>
  <c r="CY386"/>
  <c r="CZ386"/>
  <c r="DA386"/>
  <c r="DB386"/>
  <c r="E387"/>
  <c r="F387"/>
  <c r="G387"/>
  <c r="H387"/>
  <c r="I387"/>
  <c r="J387"/>
  <c r="K387"/>
  <c r="L387"/>
  <c r="M387"/>
  <c r="N387"/>
  <c r="O387"/>
  <c r="P387"/>
  <c r="Q387"/>
  <c r="R387"/>
  <c r="S387"/>
  <c r="T387"/>
  <c r="U387"/>
  <c r="V387"/>
  <c r="W387"/>
  <c r="X387"/>
  <c r="Y387"/>
  <c r="Z387"/>
  <c r="AA387"/>
  <c r="AB387"/>
  <c r="AC387"/>
  <c r="AD387"/>
  <c r="AE387"/>
  <c r="AF387"/>
  <c r="AG387"/>
  <c r="AH387"/>
  <c r="AI387"/>
  <c r="AJ387"/>
  <c r="AK387"/>
  <c r="AL387"/>
  <c r="AM387"/>
  <c r="AN387"/>
  <c r="AO387"/>
  <c r="AP387"/>
  <c r="AQ387"/>
  <c r="AR387"/>
  <c r="AS387"/>
  <c r="AT387"/>
  <c r="AU387"/>
  <c r="AV387"/>
  <c r="AW387"/>
  <c r="AX387"/>
  <c r="AY387"/>
  <c r="AZ387"/>
  <c r="BA387"/>
  <c r="BB387"/>
  <c r="BC387"/>
  <c r="BD387"/>
  <c r="BE387"/>
  <c r="BF387"/>
  <c r="BG387"/>
  <c r="BH387"/>
  <c r="BI387"/>
  <c r="BJ387"/>
  <c r="BK387"/>
  <c r="BL387"/>
  <c r="BM387"/>
  <c r="BN387"/>
  <c r="BO387"/>
  <c r="BP387"/>
  <c r="BQ387"/>
  <c r="BR387"/>
  <c r="BS387"/>
  <c r="BT387"/>
  <c r="BU387"/>
  <c r="BV387"/>
  <c r="BW387"/>
  <c r="BX387"/>
  <c r="BY387"/>
  <c r="BZ387"/>
  <c r="CA387"/>
  <c r="CB387"/>
  <c r="CC387"/>
  <c r="CD387"/>
  <c r="CE387"/>
  <c r="CF387"/>
  <c r="CG387"/>
  <c r="CH387"/>
  <c r="CI387"/>
  <c r="CJ387"/>
  <c r="CK387"/>
  <c r="CL387"/>
  <c r="CM387"/>
  <c r="CN387"/>
  <c r="CO387"/>
  <c r="CP387"/>
  <c r="CQ387"/>
  <c r="CR387"/>
  <c r="CS387"/>
  <c r="CT387"/>
  <c r="CU387"/>
  <c r="CV387"/>
  <c r="CW387"/>
  <c r="CX387"/>
  <c r="CY387"/>
  <c r="CZ387"/>
  <c r="DA387"/>
  <c r="DB387"/>
  <c r="D387"/>
  <c r="D386"/>
  <c r="D385"/>
  <c r="D384"/>
  <c r="D383"/>
  <c r="D389" s="1"/>
  <c r="DB389" l="1"/>
  <c r="E382"/>
  <c r="F382"/>
  <c r="G382"/>
  <c r="H382"/>
  <c r="I382"/>
  <c r="J382"/>
  <c r="K382"/>
  <c r="L382"/>
  <c r="M382"/>
  <c r="N382"/>
  <c r="O382"/>
  <c r="P382"/>
  <c r="Q382"/>
  <c r="R382"/>
  <c r="S382"/>
  <c r="T382"/>
  <c r="U382"/>
  <c r="V382"/>
  <c r="W382"/>
  <c r="X382"/>
  <c r="Y382"/>
  <c r="Z382"/>
  <c r="AA382"/>
  <c r="AB382"/>
  <c r="AC382"/>
  <c r="AD382"/>
  <c r="AE382"/>
  <c r="AF382"/>
  <c r="AG382"/>
  <c r="AH382"/>
  <c r="AI382"/>
  <c r="AJ382"/>
  <c r="AK382"/>
  <c r="AL382"/>
  <c r="AM382"/>
  <c r="AN382"/>
  <c r="AO382"/>
  <c r="AP382"/>
  <c r="AQ382"/>
  <c r="AR382"/>
  <c r="AS382"/>
  <c r="AT382"/>
  <c r="AU382"/>
  <c r="AV382"/>
  <c r="AW382"/>
  <c r="AX382"/>
  <c r="AY382"/>
  <c r="AZ382"/>
  <c r="BA382"/>
  <c r="BB382"/>
  <c r="BC382"/>
  <c r="BD382"/>
  <c r="BE382"/>
  <c r="BF382"/>
  <c r="BG382"/>
  <c r="BH382"/>
  <c r="BI382"/>
  <c r="BJ382"/>
  <c r="BK382"/>
  <c r="BL382"/>
  <c r="BM382"/>
  <c r="BN382"/>
  <c r="BO382"/>
  <c r="BP382"/>
  <c r="BQ382"/>
  <c r="BR382"/>
  <c r="BS382"/>
  <c r="BT382"/>
  <c r="BU382"/>
  <c r="BV382"/>
  <c r="BW382"/>
  <c r="BX382"/>
  <c r="BY382"/>
  <c r="BZ382"/>
  <c r="CA382"/>
  <c r="CB382"/>
  <c r="CC382"/>
  <c r="CD382"/>
  <c r="CE382"/>
  <c r="CF382"/>
  <c r="CG382"/>
  <c r="CH382"/>
  <c r="CI382"/>
  <c r="CJ382"/>
  <c r="CK382"/>
  <c r="CL382"/>
  <c r="CM382"/>
  <c r="CN382"/>
  <c r="CO382"/>
  <c r="CP382"/>
  <c r="CQ382"/>
  <c r="CR382"/>
  <c r="CS382"/>
  <c r="CT382"/>
  <c r="CU382"/>
  <c r="CV382"/>
  <c r="CW382"/>
  <c r="CX382"/>
  <c r="CY382"/>
  <c r="CZ382"/>
  <c r="DA382"/>
  <c r="DB382"/>
  <c r="D382"/>
  <c r="E381" l="1"/>
  <c r="F381"/>
  <c r="G381"/>
  <c r="H381"/>
  <c r="I381"/>
  <c r="J381"/>
  <c r="K381"/>
  <c r="L381"/>
  <c r="M381"/>
  <c r="N381"/>
  <c r="O381"/>
  <c r="P381"/>
  <c r="Q381"/>
  <c r="R381"/>
  <c r="S381"/>
  <c r="T381"/>
  <c r="U381"/>
  <c r="V381"/>
  <c r="W381"/>
  <c r="X381"/>
  <c r="Y381"/>
  <c r="Z381"/>
  <c r="AA381"/>
  <c r="AB381"/>
  <c r="AC381"/>
  <c r="AD381"/>
  <c r="AE381"/>
  <c r="AF381"/>
  <c r="AG381"/>
  <c r="AH381"/>
  <c r="AI381"/>
  <c r="AJ381"/>
  <c r="AK381"/>
  <c r="AL381"/>
  <c r="AM381"/>
  <c r="AN381"/>
  <c r="AO381"/>
  <c r="AP381"/>
  <c r="AQ381"/>
  <c r="AR381"/>
  <c r="AS381"/>
  <c r="AT381"/>
  <c r="AU381"/>
  <c r="AV381"/>
  <c r="AW381"/>
  <c r="AX381"/>
  <c r="AY381"/>
  <c r="AZ381"/>
  <c r="BA381"/>
  <c r="BB381"/>
  <c r="BC381"/>
  <c r="BD381"/>
  <c r="BE381"/>
  <c r="BF381"/>
  <c r="BG381"/>
  <c r="BH381"/>
  <c r="BI381"/>
  <c r="BJ381"/>
  <c r="BK381"/>
  <c r="BL381"/>
  <c r="BM381"/>
  <c r="BN381"/>
  <c r="BO381"/>
  <c r="BP381"/>
  <c r="BQ381"/>
  <c r="BR381"/>
  <c r="BS381"/>
  <c r="BT381"/>
  <c r="BU381"/>
  <c r="BV381"/>
  <c r="BW381"/>
  <c r="BX381"/>
  <c r="BY381"/>
  <c r="BZ381"/>
  <c r="CA381"/>
  <c r="CB381"/>
  <c r="CC381"/>
  <c r="CD381"/>
  <c r="CE381"/>
  <c r="CF381"/>
  <c r="CG381"/>
  <c r="CH381"/>
  <c r="CI381"/>
  <c r="CJ381"/>
  <c r="CK381"/>
  <c r="CL381"/>
  <c r="CM381"/>
  <c r="CN381"/>
  <c r="CO381"/>
  <c r="CP381"/>
  <c r="CQ381"/>
  <c r="CR381"/>
  <c r="CS381"/>
  <c r="CT381"/>
  <c r="CU381"/>
  <c r="CV381"/>
  <c r="CW381"/>
  <c r="CX381"/>
  <c r="CY381"/>
  <c r="CZ381"/>
  <c r="DA381"/>
  <c r="DB381"/>
  <c r="D381"/>
  <c r="E380"/>
  <c r="F380"/>
  <c r="G380"/>
  <c r="H380"/>
  <c r="I380"/>
  <c r="J380"/>
  <c r="K380"/>
  <c r="L380"/>
  <c r="M380"/>
  <c r="N380"/>
  <c r="O380"/>
  <c r="P380"/>
  <c r="Q380"/>
  <c r="R380"/>
  <c r="S380"/>
  <c r="T380"/>
  <c r="U380"/>
  <c r="V380"/>
  <c r="W380"/>
  <c r="X380"/>
  <c r="Y380"/>
  <c r="Z380"/>
  <c r="AA380"/>
  <c r="AB380"/>
  <c r="AC380"/>
  <c r="AD380"/>
  <c r="AE380"/>
  <c r="AF380"/>
  <c r="AG380"/>
  <c r="AH380"/>
  <c r="AI380"/>
  <c r="AJ380"/>
  <c r="AK380"/>
  <c r="AL380"/>
  <c r="AM380"/>
  <c r="AN380"/>
  <c r="AO380"/>
  <c r="AP380"/>
  <c r="AQ380"/>
  <c r="AR380"/>
  <c r="AS380"/>
  <c r="AT380"/>
  <c r="AU380"/>
  <c r="AV380"/>
  <c r="AW380"/>
  <c r="AX380"/>
  <c r="AY380"/>
  <c r="AZ380"/>
  <c r="BA380"/>
  <c r="BB380"/>
  <c r="BC380"/>
  <c r="BD380"/>
  <c r="BE380"/>
  <c r="BF380"/>
  <c r="BG380"/>
  <c r="BH380"/>
  <c r="BI380"/>
  <c r="BJ380"/>
  <c r="BK380"/>
  <c r="BL380"/>
  <c r="BM380"/>
  <c r="BN380"/>
  <c r="BO380"/>
  <c r="BP380"/>
  <c r="BQ380"/>
  <c r="BR380"/>
  <c r="BS380"/>
  <c r="BT380"/>
  <c r="BU380"/>
  <c r="BV380"/>
  <c r="BW380"/>
  <c r="BX380"/>
  <c r="BY380"/>
  <c r="BZ380"/>
  <c r="CA380"/>
  <c r="CB380"/>
  <c r="CC380"/>
  <c r="CD380"/>
  <c r="CE380"/>
  <c r="CF380"/>
  <c r="CG380"/>
  <c r="CH380"/>
  <c r="CI380"/>
  <c r="CJ380"/>
  <c r="CK380"/>
  <c r="CL380"/>
  <c r="CM380"/>
  <c r="CN380"/>
  <c r="CO380"/>
  <c r="CP380"/>
  <c r="CQ380"/>
  <c r="CR380"/>
  <c r="CS380"/>
  <c r="CT380"/>
  <c r="CU380"/>
  <c r="CV380"/>
  <c r="CW380"/>
  <c r="CX380"/>
  <c r="CY380"/>
  <c r="CZ380"/>
  <c r="DA380"/>
  <c r="DB380"/>
  <c r="D380"/>
  <c r="DB378"/>
  <c r="E376" l="1"/>
  <c r="D376"/>
  <c r="C376"/>
  <c r="DW1" a="1"/>
  <c r="DW3" s="1"/>
  <c r="F371"/>
  <c r="C372"/>
  <c r="D372"/>
  <c r="E372"/>
  <c r="F372"/>
  <c r="G372"/>
  <c r="H372"/>
  <c r="I372"/>
  <c r="J372"/>
  <c r="K372"/>
  <c r="L372"/>
  <c r="M372"/>
  <c r="N372"/>
  <c r="O372"/>
  <c r="P372"/>
  <c r="Q372"/>
  <c r="R372"/>
  <c r="S372"/>
  <c r="T372"/>
  <c r="U372"/>
  <c r="V372"/>
  <c r="W372"/>
  <c r="X372"/>
  <c r="Y372"/>
  <c r="Z372"/>
  <c r="AA372"/>
  <c r="AB372"/>
  <c r="AC372"/>
  <c r="AD372"/>
  <c r="AE372"/>
  <c r="AF372"/>
  <c r="AG372"/>
  <c r="AH372"/>
  <c r="AI372"/>
  <c r="AJ372"/>
  <c r="AK372"/>
  <c r="AL372"/>
  <c r="AM372"/>
  <c r="AN372"/>
  <c r="AO372"/>
  <c r="AP372"/>
  <c r="AQ372"/>
  <c r="AR372"/>
  <c r="AS372"/>
  <c r="AT372"/>
  <c r="AU372"/>
  <c r="AV372"/>
  <c r="AW372"/>
  <c r="AX372"/>
  <c r="AY372"/>
  <c r="AZ372"/>
  <c r="BA372"/>
  <c r="BB372"/>
  <c r="BC372"/>
  <c r="BD372"/>
  <c r="BE372"/>
  <c r="BF372"/>
  <c r="BG372"/>
  <c r="BH372"/>
  <c r="BI372"/>
  <c r="BJ372"/>
  <c r="BK372"/>
  <c r="BL372"/>
  <c r="BM372"/>
  <c r="BN372"/>
  <c r="BO372"/>
  <c r="BP372"/>
  <c r="BQ372"/>
  <c r="BR372"/>
  <c r="BS372"/>
  <c r="BT372"/>
  <c r="BU372"/>
  <c r="BV372"/>
  <c r="BW372"/>
  <c r="BX372"/>
  <c r="BY372"/>
  <c r="BZ372"/>
  <c r="CA372"/>
  <c r="CB372"/>
  <c r="CC372"/>
  <c r="CD372"/>
  <c r="CE372"/>
  <c r="CF372"/>
  <c r="CG372"/>
  <c r="CH372"/>
  <c r="CI372"/>
  <c r="CJ372"/>
  <c r="CK372"/>
  <c r="CL372"/>
  <c r="CM372"/>
  <c r="CN372"/>
  <c r="CO372"/>
  <c r="CP372"/>
  <c r="CQ372"/>
  <c r="CR372"/>
  <c r="CS372"/>
  <c r="CT372"/>
  <c r="CU372"/>
  <c r="CV372"/>
  <c r="CW372"/>
  <c r="CX372"/>
  <c r="CY372"/>
  <c r="CZ372"/>
  <c r="DA372"/>
  <c r="DB379"/>
  <c r="C373"/>
  <c r="D373"/>
  <c r="E373"/>
  <c r="F373"/>
  <c r="G373"/>
  <c r="H373"/>
  <c r="I373"/>
  <c r="J373"/>
  <c r="K373"/>
  <c r="L373"/>
  <c r="M373"/>
  <c r="N373"/>
  <c r="O373"/>
  <c r="P373"/>
  <c r="Q373"/>
  <c r="R373"/>
  <c r="S373"/>
  <c r="T373"/>
  <c r="U373"/>
  <c r="V373"/>
  <c r="W373"/>
  <c r="X373"/>
  <c r="Y373"/>
  <c r="Z373"/>
  <c r="AA373"/>
  <c r="AB373"/>
  <c r="AC373"/>
  <c r="AD373"/>
  <c r="AE373"/>
  <c r="AF373"/>
  <c r="AG373"/>
  <c r="AH373"/>
  <c r="AI373"/>
  <c r="AJ373"/>
  <c r="AK373"/>
  <c r="AL373"/>
  <c r="AM373"/>
  <c r="AN373"/>
  <c r="AO373"/>
  <c r="AP373"/>
  <c r="AQ373"/>
  <c r="AR373"/>
  <c r="AS373"/>
  <c r="AT373"/>
  <c r="AU373"/>
  <c r="AV373"/>
  <c r="AW373"/>
  <c r="AX373"/>
  <c r="AY373"/>
  <c r="AZ373"/>
  <c r="BA373"/>
  <c r="BB373"/>
  <c r="BC373"/>
  <c r="BD373"/>
  <c r="BE373"/>
  <c r="BF373"/>
  <c r="BG373"/>
  <c r="BH373"/>
  <c r="BI373"/>
  <c r="BJ373"/>
  <c r="BK373"/>
  <c r="BL373"/>
  <c r="BM373"/>
  <c r="BN373"/>
  <c r="BO373"/>
  <c r="BP373"/>
  <c r="BQ373"/>
  <c r="BR373"/>
  <c r="BS373"/>
  <c r="BT373"/>
  <c r="BU373"/>
  <c r="BV373"/>
  <c r="BW373"/>
  <c r="BX373"/>
  <c r="BY373"/>
  <c r="BZ373"/>
  <c r="CA373"/>
  <c r="CB373"/>
  <c r="CC373"/>
  <c r="CD373"/>
  <c r="CE373"/>
  <c r="CF373"/>
  <c r="CG373"/>
  <c r="CH373"/>
  <c r="CI373"/>
  <c r="CJ373"/>
  <c r="CK373"/>
  <c r="CL373"/>
  <c r="CM373"/>
  <c r="CN373"/>
  <c r="CO373"/>
  <c r="CP373"/>
  <c r="CQ373"/>
  <c r="CR373"/>
  <c r="CS373"/>
  <c r="CT373"/>
  <c r="CU373"/>
  <c r="CV373"/>
  <c r="CW373"/>
  <c r="CX373"/>
  <c r="CY373"/>
  <c r="CZ373"/>
  <c r="DA373"/>
  <c r="D371"/>
  <c r="E371"/>
  <c r="G371"/>
  <c r="G375" s="1"/>
  <c r="H371"/>
  <c r="I371"/>
  <c r="J371"/>
  <c r="J375" s="1"/>
  <c r="K371"/>
  <c r="K375" s="1"/>
  <c r="L371"/>
  <c r="M371"/>
  <c r="N371"/>
  <c r="N375" s="1"/>
  <c r="O371"/>
  <c r="O375" s="1"/>
  <c r="P371"/>
  <c r="Q371"/>
  <c r="R371"/>
  <c r="R375" s="1"/>
  <c r="S371"/>
  <c r="S375" s="1"/>
  <c r="T371"/>
  <c r="U371"/>
  <c r="V371"/>
  <c r="V375" s="1"/>
  <c r="W371"/>
  <c r="W375" s="1"/>
  <c r="X371"/>
  <c r="Y371"/>
  <c r="Z371"/>
  <c r="Z375" s="1"/>
  <c r="AA371"/>
  <c r="AA375" s="1"/>
  <c r="AB371"/>
  <c r="AC371"/>
  <c r="AD371"/>
  <c r="AD375" s="1"/>
  <c r="AE371"/>
  <c r="AE375" s="1"/>
  <c r="AF371"/>
  <c r="AG371"/>
  <c r="AH371"/>
  <c r="AH375" s="1"/>
  <c r="AI371"/>
  <c r="AI375" s="1"/>
  <c r="AJ371"/>
  <c r="AK371"/>
  <c r="AL371"/>
  <c r="AL375" s="1"/>
  <c r="AM371"/>
  <c r="AM375" s="1"/>
  <c r="AN371"/>
  <c r="AO371"/>
  <c r="AP371"/>
  <c r="AP375" s="1"/>
  <c r="AQ371"/>
  <c r="AQ375" s="1"/>
  <c r="AR371"/>
  <c r="AS371"/>
  <c r="AT371"/>
  <c r="AT375" s="1"/>
  <c r="AU371"/>
  <c r="AU375" s="1"/>
  <c r="AV371"/>
  <c r="AW371"/>
  <c r="AX371"/>
  <c r="AX375" s="1"/>
  <c r="AY371"/>
  <c r="AY375" s="1"/>
  <c r="AZ371"/>
  <c r="BA371"/>
  <c r="BB371"/>
  <c r="BB375" s="1"/>
  <c r="BC371"/>
  <c r="BC375" s="1"/>
  <c r="BD371"/>
  <c r="BE371"/>
  <c r="BF371"/>
  <c r="BF375" s="1"/>
  <c r="BG371"/>
  <c r="BG375" s="1"/>
  <c r="BH371"/>
  <c r="BI371"/>
  <c r="BJ371"/>
  <c r="BJ375" s="1"/>
  <c r="BK371"/>
  <c r="BK375" s="1"/>
  <c r="BL371"/>
  <c r="BM371"/>
  <c r="BN371"/>
  <c r="BN375" s="1"/>
  <c r="BO371"/>
  <c r="BO375" s="1"/>
  <c r="BP371"/>
  <c r="BQ371"/>
  <c r="BR371"/>
  <c r="BR375" s="1"/>
  <c r="BS371"/>
  <c r="BS375" s="1"/>
  <c r="BT371"/>
  <c r="BU371"/>
  <c r="BV371"/>
  <c r="BV375" s="1"/>
  <c r="BW371"/>
  <c r="BW375" s="1"/>
  <c r="BX371"/>
  <c r="BY371"/>
  <c r="BZ371"/>
  <c r="BZ375" s="1"/>
  <c r="CA371"/>
  <c r="CA375" s="1"/>
  <c r="CB371"/>
  <c r="CC371"/>
  <c r="CD371"/>
  <c r="CD375" s="1"/>
  <c r="CE371"/>
  <c r="CE375" s="1"/>
  <c r="CF371"/>
  <c r="CG371"/>
  <c r="CH371"/>
  <c r="CH375" s="1"/>
  <c r="CI371"/>
  <c r="CI375" s="1"/>
  <c r="CJ371"/>
  <c r="CK371"/>
  <c r="CL371"/>
  <c r="CL375" s="1"/>
  <c r="CM371"/>
  <c r="CM375" s="1"/>
  <c r="CN371"/>
  <c r="CO371"/>
  <c r="CP371"/>
  <c r="CP375" s="1"/>
  <c r="CQ371"/>
  <c r="CQ375" s="1"/>
  <c r="CR371"/>
  <c r="CS371"/>
  <c r="CT371"/>
  <c r="CT375" s="1"/>
  <c r="CU371"/>
  <c r="CU375" s="1"/>
  <c r="CV371"/>
  <c r="CW371"/>
  <c r="CX371"/>
  <c r="CX375" s="1"/>
  <c r="CY371"/>
  <c r="CY375" s="1"/>
  <c r="CZ371"/>
  <c r="DA371"/>
  <c r="DR16"/>
  <c r="E379" l="1"/>
  <c r="DA375"/>
  <c r="CW375"/>
  <c r="CS375"/>
  <c r="CO375"/>
  <c r="CK375"/>
  <c r="CG375"/>
  <c r="CC375"/>
  <c r="BY375"/>
  <c r="BU375"/>
  <c r="BQ375"/>
  <c r="BM375"/>
  <c r="BI375"/>
  <c r="BE375"/>
  <c r="BA375"/>
  <c r="AW375"/>
  <c r="AS375"/>
  <c r="AO375"/>
  <c r="AK375"/>
  <c r="AG375"/>
  <c r="AC375"/>
  <c r="Y375"/>
  <c r="U375"/>
  <c r="Q375"/>
  <c r="M375"/>
  <c r="I375"/>
  <c r="E375"/>
  <c r="CZ375"/>
  <c r="CV375"/>
  <c r="CR375"/>
  <c r="CN375"/>
  <c r="CJ375"/>
  <c r="CF375"/>
  <c r="CB375"/>
  <c r="BX375"/>
  <c r="BT375"/>
  <c r="BP375"/>
  <c r="BL375"/>
  <c r="BH375"/>
  <c r="BD375"/>
  <c r="AZ375"/>
  <c r="AV375"/>
  <c r="AR375"/>
  <c r="AN375"/>
  <c r="AJ375"/>
  <c r="AF375"/>
  <c r="AB375"/>
  <c r="X375"/>
  <c r="T375"/>
  <c r="P375"/>
  <c r="L375"/>
  <c r="H375"/>
  <c r="DW376"/>
  <c r="DW364"/>
  <c r="DW352"/>
  <c r="DW340"/>
  <c r="DW328"/>
  <c r="DW316"/>
  <c r="DW304"/>
  <c r="DW292"/>
  <c r="DW280"/>
  <c r="DW268"/>
  <c r="DW256"/>
  <c r="DW248"/>
  <c r="DW236"/>
  <c r="DW228"/>
  <c r="DW220"/>
  <c r="DW212"/>
  <c r="DW204"/>
  <c r="DW192"/>
  <c r="DW160"/>
  <c r="DW8"/>
  <c r="DW377"/>
  <c r="DW373"/>
  <c r="DW369"/>
  <c r="DW365"/>
  <c r="DW361"/>
  <c r="DW357"/>
  <c r="DW353"/>
  <c r="DW349"/>
  <c r="DW345"/>
  <c r="DW341"/>
  <c r="DW337"/>
  <c r="DW333"/>
  <c r="DW329"/>
  <c r="DW325"/>
  <c r="DW321"/>
  <c r="DW317"/>
  <c r="DW313"/>
  <c r="DW309"/>
  <c r="DW305"/>
  <c r="DW301"/>
  <c r="DW297"/>
  <c r="DW293"/>
  <c r="DW289"/>
  <c r="DW285"/>
  <c r="DW281"/>
  <c r="DW277"/>
  <c r="DW273"/>
  <c r="DW269"/>
  <c r="DW265"/>
  <c r="DW261"/>
  <c r="DW257"/>
  <c r="DW253"/>
  <c r="DW249"/>
  <c r="DW245"/>
  <c r="DW241"/>
  <c r="DW237"/>
  <c r="DW233"/>
  <c r="DW229"/>
  <c r="DW225"/>
  <c r="DW221"/>
  <c r="DW217"/>
  <c r="DW213"/>
  <c r="DW209"/>
  <c r="DW205"/>
  <c r="DW201"/>
  <c r="DW197"/>
  <c r="DW193"/>
  <c r="DW189"/>
  <c r="DW185"/>
  <c r="DW181"/>
  <c r="DW177"/>
  <c r="DW173"/>
  <c r="DW169"/>
  <c r="DW165"/>
  <c r="DW161"/>
  <c r="DW157"/>
  <c r="DW153"/>
  <c r="DW149"/>
  <c r="DW145"/>
  <c r="DW141"/>
  <c r="DW137"/>
  <c r="DW133"/>
  <c r="DW129"/>
  <c r="DW125"/>
  <c r="DW121"/>
  <c r="DW117"/>
  <c r="DW113"/>
  <c r="DW109"/>
  <c r="DW105"/>
  <c r="DW101"/>
  <c r="DW97"/>
  <c r="DW93"/>
  <c r="DW89"/>
  <c r="DW85"/>
  <c r="DW81"/>
  <c r="DW77"/>
  <c r="DW73"/>
  <c r="DW69"/>
  <c r="DW65"/>
  <c r="DW61"/>
  <c r="DW57"/>
  <c r="DW53"/>
  <c r="DW49"/>
  <c r="DW45"/>
  <c r="DW41"/>
  <c r="DW37"/>
  <c r="DW33"/>
  <c r="DW29"/>
  <c r="DW25"/>
  <c r="DW21"/>
  <c r="DW17"/>
  <c r="DW13"/>
  <c r="DW9"/>
  <c r="DW5"/>
  <c r="DW1"/>
  <c r="DW372"/>
  <c r="DW360"/>
  <c r="DW348"/>
  <c r="DW336"/>
  <c r="DW324"/>
  <c r="DW312"/>
  <c r="DW300"/>
  <c r="DW288"/>
  <c r="DW276"/>
  <c r="DW264"/>
  <c r="DW244"/>
  <c r="DW196"/>
  <c r="DW12"/>
  <c r="DW378"/>
  <c r="DW374"/>
  <c r="DW370"/>
  <c r="DW366"/>
  <c r="DW362"/>
  <c r="DW358"/>
  <c r="DW354"/>
  <c r="DW350"/>
  <c r="DW346"/>
  <c r="DW342"/>
  <c r="DW338"/>
  <c r="DW334"/>
  <c r="DW330"/>
  <c r="DW326"/>
  <c r="DW322"/>
  <c r="DW318"/>
  <c r="DW314"/>
  <c r="DW310"/>
  <c r="DW306"/>
  <c r="DW302"/>
  <c r="DW298"/>
  <c r="DW294"/>
  <c r="DW290"/>
  <c r="DW286"/>
  <c r="DW282"/>
  <c r="DW278"/>
  <c r="DW274"/>
  <c r="DW270"/>
  <c r="DW266"/>
  <c r="DW262"/>
  <c r="DW258"/>
  <c r="DW254"/>
  <c r="DW250"/>
  <c r="DW246"/>
  <c r="DW242"/>
  <c r="DW238"/>
  <c r="DW234"/>
  <c r="DW230"/>
  <c r="DW226"/>
  <c r="DW222"/>
  <c r="DW218"/>
  <c r="DW214"/>
  <c r="DW210"/>
  <c r="DW206"/>
  <c r="DW202"/>
  <c r="DW198"/>
  <c r="DW194"/>
  <c r="DW190"/>
  <c r="DW186"/>
  <c r="DW182"/>
  <c r="DW178"/>
  <c r="DW174"/>
  <c r="DW170"/>
  <c r="DW166"/>
  <c r="DW162"/>
  <c r="DW158"/>
  <c r="DW154"/>
  <c r="DW150"/>
  <c r="DW146"/>
  <c r="DW142"/>
  <c r="DW138"/>
  <c r="DW134"/>
  <c r="DW130"/>
  <c r="DW126"/>
  <c r="DW122"/>
  <c r="DW118"/>
  <c r="DW114"/>
  <c r="DW110"/>
  <c r="DW106"/>
  <c r="DW102"/>
  <c r="DW98"/>
  <c r="DW94"/>
  <c r="DW90"/>
  <c r="DW86"/>
  <c r="DW82"/>
  <c r="DW78"/>
  <c r="DW74"/>
  <c r="DW70"/>
  <c r="DW66"/>
  <c r="DW62"/>
  <c r="DW58"/>
  <c r="DW54"/>
  <c r="DW50"/>
  <c r="DW46"/>
  <c r="DW42"/>
  <c r="DW38"/>
  <c r="DW34"/>
  <c r="DW30"/>
  <c r="DW26"/>
  <c r="DW22"/>
  <c r="DW18"/>
  <c r="DW14"/>
  <c r="DW10"/>
  <c r="DW6"/>
  <c r="DW2"/>
  <c r="DX2" s="1"/>
  <c r="DW368"/>
  <c r="DW356"/>
  <c r="DW344"/>
  <c r="DW332"/>
  <c r="DW320"/>
  <c r="DW308"/>
  <c r="DW296"/>
  <c r="DW284"/>
  <c r="DW272"/>
  <c r="DW260"/>
  <c r="DW252"/>
  <c r="DW240"/>
  <c r="DW232"/>
  <c r="DW224"/>
  <c r="DW216"/>
  <c r="DW208"/>
  <c r="DW200"/>
  <c r="DW188"/>
  <c r="DW184"/>
  <c r="DW180"/>
  <c r="DW176"/>
  <c r="DW172"/>
  <c r="DW168"/>
  <c r="DW164"/>
  <c r="DW156"/>
  <c r="DW152"/>
  <c r="DW148"/>
  <c r="DW144"/>
  <c r="DW140"/>
  <c r="DW136"/>
  <c r="DW132"/>
  <c r="DW128"/>
  <c r="DW124"/>
  <c r="DW120"/>
  <c r="DW116"/>
  <c r="DW112"/>
  <c r="DW108"/>
  <c r="DW104"/>
  <c r="DW100"/>
  <c r="DW96"/>
  <c r="DW92"/>
  <c r="DW88"/>
  <c r="DW84"/>
  <c r="DW80"/>
  <c r="DW76"/>
  <c r="DW72"/>
  <c r="DW68"/>
  <c r="DW64"/>
  <c r="DW60"/>
  <c r="DW56"/>
  <c r="DW52"/>
  <c r="DW48"/>
  <c r="DW44"/>
  <c r="DW40"/>
  <c r="DW36"/>
  <c r="DW32"/>
  <c r="DW28"/>
  <c r="DW24"/>
  <c r="DW20"/>
  <c r="DW16"/>
  <c r="DW4"/>
  <c r="DW375"/>
  <c r="DW371"/>
  <c r="DW367"/>
  <c r="DW363"/>
  <c r="DW359"/>
  <c r="DW355"/>
  <c r="DW351"/>
  <c r="DW347"/>
  <c r="DW343"/>
  <c r="DW339"/>
  <c r="DW335"/>
  <c r="DW331"/>
  <c r="DW327"/>
  <c r="DW323"/>
  <c r="DW319"/>
  <c r="DW315"/>
  <c r="DW311"/>
  <c r="DW307"/>
  <c r="DW303"/>
  <c r="DW299"/>
  <c r="DW295"/>
  <c r="DW291"/>
  <c r="DW287"/>
  <c r="DW283"/>
  <c r="DW279"/>
  <c r="DW275"/>
  <c r="DW271"/>
  <c r="DW267"/>
  <c r="DW263"/>
  <c r="DW259"/>
  <c r="DW255"/>
  <c r="DW251"/>
  <c r="DW247"/>
  <c r="DW243"/>
  <c r="DW239"/>
  <c r="DW235"/>
  <c r="DW231"/>
  <c r="DW227"/>
  <c r="DW223"/>
  <c r="DW219"/>
  <c r="DW215"/>
  <c r="DW211"/>
  <c r="DW207"/>
  <c r="DW203"/>
  <c r="DW199"/>
  <c r="DW195"/>
  <c r="DW191"/>
  <c r="DW187"/>
  <c r="DW183"/>
  <c r="DW179"/>
  <c r="DW175"/>
  <c r="DW171"/>
  <c r="DW167"/>
  <c r="DW163"/>
  <c r="DW159"/>
  <c r="DW155"/>
  <c r="DW151"/>
  <c r="DW147"/>
  <c r="DW143"/>
  <c r="DW139"/>
  <c r="DW135"/>
  <c r="DW131"/>
  <c r="DW127"/>
  <c r="DW123"/>
  <c r="DW119"/>
  <c r="DW115"/>
  <c r="DW111"/>
  <c r="DW107"/>
  <c r="DW103"/>
  <c r="DW99"/>
  <c r="DW95"/>
  <c r="DW91"/>
  <c r="DW87"/>
  <c r="DW83"/>
  <c r="DW79"/>
  <c r="DW75"/>
  <c r="DW71"/>
  <c r="DW67"/>
  <c r="DW63"/>
  <c r="DW59"/>
  <c r="DW55"/>
  <c r="DW51"/>
  <c r="DW47"/>
  <c r="DW43"/>
  <c r="DW39"/>
  <c r="DW35"/>
  <c r="DW31"/>
  <c r="DW27"/>
  <c r="DW23"/>
  <c r="DW19"/>
  <c r="DW15"/>
  <c r="DW11"/>
  <c r="DW7"/>
  <c r="F375"/>
  <c r="DS2"/>
  <c r="DS6"/>
  <c r="D375"/>
  <c r="DS13"/>
  <c r="DS12"/>
  <c r="DS11"/>
  <c r="DS10"/>
  <c r="DS7"/>
  <c r="DS5"/>
  <c r="DS4"/>
  <c r="DS3"/>
  <c r="DS8"/>
  <c r="DS9"/>
  <c r="DT9"/>
  <c r="DT2"/>
  <c r="D370"/>
  <c r="D378" s="1"/>
  <c r="E370"/>
  <c r="F370"/>
  <c r="G370"/>
  <c r="H370"/>
  <c r="H379" s="1"/>
  <c r="I370"/>
  <c r="J370"/>
  <c r="J379" s="1"/>
  <c r="K370"/>
  <c r="K379" s="1"/>
  <c r="L370"/>
  <c r="M370"/>
  <c r="N370"/>
  <c r="O370"/>
  <c r="O379" s="1"/>
  <c r="P370"/>
  <c r="P379" s="1"/>
  <c r="Q370"/>
  <c r="R370"/>
  <c r="S370"/>
  <c r="T370"/>
  <c r="T379" s="1"/>
  <c r="U370"/>
  <c r="V370"/>
  <c r="W370"/>
  <c r="X370"/>
  <c r="X379" s="1"/>
  <c r="Y370"/>
  <c r="Z370"/>
  <c r="Z379" s="1"/>
  <c r="AA370"/>
  <c r="AA379" s="1"/>
  <c r="AB370"/>
  <c r="AC370"/>
  <c r="AD370"/>
  <c r="AE370"/>
  <c r="AE379" s="1"/>
  <c r="AF370"/>
  <c r="AF379" s="1"/>
  <c r="AG370"/>
  <c r="AH370"/>
  <c r="AI370"/>
  <c r="AJ370"/>
  <c r="AJ379" s="1"/>
  <c r="AK370"/>
  <c r="AL370"/>
  <c r="AM370"/>
  <c r="AN370"/>
  <c r="AN379" s="1"/>
  <c r="AO370"/>
  <c r="AP370"/>
  <c r="AP379" s="1"/>
  <c r="AQ370"/>
  <c r="AQ379" s="1"/>
  <c r="AR370"/>
  <c r="AS370"/>
  <c r="AT370"/>
  <c r="AU370"/>
  <c r="AU379" s="1"/>
  <c r="AV370"/>
  <c r="AV379" s="1"/>
  <c r="AW370"/>
  <c r="AX370"/>
  <c r="AY370"/>
  <c r="AZ370"/>
  <c r="AZ379" s="1"/>
  <c r="BA370"/>
  <c r="BB370"/>
  <c r="BC370"/>
  <c r="BD370"/>
  <c r="BD379" s="1"/>
  <c r="BE370"/>
  <c r="BF370"/>
  <c r="BF379" s="1"/>
  <c r="BG370"/>
  <c r="BG379" s="1"/>
  <c r="BH370"/>
  <c r="BI370"/>
  <c r="BJ370"/>
  <c r="BK370"/>
  <c r="BK379" s="1"/>
  <c r="BL370"/>
  <c r="BL379" s="1"/>
  <c r="BM370"/>
  <c r="BN370"/>
  <c r="BO370"/>
  <c r="BP370"/>
  <c r="BP379" s="1"/>
  <c r="BQ370"/>
  <c r="BR370"/>
  <c r="BS370"/>
  <c r="BT370"/>
  <c r="BT379" s="1"/>
  <c r="BU370"/>
  <c r="BV370"/>
  <c r="BV379" s="1"/>
  <c r="BW370"/>
  <c r="BW379" s="1"/>
  <c r="BX370"/>
  <c r="BY370"/>
  <c r="BZ370"/>
  <c r="CA370"/>
  <c r="CA379" s="1"/>
  <c r="CB370"/>
  <c r="CB379" s="1"/>
  <c r="CC370"/>
  <c r="CD370"/>
  <c r="CE370"/>
  <c r="CF370"/>
  <c r="CG370"/>
  <c r="CH370"/>
  <c r="CI370"/>
  <c r="CJ370"/>
  <c r="CJ379" s="1"/>
  <c r="CK370"/>
  <c r="CL370"/>
  <c r="CL379" s="1"/>
  <c r="CM370"/>
  <c r="CM379" s="1"/>
  <c r="CN370"/>
  <c r="CO370"/>
  <c r="CP370"/>
  <c r="CQ370"/>
  <c r="CQ379" s="1"/>
  <c r="CR370"/>
  <c r="CR379" s="1"/>
  <c r="CS370"/>
  <c r="CT370"/>
  <c r="CU370"/>
  <c r="CV370"/>
  <c r="CW370"/>
  <c r="CX370"/>
  <c r="CY370"/>
  <c r="CZ370"/>
  <c r="CZ379" s="1"/>
  <c r="DA370"/>
  <c r="C370"/>
  <c r="C374" s="1"/>
  <c r="CY374" l="1"/>
  <c r="CY378"/>
  <c r="CV374"/>
  <c r="CV378"/>
  <c r="CN374"/>
  <c r="CN378"/>
  <c r="CF374"/>
  <c r="CF378"/>
  <c r="DA374"/>
  <c r="DA378"/>
  <c r="CW374"/>
  <c r="CW378"/>
  <c r="CS374"/>
  <c r="CS378"/>
  <c r="CO374"/>
  <c r="CO378"/>
  <c r="CK374"/>
  <c r="CK378"/>
  <c r="CG374"/>
  <c r="CG378"/>
  <c r="CC374"/>
  <c r="CC378"/>
  <c r="BY374"/>
  <c r="BY378"/>
  <c r="BU374"/>
  <c r="BU378"/>
  <c r="BQ374"/>
  <c r="BQ378"/>
  <c r="BM374"/>
  <c r="BM378"/>
  <c r="BI374"/>
  <c r="BI378"/>
  <c r="BE374"/>
  <c r="BE378"/>
  <c r="BA374"/>
  <c r="BA378"/>
  <c r="AW374"/>
  <c r="AW378"/>
  <c r="AS374"/>
  <c r="AS378"/>
  <c r="AO374"/>
  <c r="AO378"/>
  <c r="AK374"/>
  <c r="AK378"/>
  <c r="AG374"/>
  <c r="AG378"/>
  <c r="AC374"/>
  <c r="AC378"/>
  <c r="Y374"/>
  <c r="Y378"/>
  <c r="U374"/>
  <c r="U378"/>
  <c r="Q374"/>
  <c r="Q378"/>
  <c r="M374"/>
  <c r="M378"/>
  <c r="I374"/>
  <c r="I378"/>
  <c r="E374"/>
  <c r="E378"/>
  <c r="AO379"/>
  <c r="CK379"/>
  <c r="Y379"/>
  <c r="BU379"/>
  <c r="I379"/>
  <c r="BE379"/>
  <c r="DA379"/>
  <c r="CX374"/>
  <c r="CX378"/>
  <c r="CT374"/>
  <c r="CT378"/>
  <c r="CP374"/>
  <c r="CP378"/>
  <c r="CL374"/>
  <c r="CL378"/>
  <c r="CH374"/>
  <c r="CH378"/>
  <c r="CD374"/>
  <c r="CD378"/>
  <c r="BZ374"/>
  <c r="BZ378"/>
  <c r="BV374"/>
  <c r="BV378"/>
  <c r="BR374"/>
  <c r="BR378"/>
  <c r="BN374"/>
  <c r="BN378"/>
  <c r="BJ374"/>
  <c r="BJ378"/>
  <c r="BF374"/>
  <c r="BF378"/>
  <c r="BB374"/>
  <c r="BB378"/>
  <c r="AX374"/>
  <c r="AX378"/>
  <c r="AT374"/>
  <c r="AT378"/>
  <c r="AP374"/>
  <c r="AP378"/>
  <c r="AL374"/>
  <c r="AL378"/>
  <c r="AH374"/>
  <c r="AH378"/>
  <c r="AD374"/>
  <c r="AD378"/>
  <c r="Z374"/>
  <c r="Z378"/>
  <c r="V374"/>
  <c r="V378"/>
  <c r="R374"/>
  <c r="R378"/>
  <c r="N374"/>
  <c r="N378"/>
  <c r="J374"/>
  <c r="J378"/>
  <c r="F374"/>
  <c r="F378"/>
  <c r="D379"/>
  <c r="CF379"/>
  <c r="CV379"/>
  <c r="AC379"/>
  <c r="BY379"/>
  <c r="M379"/>
  <c r="BI379"/>
  <c r="F379"/>
  <c r="V379"/>
  <c r="AL379"/>
  <c r="BB379"/>
  <c r="BR379"/>
  <c r="CH379"/>
  <c r="CX379"/>
  <c r="AS379"/>
  <c r="CO379"/>
  <c r="CU374"/>
  <c r="CU378"/>
  <c r="CQ374"/>
  <c r="CQ378"/>
  <c r="CM374"/>
  <c r="CM378"/>
  <c r="CI374"/>
  <c r="CI378"/>
  <c r="CE374"/>
  <c r="CE378"/>
  <c r="CA374"/>
  <c r="CA378"/>
  <c r="BW374"/>
  <c r="BW378"/>
  <c r="BS374"/>
  <c r="BS378"/>
  <c r="BO374"/>
  <c r="BO378"/>
  <c r="BK374"/>
  <c r="BK378"/>
  <c r="BG374"/>
  <c r="BG378"/>
  <c r="BC374"/>
  <c r="BC378"/>
  <c r="AY374"/>
  <c r="AY378"/>
  <c r="AU374"/>
  <c r="AU378"/>
  <c r="AQ374"/>
  <c r="AQ378"/>
  <c r="AM374"/>
  <c r="AM378"/>
  <c r="AI374"/>
  <c r="AI378"/>
  <c r="AE374"/>
  <c r="AE378"/>
  <c r="AA374"/>
  <c r="AA378"/>
  <c r="W374"/>
  <c r="W378"/>
  <c r="S374"/>
  <c r="S378"/>
  <c r="O374"/>
  <c r="O378"/>
  <c r="K374"/>
  <c r="K378"/>
  <c r="G374"/>
  <c r="G378"/>
  <c r="Q379"/>
  <c r="BM379"/>
  <c r="G379"/>
  <c r="W379"/>
  <c r="AM379"/>
  <c r="BC379"/>
  <c r="BS379"/>
  <c r="CI379"/>
  <c r="CY379"/>
  <c r="AW379"/>
  <c r="CS379"/>
  <c r="R379"/>
  <c r="AH379"/>
  <c r="AX379"/>
  <c r="BN379"/>
  <c r="CD379"/>
  <c r="CT379"/>
  <c r="AG379"/>
  <c r="CC379"/>
  <c r="CZ374"/>
  <c r="CZ378"/>
  <c r="CR374"/>
  <c r="CR378"/>
  <c r="CJ374"/>
  <c r="CJ378"/>
  <c r="CB374"/>
  <c r="CB378"/>
  <c r="BX374"/>
  <c r="BX378"/>
  <c r="BT374"/>
  <c r="BT378"/>
  <c r="BP374"/>
  <c r="BP378"/>
  <c r="BL374"/>
  <c r="BL378"/>
  <c r="BH374"/>
  <c r="BH378"/>
  <c r="BD374"/>
  <c r="BD378"/>
  <c r="AZ374"/>
  <c r="AZ378"/>
  <c r="AV374"/>
  <c r="AV378"/>
  <c r="AR374"/>
  <c r="AR378"/>
  <c r="AN374"/>
  <c r="AN378"/>
  <c r="AJ374"/>
  <c r="AJ378"/>
  <c r="AF374"/>
  <c r="AF378"/>
  <c r="AB374"/>
  <c r="AB378"/>
  <c r="X374"/>
  <c r="X378"/>
  <c r="T374"/>
  <c r="T378"/>
  <c r="P374"/>
  <c r="P378"/>
  <c r="L374"/>
  <c r="L378"/>
  <c r="H374"/>
  <c r="H378"/>
  <c r="L379"/>
  <c r="AB379"/>
  <c r="AR379"/>
  <c r="BH379"/>
  <c r="BX379"/>
  <c r="CN379"/>
  <c r="BA379"/>
  <c r="CW379"/>
  <c r="S379"/>
  <c r="AI379"/>
  <c r="AY379"/>
  <c r="BO379"/>
  <c r="CE379"/>
  <c r="CU379"/>
  <c r="AK379"/>
  <c r="CG379"/>
  <c r="N379"/>
  <c r="AD379"/>
  <c r="AT379"/>
  <c r="BJ379"/>
  <c r="BZ379"/>
  <c r="CP379"/>
  <c r="U379"/>
  <c r="BQ379"/>
  <c r="D374"/>
  <c r="DY2"/>
  <c r="DX3"/>
  <c r="DY1"/>
  <c r="DR2"/>
  <c r="DR10"/>
  <c r="DR7"/>
  <c r="DR4"/>
  <c r="DT5"/>
  <c r="DT3"/>
  <c r="DT10"/>
  <c r="DR12"/>
  <c r="DR9"/>
  <c r="DR6"/>
  <c r="DT7"/>
  <c r="DT4"/>
  <c r="DT12"/>
  <c r="DR11"/>
  <c r="DR8"/>
  <c r="DT6"/>
  <c r="DT11"/>
  <c r="DR13"/>
  <c r="DR5"/>
  <c r="DR3"/>
  <c r="DT8"/>
  <c r="DT13"/>
  <c r="DX4" l="1"/>
  <c r="DY3"/>
  <c r="DX5" l="1"/>
  <c r="DY4"/>
  <c r="DX6" l="1"/>
  <c r="DY5"/>
  <c r="DX7" l="1"/>
  <c r="DY6"/>
  <c r="DX8" l="1"/>
  <c r="DY7"/>
  <c r="DX9" l="1"/>
  <c r="DY8"/>
  <c r="DX10" l="1"/>
  <c r="DY9"/>
  <c r="DX11" l="1"/>
  <c r="DY10"/>
  <c r="DX12" l="1"/>
  <c r="DY11"/>
  <c r="DX13" l="1"/>
  <c r="DY12"/>
  <c r="DX14" l="1"/>
  <c r="DY13"/>
  <c r="DX15" l="1"/>
  <c r="DY14"/>
  <c r="DX16" l="1"/>
  <c r="DY15"/>
  <c r="DX17" l="1"/>
  <c r="DY16"/>
  <c r="DX18" l="1"/>
  <c r="DY17"/>
  <c r="DX19" l="1"/>
  <c r="DY18"/>
  <c r="DX20" l="1"/>
  <c r="DY19"/>
  <c r="DX21" l="1"/>
  <c r="DY20"/>
  <c r="DX22" l="1"/>
  <c r="DY21"/>
  <c r="DX23" l="1"/>
  <c r="DY22"/>
  <c r="DX24" l="1"/>
  <c r="DY23"/>
  <c r="DX25" l="1"/>
  <c r="DY24"/>
  <c r="DX26" l="1"/>
  <c r="DY25"/>
  <c r="DX27" l="1"/>
  <c r="DY26"/>
  <c r="DX28" l="1"/>
  <c r="DY27"/>
  <c r="DX29" l="1"/>
  <c r="DY28"/>
  <c r="DX30" l="1"/>
  <c r="DY29"/>
  <c r="DX31" l="1"/>
  <c r="DY30"/>
  <c r="DX32" l="1"/>
  <c r="DY31"/>
  <c r="DX33" l="1"/>
  <c r="DY32"/>
  <c r="DX34" l="1"/>
  <c r="DY33"/>
  <c r="DX35" l="1"/>
  <c r="DY34"/>
  <c r="DX36" l="1"/>
  <c r="DY35"/>
  <c r="DX37" l="1"/>
  <c r="DY36"/>
  <c r="DX38" l="1"/>
  <c r="DY37"/>
  <c r="DX39" l="1"/>
  <c r="DY38"/>
  <c r="DX40" l="1"/>
  <c r="DY39"/>
  <c r="DX41" l="1"/>
  <c r="DY40"/>
  <c r="DX42" l="1"/>
  <c r="DY41"/>
  <c r="DX43" l="1"/>
  <c r="DY42"/>
  <c r="DX44" l="1"/>
  <c r="DY43"/>
  <c r="DX45" l="1"/>
  <c r="DY44"/>
  <c r="DX46" l="1"/>
  <c r="DY45"/>
  <c r="DX47" l="1"/>
  <c r="DY46"/>
  <c r="DX48" l="1"/>
  <c r="DY47"/>
  <c r="DX49" l="1"/>
  <c r="DY48"/>
  <c r="DX50" l="1"/>
  <c r="DY49"/>
  <c r="DX51" l="1"/>
  <c r="DY50"/>
  <c r="DX52" l="1"/>
  <c r="DY51"/>
  <c r="DX53" l="1"/>
  <c r="DY52"/>
  <c r="DX54" l="1"/>
  <c r="DY53"/>
  <c r="DX55" l="1"/>
  <c r="DY54"/>
  <c r="DX56" l="1"/>
  <c r="DY55"/>
  <c r="DX57" l="1"/>
  <c r="DY56"/>
  <c r="DX58" l="1"/>
  <c r="DY57"/>
  <c r="DX59" l="1"/>
  <c r="DY58"/>
  <c r="DX60" l="1"/>
  <c r="DY59"/>
  <c r="DX61" l="1"/>
  <c r="DY60"/>
  <c r="DX62" l="1"/>
  <c r="DY61"/>
  <c r="DX63" l="1"/>
  <c r="DY62"/>
  <c r="DX64" l="1"/>
  <c r="DY63"/>
  <c r="DX65" l="1"/>
  <c r="DY64"/>
  <c r="DX66" l="1"/>
  <c r="DY65"/>
  <c r="DX67" l="1"/>
  <c r="DY66"/>
  <c r="DX68" l="1"/>
  <c r="DY67"/>
  <c r="DX69" l="1"/>
  <c r="DY68"/>
  <c r="DX70" l="1"/>
  <c r="DY69"/>
  <c r="DX71" l="1"/>
  <c r="DY70"/>
  <c r="DX72" l="1"/>
  <c r="DY71"/>
  <c r="DX73" l="1"/>
  <c r="DY72"/>
  <c r="DX74" l="1"/>
  <c r="DY73"/>
  <c r="DX75" l="1"/>
  <c r="DY74"/>
  <c r="DX76" l="1"/>
  <c r="DY75"/>
  <c r="DX77" l="1"/>
  <c r="DY76"/>
  <c r="DX78" l="1"/>
  <c r="DY77"/>
  <c r="DX79" l="1"/>
  <c r="DY78"/>
  <c r="DX80" l="1"/>
  <c r="DY79"/>
  <c r="DX81" l="1"/>
  <c r="DY80"/>
  <c r="DX82" l="1"/>
  <c r="DY81"/>
  <c r="DX83" l="1"/>
  <c r="DY82"/>
  <c r="DX84" l="1"/>
  <c r="DY83"/>
  <c r="DX85" l="1"/>
  <c r="DY84"/>
  <c r="DX86" l="1"/>
  <c r="DY85"/>
  <c r="DX87" l="1"/>
  <c r="DY86"/>
  <c r="DX88" l="1"/>
  <c r="DY87"/>
  <c r="DX89" l="1"/>
  <c r="DY88"/>
  <c r="DX90" l="1"/>
  <c r="DY89"/>
  <c r="DX91" l="1"/>
  <c r="DY90"/>
  <c r="DX92" l="1"/>
  <c r="DY91"/>
  <c r="DX93" l="1"/>
  <c r="DY92"/>
  <c r="DX94" l="1"/>
  <c r="DY93"/>
  <c r="DX95" l="1"/>
  <c r="DY94"/>
  <c r="DX96" l="1"/>
  <c r="DY95"/>
  <c r="DX97" l="1"/>
  <c r="DY96"/>
  <c r="DX98" l="1"/>
  <c r="DY97"/>
  <c r="DX99" l="1"/>
  <c r="DY98"/>
  <c r="DX100" l="1"/>
  <c r="DY99"/>
  <c r="DX101" l="1"/>
  <c r="DY100"/>
  <c r="DX102" l="1"/>
  <c r="DY101"/>
  <c r="DX103" l="1"/>
  <c r="DY102"/>
  <c r="DX104" l="1"/>
  <c r="DY103"/>
  <c r="DX105" l="1"/>
  <c r="DY104"/>
  <c r="DX106" l="1"/>
  <c r="DY105"/>
  <c r="DX107" l="1"/>
  <c r="DY106"/>
  <c r="DX108" l="1"/>
  <c r="DY107"/>
  <c r="DX109" l="1"/>
  <c r="DY108"/>
  <c r="DX110" l="1"/>
  <c r="DY109"/>
  <c r="DX111" l="1"/>
  <c r="DY110"/>
  <c r="DX112" l="1"/>
  <c r="DY111"/>
  <c r="DX113" l="1"/>
  <c r="DY112"/>
  <c r="DX114" l="1"/>
  <c r="DY113"/>
  <c r="DX115" l="1"/>
  <c r="DY114"/>
  <c r="DX116" l="1"/>
  <c r="DY115"/>
  <c r="DX117" l="1"/>
  <c r="DY116"/>
  <c r="DX118" l="1"/>
  <c r="DY117"/>
  <c r="DX119" l="1"/>
  <c r="DY118"/>
  <c r="DX120" l="1"/>
  <c r="DY119"/>
  <c r="DX121" l="1"/>
  <c r="DY120"/>
  <c r="DX122" l="1"/>
  <c r="DY121"/>
  <c r="DX123" l="1"/>
  <c r="DY122"/>
  <c r="DX124" l="1"/>
  <c r="DY123"/>
  <c r="DX125" l="1"/>
  <c r="DY124"/>
  <c r="DX126" l="1"/>
  <c r="DY125"/>
  <c r="DX127" l="1"/>
  <c r="DY126"/>
  <c r="DX128" l="1"/>
  <c r="DY127"/>
  <c r="DX129" l="1"/>
  <c r="DY128"/>
  <c r="DX130" l="1"/>
  <c r="DY129"/>
  <c r="DX131" l="1"/>
  <c r="DY130"/>
  <c r="DX132" l="1"/>
  <c r="DY131"/>
  <c r="DX133" l="1"/>
  <c r="DY132"/>
  <c r="DX134" l="1"/>
  <c r="DY133"/>
  <c r="DX135" l="1"/>
  <c r="DY134"/>
  <c r="DX136" l="1"/>
  <c r="DY135"/>
  <c r="DX137" l="1"/>
  <c r="DY136"/>
  <c r="DX138" l="1"/>
  <c r="DY137"/>
  <c r="DX139" l="1"/>
  <c r="DY138"/>
  <c r="DX140" l="1"/>
  <c r="DY139"/>
  <c r="DX141" l="1"/>
  <c r="DY140"/>
  <c r="DX142" l="1"/>
  <c r="DY141"/>
  <c r="DX143" l="1"/>
  <c r="DY142"/>
  <c r="DX144" l="1"/>
  <c r="DY143"/>
  <c r="DX145" l="1"/>
  <c r="DY144"/>
  <c r="DX146" l="1"/>
  <c r="DY145"/>
  <c r="DX147" l="1"/>
  <c r="DY146"/>
  <c r="DX148" l="1"/>
  <c r="DY147"/>
  <c r="DX149" l="1"/>
  <c r="DY148"/>
  <c r="DX150" l="1"/>
  <c r="DY149"/>
  <c r="DX151" l="1"/>
  <c r="DY150"/>
  <c r="DX152" l="1"/>
  <c r="DY151"/>
  <c r="DX153" l="1"/>
  <c r="DY152"/>
  <c r="DX154" l="1"/>
  <c r="DY153"/>
  <c r="DX155" l="1"/>
  <c r="DY154"/>
  <c r="DX156" l="1"/>
  <c r="DY155"/>
  <c r="DX157" l="1"/>
  <c r="DY156"/>
  <c r="DX158" l="1"/>
  <c r="DY157"/>
  <c r="DX159" l="1"/>
  <c r="DY158"/>
  <c r="DX160" l="1"/>
  <c r="DY159"/>
  <c r="DX161" l="1"/>
  <c r="DY160"/>
  <c r="DX162" l="1"/>
  <c r="DY161"/>
  <c r="DX163" l="1"/>
  <c r="DY162"/>
  <c r="DX164" l="1"/>
  <c r="DY163"/>
  <c r="DX165" l="1"/>
  <c r="DY164"/>
  <c r="DX166" l="1"/>
  <c r="DY165"/>
  <c r="DX167" l="1"/>
  <c r="DY166"/>
  <c r="DX168" l="1"/>
  <c r="DY167"/>
  <c r="DX169" l="1"/>
  <c r="DY168"/>
  <c r="DX170" l="1"/>
  <c r="DY169"/>
  <c r="DX171" l="1"/>
  <c r="DY170"/>
  <c r="DX172" l="1"/>
  <c r="DY171"/>
  <c r="DX173" l="1"/>
  <c r="DY172"/>
  <c r="DX174" l="1"/>
  <c r="DY173"/>
  <c r="DX175" l="1"/>
  <c r="DY174"/>
  <c r="DX176" l="1"/>
  <c r="DY175"/>
  <c r="DX177" l="1"/>
  <c r="DY176"/>
  <c r="DX178" l="1"/>
  <c r="DY177"/>
  <c r="DX179" l="1"/>
  <c r="DY178"/>
  <c r="DX180" l="1"/>
  <c r="DY179"/>
  <c r="DX181" l="1"/>
  <c r="DY180"/>
  <c r="DX182" l="1"/>
  <c r="DY181"/>
  <c r="DX183" l="1"/>
  <c r="DY182"/>
  <c r="DX184" l="1"/>
  <c r="DY183"/>
  <c r="DX185" l="1"/>
  <c r="DY184"/>
  <c r="DX186" l="1"/>
  <c r="DY185"/>
  <c r="DX187" l="1"/>
  <c r="DY186"/>
  <c r="DX188" l="1"/>
  <c r="DY187"/>
  <c r="DX189" l="1"/>
  <c r="DY188"/>
  <c r="DX190" l="1"/>
  <c r="DY189"/>
  <c r="DX191" l="1"/>
  <c r="DY190"/>
  <c r="DX192" l="1"/>
  <c r="DY191"/>
  <c r="DX193" l="1"/>
  <c r="DY192"/>
  <c r="DX194" l="1"/>
  <c r="DY193"/>
  <c r="DX195" l="1"/>
  <c r="DY194"/>
  <c r="DX196" l="1"/>
  <c r="DY195"/>
  <c r="DX197" l="1"/>
  <c r="DY196"/>
  <c r="DX198" l="1"/>
  <c r="DY197"/>
  <c r="DX199" l="1"/>
  <c r="DY198"/>
  <c r="DX200" l="1"/>
  <c r="DY199"/>
  <c r="DX201" l="1"/>
  <c r="DY200"/>
  <c r="DX202" l="1"/>
  <c r="DY201"/>
  <c r="DX203" l="1"/>
  <c r="DY202"/>
  <c r="DX204" l="1"/>
  <c r="DY203"/>
  <c r="DX205" l="1"/>
  <c r="DY204"/>
  <c r="DX206" l="1"/>
  <c r="DY205"/>
  <c r="DX207" l="1"/>
  <c r="DY206"/>
  <c r="DX208" l="1"/>
  <c r="DY207"/>
  <c r="DX209" l="1"/>
  <c r="DY208"/>
  <c r="DX210" l="1"/>
  <c r="DY209"/>
  <c r="DX211" l="1"/>
  <c r="DY210"/>
  <c r="DX212" l="1"/>
  <c r="DY211"/>
  <c r="DX213" l="1"/>
  <c r="DY212"/>
  <c r="DX214" l="1"/>
  <c r="DY213"/>
  <c r="DX215" l="1"/>
  <c r="DY214"/>
  <c r="DX216" l="1"/>
  <c r="DY215"/>
  <c r="DX217" l="1"/>
  <c r="DY216"/>
  <c r="DX218" l="1"/>
  <c r="DY217"/>
  <c r="DX219" l="1"/>
  <c r="DY218"/>
  <c r="DX220" l="1"/>
  <c r="DY219"/>
  <c r="DX221" l="1"/>
  <c r="DY220"/>
  <c r="DX222" l="1"/>
  <c r="DY221"/>
  <c r="DX223" l="1"/>
  <c r="DY222"/>
  <c r="DX224" l="1"/>
  <c r="DY223"/>
  <c r="DX225" l="1"/>
  <c r="DY224"/>
  <c r="DX226" l="1"/>
  <c r="DY225"/>
  <c r="DX227" l="1"/>
  <c r="DY226"/>
  <c r="DX228" l="1"/>
  <c r="DY227"/>
  <c r="DX229" l="1"/>
  <c r="DY228"/>
  <c r="DX230" l="1"/>
  <c r="DY229"/>
  <c r="DX231" l="1"/>
  <c r="DY230"/>
  <c r="DX232" l="1"/>
  <c r="DY231"/>
  <c r="DX233" l="1"/>
  <c r="DY232"/>
  <c r="DX234" l="1"/>
  <c r="DY233"/>
  <c r="DX235" l="1"/>
  <c r="DY234"/>
  <c r="DX236" l="1"/>
  <c r="DY235"/>
  <c r="DX237" l="1"/>
  <c r="DY236"/>
  <c r="DX238" l="1"/>
  <c r="DY237"/>
  <c r="DX239" l="1"/>
  <c r="DY238"/>
  <c r="DX240" l="1"/>
  <c r="DY239"/>
  <c r="DX241" l="1"/>
  <c r="DY240"/>
  <c r="DX242" l="1"/>
  <c r="DY241"/>
  <c r="DX243" l="1"/>
  <c r="DY242"/>
  <c r="DX244" l="1"/>
  <c r="DY243"/>
  <c r="DX245" l="1"/>
  <c r="DY244"/>
  <c r="DX246" l="1"/>
  <c r="DY245"/>
  <c r="DX247" l="1"/>
  <c r="DY246"/>
  <c r="DX248" l="1"/>
  <c r="DY247"/>
  <c r="DX249" l="1"/>
  <c r="DY248"/>
  <c r="DX250" l="1"/>
  <c r="DY249"/>
  <c r="DX251" l="1"/>
  <c r="DY250"/>
  <c r="DX252" l="1"/>
  <c r="DY251"/>
  <c r="DX253" l="1"/>
  <c r="DY252"/>
  <c r="DX254" l="1"/>
  <c r="DY253"/>
  <c r="DX255" l="1"/>
  <c r="DY254"/>
  <c r="DX256" l="1"/>
  <c r="DY255"/>
  <c r="DX257" l="1"/>
  <c r="DY256"/>
  <c r="DX258" l="1"/>
  <c r="DY257"/>
  <c r="DX259" l="1"/>
  <c r="DY258"/>
  <c r="DX260" l="1"/>
  <c r="DY259"/>
  <c r="DX261" l="1"/>
  <c r="DY260"/>
  <c r="DX262" l="1"/>
  <c r="DY261"/>
  <c r="DX263" l="1"/>
  <c r="DY262"/>
  <c r="DX264" l="1"/>
  <c r="DY263"/>
  <c r="DX265" l="1"/>
  <c r="DY264"/>
  <c r="DX266" l="1"/>
  <c r="DY265"/>
  <c r="DX267" l="1"/>
  <c r="DY266"/>
  <c r="DX268" l="1"/>
  <c r="DY267"/>
  <c r="DX269" l="1"/>
  <c r="DY268"/>
  <c r="DX270" l="1"/>
  <c r="DY269"/>
  <c r="DX271" l="1"/>
  <c r="DY270"/>
  <c r="DX272" l="1"/>
  <c r="DY271"/>
  <c r="DX273" l="1"/>
  <c r="DY272"/>
  <c r="DX274" l="1"/>
  <c r="DY273"/>
  <c r="DX275" l="1"/>
  <c r="DY274"/>
  <c r="DX276" l="1"/>
  <c r="DY275"/>
  <c r="DX277" l="1"/>
  <c r="DY276"/>
  <c r="DX278" l="1"/>
  <c r="DY277"/>
  <c r="DX279" l="1"/>
  <c r="DY278"/>
  <c r="DX280" l="1"/>
  <c r="DY279"/>
  <c r="DX281" l="1"/>
  <c r="DY280"/>
  <c r="DX282" l="1"/>
  <c r="DY281"/>
  <c r="DX283" l="1"/>
  <c r="DY282"/>
  <c r="DX284" l="1"/>
  <c r="DY283"/>
  <c r="DX285" l="1"/>
  <c r="DY284"/>
  <c r="DX286" l="1"/>
  <c r="DY285"/>
  <c r="DX287" l="1"/>
  <c r="DY286"/>
  <c r="DX288" l="1"/>
  <c r="DY287"/>
  <c r="DX289" l="1"/>
  <c r="DY288"/>
  <c r="DX290" l="1"/>
  <c r="DY289"/>
  <c r="DX291" l="1"/>
  <c r="DY290"/>
  <c r="DX292" l="1"/>
  <c r="DY291"/>
  <c r="DX293" l="1"/>
  <c r="DY292"/>
  <c r="DX294" l="1"/>
  <c r="DY293"/>
  <c r="DX295" l="1"/>
  <c r="DY294"/>
  <c r="DX296" l="1"/>
  <c r="DY295"/>
  <c r="DX297" l="1"/>
  <c r="DY296"/>
  <c r="DX298" l="1"/>
  <c r="DY297"/>
  <c r="DX299" l="1"/>
  <c r="DY298"/>
  <c r="DX300" l="1"/>
  <c r="DY299"/>
  <c r="DX301" l="1"/>
  <c r="DY300"/>
  <c r="DX302" l="1"/>
  <c r="DY301"/>
  <c r="DX303" l="1"/>
  <c r="DY302"/>
  <c r="DX304" l="1"/>
  <c r="DY303"/>
  <c r="DX305" l="1"/>
  <c r="DY304"/>
  <c r="DX306" l="1"/>
  <c r="DY305"/>
  <c r="DX307" l="1"/>
  <c r="DY306"/>
  <c r="DX308" l="1"/>
  <c r="DY307"/>
  <c r="DX309" l="1"/>
  <c r="DY308"/>
  <c r="DX310" l="1"/>
  <c r="DY309"/>
  <c r="DX311" l="1"/>
  <c r="DY310"/>
  <c r="DX312" l="1"/>
  <c r="DY311"/>
  <c r="DX313" l="1"/>
  <c r="DY312"/>
  <c r="DX314" l="1"/>
  <c r="DY313"/>
  <c r="DX315" l="1"/>
  <c r="DY314"/>
  <c r="DX316" l="1"/>
  <c r="DY315"/>
  <c r="DX317" l="1"/>
  <c r="DY316"/>
  <c r="DX318" l="1"/>
  <c r="DY317"/>
  <c r="DX319" l="1"/>
  <c r="DY318"/>
  <c r="DX320" l="1"/>
  <c r="DY319"/>
  <c r="DX321" l="1"/>
  <c r="DY320"/>
  <c r="DX322" l="1"/>
  <c r="DY321"/>
  <c r="DX323" l="1"/>
  <c r="DY322"/>
  <c r="DX324" l="1"/>
  <c r="DY323"/>
  <c r="DX325" l="1"/>
  <c r="DY324"/>
  <c r="DX326" l="1"/>
  <c r="DY325"/>
  <c r="DX327" l="1"/>
  <c r="DY326"/>
  <c r="DX328" l="1"/>
  <c r="DY327"/>
  <c r="DX329" l="1"/>
  <c r="DY328"/>
  <c r="DX330" l="1"/>
  <c r="DY329"/>
  <c r="DX331" l="1"/>
  <c r="DY330"/>
  <c r="DX332" l="1"/>
  <c r="DY331"/>
  <c r="DX333" l="1"/>
  <c r="DY332"/>
  <c r="DX334" l="1"/>
  <c r="DY333"/>
  <c r="DX335" l="1"/>
  <c r="DY334"/>
  <c r="DX336" l="1"/>
  <c r="DY335"/>
  <c r="DX337" l="1"/>
  <c r="DY336"/>
  <c r="DX338" l="1"/>
  <c r="DY337"/>
  <c r="DX339" l="1"/>
  <c r="DY338"/>
  <c r="DX340" l="1"/>
  <c r="DY339"/>
  <c r="DX341" l="1"/>
  <c r="DY340"/>
  <c r="DX342" l="1"/>
  <c r="DY341"/>
  <c r="DX343" l="1"/>
  <c r="DY342"/>
  <c r="DX344" l="1"/>
  <c r="DY343"/>
  <c r="DX345" l="1"/>
  <c r="DY344"/>
  <c r="DX346" l="1"/>
  <c r="DY345"/>
  <c r="DX347" l="1"/>
  <c r="DY346"/>
  <c r="DX348" l="1"/>
  <c r="DY347"/>
  <c r="DX349" l="1"/>
  <c r="DY348"/>
  <c r="DX350" l="1"/>
  <c r="DY349"/>
  <c r="DX351" l="1"/>
  <c r="DY350"/>
  <c r="DX352" l="1"/>
  <c r="DY351"/>
  <c r="DX353" l="1"/>
  <c r="DY352"/>
  <c r="DX354" l="1"/>
  <c r="DY353"/>
  <c r="DX355" l="1"/>
  <c r="DY354"/>
  <c r="DX356" l="1"/>
  <c r="DY355"/>
  <c r="DX357" l="1"/>
  <c r="DY356"/>
  <c r="DX358" l="1"/>
  <c r="DY357"/>
  <c r="DX359" l="1"/>
  <c r="DY358"/>
  <c r="DX360" l="1"/>
  <c r="DY359"/>
  <c r="DX361" l="1"/>
  <c r="DY360"/>
  <c r="DX362" l="1"/>
  <c r="DY361"/>
  <c r="DX363" l="1"/>
  <c r="DY362"/>
  <c r="DX364" l="1"/>
  <c r="DY363"/>
  <c r="DX365" l="1"/>
  <c r="DY364"/>
  <c r="DX366" l="1"/>
  <c r="DY365"/>
  <c r="DX367" l="1"/>
  <c r="DY366"/>
  <c r="DX368" l="1"/>
  <c r="DY367"/>
  <c r="DX369" l="1"/>
  <c r="DY368"/>
  <c r="DX370" l="1"/>
  <c r="DY369"/>
  <c r="DX371" l="1"/>
  <c r="DY370"/>
  <c r="DX372" l="1"/>
  <c r="DY371"/>
  <c r="DX373" l="1"/>
  <c r="DY372"/>
  <c r="DX374" l="1"/>
  <c r="DY373"/>
  <c r="DX375" l="1"/>
  <c r="DY374"/>
  <c r="DX376" l="1"/>
  <c r="DY375"/>
  <c r="DX377" l="1"/>
  <c r="DY376"/>
  <c r="DX378" l="1"/>
  <c r="DY378" s="1"/>
  <c r="DY377"/>
</calcChain>
</file>

<file path=xl/sharedStrings.xml><?xml version="1.0" encoding="utf-8"?>
<sst xmlns="http://schemas.openxmlformats.org/spreadsheetml/2006/main" count="52" uniqueCount="31">
  <si>
    <t xml:space="preserve"> </t>
  </si>
  <si>
    <t>0.0!</t>
  </si>
  <si>
    <t>Toplam Yağış</t>
  </si>
  <si>
    <t>Ortalama</t>
  </si>
  <si>
    <t>Olasılık</t>
  </si>
  <si>
    <t>Maksimum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</si>
  <si>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</si>
  <si>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</si>
  <si>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</si>
  <si>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</si>
  <si>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</si>
  <si>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</si>
  <si>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</si>
  <si>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</si>
  <si>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</si>
  <si>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</si>
  <si>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</si>
  <si>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</si>
  <si>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Ort</t>
  </si>
  <si>
    <t>Yağ.Ortalama</t>
  </si>
  <si>
    <t>Yağış Yopunluğu</t>
  </si>
  <si>
    <t>Minimum</t>
  </si>
  <si>
    <t>&gt;25</t>
  </si>
  <si>
    <t>&gt;=0,3</t>
  </si>
  <si>
    <t>&lt;=0,3</t>
  </si>
  <si>
    <t>Standart Sapma</t>
  </si>
  <si>
    <t>1.enbuyuk</t>
  </si>
  <si>
    <t>2.enbuyuk</t>
  </si>
  <si>
    <t>3.enbuyuk</t>
  </si>
  <si>
    <t>4.enbuyuk</t>
  </si>
  <si>
    <t>5.enbuyuk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</si>
</sst>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chart>
    <c:plotArea>
      <c:layout/>
      <c:lineChart>
        <c:grouping val="standard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50293569553805773"/>
                  <c:y val="-0.23342337416156322"/>
                </c:manualLayout>
              </c:layout>
              <c:numFmt formatCode="General" sourceLinked="0"/>
            </c:trendlineLbl>
          </c:trendline>
          <c:val>
            <c:numRef>
              <c:f>Sayfa1!$C$370:$DB$370</c:f>
              <c:numCache>
                <c:formatCode>0.0</c:formatCode>
                <c:ptCount val="104"/>
                <c:pt idx="0">
                  <c:v>316.2999999999999</c:v>
                </c:pt>
                <c:pt idx="1">
                  <c:v>602.4</c:v>
                </c:pt>
                <c:pt idx="2">
                  <c:v>967.20000000000027</c:v>
                </c:pt>
                <c:pt idx="3">
                  <c:v>769.59999999999957</c:v>
                </c:pt>
                <c:pt idx="4">
                  <c:v>660.30000000000007</c:v>
                </c:pt>
                <c:pt idx="5">
                  <c:v>453.9</c:v>
                </c:pt>
                <c:pt idx="6">
                  <c:v>463.80000000000007</c:v>
                </c:pt>
                <c:pt idx="7">
                  <c:v>705.59999999999991</c:v>
                </c:pt>
                <c:pt idx="8">
                  <c:v>926</c:v>
                </c:pt>
                <c:pt idx="9">
                  <c:v>679.8</c:v>
                </c:pt>
                <c:pt idx="10">
                  <c:v>448.7000000000001</c:v>
                </c:pt>
                <c:pt idx="11">
                  <c:v>1006.9000000000001</c:v>
                </c:pt>
                <c:pt idx="12">
                  <c:v>693.70000000000016</c:v>
                </c:pt>
                <c:pt idx="13">
                  <c:v>990.1</c:v>
                </c:pt>
                <c:pt idx="14">
                  <c:v>807.9000000000002</c:v>
                </c:pt>
                <c:pt idx="15">
                  <c:v>620.09999999999991</c:v>
                </c:pt>
                <c:pt idx="16">
                  <c:v>793.10000000000025</c:v>
                </c:pt>
                <c:pt idx="17">
                  <c:v>688.95</c:v>
                </c:pt>
                <c:pt idx="18">
                  <c:v>765.24000000000069</c:v>
                </c:pt>
                <c:pt idx="19">
                  <c:v>722.40000000000009</c:v>
                </c:pt>
                <c:pt idx="20">
                  <c:v>879.40000000000032</c:v>
                </c:pt>
                <c:pt idx="21">
                  <c:v>644.30000000000018</c:v>
                </c:pt>
                <c:pt idx="22">
                  <c:v>949.90000000000032</c:v>
                </c:pt>
                <c:pt idx="23">
                  <c:v>538.99999999985585</c:v>
                </c:pt>
                <c:pt idx="24">
                  <c:v>761.13999999960686</c:v>
                </c:pt>
                <c:pt idx="25">
                  <c:v>881.99999999963541</c:v>
                </c:pt>
                <c:pt idx="26">
                  <c:v>887.9999999996005</c:v>
                </c:pt>
                <c:pt idx="27">
                  <c:v>902.99999999953036</c:v>
                </c:pt>
                <c:pt idx="28">
                  <c:v>1010.0999999996059</c:v>
                </c:pt>
                <c:pt idx="29">
                  <c:v>1041.9999999994948</c:v>
                </c:pt>
                <c:pt idx="30">
                  <c:v>783.19999999962943</c:v>
                </c:pt>
                <c:pt idx="31">
                  <c:v>870.79999999956658</c:v>
                </c:pt>
                <c:pt idx="32">
                  <c:v>928.09999999962167</c:v>
                </c:pt>
                <c:pt idx="33">
                  <c:v>871.39999999952954</c:v>
                </c:pt>
                <c:pt idx="34">
                  <c:v>751.43999999974483</c:v>
                </c:pt>
                <c:pt idx="35">
                  <c:v>657.49999999971772</c:v>
                </c:pt>
                <c:pt idx="36">
                  <c:v>721.69999999978609</c:v>
                </c:pt>
                <c:pt idx="37">
                  <c:v>961.72999999978492</c:v>
                </c:pt>
                <c:pt idx="38">
                  <c:v>961.03999999965743</c:v>
                </c:pt>
                <c:pt idx="39">
                  <c:v>743.59999999971774</c:v>
                </c:pt>
                <c:pt idx="40">
                  <c:v>1064.2999999993951</c:v>
                </c:pt>
                <c:pt idx="41">
                  <c:v>772.59999999972183</c:v>
                </c:pt>
                <c:pt idx="42">
                  <c:v>914.89999999963106</c:v>
                </c:pt>
                <c:pt idx="43">
                  <c:v>614.69999999975653</c:v>
                </c:pt>
                <c:pt idx="44">
                  <c:v>1055.6999999995489</c:v>
                </c:pt>
                <c:pt idx="45">
                  <c:v>725.69999999979495</c:v>
                </c:pt>
                <c:pt idx="46">
                  <c:v>653.21999999980119</c:v>
                </c:pt>
                <c:pt idx="47">
                  <c:v>894.79999999962899</c:v>
                </c:pt>
                <c:pt idx="48">
                  <c:v>861.19999999963568</c:v>
                </c:pt>
                <c:pt idx="49">
                  <c:v>759.19999999966467</c:v>
                </c:pt>
                <c:pt idx="50">
                  <c:v>1139.1999999994935</c:v>
                </c:pt>
                <c:pt idx="51">
                  <c:v>1136.1999999994571</c:v>
                </c:pt>
                <c:pt idx="52">
                  <c:v>1005.6999999994572</c:v>
                </c:pt>
                <c:pt idx="53">
                  <c:v>885.70000000002199</c:v>
                </c:pt>
                <c:pt idx="54">
                  <c:v>1101.9999999999211</c:v>
                </c:pt>
                <c:pt idx="55">
                  <c:v>897.99999999989257</c:v>
                </c:pt>
                <c:pt idx="56">
                  <c:v>694.80000000000791</c:v>
                </c:pt>
                <c:pt idx="57">
                  <c:v>1035.2000000000426</c:v>
                </c:pt>
                <c:pt idx="58">
                  <c:v>864.29999999996176</c:v>
                </c:pt>
                <c:pt idx="59">
                  <c:v>965.89999999998042</c:v>
                </c:pt>
                <c:pt idx="60">
                  <c:v>911.72999999998797</c:v>
                </c:pt>
                <c:pt idx="61">
                  <c:v>801.19999999983008</c:v>
                </c:pt>
                <c:pt idx="62">
                  <c:v>761.29999999999575</c:v>
                </c:pt>
                <c:pt idx="63">
                  <c:v>918.30000000000348</c:v>
                </c:pt>
                <c:pt idx="64">
                  <c:v>869.90000000001351</c:v>
                </c:pt>
                <c:pt idx="65">
                  <c:v>734.79999999998734</c:v>
                </c:pt>
                <c:pt idx="66">
                  <c:v>736.30000000001371</c:v>
                </c:pt>
                <c:pt idx="67">
                  <c:v>929.90000000006182</c:v>
                </c:pt>
                <c:pt idx="68">
                  <c:v>899.59999999999161</c:v>
                </c:pt>
                <c:pt idx="69">
                  <c:v>921.5200000000558</c:v>
                </c:pt>
                <c:pt idx="70">
                  <c:v>1289.3999999998946</c:v>
                </c:pt>
                <c:pt idx="71">
                  <c:v>759.6999999999573</c:v>
                </c:pt>
                <c:pt idx="72">
                  <c:v>738.29999999996539</c:v>
                </c:pt>
                <c:pt idx="73">
                  <c:v>818.39999999972474</c:v>
                </c:pt>
                <c:pt idx="74">
                  <c:v>984.3000000000003</c:v>
                </c:pt>
                <c:pt idx="75">
                  <c:v>745.90000000000043</c:v>
                </c:pt>
                <c:pt idx="76">
                  <c:v>1119.2999999999997</c:v>
                </c:pt>
                <c:pt idx="77">
                  <c:v>846.69999999999982</c:v>
                </c:pt>
                <c:pt idx="78">
                  <c:v>556.10000000000014</c:v>
                </c:pt>
                <c:pt idx="79">
                  <c:v>867.6999999999997</c:v>
                </c:pt>
                <c:pt idx="80">
                  <c:v>866.2</c:v>
                </c:pt>
                <c:pt idx="81">
                  <c:v>754.09999999999991</c:v>
                </c:pt>
                <c:pt idx="82">
                  <c:v>652.30000000001735</c:v>
                </c:pt>
                <c:pt idx="83">
                  <c:v>777.7000000000038</c:v>
                </c:pt>
                <c:pt idx="84">
                  <c:v>872.30000000001132</c:v>
                </c:pt>
                <c:pt idx="85">
                  <c:v>874.7</c:v>
                </c:pt>
                <c:pt idx="86">
                  <c:v>1169.7</c:v>
                </c:pt>
                <c:pt idx="87">
                  <c:v>877.79999999999984</c:v>
                </c:pt>
                <c:pt idx="88">
                  <c:v>801.50000000000011</c:v>
                </c:pt>
                <c:pt idx="89">
                  <c:v>809.7</c:v>
                </c:pt>
                <c:pt idx="90">
                  <c:v>1049.8000000000004</c:v>
                </c:pt>
                <c:pt idx="91">
                  <c:v>846.00000000000034</c:v>
                </c:pt>
                <c:pt idx="92">
                  <c:v>829.10000000000036</c:v>
                </c:pt>
                <c:pt idx="93">
                  <c:v>950.00000000000023</c:v>
                </c:pt>
                <c:pt idx="94">
                  <c:v>889.5</c:v>
                </c:pt>
                <c:pt idx="95">
                  <c:v>840.20000000000016</c:v>
                </c:pt>
                <c:pt idx="96">
                  <c:v>575.3000000000003</c:v>
                </c:pt>
                <c:pt idx="97">
                  <c:v>899.19999999999993</c:v>
                </c:pt>
                <c:pt idx="98">
                  <c:v>930.80000000000052</c:v>
                </c:pt>
                <c:pt idx="99">
                  <c:v>1198.8999999999992</c:v>
                </c:pt>
                <c:pt idx="100">
                  <c:v>615.40000000000009</c:v>
                </c:pt>
                <c:pt idx="101">
                  <c:v>810.2</c:v>
                </c:pt>
                <c:pt idx="102">
                  <c:v>553.00000000000011</c:v>
                </c:pt>
                <c:pt idx="103">
                  <c:v>967.80000000000041</c:v>
                </c:pt>
              </c:numCache>
            </c:numRef>
          </c:val>
        </c:ser>
        <c:marker val="1"/>
        <c:axId val="71442432"/>
        <c:axId val="71443968"/>
      </c:lineChart>
      <c:catAx>
        <c:axId val="71442432"/>
        <c:scaling>
          <c:orientation val="minMax"/>
        </c:scaling>
        <c:axPos val="b"/>
        <c:tickLblPos val="nextTo"/>
        <c:crossAx val="71443968"/>
        <c:crosses val="autoZero"/>
        <c:auto val="1"/>
        <c:lblAlgn val="ctr"/>
        <c:lblOffset val="100"/>
      </c:catAx>
      <c:valAx>
        <c:axId val="71443968"/>
        <c:scaling>
          <c:orientation val="minMax"/>
        </c:scaling>
        <c:axPos val="l"/>
        <c:majorGridlines/>
        <c:numFmt formatCode="0.0" sourceLinked="1"/>
        <c:tickLblPos val="nextTo"/>
        <c:crossAx val="7144243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114</xdr:col>
      <xdr:colOff>4762</xdr:colOff>
      <xdr:row>368</xdr:row>
      <xdr:rowOff>166688</xdr:rowOff>
    </xdr:from>
    <xdr:to>
      <xdr:col>121</xdr:col>
      <xdr:colOff>166687</xdr:colOff>
      <xdr:row>383</xdr:row>
      <xdr:rowOff>44450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ayfa1"/>
  <dimension ref="A1:DY390"/>
  <sheetViews>
    <sheetView tabSelected="1" topLeftCell="A364" zoomScale="98" zoomScaleNormal="98" workbookViewId="0">
      <selection activeCell="C390" sqref="C390:DD390"/>
    </sheetView>
  </sheetViews>
  <sheetFormatPr defaultRowHeight="15"/>
  <cols>
    <col min="1" max="1" width="15.28515625" bestFit="1" customWidth="1"/>
    <col min="2" max="2" width="7.42578125" customWidth="1"/>
    <col min="3" max="3" width="7" bestFit="1" customWidth="1"/>
    <col min="4" max="4" width="9.5703125" bestFit="1" customWidth="1"/>
    <col min="5" max="13" width="5.5703125" bestFit="1" customWidth="1"/>
    <col min="14" max="14" width="6.5703125" bestFit="1" customWidth="1"/>
    <col min="15" max="18" width="5.5703125" bestFit="1" customWidth="1"/>
    <col min="19" max="20" width="6" bestFit="1" customWidth="1"/>
    <col min="21" max="30" width="5.5703125" bestFit="1" customWidth="1"/>
    <col min="31" max="32" width="6.5703125" bestFit="1" customWidth="1"/>
    <col min="33" max="33" width="5.5703125" bestFit="1" customWidth="1"/>
    <col min="34" max="34" width="6" bestFit="1" customWidth="1"/>
    <col min="35" max="42" width="5.5703125" bestFit="1" customWidth="1"/>
    <col min="43" max="43" width="6.5703125" bestFit="1" customWidth="1"/>
    <col min="44" max="46" width="5.5703125" bestFit="1" customWidth="1"/>
    <col min="47" max="47" width="6.5703125" bestFit="1" customWidth="1"/>
    <col min="48" max="48" width="5.5703125" bestFit="1" customWidth="1"/>
    <col min="49" max="49" width="6" bestFit="1" customWidth="1"/>
    <col min="50" max="52" width="5.5703125" bestFit="1" customWidth="1"/>
    <col min="53" max="55" width="6.5703125" bestFit="1" customWidth="1"/>
    <col min="56" max="56" width="5.5703125" bestFit="1" customWidth="1"/>
    <col min="57" max="57" width="6.5703125" bestFit="1" customWidth="1"/>
    <col min="58" max="59" width="5.5703125" bestFit="1" customWidth="1"/>
    <col min="60" max="60" width="6.5703125" bestFit="1" customWidth="1"/>
    <col min="61" max="71" width="5.5703125" bestFit="1" customWidth="1"/>
    <col min="72" max="72" width="6" bestFit="1" customWidth="1"/>
    <col min="73" max="73" width="6.5703125" bestFit="1" customWidth="1"/>
    <col min="74" max="76" width="5.5703125" bestFit="1" customWidth="1"/>
    <col min="77" max="77" width="6" bestFit="1" customWidth="1"/>
    <col min="78" max="78" width="5.5703125" bestFit="1" customWidth="1"/>
    <col min="79" max="79" width="6.5703125" bestFit="1" customWidth="1"/>
    <col min="80" max="88" width="5.5703125" bestFit="1" customWidth="1"/>
    <col min="89" max="89" width="6.5703125" bestFit="1" customWidth="1"/>
    <col min="90" max="92" width="5.5703125" bestFit="1" customWidth="1"/>
    <col min="93" max="93" width="6.5703125" bestFit="1" customWidth="1"/>
    <col min="94" max="95" width="5.5703125" bestFit="1" customWidth="1"/>
    <col min="96" max="96" width="6" bestFit="1" customWidth="1"/>
    <col min="97" max="101" width="5.5703125" bestFit="1" customWidth="1"/>
    <col min="102" max="102" width="6.5703125" bestFit="1" customWidth="1"/>
    <col min="103" max="105" width="5.5703125" bestFit="1" customWidth="1"/>
    <col min="106" max="113" width="5.5703125" customWidth="1"/>
    <col min="114" max="114" width="7.42578125" bestFit="1" customWidth="1"/>
    <col min="115" max="116" width="9.140625" style="2"/>
    <col min="117" max="117" width="10.7109375" style="2" bestFit="1" customWidth="1"/>
    <col min="118" max="118" width="9.140625" style="3"/>
    <col min="122" max="122" width="12.7109375" bestFit="1" customWidth="1"/>
    <col min="124" max="124" width="10.7109375" bestFit="1" customWidth="1"/>
    <col min="125" max="126" width="9.140625" style="2"/>
  </cols>
  <sheetData>
    <row r="1" spans="1:129">
      <c r="C1">
        <v>1911</v>
      </c>
      <c r="D1">
        <v>1912</v>
      </c>
      <c r="E1">
        <v>1913</v>
      </c>
      <c r="F1">
        <v>1914</v>
      </c>
      <c r="G1">
        <v>1915</v>
      </c>
      <c r="H1">
        <v>1916</v>
      </c>
      <c r="I1">
        <v>1917</v>
      </c>
      <c r="J1">
        <v>1918</v>
      </c>
      <c r="K1">
        <v>1919</v>
      </c>
      <c r="L1">
        <v>1920</v>
      </c>
      <c r="M1">
        <v>1921</v>
      </c>
      <c r="N1">
        <v>1922</v>
      </c>
      <c r="O1">
        <v>1923</v>
      </c>
      <c r="P1">
        <v>1924</v>
      </c>
      <c r="Q1">
        <v>1925</v>
      </c>
      <c r="R1">
        <v>1926</v>
      </c>
      <c r="S1">
        <v>1927</v>
      </c>
      <c r="T1">
        <v>1928</v>
      </c>
      <c r="U1">
        <v>1929</v>
      </c>
      <c r="V1">
        <v>1930</v>
      </c>
      <c r="W1">
        <v>1931</v>
      </c>
      <c r="X1">
        <v>1932</v>
      </c>
      <c r="Y1">
        <v>1933</v>
      </c>
      <c r="Z1">
        <v>1934</v>
      </c>
      <c r="AA1">
        <v>1935</v>
      </c>
      <c r="AB1">
        <v>1936</v>
      </c>
      <c r="AC1">
        <v>1937</v>
      </c>
      <c r="AD1">
        <v>1938</v>
      </c>
      <c r="AE1">
        <v>1939</v>
      </c>
      <c r="AF1">
        <v>1940</v>
      </c>
      <c r="AG1">
        <v>1941</v>
      </c>
      <c r="AH1">
        <v>1942</v>
      </c>
      <c r="AI1">
        <v>1943</v>
      </c>
      <c r="AJ1">
        <v>1944</v>
      </c>
      <c r="AK1">
        <v>1945</v>
      </c>
      <c r="AL1">
        <v>1946</v>
      </c>
      <c r="AM1">
        <v>1947</v>
      </c>
      <c r="AN1">
        <v>1948</v>
      </c>
      <c r="AO1">
        <v>1949</v>
      </c>
      <c r="AP1">
        <v>1950</v>
      </c>
      <c r="AQ1">
        <v>1951</v>
      </c>
      <c r="AR1">
        <v>1952</v>
      </c>
      <c r="AS1">
        <v>1953</v>
      </c>
      <c r="AT1">
        <v>1954</v>
      </c>
      <c r="AU1">
        <v>1955</v>
      </c>
      <c r="AV1">
        <v>1956</v>
      </c>
      <c r="AW1">
        <v>1957</v>
      </c>
      <c r="AX1">
        <v>1958</v>
      </c>
      <c r="AY1">
        <v>1959</v>
      </c>
      <c r="AZ1">
        <v>1960</v>
      </c>
      <c r="BA1">
        <v>1961</v>
      </c>
      <c r="BB1">
        <v>1962</v>
      </c>
      <c r="BC1">
        <v>1963</v>
      </c>
      <c r="BD1">
        <v>1964</v>
      </c>
      <c r="BE1">
        <v>1965</v>
      </c>
      <c r="BF1">
        <v>1966</v>
      </c>
      <c r="BG1">
        <v>1967</v>
      </c>
      <c r="BH1">
        <v>1968</v>
      </c>
      <c r="BI1">
        <v>1969</v>
      </c>
      <c r="BJ1">
        <v>1970</v>
      </c>
      <c r="BK1">
        <v>1971</v>
      </c>
      <c r="BL1">
        <v>1972</v>
      </c>
      <c r="BM1">
        <v>1973</v>
      </c>
      <c r="BN1">
        <v>1974</v>
      </c>
      <c r="BO1">
        <v>1975</v>
      </c>
      <c r="BP1">
        <v>1976</v>
      </c>
      <c r="BQ1">
        <v>1977</v>
      </c>
      <c r="BR1">
        <v>1978</v>
      </c>
      <c r="BS1">
        <v>1979</v>
      </c>
      <c r="BT1">
        <v>1980</v>
      </c>
      <c r="BU1">
        <v>1981</v>
      </c>
      <c r="BV1">
        <v>1982</v>
      </c>
      <c r="BW1">
        <v>1983</v>
      </c>
      <c r="BX1">
        <v>1984</v>
      </c>
      <c r="BY1">
        <v>1985</v>
      </c>
      <c r="BZ1">
        <v>1986</v>
      </c>
      <c r="CA1">
        <v>1987</v>
      </c>
      <c r="CB1">
        <v>1988</v>
      </c>
      <c r="CC1">
        <v>1989</v>
      </c>
      <c r="CD1">
        <v>1990</v>
      </c>
      <c r="CE1">
        <v>1991</v>
      </c>
      <c r="CF1">
        <v>1992</v>
      </c>
      <c r="CG1">
        <v>1993</v>
      </c>
      <c r="CH1">
        <v>1994</v>
      </c>
      <c r="CI1">
        <v>1995</v>
      </c>
      <c r="CJ1">
        <v>1996</v>
      </c>
      <c r="CK1">
        <v>1997</v>
      </c>
      <c r="CL1">
        <v>1998</v>
      </c>
      <c r="CM1">
        <v>1999</v>
      </c>
      <c r="CN1">
        <v>2000</v>
      </c>
      <c r="CO1">
        <v>2001</v>
      </c>
      <c r="CP1">
        <v>2002</v>
      </c>
      <c r="CQ1">
        <v>2003</v>
      </c>
      <c r="CR1">
        <v>2004</v>
      </c>
      <c r="CS1">
        <v>2005</v>
      </c>
      <c r="CT1">
        <v>2006</v>
      </c>
      <c r="CU1">
        <v>2007</v>
      </c>
      <c r="CV1">
        <v>2008</v>
      </c>
      <c r="CW1">
        <v>2009</v>
      </c>
      <c r="CX1">
        <v>2010</v>
      </c>
      <c r="CY1">
        <v>2011</v>
      </c>
      <c r="CZ1">
        <v>2012</v>
      </c>
      <c r="DA1">
        <v>2013</v>
      </c>
      <c r="DB1">
        <v>2014</v>
      </c>
      <c r="DC1">
        <v>2015</v>
      </c>
      <c r="DD1" s="5">
        <v>2016</v>
      </c>
      <c r="DK1" s="2" t="s">
        <v>3</v>
      </c>
      <c r="DL1" s="2" t="s">
        <v>18</v>
      </c>
      <c r="DM1" s="2" t="s">
        <v>5</v>
      </c>
      <c r="DN1" s="3" t="s">
        <v>4</v>
      </c>
      <c r="DR1" t="s">
        <v>19</v>
      </c>
      <c r="DS1" t="s">
        <v>3</v>
      </c>
      <c r="DT1" t="s">
        <v>5</v>
      </c>
      <c r="DV1" s="2">
        <v>0</v>
      </c>
      <c r="DW1">
        <f t="array" ref="DW1:DW378">FREQUENCY(C2:DB367,DV1:DV377)</f>
        <v>795</v>
      </c>
      <c r="DX1">
        <v>795</v>
      </c>
      <c r="DY1" s="3">
        <f>DX1/(SUM(DW$1:DW$38))</f>
        <v>5.3738001892659183E-2</v>
      </c>
    </row>
    <row r="2" spans="1:129">
      <c r="A2" s="1">
        <v>40909</v>
      </c>
      <c r="B2" s="1"/>
      <c r="C2" s="1"/>
      <c r="D2">
        <v>17.7</v>
      </c>
      <c r="F2">
        <v>4.5</v>
      </c>
      <c r="J2">
        <v>5.4</v>
      </c>
      <c r="L2">
        <v>0.8</v>
      </c>
      <c r="M2">
        <v>0.6</v>
      </c>
      <c r="N2">
        <v>11.3</v>
      </c>
      <c r="P2">
        <v>11</v>
      </c>
      <c r="R2">
        <v>21.7</v>
      </c>
      <c r="T2">
        <v>3.5</v>
      </c>
      <c r="W2">
        <v>0.3</v>
      </c>
      <c r="X2">
        <v>14</v>
      </c>
      <c r="AE2">
        <v>16.2</v>
      </c>
      <c r="AF2">
        <v>8</v>
      </c>
      <c r="AH2">
        <v>0</v>
      </c>
      <c r="AI2">
        <v>0.39999999999963598</v>
      </c>
      <c r="AJ2">
        <v>0.29999999999972699</v>
      </c>
      <c r="AK2">
        <v>1.79999999999927</v>
      </c>
      <c r="AL2">
        <v>0.79999999999927196</v>
      </c>
      <c r="AM2">
        <v>8.5</v>
      </c>
      <c r="AN2">
        <v>35.5</v>
      </c>
      <c r="AP2">
        <v>9.3999999999941792</v>
      </c>
      <c r="AQ2">
        <v>3.5</v>
      </c>
      <c r="AR2">
        <v>9.9999999999908995E-2</v>
      </c>
      <c r="AT2">
        <v>2.0999999999985399</v>
      </c>
      <c r="AU2">
        <v>0.39999999999963598</v>
      </c>
      <c r="AW2">
        <v>0.5</v>
      </c>
      <c r="AX2">
        <v>1.5999999999985499</v>
      </c>
      <c r="AZ2">
        <v>7.5999999999985501</v>
      </c>
      <c r="BA2">
        <v>2.5999999999985399</v>
      </c>
      <c r="BC2">
        <v>3.2999999999992702</v>
      </c>
      <c r="BF2">
        <v>0.89999999999963598</v>
      </c>
      <c r="BH2">
        <v>0.5</v>
      </c>
      <c r="BI2">
        <v>0.100000000000023</v>
      </c>
      <c r="BK2">
        <v>5.5999999999985501</v>
      </c>
      <c r="BL2">
        <v>0.60000000000036402</v>
      </c>
      <c r="BM2">
        <v>0.100000000000023</v>
      </c>
      <c r="BN2">
        <v>0.100000000000023</v>
      </c>
      <c r="BO2">
        <v>9</v>
      </c>
      <c r="BQ2">
        <v>0.200000000000045</v>
      </c>
      <c r="BR2">
        <v>11.1999999999971</v>
      </c>
      <c r="BS2">
        <v>12</v>
      </c>
      <c r="BT2">
        <v>14.8000000000029</v>
      </c>
      <c r="BU2">
        <v>0</v>
      </c>
      <c r="BW2">
        <v>0.80000000000018201</v>
      </c>
      <c r="BY2">
        <v>2.1</v>
      </c>
      <c r="BZ2">
        <v>28</v>
      </c>
      <c r="CA2">
        <v>0.2</v>
      </c>
      <c r="CC2">
        <v>2</v>
      </c>
      <c r="CF2">
        <v>4.4000000000000004</v>
      </c>
      <c r="CG2">
        <v>15.5</v>
      </c>
      <c r="CH2">
        <v>2.2999999999999998</v>
      </c>
      <c r="CI2">
        <v>0</v>
      </c>
      <c r="CJ2">
        <v>0.8</v>
      </c>
      <c r="CP2">
        <v>25.4</v>
      </c>
      <c r="CQ2">
        <v>20.2</v>
      </c>
      <c r="CS2">
        <v>2.6</v>
      </c>
      <c r="CV2">
        <v>0.1</v>
      </c>
      <c r="CX2">
        <v>8.9</v>
      </c>
      <c r="CZ2">
        <v>1.4</v>
      </c>
      <c r="DB2">
        <v>0.2</v>
      </c>
      <c r="DC2">
        <v>4.5</v>
      </c>
      <c r="DD2" s="5"/>
      <c r="DJ2" s="1">
        <v>40909</v>
      </c>
      <c r="DK2" s="2">
        <f>AVERAGE(D2:DD2)</f>
        <v>6.0311475409833424</v>
      </c>
      <c r="DL2" s="2">
        <f>SUM(D2:DD2)/(COUNTA(D2:DA2)+COUNTBLANK(D2:DA2))</f>
        <v>3.6068627450978812</v>
      </c>
      <c r="DM2" s="2">
        <f>MAX(D2:DD2)</f>
        <v>35.5</v>
      </c>
      <c r="DN2" s="3">
        <f>(COUNTA(D2:DD2)/(COUNTA(D2:DA2)+COUNTBLANK(D2:DA2)))</f>
        <v>0.59803921568627449</v>
      </c>
      <c r="DP2">
        <v>32</v>
      </c>
      <c r="DQ2" t="s">
        <v>6</v>
      </c>
      <c r="DR2" s="2">
        <f>AVERAGE(DK2:DK32)</f>
        <v>5.5589748942556545</v>
      </c>
      <c r="DS2" s="2">
        <f>AVERAGE(DL2:DL32)</f>
        <v>3.4737191650849932</v>
      </c>
      <c r="DT2" s="2">
        <f>MAX(DM2:DM32)</f>
        <v>66</v>
      </c>
      <c r="DV2" s="2">
        <v>0.1</v>
      </c>
      <c r="DW2">
        <v>634</v>
      </c>
      <c r="DX2">
        <f>DX1+DW2</f>
        <v>1429</v>
      </c>
      <c r="DY2" s="3">
        <f t="shared" ref="DY2:DY65" si="0">DX2/(SUM(DW$1:DW$38))</f>
        <v>9.6593213464918212E-2</v>
      </c>
    </row>
    <row r="3" spans="1:129">
      <c r="A3" s="1">
        <v>40910</v>
      </c>
      <c r="B3" s="1"/>
      <c r="C3" s="1"/>
      <c r="D3">
        <v>6</v>
      </c>
      <c r="F3">
        <v>1.6</v>
      </c>
      <c r="G3">
        <v>3.8</v>
      </c>
      <c r="K3">
        <v>0.2</v>
      </c>
      <c r="L3">
        <v>0.4</v>
      </c>
      <c r="M3">
        <v>0.4</v>
      </c>
      <c r="P3">
        <v>1.5</v>
      </c>
      <c r="Q3">
        <v>1.1000000000000001</v>
      </c>
      <c r="R3">
        <v>0.7</v>
      </c>
      <c r="T3">
        <v>0.1</v>
      </c>
      <c r="V3">
        <v>10.7</v>
      </c>
      <c r="W3">
        <v>9.1999999999999993</v>
      </c>
      <c r="X3">
        <v>6</v>
      </c>
      <c r="AD3">
        <v>28</v>
      </c>
      <c r="AE3">
        <v>0.2</v>
      </c>
      <c r="AF3">
        <v>1.79999999999927</v>
      </c>
      <c r="AH3">
        <v>23</v>
      </c>
      <c r="AI3">
        <v>2.5</v>
      </c>
      <c r="AJ3">
        <v>0.59999999999945397</v>
      </c>
      <c r="AK3">
        <v>12.5</v>
      </c>
      <c r="AM3">
        <v>4.5999999999985501</v>
      </c>
      <c r="AN3">
        <v>23.5</v>
      </c>
      <c r="AQ3">
        <v>0.29999999999972699</v>
      </c>
      <c r="AR3">
        <v>0.19999999999981799</v>
      </c>
      <c r="AS3">
        <v>31.199999999982499</v>
      </c>
      <c r="AT3">
        <v>1.0999999999985499</v>
      </c>
      <c r="AU3">
        <v>0.5</v>
      </c>
      <c r="AV3">
        <v>7.3999999999941801</v>
      </c>
      <c r="AX3">
        <v>0.29999999999972699</v>
      </c>
      <c r="BB3">
        <v>0</v>
      </c>
      <c r="BC3">
        <v>1.89999999999964</v>
      </c>
      <c r="BH3">
        <v>16.600000000005799</v>
      </c>
      <c r="BI3">
        <v>2.4000000000014601</v>
      </c>
      <c r="BJ3">
        <v>18.799999999988401</v>
      </c>
      <c r="BL3">
        <v>0.200000000000045</v>
      </c>
      <c r="BN3" t="s">
        <v>0</v>
      </c>
      <c r="BO3">
        <v>17.600000000005799</v>
      </c>
      <c r="BQ3">
        <v>1.60000000000036</v>
      </c>
      <c r="BR3">
        <v>0.200000000000045</v>
      </c>
      <c r="BS3">
        <v>18</v>
      </c>
      <c r="BT3">
        <v>0.60000000000036402</v>
      </c>
      <c r="BU3">
        <v>10.5</v>
      </c>
      <c r="BV3">
        <v>12.600000000005799</v>
      </c>
      <c r="BW3">
        <v>0.200000000000045</v>
      </c>
      <c r="BY3">
        <v>0.2</v>
      </c>
      <c r="BZ3">
        <v>0.5</v>
      </c>
      <c r="CC3">
        <v>3.5</v>
      </c>
      <c r="CD3">
        <v>0.3</v>
      </c>
      <c r="CE3">
        <v>10.8</v>
      </c>
      <c r="CG3">
        <v>17.899999999999999</v>
      </c>
      <c r="CH3">
        <v>3.9</v>
      </c>
      <c r="CI3">
        <v>13.5</v>
      </c>
      <c r="CJ3">
        <v>0.6</v>
      </c>
      <c r="CN3">
        <v>2</v>
      </c>
      <c r="CO3">
        <v>1.5</v>
      </c>
      <c r="CP3">
        <v>0.6</v>
      </c>
      <c r="CQ3">
        <v>0.5</v>
      </c>
      <c r="CR3">
        <v>0.1</v>
      </c>
      <c r="CS3">
        <v>0.8</v>
      </c>
      <c r="CV3">
        <v>1.1000000000000001</v>
      </c>
      <c r="CW3">
        <v>6.9</v>
      </c>
      <c r="CX3">
        <v>12.1</v>
      </c>
      <c r="CY3">
        <v>0.2</v>
      </c>
      <c r="DD3" s="5">
        <v>2</v>
      </c>
      <c r="DJ3" s="1">
        <v>40910</v>
      </c>
      <c r="DK3" s="2">
        <f t="shared" ref="DK3:DK66" si="1">AVERAGE(D3:DD3)</f>
        <v>5.7079365079361848</v>
      </c>
      <c r="DL3" s="2">
        <f t="shared" ref="DL3:DL66" si="2">SUM(D3:DD3)/(COUNTA(D3:DA3)+COUNTBLANK(D3:DA3))</f>
        <v>3.5254901960782314</v>
      </c>
      <c r="DM3" s="2">
        <f t="shared" ref="DM3:DM66" si="3">MAX(D3:DD3)</f>
        <v>31.199999999982499</v>
      </c>
      <c r="DN3" s="3">
        <f t="shared" ref="DN3:DN66" si="4">(COUNTA(D3:DD3)/(COUNTA(D3:DA3)+COUNTBLANK(D3:DA3)))</f>
        <v>0.62745098039215685</v>
      </c>
      <c r="DP3">
        <v>61</v>
      </c>
      <c r="DQ3" t="s">
        <v>7</v>
      </c>
      <c r="DR3" s="2">
        <f>AVERAGE(DK33:DK61)</f>
        <v>5.1564653463389813</v>
      </c>
      <c r="DS3" s="2">
        <f>AVERAGE(DL33:DL61)</f>
        <v>3.0121534820821805</v>
      </c>
      <c r="DT3" s="2">
        <f>MAX(DM33:DM61)</f>
        <v>86.900000000023297</v>
      </c>
      <c r="DV3" s="2">
        <v>0.2</v>
      </c>
      <c r="DW3">
        <v>1139</v>
      </c>
      <c r="DX3">
        <f t="shared" ref="DX3:DX66" si="5">DX2+DW3</f>
        <v>2568</v>
      </c>
      <c r="DY3" s="3">
        <f t="shared" si="0"/>
        <v>0.1735838853589293</v>
      </c>
    </row>
    <row r="4" spans="1:129">
      <c r="A4" s="1">
        <v>40911</v>
      </c>
      <c r="B4" s="1"/>
      <c r="C4" s="1"/>
      <c r="D4">
        <v>3.4</v>
      </c>
      <c r="G4">
        <v>8.1999999999999993</v>
      </c>
      <c r="H4">
        <v>0.7</v>
      </c>
      <c r="I4">
        <v>9.5</v>
      </c>
      <c r="J4">
        <v>0.8</v>
      </c>
      <c r="L4">
        <v>0.1</v>
      </c>
      <c r="N4">
        <v>3.5</v>
      </c>
      <c r="Q4">
        <v>0.3</v>
      </c>
      <c r="V4">
        <v>14.5</v>
      </c>
      <c r="W4">
        <v>0.7</v>
      </c>
      <c r="X4">
        <v>0.3</v>
      </c>
      <c r="Y4">
        <v>2.6</v>
      </c>
      <c r="Z4">
        <v>3</v>
      </c>
      <c r="AD4">
        <v>6.8999999999941801</v>
      </c>
      <c r="AF4">
        <v>0</v>
      </c>
      <c r="AH4">
        <v>0</v>
      </c>
      <c r="AI4">
        <v>13.5</v>
      </c>
      <c r="AK4">
        <v>13.599999999991301</v>
      </c>
      <c r="AL4">
        <v>2.7999999999992702</v>
      </c>
      <c r="AM4">
        <v>5.3999999999941801</v>
      </c>
      <c r="AP4">
        <v>8.5999999999912706</v>
      </c>
      <c r="AS4">
        <v>3.0999999999985399</v>
      </c>
      <c r="AU4">
        <v>9.9999999999908995E-2</v>
      </c>
      <c r="AX4">
        <v>0.19999999999981799</v>
      </c>
      <c r="AY4">
        <v>0.69999999999981799</v>
      </c>
      <c r="BB4">
        <v>21</v>
      </c>
      <c r="BC4">
        <v>0.69999999999981799</v>
      </c>
      <c r="BD4">
        <v>1.39999999999964</v>
      </c>
      <c r="BF4">
        <v>5.8000000000029104</v>
      </c>
      <c r="BG4">
        <v>6.0999999999985501</v>
      </c>
      <c r="BH4">
        <v>9</v>
      </c>
      <c r="BI4">
        <v>1.29999999999927</v>
      </c>
      <c r="BJ4">
        <v>0.100000000000023</v>
      </c>
      <c r="BK4">
        <v>0.400000000000091</v>
      </c>
      <c r="BL4">
        <v>10</v>
      </c>
      <c r="BM4">
        <v>0.100000000000023</v>
      </c>
      <c r="BO4">
        <v>0.100000000000023</v>
      </c>
      <c r="BQ4">
        <v>2.4000000000014601</v>
      </c>
      <c r="BS4">
        <v>7.5</v>
      </c>
      <c r="BT4">
        <v>2.7000000000007298</v>
      </c>
      <c r="BV4">
        <v>9.8999999999941792</v>
      </c>
      <c r="BW4">
        <v>2.0999999999985399</v>
      </c>
      <c r="BY4">
        <v>30.2</v>
      </c>
      <c r="CA4">
        <v>22.3</v>
      </c>
      <c r="CB4">
        <v>0.1</v>
      </c>
      <c r="CC4">
        <v>2.6</v>
      </c>
      <c r="CD4">
        <v>0.6</v>
      </c>
      <c r="CG4">
        <v>3.1</v>
      </c>
      <c r="CH4">
        <v>1.5</v>
      </c>
      <c r="CI4">
        <v>7.6</v>
      </c>
      <c r="CJ4">
        <v>10.4</v>
      </c>
      <c r="CK4">
        <v>0.4</v>
      </c>
      <c r="CL4">
        <v>0.1</v>
      </c>
      <c r="CM4">
        <v>1</v>
      </c>
      <c r="CN4">
        <v>4.5999999999999996</v>
      </c>
      <c r="CO4">
        <v>2.5</v>
      </c>
      <c r="CQ4">
        <v>7.4</v>
      </c>
      <c r="CR4">
        <v>9.6999999999999993</v>
      </c>
      <c r="CS4">
        <v>3.5</v>
      </c>
      <c r="CU4">
        <v>8</v>
      </c>
      <c r="CV4">
        <v>2.8</v>
      </c>
      <c r="CW4">
        <v>5.4</v>
      </c>
      <c r="CX4">
        <v>7.4</v>
      </c>
      <c r="CY4">
        <v>17.399999999999999</v>
      </c>
      <c r="DD4" s="5">
        <v>9.8000000000000007</v>
      </c>
      <c r="DJ4" s="1">
        <v>40911</v>
      </c>
      <c r="DK4" s="2">
        <f t="shared" si="1"/>
        <v>5.2538461538455916</v>
      </c>
      <c r="DL4" s="2">
        <f t="shared" si="2"/>
        <v>3.3480392156859162</v>
      </c>
      <c r="DM4" s="2">
        <f t="shared" si="3"/>
        <v>30.2</v>
      </c>
      <c r="DN4" s="3">
        <f t="shared" si="4"/>
        <v>0.63725490196078427</v>
      </c>
      <c r="DP4">
        <v>92</v>
      </c>
      <c r="DQ4" t="s">
        <v>8</v>
      </c>
      <c r="DR4" s="2">
        <f>AVERAGE(DK62:DK92)</f>
        <v>4.586691184799446</v>
      </c>
      <c r="DS4" s="2">
        <f>AVERAGE(DL62:DL92)</f>
        <v>2.269082858949758</v>
      </c>
      <c r="DT4" s="2">
        <f>MAX(DM62:DM92)</f>
        <v>53</v>
      </c>
      <c r="DV4" s="2">
        <v>0.3</v>
      </c>
      <c r="DW4">
        <v>679</v>
      </c>
      <c r="DX4">
        <f t="shared" si="5"/>
        <v>3247</v>
      </c>
      <c r="DY4" s="3">
        <f t="shared" si="0"/>
        <v>0.21948087062322563</v>
      </c>
    </row>
    <row r="5" spans="1:129">
      <c r="A5" s="1">
        <v>40912</v>
      </c>
      <c r="B5" s="1"/>
      <c r="C5" s="1"/>
      <c r="E5">
        <v>1.7</v>
      </c>
      <c r="F5">
        <v>0.1</v>
      </c>
      <c r="H5">
        <v>3.2</v>
      </c>
      <c r="I5">
        <v>9.5</v>
      </c>
      <c r="J5">
        <v>8.8000000000000007</v>
      </c>
      <c r="M5">
        <v>0.4</v>
      </c>
      <c r="N5">
        <v>24.5</v>
      </c>
      <c r="V5">
        <v>14</v>
      </c>
      <c r="W5">
        <v>0.3</v>
      </c>
      <c r="X5">
        <v>13</v>
      </c>
      <c r="Y5">
        <v>1.9</v>
      </c>
      <c r="Z5">
        <v>1.79999999999927</v>
      </c>
      <c r="AA5">
        <v>15.099999999991301</v>
      </c>
      <c r="AC5">
        <v>7.3999999999941801</v>
      </c>
      <c r="AD5">
        <v>10.599999999991301</v>
      </c>
      <c r="AE5">
        <v>1.29999999999927</v>
      </c>
      <c r="AH5">
        <v>0</v>
      </c>
      <c r="AI5">
        <v>22</v>
      </c>
      <c r="AK5">
        <v>0.59999999999945397</v>
      </c>
      <c r="AL5">
        <v>1.79999999999927</v>
      </c>
      <c r="AM5">
        <v>7.9</v>
      </c>
      <c r="AN5">
        <v>1.39999999999964</v>
      </c>
      <c r="AP5">
        <v>14.099999999991301</v>
      </c>
      <c r="AT5">
        <v>0.79999999999927196</v>
      </c>
      <c r="AU5">
        <v>0.19999999999981799</v>
      </c>
      <c r="AX5">
        <v>3</v>
      </c>
      <c r="AY5">
        <v>10.599999999991301</v>
      </c>
      <c r="AZ5">
        <v>6</v>
      </c>
      <c r="BB5">
        <v>0</v>
      </c>
      <c r="BC5">
        <v>3.3999999999978199</v>
      </c>
      <c r="BE5">
        <v>11.5</v>
      </c>
      <c r="BF5">
        <v>17.200000000011599</v>
      </c>
      <c r="BG5">
        <v>18.200000000011599</v>
      </c>
      <c r="BH5">
        <v>11</v>
      </c>
      <c r="BI5">
        <v>7</v>
      </c>
      <c r="BL5">
        <v>1.89999999999964</v>
      </c>
      <c r="BM5">
        <v>0</v>
      </c>
      <c r="BN5">
        <v>0.100000000000023</v>
      </c>
      <c r="BP5">
        <v>21</v>
      </c>
      <c r="BQ5">
        <v>1.39999999999964</v>
      </c>
      <c r="BS5">
        <v>0.30000000000018201</v>
      </c>
      <c r="BT5">
        <v>5.1999999999970896</v>
      </c>
      <c r="BU5">
        <v>0.100000000000023</v>
      </c>
      <c r="BW5">
        <v>0.200000000000045</v>
      </c>
      <c r="BY5">
        <v>9.9</v>
      </c>
      <c r="CA5">
        <v>5.5</v>
      </c>
      <c r="CB5">
        <v>0.5</v>
      </c>
      <c r="CD5">
        <v>11.3</v>
      </c>
      <c r="CG5">
        <v>0.4</v>
      </c>
      <c r="CI5">
        <v>12.5</v>
      </c>
      <c r="CJ5">
        <v>5.9</v>
      </c>
      <c r="CL5">
        <v>0.9</v>
      </c>
      <c r="CN5">
        <v>2.6</v>
      </c>
      <c r="CP5">
        <v>26.6</v>
      </c>
      <c r="CQ5">
        <v>2.2999999999999998</v>
      </c>
      <c r="CR5">
        <v>22.4</v>
      </c>
      <c r="CS5">
        <v>2.5</v>
      </c>
      <c r="CT5">
        <v>0.8</v>
      </c>
      <c r="CV5">
        <v>5.4</v>
      </c>
      <c r="CW5">
        <v>20.399999999999999</v>
      </c>
      <c r="CX5">
        <v>0.3</v>
      </c>
      <c r="CY5">
        <v>8</v>
      </c>
      <c r="DA5">
        <v>1.3</v>
      </c>
      <c r="DC5">
        <v>18.5</v>
      </c>
      <c r="DD5" s="5">
        <v>5.6</v>
      </c>
      <c r="DJ5" s="1">
        <v>40912</v>
      </c>
      <c r="DK5" s="2">
        <f t="shared" si="1"/>
        <v>6.8323076923072765</v>
      </c>
      <c r="DL5" s="2">
        <f t="shared" si="2"/>
        <v>4.3539215686271859</v>
      </c>
      <c r="DM5" s="2">
        <f t="shared" si="3"/>
        <v>26.6</v>
      </c>
      <c r="DN5" s="3">
        <f t="shared" si="4"/>
        <v>0.63725490196078427</v>
      </c>
      <c r="DP5">
        <v>122</v>
      </c>
      <c r="DQ5" t="s">
        <v>9</v>
      </c>
      <c r="DR5" s="2">
        <f>AVERAGE(DK93:DK122)</f>
        <v>4.1977356485880364</v>
      </c>
      <c r="DS5" s="2">
        <f>AVERAGE(DL93:DL122)</f>
        <v>1.6656862745096306</v>
      </c>
      <c r="DT5" s="2">
        <f>MAX(DM93:DM122)</f>
        <v>45</v>
      </c>
      <c r="DV5" s="2">
        <v>0.4</v>
      </c>
      <c r="DW5">
        <v>405</v>
      </c>
      <c r="DX5">
        <f t="shared" si="5"/>
        <v>3652</v>
      </c>
      <c r="DY5" s="3">
        <f t="shared" si="0"/>
        <v>0.24685683385156143</v>
      </c>
    </row>
    <row r="6" spans="1:129">
      <c r="A6" s="1">
        <v>40913</v>
      </c>
      <c r="B6" s="1"/>
      <c r="C6" s="1"/>
      <c r="E6">
        <v>17.600000000000001</v>
      </c>
      <c r="H6">
        <v>1.7</v>
      </c>
      <c r="L6">
        <v>0.1</v>
      </c>
      <c r="M6">
        <v>1.2</v>
      </c>
      <c r="N6">
        <v>23.2</v>
      </c>
      <c r="U6">
        <v>2.6</v>
      </c>
      <c r="V6">
        <v>1.1000000000000001</v>
      </c>
      <c r="Y6">
        <v>0.5</v>
      </c>
      <c r="AA6">
        <v>12.599999999991301</v>
      </c>
      <c r="AC6">
        <v>1.6999999999989099</v>
      </c>
      <c r="AD6">
        <v>16.099999999976699</v>
      </c>
      <c r="AE6">
        <v>1.6999999999989099</v>
      </c>
      <c r="AF6">
        <v>23.099999999976699</v>
      </c>
      <c r="AG6">
        <v>12</v>
      </c>
      <c r="AI6">
        <v>0.69999999999981799</v>
      </c>
      <c r="AJ6">
        <v>2.5</v>
      </c>
      <c r="AL6">
        <v>1.39999999999964</v>
      </c>
      <c r="AM6">
        <v>7.8</v>
      </c>
      <c r="AR6">
        <v>39.399999999965097</v>
      </c>
      <c r="AT6">
        <v>9.9999999999908995E-2</v>
      </c>
      <c r="AU6">
        <v>9.9999999999908995E-2</v>
      </c>
      <c r="AV6">
        <v>9.6999999999970896</v>
      </c>
      <c r="AY6">
        <v>12.5</v>
      </c>
      <c r="AZ6">
        <v>13.599999999991301</v>
      </c>
      <c r="BF6">
        <v>0.200000000000045</v>
      </c>
      <c r="BG6">
        <v>7.3000000000029104</v>
      </c>
      <c r="BI6">
        <v>22.5</v>
      </c>
      <c r="BK6">
        <v>0</v>
      </c>
      <c r="BL6">
        <v>0.100000000000023</v>
      </c>
      <c r="BM6">
        <v>0.100000000000023</v>
      </c>
      <c r="BN6">
        <v>0.100000000000023</v>
      </c>
      <c r="BP6">
        <v>1.70000000000073</v>
      </c>
      <c r="BQ6">
        <v>0.100000000000023</v>
      </c>
      <c r="BR6">
        <v>25.5</v>
      </c>
      <c r="BS6">
        <v>5.5</v>
      </c>
      <c r="BT6">
        <v>2.7999999999992702</v>
      </c>
      <c r="BU6">
        <v>17.5</v>
      </c>
      <c r="BW6">
        <v>3.0999999999999099</v>
      </c>
      <c r="BX6">
        <v>0.8</v>
      </c>
      <c r="BZ6">
        <v>14.6</v>
      </c>
      <c r="CA6">
        <v>0.3</v>
      </c>
      <c r="CD6">
        <v>2.2000000000000002</v>
      </c>
      <c r="CG6">
        <v>0.5</v>
      </c>
      <c r="CI6">
        <v>3.8</v>
      </c>
      <c r="CJ6">
        <v>5.0999999999999996</v>
      </c>
      <c r="CM6">
        <v>0</v>
      </c>
      <c r="CN6">
        <v>1</v>
      </c>
      <c r="CP6">
        <v>4.5</v>
      </c>
      <c r="CQ6">
        <v>0.2</v>
      </c>
      <c r="CR6">
        <v>13.3</v>
      </c>
      <c r="CT6">
        <v>2</v>
      </c>
      <c r="CV6">
        <v>2.2999999999999998</v>
      </c>
      <c r="CW6">
        <v>4.2</v>
      </c>
      <c r="DA6">
        <v>1.4</v>
      </c>
      <c r="DB6">
        <v>0.2</v>
      </c>
      <c r="DC6">
        <v>1.8</v>
      </c>
      <c r="DD6" s="5">
        <v>14.2</v>
      </c>
      <c r="DJ6" s="1">
        <v>40913</v>
      </c>
      <c r="DK6" s="2">
        <f t="shared" si="1"/>
        <v>6.3491228070157595</v>
      </c>
      <c r="DL6" s="2">
        <f t="shared" si="2"/>
        <v>3.5480392156852774</v>
      </c>
      <c r="DM6" s="2">
        <f t="shared" si="3"/>
        <v>39.399999999965097</v>
      </c>
      <c r="DN6" s="3">
        <f t="shared" si="4"/>
        <v>0.55882352941176472</v>
      </c>
      <c r="DP6">
        <v>153</v>
      </c>
      <c r="DQ6" t="s">
        <v>10</v>
      </c>
      <c r="DR6" s="2">
        <f>AVERAGE(DK123:DK153)</f>
        <v>4.0650366820360118</v>
      </c>
      <c r="DS6" s="2">
        <f>AVERAGE(DL123:DL153)</f>
        <v>1.2340986717265849</v>
      </c>
      <c r="DT6" s="2">
        <f>MAX(DM123:DM153)</f>
        <v>84</v>
      </c>
      <c r="DV6" s="2">
        <v>0.5</v>
      </c>
      <c r="DW6">
        <v>495</v>
      </c>
      <c r="DX6">
        <f t="shared" si="5"/>
        <v>4147</v>
      </c>
      <c r="DY6" s="3">
        <f t="shared" si="0"/>
        <v>0.28031634446397186</v>
      </c>
    </row>
    <row r="7" spans="1:129">
      <c r="A7" s="1">
        <v>40914</v>
      </c>
      <c r="B7" s="1"/>
      <c r="C7" s="1"/>
      <c r="E7">
        <v>7.4</v>
      </c>
      <c r="F7">
        <v>0.5</v>
      </c>
      <c r="G7">
        <v>1.1000000000000001</v>
      </c>
      <c r="H7">
        <v>0.3</v>
      </c>
      <c r="M7">
        <v>0.1</v>
      </c>
      <c r="N7">
        <v>10.4</v>
      </c>
      <c r="P7">
        <v>5.3</v>
      </c>
      <c r="R7">
        <v>0.3</v>
      </c>
      <c r="S7">
        <v>11.2</v>
      </c>
      <c r="U7">
        <v>15.2</v>
      </c>
      <c r="V7">
        <v>1.1000000000000001</v>
      </c>
      <c r="W7">
        <v>0.5</v>
      </c>
      <c r="Z7">
        <v>1.5999999999985499</v>
      </c>
      <c r="AA7">
        <v>1</v>
      </c>
      <c r="AC7">
        <v>0.29999999999972699</v>
      </c>
      <c r="AF7">
        <v>20</v>
      </c>
      <c r="AJ7">
        <v>23.699999999982499</v>
      </c>
      <c r="AM7">
        <v>0</v>
      </c>
      <c r="AN7">
        <v>9.0999999999912706</v>
      </c>
      <c r="AQ7">
        <v>1.6999999999989099</v>
      </c>
      <c r="AR7">
        <v>7.5999999999985501</v>
      </c>
      <c r="AT7">
        <v>0.5</v>
      </c>
      <c r="AU7">
        <v>11.299999999988399</v>
      </c>
      <c r="AW7">
        <v>7.6999999999970896</v>
      </c>
      <c r="AY7">
        <v>6.29999999999563</v>
      </c>
      <c r="AZ7">
        <v>1.0999999999985499</v>
      </c>
      <c r="BA7">
        <v>2.6999999999970901</v>
      </c>
      <c r="BI7">
        <v>12.6999999999971</v>
      </c>
      <c r="BJ7">
        <v>5.8000000000029104</v>
      </c>
      <c r="BK7">
        <v>1.20000000000073</v>
      </c>
      <c r="BM7">
        <v>1.79999999999927</v>
      </c>
      <c r="BN7">
        <v>0.30000000000018201</v>
      </c>
      <c r="BP7">
        <v>0.69999999999981799</v>
      </c>
      <c r="BR7">
        <v>20.200000000011599</v>
      </c>
      <c r="BU7">
        <v>7.1999999999970896</v>
      </c>
      <c r="BV7">
        <v>0</v>
      </c>
      <c r="BW7">
        <v>2.3000000000012002</v>
      </c>
      <c r="BX7">
        <v>2.5</v>
      </c>
      <c r="BZ7">
        <v>3.6</v>
      </c>
      <c r="CA7">
        <v>2.6</v>
      </c>
      <c r="CG7">
        <v>0.6</v>
      </c>
      <c r="CH7">
        <v>0.5</v>
      </c>
      <c r="CI7">
        <v>3.6</v>
      </c>
      <c r="CJ7">
        <v>1</v>
      </c>
      <c r="CN7">
        <v>2</v>
      </c>
      <c r="CP7">
        <v>15.9</v>
      </c>
      <c r="CQ7">
        <v>0.9</v>
      </c>
      <c r="CR7">
        <v>1.3</v>
      </c>
      <c r="CT7">
        <v>2</v>
      </c>
      <c r="CW7">
        <v>11.5</v>
      </c>
      <c r="CY7">
        <v>1.6</v>
      </c>
      <c r="CZ7">
        <v>2.6</v>
      </c>
      <c r="DC7">
        <v>8.5</v>
      </c>
      <c r="DD7" s="5">
        <v>1.2</v>
      </c>
      <c r="DJ7" s="1">
        <v>40914</v>
      </c>
      <c r="DK7" s="2">
        <f t="shared" si="1"/>
        <v>4.8537037037028918</v>
      </c>
      <c r="DL7" s="2">
        <f t="shared" si="2"/>
        <v>2.5696078431368248</v>
      </c>
      <c r="DM7" s="2">
        <f t="shared" si="3"/>
        <v>23.699999999982499</v>
      </c>
      <c r="DN7" s="3">
        <f t="shared" si="4"/>
        <v>0.52941176470588236</v>
      </c>
      <c r="DP7">
        <v>183</v>
      </c>
      <c r="DQ7" t="s">
        <v>11</v>
      </c>
      <c r="DR7" s="2">
        <f>AVERAGE(DK154:DK183)</f>
        <v>4.9475079068553667</v>
      </c>
      <c r="DS7" s="2">
        <f>AVERAGE(DL154:DL183)</f>
        <v>1.2042810457514643</v>
      </c>
      <c r="DT7" s="2">
        <f>MAX(DM154:DM183)</f>
        <v>91</v>
      </c>
      <c r="DV7" s="2">
        <v>20</v>
      </c>
      <c r="DW7">
        <v>9635</v>
      </c>
      <c r="DX7">
        <f t="shared" si="5"/>
        <v>13782</v>
      </c>
      <c r="DY7" s="3">
        <f t="shared" si="0"/>
        <v>0.93159388941462751</v>
      </c>
    </row>
    <row r="8" spans="1:129">
      <c r="A8" s="1">
        <v>40915</v>
      </c>
      <c r="B8" s="1"/>
      <c r="C8" s="1"/>
      <c r="D8">
        <v>0.7</v>
      </c>
      <c r="E8">
        <v>2</v>
      </c>
      <c r="G8">
        <v>23.5</v>
      </c>
      <c r="H8">
        <v>0.8</v>
      </c>
      <c r="M8">
        <v>2</v>
      </c>
      <c r="N8">
        <v>5.8</v>
      </c>
      <c r="O8">
        <v>9.6</v>
      </c>
      <c r="P8">
        <v>2.1</v>
      </c>
      <c r="Q8">
        <v>2.4</v>
      </c>
      <c r="S8">
        <v>3.2</v>
      </c>
      <c r="T8">
        <v>3</v>
      </c>
      <c r="U8">
        <v>2</v>
      </c>
      <c r="V8">
        <v>0.2</v>
      </c>
      <c r="W8">
        <v>1.6</v>
      </c>
      <c r="Z8">
        <v>1.5999999999985499</v>
      </c>
      <c r="AA8">
        <v>1</v>
      </c>
      <c r="AD8">
        <v>1</v>
      </c>
      <c r="AF8">
        <v>0.69999999999981799</v>
      </c>
      <c r="AH8">
        <v>1.0999999999985499</v>
      </c>
      <c r="AI8">
        <v>4</v>
      </c>
      <c r="AJ8">
        <v>10</v>
      </c>
      <c r="AK8">
        <v>10</v>
      </c>
      <c r="AL8">
        <v>0.5</v>
      </c>
      <c r="AM8">
        <v>12.7</v>
      </c>
      <c r="AN8">
        <v>0.89999999999963598</v>
      </c>
      <c r="AP8">
        <v>13.399999999994201</v>
      </c>
      <c r="AR8">
        <v>7.5</v>
      </c>
      <c r="AT8">
        <v>14</v>
      </c>
      <c r="AV8">
        <v>7.79999999999563</v>
      </c>
      <c r="AW8">
        <v>1.5999999999985499</v>
      </c>
      <c r="AX8">
        <v>1.6999999999989099</v>
      </c>
      <c r="AZ8">
        <v>16.899999999994201</v>
      </c>
      <c r="BA8">
        <v>2.8999999999978199</v>
      </c>
      <c r="BE8">
        <v>2.5</v>
      </c>
      <c r="BF8">
        <v>10.8000000000029</v>
      </c>
      <c r="BG8">
        <v>5.1999999999970896</v>
      </c>
      <c r="BH8">
        <v>6.3000000000029104</v>
      </c>
      <c r="BI8">
        <v>5</v>
      </c>
      <c r="BJ8">
        <v>5</v>
      </c>
      <c r="BK8">
        <v>3.7999999999992702</v>
      </c>
      <c r="BL8">
        <v>0</v>
      </c>
      <c r="BM8">
        <v>0.69999999999981799</v>
      </c>
      <c r="BN8">
        <v>9.5</v>
      </c>
      <c r="BO8">
        <v>0</v>
      </c>
      <c r="BP8">
        <v>0.60000000000036402</v>
      </c>
      <c r="BR8">
        <v>17.799999999988401</v>
      </c>
      <c r="BS8">
        <v>0.5</v>
      </c>
      <c r="BT8">
        <v>2.4000000000014601</v>
      </c>
      <c r="BU8">
        <v>14.899999999994201</v>
      </c>
      <c r="BV8">
        <v>21.399999999994201</v>
      </c>
      <c r="BX8">
        <v>8.4</v>
      </c>
      <c r="BY8">
        <v>5.0999999999999996</v>
      </c>
      <c r="BZ8">
        <v>6.1</v>
      </c>
      <c r="CA8">
        <v>13.1</v>
      </c>
      <c r="CC8">
        <v>3.5</v>
      </c>
      <c r="CG8">
        <v>5.7</v>
      </c>
      <c r="CI8">
        <v>0.2</v>
      </c>
      <c r="CJ8">
        <v>0.1</v>
      </c>
      <c r="CK8">
        <v>13.9</v>
      </c>
      <c r="CL8">
        <v>3.5</v>
      </c>
      <c r="CN8">
        <v>20.100000000000001</v>
      </c>
      <c r="CP8">
        <v>4.5999999999999996</v>
      </c>
      <c r="CQ8">
        <v>1.2</v>
      </c>
      <c r="CR8">
        <v>0.2</v>
      </c>
      <c r="CS8">
        <v>1</v>
      </c>
      <c r="CT8">
        <v>2.2000000000000002</v>
      </c>
      <c r="CV8">
        <v>2.9</v>
      </c>
      <c r="CZ8">
        <v>20</v>
      </c>
      <c r="DA8">
        <v>6</v>
      </c>
      <c r="DC8">
        <v>2.1</v>
      </c>
      <c r="DD8" s="5">
        <v>9.1999999999999993</v>
      </c>
      <c r="DJ8" s="1">
        <v>40915</v>
      </c>
      <c r="DK8" s="2">
        <f t="shared" si="1"/>
        <v>5.6859154929571343</v>
      </c>
      <c r="DL8" s="2">
        <f t="shared" si="2"/>
        <v>3.9578431372544762</v>
      </c>
      <c r="DM8" s="2">
        <f t="shared" si="3"/>
        <v>23.5</v>
      </c>
      <c r="DN8" s="3">
        <f t="shared" si="4"/>
        <v>0.69607843137254899</v>
      </c>
      <c r="DP8">
        <v>214</v>
      </c>
      <c r="DQ8" t="s">
        <v>12</v>
      </c>
      <c r="DR8" s="2">
        <f>AVERAGE(DK184:DK214)</f>
        <v>6.4076636062130383</v>
      </c>
      <c r="DS8" s="2">
        <f>AVERAGE(DL184:DL214)</f>
        <v>1.0498277481990224</v>
      </c>
      <c r="DT8" s="2">
        <f>MAX(DM184:DM214)</f>
        <v>165.79999999981399</v>
      </c>
      <c r="DV8" s="2">
        <v>25</v>
      </c>
      <c r="DW8">
        <v>371</v>
      </c>
      <c r="DX8">
        <f t="shared" si="5"/>
        <v>14153</v>
      </c>
      <c r="DY8" s="3">
        <f t="shared" si="0"/>
        <v>0.95667162363120184</v>
      </c>
    </row>
    <row r="9" spans="1:129">
      <c r="A9" s="1">
        <v>40916</v>
      </c>
      <c r="B9" s="1"/>
      <c r="C9" s="1"/>
      <c r="D9">
        <v>29.3</v>
      </c>
      <c r="E9">
        <v>11.6</v>
      </c>
      <c r="F9">
        <v>9.6</v>
      </c>
      <c r="I9">
        <v>8.6999999999999993</v>
      </c>
      <c r="M9">
        <v>0.4</v>
      </c>
      <c r="N9">
        <v>12.9</v>
      </c>
      <c r="O9">
        <v>0.1</v>
      </c>
      <c r="Q9">
        <v>0.5</v>
      </c>
      <c r="R9">
        <v>0.1</v>
      </c>
      <c r="T9">
        <v>2</v>
      </c>
      <c r="U9">
        <v>6.2</v>
      </c>
      <c r="AA9">
        <v>0.19999999999981799</v>
      </c>
      <c r="AC9">
        <v>17.799999999988401</v>
      </c>
      <c r="AD9">
        <v>4</v>
      </c>
      <c r="AE9">
        <v>1.1999999999989099</v>
      </c>
      <c r="AF9">
        <v>1.0999999999985499</v>
      </c>
      <c r="AG9">
        <v>0.19999999999981799</v>
      </c>
      <c r="AI9">
        <v>0.29999999999972699</v>
      </c>
      <c r="AJ9">
        <v>2.3999999999978199</v>
      </c>
      <c r="AK9">
        <v>1.29999999999927</v>
      </c>
      <c r="AM9">
        <v>0</v>
      </c>
      <c r="AR9">
        <v>15.299999999988399</v>
      </c>
      <c r="AS9">
        <v>1.89999999999964</v>
      </c>
      <c r="AT9">
        <v>6.29999999999563</v>
      </c>
      <c r="AV9">
        <v>2.8999999999978199</v>
      </c>
      <c r="AX9">
        <v>20.199999999982499</v>
      </c>
      <c r="AY9">
        <v>1.1999999999989099</v>
      </c>
      <c r="AZ9">
        <v>5</v>
      </c>
      <c r="BA9">
        <v>0.19999999999981799</v>
      </c>
      <c r="BB9">
        <v>7</v>
      </c>
      <c r="BC9">
        <v>3.2999999999992702</v>
      </c>
      <c r="BE9">
        <v>0.89999999999963598</v>
      </c>
      <c r="BF9">
        <v>4.5</v>
      </c>
      <c r="BG9">
        <v>7.8000000000029104</v>
      </c>
      <c r="BH9">
        <v>35</v>
      </c>
      <c r="BI9">
        <v>0.30000000000018201</v>
      </c>
      <c r="BJ9">
        <v>4.9000000000014596</v>
      </c>
      <c r="BK9">
        <v>9.8000000000029104</v>
      </c>
      <c r="BM9">
        <v>0.80000000000018201</v>
      </c>
      <c r="BN9">
        <v>3.5999999999985399</v>
      </c>
      <c r="BO9">
        <v>39</v>
      </c>
      <c r="BP9">
        <v>0.100000000000023</v>
      </c>
      <c r="BQ9">
        <v>3</v>
      </c>
      <c r="BR9">
        <v>10.600000000005799</v>
      </c>
      <c r="BS9">
        <v>3.2999999999992702</v>
      </c>
      <c r="BT9">
        <v>3.5999999999985399</v>
      </c>
      <c r="BU9">
        <v>28.399999999994201</v>
      </c>
      <c r="BV9">
        <v>0</v>
      </c>
      <c r="BX9">
        <v>0.6</v>
      </c>
      <c r="BY9">
        <v>0.1</v>
      </c>
      <c r="BZ9">
        <v>0.2</v>
      </c>
      <c r="CC9">
        <v>6.3</v>
      </c>
      <c r="CE9">
        <v>0.8</v>
      </c>
      <c r="CG9">
        <v>3.1</v>
      </c>
      <c r="CI9">
        <v>0.8</v>
      </c>
      <c r="CK9">
        <v>12.6</v>
      </c>
      <c r="CN9">
        <v>23.7</v>
      </c>
      <c r="CP9">
        <v>2.1</v>
      </c>
      <c r="CR9">
        <v>0.1</v>
      </c>
      <c r="CT9">
        <v>7.2</v>
      </c>
      <c r="CV9">
        <v>0.1</v>
      </c>
      <c r="CW9">
        <v>7</v>
      </c>
      <c r="CZ9">
        <v>4.5</v>
      </c>
      <c r="DA9">
        <v>3.2</v>
      </c>
      <c r="DC9">
        <v>1.1000000000000001</v>
      </c>
      <c r="DD9" s="5">
        <v>0.2</v>
      </c>
      <c r="DJ9" s="1">
        <v>40916</v>
      </c>
      <c r="DK9" s="2">
        <f t="shared" si="1"/>
        <v>6.0984848484840626</v>
      </c>
      <c r="DL9" s="2">
        <f t="shared" si="2"/>
        <v>3.9460784313720403</v>
      </c>
      <c r="DM9" s="2">
        <f t="shared" si="3"/>
        <v>39</v>
      </c>
      <c r="DN9" s="3">
        <f t="shared" si="4"/>
        <v>0.6470588235294118</v>
      </c>
      <c r="DP9">
        <v>245</v>
      </c>
      <c r="DQ9" t="s">
        <v>13</v>
      </c>
      <c r="DR9" s="2">
        <f>AVERAGE(DK215:DK245)</f>
        <v>6.5968009487247476</v>
      </c>
      <c r="DS9" s="2">
        <f>AVERAGE(DL215:DL245)</f>
        <v>1.196554963983621</v>
      </c>
      <c r="DT9" s="2">
        <f>MAX(DM215:DM245)</f>
        <v>88.7</v>
      </c>
      <c r="DV9" s="2">
        <v>30</v>
      </c>
      <c r="DW9">
        <v>234</v>
      </c>
      <c r="DX9">
        <f t="shared" si="5"/>
        <v>14387</v>
      </c>
      <c r="DY9" s="3">
        <f t="shared" si="0"/>
        <v>0.97248884682979586</v>
      </c>
    </row>
    <row r="10" spans="1:129">
      <c r="A10" s="1">
        <v>40917</v>
      </c>
      <c r="B10" s="1"/>
      <c r="C10" s="1"/>
      <c r="D10">
        <v>0.6</v>
      </c>
      <c r="E10">
        <v>0.5</v>
      </c>
      <c r="F10">
        <v>35.799999999999997</v>
      </c>
      <c r="H10">
        <v>0.9</v>
      </c>
      <c r="I10">
        <v>0.7</v>
      </c>
      <c r="K10">
        <v>6.1</v>
      </c>
      <c r="L10">
        <v>20.7</v>
      </c>
      <c r="M10">
        <v>0.1</v>
      </c>
      <c r="N10">
        <v>0.4</v>
      </c>
      <c r="R10">
        <v>0.2</v>
      </c>
      <c r="U10">
        <v>0.5</v>
      </c>
      <c r="W10">
        <v>1.8</v>
      </c>
      <c r="Y10">
        <v>11.7</v>
      </c>
      <c r="AA10">
        <v>1.1999999999989099</v>
      </c>
      <c r="AB10">
        <v>0.19999999999981799</v>
      </c>
      <c r="AC10">
        <v>9.8999999999941792</v>
      </c>
      <c r="AF10">
        <v>1.0999999999985499</v>
      </c>
      <c r="AG10">
        <v>1.1999999999989099</v>
      </c>
      <c r="AH10">
        <v>5.0999999999985501</v>
      </c>
      <c r="AJ10">
        <v>0.19999999999981799</v>
      </c>
      <c r="AM10">
        <v>2.9</v>
      </c>
      <c r="AN10">
        <v>16</v>
      </c>
      <c r="AS10">
        <v>10.099999999991301</v>
      </c>
      <c r="AT10">
        <v>8.5</v>
      </c>
      <c r="AU10">
        <v>0.2</v>
      </c>
      <c r="AX10">
        <v>0</v>
      </c>
      <c r="AY10">
        <v>13</v>
      </c>
      <c r="BB10">
        <v>7.1999999999970896</v>
      </c>
      <c r="BC10">
        <v>20.099999999976699</v>
      </c>
      <c r="BD10">
        <v>0.5</v>
      </c>
      <c r="BE10">
        <v>0</v>
      </c>
      <c r="BG10">
        <v>1</v>
      </c>
      <c r="BH10">
        <v>0</v>
      </c>
      <c r="BI10">
        <v>4.6999999999970896</v>
      </c>
      <c r="BJ10">
        <v>0.30000000000018201</v>
      </c>
      <c r="BK10">
        <v>19.700000000011599</v>
      </c>
      <c r="BM10">
        <v>2.2000000000007298</v>
      </c>
      <c r="BN10">
        <v>14.399999999994201</v>
      </c>
      <c r="BO10">
        <v>27.5</v>
      </c>
      <c r="BQ10">
        <v>5.9000000000014596</v>
      </c>
      <c r="BR10">
        <v>5.5</v>
      </c>
      <c r="BS10">
        <v>0.100000000000023</v>
      </c>
      <c r="BT10">
        <v>1.79999999999927</v>
      </c>
      <c r="BU10">
        <v>6.8000000000029104</v>
      </c>
      <c r="BW10">
        <v>1.2000000000000499</v>
      </c>
      <c r="BY10">
        <v>37.4</v>
      </c>
      <c r="CA10">
        <v>22</v>
      </c>
      <c r="CC10">
        <v>4.5</v>
      </c>
      <c r="CE10">
        <v>0.9</v>
      </c>
      <c r="CG10">
        <v>2.5</v>
      </c>
      <c r="CH10">
        <v>0.2</v>
      </c>
      <c r="CI10">
        <v>5.2</v>
      </c>
      <c r="CK10">
        <v>3.7</v>
      </c>
      <c r="CM10">
        <v>0.2</v>
      </c>
      <c r="CN10">
        <v>6.2</v>
      </c>
      <c r="CO10">
        <v>1.5</v>
      </c>
      <c r="CP10">
        <v>0</v>
      </c>
      <c r="CS10">
        <v>0.1</v>
      </c>
      <c r="CT10">
        <v>32.4</v>
      </c>
      <c r="CV10">
        <v>4.3</v>
      </c>
      <c r="CZ10">
        <v>2</v>
      </c>
      <c r="DD10" s="5"/>
      <c r="DJ10" s="1">
        <v>40917</v>
      </c>
      <c r="DK10" s="2">
        <f t="shared" si="1"/>
        <v>6.419672131146906</v>
      </c>
      <c r="DL10" s="2">
        <f t="shared" si="2"/>
        <v>3.8392156862741298</v>
      </c>
      <c r="DM10" s="2">
        <f t="shared" si="3"/>
        <v>37.4</v>
      </c>
      <c r="DN10" s="3">
        <f t="shared" si="4"/>
        <v>0.59803921568627449</v>
      </c>
      <c r="DP10">
        <v>275</v>
      </c>
      <c r="DQ10" t="s">
        <v>14</v>
      </c>
      <c r="DR10" s="2">
        <f>AVERAGE(DK246:DK275)</f>
        <v>6.9467560004409963</v>
      </c>
      <c r="DS10" s="2">
        <f>AVERAGE(DL246:DL275)</f>
        <v>2.3786925566336588</v>
      </c>
      <c r="DT10" s="2">
        <f>MAX(DM246:DM275)</f>
        <v>123</v>
      </c>
      <c r="DV10" s="2">
        <v>35</v>
      </c>
      <c r="DW10">
        <v>133</v>
      </c>
      <c r="DX10">
        <f t="shared" si="5"/>
        <v>14520</v>
      </c>
      <c r="DY10" s="3">
        <f t="shared" si="0"/>
        <v>0.98147897796403949</v>
      </c>
    </row>
    <row r="11" spans="1:129">
      <c r="A11" s="1">
        <v>40918</v>
      </c>
      <c r="B11" s="1"/>
      <c r="C11" s="1"/>
      <c r="F11">
        <v>0.3</v>
      </c>
      <c r="H11">
        <v>23.1</v>
      </c>
      <c r="J11">
        <v>46.8</v>
      </c>
      <c r="K11">
        <v>11.1</v>
      </c>
      <c r="L11">
        <v>16.8</v>
      </c>
      <c r="O11">
        <v>4.2</v>
      </c>
      <c r="Q11">
        <v>0.2</v>
      </c>
      <c r="R11">
        <v>42</v>
      </c>
      <c r="W11">
        <v>5</v>
      </c>
      <c r="X11">
        <v>43.8</v>
      </c>
      <c r="Y11">
        <v>3.5</v>
      </c>
      <c r="Z11">
        <v>3.1999999999970901</v>
      </c>
      <c r="AA11">
        <v>3</v>
      </c>
      <c r="AC11">
        <v>1.79999999999927</v>
      </c>
      <c r="AF11">
        <v>0.9</v>
      </c>
      <c r="AG11">
        <v>1.1999999999989099</v>
      </c>
      <c r="AH11">
        <v>2.6999999999970901</v>
      </c>
      <c r="AI11">
        <v>7.1</v>
      </c>
      <c r="AO11">
        <v>8.1999999999970896</v>
      </c>
      <c r="AP11">
        <v>0.5</v>
      </c>
      <c r="AS11">
        <v>5.0999999999985501</v>
      </c>
      <c r="AT11">
        <v>5.6999999999970896</v>
      </c>
      <c r="AU11">
        <v>1.29999999999927</v>
      </c>
      <c r="AY11">
        <v>6.3999999999941801</v>
      </c>
      <c r="AZ11">
        <v>2.2999999999992702</v>
      </c>
      <c r="BA11">
        <v>10.099999999991301</v>
      </c>
      <c r="BD11">
        <v>9</v>
      </c>
      <c r="BE11">
        <v>3.2999999999992702</v>
      </c>
      <c r="BG11">
        <v>18.700000000011599</v>
      </c>
      <c r="BH11">
        <v>22.5</v>
      </c>
      <c r="BI11">
        <v>15.100000000005799</v>
      </c>
      <c r="BK11">
        <v>10</v>
      </c>
      <c r="BL11">
        <v>2</v>
      </c>
      <c r="BM11">
        <v>0.80000000000018201</v>
      </c>
      <c r="BN11">
        <v>0</v>
      </c>
      <c r="BO11">
        <v>0.200000000000045</v>
      </c>
      <c r="BP11">
        <v>0.100000000000023</v>
      </c>
      <c r="BQ11">
        <v>0.69999999999981799</v>
      </c>
      <c r="BR11">
        <v>4</v>
      </c>
      <c r="BS11">
        <v>0.100000000000023</v>
      </c>
      <c r="BU11">
        <v>32.099999999976703</v>
      </c>
      <c r="BV11">
        <v>12.5</v>
      </c>
      <c r="BW11">
        <v>0.200000000000045</v>
      </c>
      <c r="BX11">
        <v>15.8</v>
      </c>
      <c r="BY11">
        <v>20</v>
      </c>
      <c r="BZ11">
        <v>10.5</v>
      </c>
      <c r="CB11">
        <v>1</v>
      </c>
      <c r="CH11">
        <v>1.1000000000000001</v>
      </c>
      <c r="CI11">
        <v>1.6</v>
      </c>
      <c r="CK11">
        <v>0.4</v>
      </c>
      <c r="CL11">
        <v>8.3000000000000007</v>
      </c>
      <c r="CN11">
        <v>1.5</v>
      </c>
      <c r="CP11">
        <v>2.8</v>
      </c>
      <c r="CT11">
        <v>12</v>
      </c>
      <c r="CV11">
        <v>1.3</v>
      </c>
      <c r="CX11">
        <v>10.5</v>
      </c>
      <c r="CZ11">
        <v>6</v>
      </c>
      <c r="DC11">
        <v>7.5</v>
      </c>
      <c r="DD11" s="5">
        <v>2.2000000000000002</v>
      </c>
      <c r="DJ11" s="1">
        <v>40918</v>
      </c>
      <c r="DK11" s="2">
        <f t="shared" si="1"/>
        <v>8.3067796610163178</v>
      </c>
      <c r="DL11" s="2">
        <f t="shared" si="2"/>
        <v>4.8049019607839485</v>
      </c>
      <c r="DM11" s="2">
        <f t="shared" si="3"/>
        <v>46.8</v>
      </c>
      <c r="DN11" s="3">
        <f t="shared" si="4"/>
        <v>0.57843137254901966</v>
      </c>
      <c r="DP11">
        <v>306</v>
      </c>
      <c r="DQ11" t="s">
        <v>15</v>
      </c>
      <c r="DR11" s="2">
        <f>AVERAGE(DK276:DK306)</f>
        <v>7.4182152063042883</v>
      </c>
      <c r="DS11" s="2">
        <f>AVERAGE(DL276:DL306)</f>
        <v>3.0801753836513086</v>
      </c>
      <c r="DT11" s="2">
        <f>MAX(DM276:DM306)</f>
        <v>131.29999999981399</v>
      </c>
      <c r="DV11" s="2">
        <v>40</v>
      </c>
      <c r="DW11">
        <v>85</v>
      </c>
      <c r="DX11">
        <f t="shared" si="5"/>
        <v>14605</v>
      </c>
      <c r="DY11" s="3">
        <f t="shared" si="0"/>
        <v>0.98722455049344326</v>
      </c>
    </row>
    <row r="12" spans="1:129">
      <c r="A12" s="1">
        <v>40919</v>
      </c>
      <c r="B12" s="1"/>
      <c r="C12" s="1"/>
      <c r="G12">
        <v>4.5</v>
      </c>
      <c r="H12">
        <v>0.1</v>
      </c>
      <c r="J12">
        <v>24</v>
      </c>
      <c r="K12">
        <v>0.8</v>
      </c>
      <c r="N12">
        <v>1.1000000000000001</v>
      </c>
      <c r="O12">
        <v>7.6</v>
      </c>
      <c r="Q12">
        <v>1.7</v>
      </c>
      <c r="R12">
        <v>7.8</v>
      </c>
      <c r="S12">
        <v>2</v>
      </c>
      <c r="W12">
        <v>1.1000000000000001</v>
      </c>
      <c r="X12">
        <v>1.6</v>
      </c>
      <c r="Y12">
        <v>5.8</v>
      </c>
      <c r="AA12">
        <v>0.79999999999927196</v>
      </c>
      <c r="AB12">
        <v>1.5</v>
      </c>
      <c r="AC12">
        <v>6.29999999999563</v>
      </c>
      <c r="AF12">
        <v>0.89999999999963598</v>
      </c>
      <c r="AG12">
        <v>12.799999999988399</v>
      </c>
      <c r="AH12">
        <v>14.399999999994201</v>
      </c>
      <c r="AI12">
        <v>2</v>
      </c>
      <c r="AK12">
        <v>3.5</v>
      </c>
      <c r="AM12">
        <v>5.3999999999941801</v>
      </c>
      <c r="AP12">
        <v>0</v>
      </c>
      <c r="AQ12">
        <v>9.9999999999908995E-2</v>
      </c>
      <c r="AT12">
        <v>5.2</v>
      </c>
      <c r="AU12">
        <v>0.39999999999963598</v>
      </c>
      <c r="AW12">
        <v>0.5</v>
      </c>
      <c r="AY12">
        <v>9</v>
      </c>
      <c r="AZ12">
        <v>22.599999999976699</v>
      </c>
      <c r="BA12">
        <v>1.6999999999989099</v>
      </c>
      <c r="BC12">
        <v>1.79999999999927</v>
      </c>
      <c r="BD12">
        <v>1.70000000000073</v>
      </c>
      <c r="BE12">
        <v>4.4000000000014596</v>
      </c>
      <c r="BH12">
        <v>32</v>
      </c>
      <c r="BI12">
        <v>6.4000000000014596</v>
      </c>
      <c r="BJ12">
        <v>0.100000000000023</v>
      </c>
      <c r="BK12">
        <v>12.5</v>
      </c>
      <c r="BL12">
        <v>3.2999999999992702</v>
      </c>
      <c r="BM12">
        <v>4.1999999999970896</v>
      </c>
      <c r="BN12">
        <v>1.89999999999964</v>
      </c>
      <c r="BO12">
        <v>0.100000000000023</v>
      </c>
      <c r="BR12">
        <v>0.200000000000045</v>
      </c>
      <c r="BS12">
        <v>35.5</v>
      </c>
      <c r="BT12">
        <v>0.100000000000023</v>
      </c>
      <c r="BU12">
        <v>0</v>
      </c>
      <c r="BV12">
        <v>0.200000000000045</v>
      </c>
      <c r="BX12">
        <v>25.8</v>
      </c>
      <c r="BY12">
        <v>2.7</v>
      </c>
      <c r="BZ12">
        <v>1.5</v>
      </c>
      <c r="CB12">
        <v>5</v>
      </c>
      <c r="CH12">
        <v>0.1</v>
      </c>
      <c r="CI12">
        <v>1.9</v>
      </c>
      <c r="CL12">
        <v>0.1</v>
      </c>
      <c r="CN12">
        <v>5.5</v>
      </c>
      <c r="CR12">
        <v>3.8</v>
      </c>
      <c r="CS12">
        <v>0</v>
      </c>
      <c r="CT12">
        <v>9.3000000000000007</v>
      </c>
      <c r="CW12">
        <v>1.7</v>
      </c>
      <c r="CX12">
        <v>1.7</v>
      </c>
      <c r="CZ12">
        <v>14</v>
      </c>
      <c r="DA12">
        <v>13.8</v>
      </c>
      <c r="DC12">
        <v>0.6</v>
      </c>
      <c r="DD12" s="5"/>
      <c r="DJ12" s="1">
        <v>40919</v>
      </c>
      <c r="DK12" s="2">
        <f t="shared" si="1"/>
        <v>5.5262295081958293</v>
      </c>
      <c r="DL12" s="2">
        <f t="shared" si="2"/>
        <v>3.3049019607837802</v>
      </c>
      <c r="DM12" s="2">
        <f t="shared" si="3"/>
        <v>35.5</v>
      </c>
      <c r="DN12" s="3">
        <f t="shared" si="4"/>
        <v>0.59803921568627449</v>
      </c>
      <c r="DP12">
        <v>336</v>
      </c>
      <c r="DQ12" t="s">
        <v>16</v>
      </c>
      <c r="DR12" s="2">
        <f>AVERAGE(DK307:DK336)</f>
        <v>6.7719608860396647</v>
      </c>
      <c r="DS12" s="2">
        <f>AVERAGE(DL307:DL336)</f>
        <v>3.4412362459543213</v>
      </c>
      <c r="DT12" s="2">
        <f>MAX(DM307:DM336)</f>
        <v>94.2</v>
      </c>
      <c r="DV12" s="2">
        <v>45</v>
      </c>
      <c r="DW12">
        <v>63</v>
      </c>
      <c r="DX12">
        <f t="shared" si="5"/>
        <v>14668</v>
      </c>
      <c r="DY12" s="3">
        <f t="shared" si="0"/>
        <v>0.99148303366229551</v>
      </c>
    </row>
    <row r="13" spans="1:129">
      <c r="A13" s="1">
        <v>40920</v>
      </c>
      <c r="B13" s="1"/>
      <c r="C13" s="1"/>
      <c r="D13">
        <v>2</v>
      </c>
      <c r="E13">
        <v>3</v>
      </c>
      <c r="F13">
        <v>0.3</v>
      </c>
      <c r="G13">
        <v>2.6</v>
      </c>
      <c r="H13">
        <v>2.2999999999999998</v>
      </c>
      <c r="I13">
        <v>5.6</v>
      </c>
      <c r="J13">
        <v>1</v>
      </c>
      <c r="L13">
        <v>9.9</v>
      </c>
      <c r="P13">
        <v>5.2</v>
      </c>
      <c r="Q13">
        <v>1.9</v>
      </c>
      <c r="R13">
        <v>0</v>
      </c>
      <c r="S13">
        <v>2.4</v>
      </c>
      <c r="V13">
        <v>1.1000000000000001</v>
      </c>
      <c r="W13">
        <v>1.7</v>
      </c>
      <c r="Y13">
        <v>2.2999999999999998</v>
      </c>
      <c r="AA13">
        <v>1.89999999999964</v>
      </c>
      <c r="AC13">
        <v>5.0999999999985501</v>
      </c>
      <c r="AG13">
        <v>3.6999999999970901</v>
      </c>
      <c r="AH13">
        <v>27.099999999976699</v>
      </c>
      <c r="AK13">
        <v>1.79999999999927</v>
      </c>
      <c r="AM13">
        <v>0.39999999999963598</v>
      </c>
      <c r="AP13">
        <v>10</v>
      </c>
      <c r="AR13">
        <v>2.5999999999985399</v>
      </c>
      <c r="AS13">
        <v>1</v>
      </c>
      <c r="AW13">
        <v>2.5999999999985399</v>
      </c>
      <c r="AX13">
        <v>0.9</v>
      </c>
      <c r="BC13">
        <v>7.5999999999985501</v>
      </c>
      <c r="BE13">
        <v>0.200000000000045</v>
      </c>
      <c r="BG13">
        <v>3.4000000000014601</v>
      </c>
      <c r="BH13">
        <v>16</v>
      </c>
      <c r="BI13">
        <v>14.399999999994201</v>
      </c>
      <c r="BK13">
        <v>4.5999999999985501</v>
      </c>
      <c r="BL13">
        <v>12.100000000005799</v>
      </c>
      <c r="BM13">
        <v>6.4000000000014596</v>
      </c>
      <c r="BN13">
        <v>6.3000000000029104</v>
      </c>
      <c r="BQ13">
        <v>0</v>
      </c>
      <c r="BS13">
        <v>4.8000000000029104</v>
      </c>
      <c r="BT13">
        <v>4</v>
      </c>
      <c r="BV13">
        <v>2.5</v>
      </c>
      <c r="BW13">
        <v>0.100000000000023</v>
      </c>
      <c r="BX13">
        <v>3.5</v>
      </c>
      <c r="BY13">
        <v>1.3</v>
      </c>
      <c r="BZ13">
        <v>11.7</v>
      </c>
      <c r="CA13">
        <v>6.6</v>
      </c>
      <c r="CB13">
        <v>0.9</v>
      </c>
      <c r="CF13">
        <v>0.3</v>
      </c>
      <c r="CI13">
        <v>18.7</v>
      </c>
      <c r="CK13">
        <v>1.2</v>
      </c>
      <c r="CN13">
        <v>10.3</v>
      </c>
      <c r="CQ13">
        <v>10.4</v>
      </c>
      <c r="CS13">
        <v>0.1</v>
      </c>
      <c r="CT13">
        <v>8.8000000000000007</v>
      </c>
      <c r="CU13">
        <v>2</v>
      </c>
      <c r="CX13">
        <v>3</v>
      </c>
      <c r="DA13">
        <v>15</v>
      </c>
      <c r="DC13">
        <v>39.299999999999997</v>
      </c>
      <c r="DD13" s="5">
        <v>31.5</v>
      </c>
      <c r="DJ13" s="1">
        <v>40920</v>
      </c>
      <c r="DK13" s="2">
        <f t="shared" si="1"/>
        <v>6.059649122806559</v>
      </c>
      <c r="DL13" s="2">
        <f t="shared" si="2"/>
        <v>3.3862745098036657</v>
      </c>
      <c r="DM13" s="2">
        <f t="shared" si="3"/>
        <v>39.299999999999997</v>
      </c>
      <c r="DN13" s="3">
        <f t="shared" si="4"/>
        <v>0.55882352941176472</v>
      </c>
      <c r="DP13">
        <v>367</v>
      </c>
      <c r="DQ13" t="s">
        <v>17</v>
      </c>
      <c r="DR13" s="2">
        <f>AVERAGE(DK337:DK367)</f>
        <v>7.0796065822733576</v>
      </c>
      <c r="DS13" s="2">
        <f>AVERAGE(DL337:DL367)</f>
        <v>4.2540995928588705</v>
      </c>
      <c r="DT13" s="2">
        <f>MAX(DM337:DM367)</f>
        <v>68</v>
      </c>
      <c r="DV13" s="2">
        <v>50</v>
      </c>
      <c r="DW13">
        <v>37</v>
      </c>
      <c r="DX13">
        <f t="shared" si="5"/>
        <v>14705</v>
      </c>
      <c r="DY13" s="3">
        <f t="shared" si="0"/>
        <v>0.99398404758685954</v>
      </c>
    </row>
    <row r="14" spans="1:129">
      <c r="A14" s="1">
        <v>40921</v>
      </c>
      <c r="B14" s="1"/>
      <c r="C14" s="1"/>
      <c r="E14">
        <v>13.8</v>
      </c>
      <c r="F14">
        <v>0</v>
      </c>
      <c r="G14">
        <v>9.8000000000000007</v>
      </c>
      <c r="H14">
        <v>1.6</v>
      </c>
      <c r="I14">
        <v>1</v>
      </c>
      <c r="M14">
        <v>0.1</v>
      </c>
      <c r="O14">
        <v>4.8</v>
      </c>
      <c r="P14">
        <v>3.2</v>
      </c>
      <c r="Q14">
        <v>4.7</v>
      </c>
      <c r="S14">
        <v>3.7</v>
      </c>
      <c r="T14">
        <v>12.8</v>
      </c>
      <c r="U14">
        <v>2.5</v>
      </c>
      <c r="V14">
        <v>3.2</v>
      </c>
      <c r="Y14">
        <v>2</v>
      </c>
      <c r="AA14">
        <v>0.5</v>
      </c>
      <c r="AB14">
        <v>4.2999999999956398</v>
      </c>
      <c r="AC14">
        <v>2.5</v>
      </c>
      <c r="AE14">
        <v>12.599999999991301</v>
      </c>
      <c r="AF14">
        <v>0.29999999999972699</v>
      </c>
      <c r="AG14">
        <v>6</v>
      </c>
      <c r="AH14">
        <v>0</v>
      </c>
      <c r="AI14">
        <v>4.6999999999970896</v>
      </c>
      <c r="AJ14">
        <v>4.2999999999956398</v>
      </c>
      <c r="AK14">
        <v>1.29999999999927</v>
      </c>
      <c r="AL14">
        <v>2.6999999999970901</v>
      </c>
      <c r="AM14">
        <v>1.39999999999964</v>
      </c>
      <c r="AO14">
        <v>0.59999999999945397</v>
      </c>
      <c r="AP14">
        <v>2</v>
      </c>
      <c r="AS14">
        <v>10.1999999999971</v>
      </c>
      <c r="AT14">
        <v>3.4</v>
      </c>
      <c r="AW14">
        <v>3.8999999999978199</v>
      </c>
      <c r="AX14">
        <v>0.4</v>
      </c>
      <c r="AY14">
        <v>31.299999999988401</v>
      </c>
      <c r="BA14">
        <v>13.5</v>
      </c>
      <c r="BC14">
        <v>15</v>
      </c>
      <c r="BE14">
        <v>0.69999999999981799</v>
      </c>
      <c r="BF14">
        <v>2.2000000000007298</v>
      </c>
      <c r="BG14">
        <v>27.200000000011599</v>
      </c>
      <c r="BH14">
        <v>23</v>
      </c>
      <c r="BI14">
        <v>5</v>
      </c>
      <c r="BK14">
        <v>0.400000000000091</v>
      </c>
      <c r="BL14">
        <v>3.7000000000007298</v>
      </c>
      <c r="BM14">
        <v>16.299999999988401</v>
      </c>
      <c r="BN14">
        <v>26.5</v>
      </c>
      <c r="BO14">
        <v>0.30000000000018201</v>
      </c>
      <c r="BQ14">
        <v>5</v>
      </c>
      <c r="BS14">
        <v>8.8000000000029104</v>
      </c>
      <c r="BT14">
        <v>11</v>
      </c>
      <c r="BU14">
        <v>0.30000000000018201</v>
      </c>
      <c r="BV14">
        <v>7.6999999999970896</v>
      </c>
      <c r="BX14">
        <v>1.9</v>
      </c>
      <c r="BY14">
        <v>0.2</v>
      </c>
      <c r="BZ14">
        <v>1.9</v>
      </c>
      <c r="CB14">
        <v>1.4</v>
      </c>
      <c r="CF14">
        <v>0.2</v>
      </c>
      <c r="CI14">
        <v>25.5</v>
      </c>
      <c r="CK14">
        <v>9</v>
      </c>
      <c r="CN14">
        <v>1.5</v>
      </c>
      <c r="CO14">
        <v>3.5</v>
      </c>
      <c r="CQ14">
        <v>0.3</v>
      </c>
      <c r="CS14">
        <v>0.1</v>
      </c>
      <c r="CT14">
        <v>2.4</v>
      </c>
      <c r="CU14">
        <v>0.3</v>
      </c>
      <c r="CX14">
        <v>5.5</v>
      </c>
      <c r="CZ14">
        <v>0.1</v>
      </c>
      <c r="DD14" s="5">
        <v>14.3</v>
      </c>
      <c r="DJ14" s="1">
        <v>40921</v>
      </c>
      <c r="DK14" s="2">
        <f t="shared" si="1"/>
        <v>5.9136363636357556</v>
      </c>
      <c r="DL14" s="2">
        <f t="shared" si="2"/>
        <v>3.8264705882349008</v>
      </c>
      <c r="DM14" s="2">
        <f t="shared" si="3"/>
        <v>31.299999999988401</v>
      </c>
      <c r="DN14" s="3">
        <f t="shared" si="4"/>
        <v>0.6470588235294118</v>
      </c>
      <c r="DV14" s="2">
        <v>55</v>
      </c>
      <c r="DW14">
        <v>20</v>
      </c>
      <c r="DX14">
        <f t="shared" si="5"/>
        <v>14725</v>
      </c>
      <c r="DY14" s="3">
        <f t="shared" si="0"/>
        <v>0.99533594700554284</v>
      </c>
    </row>
    <row r="15" spans="1:129">
      <c r="A15" s="1">
        <v>40922</v>
      </c>
      <c r="B15" s="1"/>
      <c r="C15" s="1"/>
      <c r="D15">
        <v>1</v>
      </c>
      <c r="F15">
        <v>0.3</v>
      </c>
      <c r="G15">
        <v>2.6</v>
      </c>
      <c r="H15">
        <v>0.7</v>
      </c>
      <c r="N15">
        <v>19.2</v>
      </c>
      <c r="O15">
        <v>15</v>
      </c>
      <c r="P15">
        <v>0.8</v>
      </c>
      <c r="R15">
        <v>3</v>
      </c>
      <c r="T15">
        <v>0.3</v>
      </c>
      <c r="V15">
        <v>7</v>
      </c>
      <c r="Y15">
        <v>3.9</v>
      </c>
      <c r="AC15">
        <v>4.2999999999956398</v>
      </c>
      <c r="AD15">
        <v>3</v>
      </c>
      <c r="AH15">
        <v>0.89999999999963598</v>
      </c>
      <c r="AI15">
        <v>11.1999999999971</v>
      </c>
      <c r="AJ15">
        <v>0.59999999999945397</v>
      </c>
      <c r="AK15">
        <v>2.0999999999985399</v>
      </c>
      <c r="AL15">
        <v>6.3999999999941801</v>
      </c>
      <c r="AO15">
        <v>3.0999999999985399</v>
      </c>
      <c r="AQ15">
        <v>9.2999999999883602</v>
      </c>
      <c r="AR15">
        <v>13.899999999994201</v>
      </c>
      <c r="AW15">
        <v>2.7999999999992702</v>
      </c>
      <c r="AX15">
        <v>2.8</v>
      </c>
      <c r="AZ15">
        <v>24.099999999976699</v>
      </c>
      <c r="BA15">
        <v>3.3999999999978199</v>
      </c>
      <c r="BC15">
        <v>5.5</v>
      </c>
      <c r="BF15">
        <v>3.5999999999985399</v>
      </c>
      <c r="BG15">
        <v>2.7000000000007298</v>
      </c>
      <c r="BH15">
        <v>21</v>
      </c>
      <c r="BJ15">
        <v>0.100000000000023</v>
      </c>
      <c r="BK15">
        <v>0.100000000000023</v>
      </c>
      <c r="BL15">
        <v>12</v>
      </c>
      <c r="BM15">
        <v>6</v>
      </c>
      <c r="BN15">
        <v>2.2999999999992702</v>
      </c>
      <c r="BO15">
        <v>0.100000000000023</v>
      </c>
      <c r="BQ15">
        <v>6.6999999999970896</v>
      </c>
      <c r="BS15">
        <v>10.6999999999971</v>
      </c>
      <c r="BT15">
        <v>6</v>
      </c>
      <c r="BU15">
        <v>11</v>
      </c>
      <c r="BV15">
        <v>0.200000000000045</v>
      </c>
      <c r="BX15">
        <v>0.7</v>
      </c>
      <c r="BY15">
        <v>16.3</v>
      </c>
      <c r="CC15">
        <v>11.2</v>
      </c>
      <c r="CE15">
        <v>1.4</v>
      </c>
      <c r="CH15">
        <v>0.2</v>
      </c>
      <c r="CI15">
        <v>6.7</v>
      </c>
      <c r="CJ15">
        <v>5</v>
      </c>
      <c r="CK15">
        <v>2</v>
      </c>
      <c r="CL15">
        <v>0.6</v>
      </c>
      <c r="CO15">
        <v>17</v>
      </c>
      <c r="CP15">
        <v>1.5</v>
      </c>
      <c r="CR15">
        <v>6.8</v>
      </c>
      <c r="CS15">
        <v>2.8</v>
      </c>
      <c r="CT15">
        <v>0.8</v>
      </c>
      <c r="CW15">
        <v>1.4</v>
      </c>
      <c r="CX15">
        <v>0.1</v>
      </c>
      <c r="CY15">
        <v>0.1</v>
      </c>
      <c r="CZ15">
        <v>10.9</v>
      </c>
      <c r="DD15" s="5">
        <v>0.1</v>
      </c>
      <c r="DJ15" s="1">
        <v>40922</v>
      </c>
      <c r="DK15" s="2">
        <f t="shared" si="1"/>
        <v>5.3440677966090222</v>
      </c>
      <c r="DL15" s="2">
        <f t="shared" si="2"/>
        <v>3.0911764705875715</v>
      </c>
      <c r="DM15" s="2">
        <f t="shared" si="3"/>
        <v>24.099999999976699</v>
      </c>
      <c r="DN15" s="3">
        <f t="shared" si="4"/>
        <v>0.57843137254901966</v>
      </c>
      <c r="DV15" s="2">
        <v>60</v>
      </c>
      <c r="DW15">
        <v>18</v>
      </c>
      <c r="DX15">
        <f t="shared" si="5"/>
        <v>14743</v>
      </c>
      <c r="DY15" s="3">
        <f t="shared" si="0"/>
        <v>0.99655265648235769</v>
      </c>
    </row>
    <row r="16" spans="1:129">
      <c r="A16" s="1">
        <v>40923</v>
      </c>
      <c r="B16" s="1"/>
      <c r="C16" s="1"/>
      <c r="D16">
        <v>5.0999999999999996</v>
      </c>
      <c r="E16">
        <v>0.7</v>
      </c>
      <c r="H16">
        <v>9.1999999999999993</v>
      </c>
      <c r="J16">
        <v>1.3</v>
      </c>
      <c r="K16">
        <v>14.9</v>
      </c>
      <c r="L16">
        <v>23.9</v>
      </c>
      <c r="O16">
        <v>2.2999999999999998</v>
      </c>
      <c r="Q16">
        <v>0.5</v>
      </c>
      <c r="R16">
        <v>1.3</v>
      </c>
      <c r="T16">
        <v>9.6</v>
      </c>
      <c r="U16">
        <v>1.5</v>
      </c>
      <c r="V16">
        <v>0.4</v>
      </c>
      <c r="W16">
        <v>7.7</v>
      </c>
      <c r="X16">
        <v>1.1000000000000001</v>
      </c>
      <c r="Y16">
        <v>0.6</v>
      </c>
      <c r="AA16">
        <v>3</v>
      </c>
      <c r="AB16">
        <v>0.89999999999963598</v>
      </c>
      <c r="AC16">
        <v>11.299999999988399</v>
      </c>
      <c r="AD16">
        <v>0.79999999999927196</v>
      </c>
      <c r="AG16">
        <v>0.39999999999963598</v>
      </c>
      <c r="AI16">
        <v>0.5</v>
      </c>
      <c r="AJ16">
        <v>0</v>
      </c>
      <c r="AK16">
        <v>2.5</v>
      </c>
      <c r="AL16">
        <v>15</v>
      </c>
      <c r="AO16">
        <v>1.5</v>
      </c>
      <c r="AP16">
        <v>0</v>
      </c>
      <c r="AQ16">
        <v>8.3999999999941792</v>
      </c>
      <c r="AR16">
        <v>15.5</v>
      </c>
      <c r="AS16">
        <v>1.1999999999989099</v>
      </c>
      <c r="AU16">
        <v>18.199999999982499</v>
      </c>
      <c r="AW16">
        <v>6.1999999999970896</v>
      </c>
      <c r="AX16">
        <v>4.5</v>
      </c>
      <c r="BA16">
        <v>0.19999999999981799</v>
      </c>
      <c r="BB16">
        <v>1.39999999999964</v>
      </c>
      <c r="BC16">
        <v>7.7</v>
      </c>
      <c r="BD16">
        <v>1</v>
      </c>
      <c r="BG16">
        <v>0</v>
      </c>
      <c r="BH16">
        <v>25</v>
      </c>
      <c r="BI16">
        <v>5.5</v>
      </c>
      <c r="BJ16">
        <v>1</v>
      </c>
      <c r="BK16">
        <v>0.100000000000023</v>
      </c>
      <c r="BL16">
        <v>0.400000000000091</v>
      </c>
      <c r="BM16">
        <v>0.30000000000018201</v>
      </c>
      <c r="BN16">
        <v>2</v>
      </c>
      <c r="BO16">
        <v>0.80000000000018201</v>
      </c>
      <c r="BP16">
        <v>9.6999999999970896</v>
      </c>
      <c r="BQ16">
        <v>0.100000000000023</v>
      </c>
      <c r="BR16">
        <v>0.200000000000045</v>
      </c>
      <c r="BS16">
        <v>0.89999999999963598</v>
      </c>
      <c r="BT16">
        <v>0</v>
      </c>
      <c r="BU16">
        <v>7.4000000000014596</v>
      </c>
      <c r="BV16">
        <v>0</v>
      </c>
      <c r="BW16">
        <v>25.099999999998801</v>
      </c>
      <c r="BY16">
        <v>1.5</v>
      </c>
      <c r="BZ16">
        <v>4.5999999999999996</v>
      </c>
      <c r="CB16">
        <v>3.3</v>
      </c>
      <c r="CE16">
        <v>12.1</v>
      </c>
      <c r="CH16">
        <v>0.3</v>
      </c>
      <c r="CI16">
        <v>16.5</v>
      </c>
      <c r="CJ16">
        <v>10.199999999999999</v>
      </c>
      <c r="CK16">
        <v>3.5</v>
      </c>
      <c r="CM16">
        <v>8.8000000000000007</v>
      </c>
      <c r="CO16">
        <v>10</v>
      </c>
      <c r="CP16">
        <v>2.7</v>
      </c>
      <c r="CR16">
        <v>9.1999999999999993</v>
      </c>
      <c r="CS16">
        <v>18.5</v>
      </c>
      <c r="CT16">
        <v>0.1</v>
      </c>
      <c r="CV16">
        <v>6.4</v>
      </c>
      <c r="CX16">
        <v>0.4</v>
      </c>
      <c r="CZ16">
        <v>0.2</v>
      </c>
      <c r="DB16">
        <v>0.4</v>
      </c>
      <c r="DD16" s="5"/>
      <c r="DJ16" s="1">
        <v>40923</v>
      </c>
      <c r="DK16" s="2">
        <f t="shared" si="1"/>
        <v>5.176056338027557</v>
      </c>
      <c r="DL16" s="2">
        <f t="shared" si="2"/>
        <v>3.6029411764701624</v>
      </c>
      <c r="DM16" s="2">
        <f t="shared" si="3"/>
        <v>25.099999999998801</v>
      </c>
      <c r="DN16" s="3">
        <f t="shared" si="4"/>
        <v>0.69607843137254899</v>
      </c>
      <c r="DR16">
        <f>COUNTIF(C2:DB367,"&gt;100")</f>
        <v>11</v>
      </c>
      <c r="DV16" s="2">
        <v>65</v>
      </c>
      <c r="DW16">
        <v>4</v>
      </c>
      <c r="DX16">
        <f t="shared" si="5"/>
        <v>14747</v>
      </c>
      <c r="DY16" s="3">
        <f t="shared" si="0"/>
        <v>0.99682303636609437</v>
      </c>
    </row>
    <row r="17" spans="1:129">
      <c r="A17" s="1">
        <v>40924</v>
      </c>
      <c r="B17" s="1"/>
      <c r="C17" s="1"/>
      <c r="F17">
        <v>9.9</v>
      </c>
      <c r="H17">
        <v>1.5</v>
      </c>
      <c r="K17">
        <v>7.4</v>
      </c>
      <c r="N17">
        <v>11.9</v>
      </c>
      <c r="O17">
        <v>1.9</v>
      </c>
      <c r="R17">
        <v>7.8</v>
      </c>
      <c r="U17">
        <v>32.700000000000003</v>
      </c>
      <c r="V17">
        <v>2.1</v>
      </c>
      <c r="W17">
        <v>2.2000000000000002</v>
      </c>
      <c r="X17">
        <v>0</v>
      </c>
      <c r="AA17">
        <v>14.899999999994201</v>
      </c>
      <c r="AB17">
        <v>0.29999999999972699</v>
      </c>
      <c r="AC17">
        <v>3.5</v>
      </c>
      <c r="AD17">
        <v>1.79999999999927</v>
      </c>
      <c r="AE17">
        <v>0</v>
      </c>
      <c r="AF17">
        <v>9</v>
      </c>
      <c r="AI17">
        <v>11</v>
      </c>
      <c r="AJ17">
        <v>22.8</v>
      </c>
      <c r="AL17">
        <v>9.5</v>
      </c>
      <c r="AM17">
        <v>0.39999999999963598</v>
      </c>
      <c r="AO17">
        <v>1.39999999999964</v>
      </c>
      <c r="AQ17">
        <v>7.0999999999985501</v>
      </c>
      <c r="AS17">
        <v>3</v>
      </c>
      <c r="AT17">
        <v>0.89999999999963598</v>
      </c>
      <c r="AW17">
        <v>0.19999999999981799</v>
      </c>
      <c r="AX17">
        <v>1.3</v>
      </c>
      <c r="AY17">
        <v>7.5</v>
      </c>
      <c r="AZ17">
        <v>13.599999999991301</v>
      </c>
      <c r="BA17">
        <v>6.79999999999563</v>
      </c>
      <c r="BB17">
        <v>5.5999999999985501</v>
      </c>
      <c r="BC17">
        <v>10.3</v>
      </c>
      <c r="BD17">
        <v>12</v>
      </c>
      <c r="BF17">
        <v>1.79999999999927</v>
      </c>
      <c r="BG17">
        <v>15</v>
      </c>
      <c r="BI17">
        <v>0.200000000000045</v>
      </c>
      <c r="BK17">
        <v>0.100000000000023</v>
      </c>
      <c r="BL17">
        <v>9.8999999999941792</v>
      </c>
      <c r="BM17">
        <v>1.5</v>
      </c>
      <c r="BN17">
        <v>3.5</v>
      </c>
      <c r="BP17">
        <v>12.5</v>
      </c>
      <c r="BQ17">
        <v>0.400000000000091</v>
      </c>
      <c r="BR17">
        <v>0.100000000000023</v>
      </c>
      <c r="BS17">
        <v>4.1999999999970896</v>
      </c>
      <c r="BT17">
        <v>9</v>
      </c>
      <c r="BU17">
        <v>2.9000000000014601</v>
      </c>
      <c r="BV17">
        <v>0</v>
      </c>
      <c r="BW17">
        <v>6.5999999999989996</v>
      </c>
      <c r="BX17">
        <v>22.4</v>
      </c>
      <c r="BZ17">
        <v>7</v>
      </c>
      <c r="CB17">
        <v>1.6</v>
      </c>
      <c r="CE17">
        <v>1.6</v>
      </c>
      <c r="CF17">
        <v>0.8</v>
      </c>
      <c r="CI17">
        <v>3</v>
      </c>
      <c r="CJ17">
        <v>31.4</v>
      </c>
      <c r="CN17">
        <v>10</v>
      </c>
      <c r="CO17">
        <v>4</v>
      </c>
      <c r="CR17">
        <v>1</v>
      </c>
      <c r="CS17">
        <v>28.4</v>
      </c>
      <c r="CW17">
        <v>7.8</v>
      </c>
      <c r="CX17">
        <v>2.6</v>
      </c>
      <c r="CY17">
        <v>7.6</v>
      </c>
      <c r="CZ17">
        <v>9.5</v>
      </c>
      <c r="DA17">
        <v>4.7</v>
      </c>
      <c r="DB17">
        <v>2.5</v>
      </c>
      <c r="DD17" s="5">
        <v>0.9</v>
      </c>
      <c r="DJ17" s="1">
        <v>40924</v>
      </c>
      <c r="DK17" s="2">
        <f t="shared" si="1"/>
        <v>6.6892307692302637</v>
      </c>
      <c r="DL17" s="2">
        <f t="shared" si="2"/>
        <v>4.2627450980388941</v>
      </c>
      <c r="DM17" s="2">
        <f t="shared" si="3"/>
        <v>32.700000000000003</v>
      </c>
      <c r="DN17" s="3">
        <f t="shared" si="4"/>
        <v>0.63725490196078427</v>
      </c>
      <c r="DV17" s="2">
        <v>70</v>
      </c>
      <c r="DW17">
        <v>10</v>
      </c>
      <c r="DX17">
        <f t="shared" si="5"/>
        <v>14757</v>
      </c>
      <c r="DY17" s="3">
        <f t="shared" si="0"/>
        <v>0.99749898607543597</v>
      </c>
    </row>
    <row r="18" spans="1:129">
      <c r="A18" s="1">
        <v>40925</v>
      </c>
      <c r="B18" s="1"/>
      <c r="C18" s="1"/>
      <c r="E18">
        <v>4.5999999999999996</v>
      </c>
      <c r="F18">
        <v>2.7</v>
      </c>
      <c r="N18">
        <v>38.6</v>
      </c>
      <c r="O18">
        <v>16.5</v>
      </c>
      <c r="Q18">
        <v>0.2</v>
      </c>
      <c r="R18">
        <v>24.9</v>
      </c>
      <c r="S18">
        <v>1.7</v>
      </c>
      <c r="U18">
        <v>7.6</v>
      </c>
      <c r="V18">
        <v>2.1</v>
      </c>
      <c r="X18">
        <v>0.4</v>
      </c>
      <c r="Z18">
        <v>12</v>
      </c>
      <c r="AA18">
        <v>0.79999999999927196</v>
      </c>
      <c r="AC18">
        <v>1.39999999999964</v>
      </c>
      <c r="AD18">
        <v>1.79999999999927</v>
      </c>
      <c r="AF18">
        <v>0.19999999999981799</v>
      </c>
      <c r="AG18">
        <v>6.3999999999941801</v>
      </c>
      <c r="AH18">
        <v>0.19999999999981799</v>
      </c>
      <c r="AI18">
        <v>2.5</v>
      </c>
      <c r="AJ18">
        <v>1.7</v>
      </c>
      <c r="AK18">
        <v>4.0999999999985501</v>
      </c>
      <c r="AL18">
        <v>4.5</v>
      </c>
      <c r="AM18">
        <v>1</v>
      </c>
      <c r="AP18">
        <v>0.79999999999927196</v>
      </c>
      <c r="AQ18">
        <v>7.29999999999563</v>
      </c>
      <c r="AR18">
        <v>1.5999999999985499</v>
      </c>
      <c r="AS18">
        <v>0.89999999999963598</v>
      </c>
      <c r="AT18">
        <v>9.0999999999912706</v>
      </c>
      <c r="AW18">
        <v>0.29999999999972699</v>
      </c>
      <c r="AY18">
        <v>14</v>
      </c>
      <c r="AZ18">
        <v>0.29999999999972699</v>
      </c>
      <c r="BA18">
        <v>7.5</v>
      </c>
      <c r="BB18">
        <v>0</v>
      </c>
      <c r="BD18">
        <v>1</v>
      </c>
      <c r="BF18">
        <v>2.0999999999985399</v>
      </c>
      <c r="BG18">
        <v>16</v>
      </c>
      <c r="BJ18">
        <v>6.3000000000029104</v>
      </c>
      <c r="BK18">
        <v>0.100000000000023</v>
      </c>
      <c r="BL18">
        <v>0.5</v>
      </c>
      <c r="BM18">
        <v>2.2000000000007298</v>
      </c>
      <c r="BO18">
        <v>0.200000000000045</v>
      </c>
      <c r="BP18">
        <v>1</v>
      </c>
      <c r="BQ18">
        <v>10</v>
      </c>
      <c r="BT18">
        <v>7.6999999999970896</v>
      </c>
      <c r="BU18">
        <v>0.60000000000036402</v>
      </c>
      <c r="BW18">
        <v>0.70000000000004603</v>
      </c>
      <c r="BY18">
        <v>8.1999999999999993</v>
      </c>
      <c r="BZ18">
        <v>15.8</v>
      </c>
      <c r="CA18">
        <v>0.1</v>
      </c>
      <c r="CE18">
        <v>3.6</v>
      </c>
      <c r="CH18">
        <v>0.2</v>
      </c>
      <c r="CI18">
        <v>8.6</v>
      </c>
      <c r="CJ18">
        <v>1</v>
      </c>
      <c r="CN18">
        <v>3</v>
      </c>
      <c r="CS18">
        <v>16.100000000000001</v>
      </c>
      <c r="CW18">
        <v>0.5</v>
      </c>
      <c r="CX18">
        <v>2.6</v>
      </c>
      <c r="CY18">
        <v>1.1000000000000001</v>
      </c>
      <c r="CZ18">
        <v>0.1</v>
      </c>
      <c r="DA18">
        <v>4.0999999999999996</v>
      </c>
      <c r="DB18">
        <v>0.2</v>
      </c>
      <c r="DD18" s="5">
        <v>43.3</v>
      </c>
      <c r="DJ18" s="1">
        <v>40925</v>
      </c>
      <c r="DK18" s="2">
        <f t="shared" si="1"/>
        <v>5.4852459016389217</v>
      </c>
      <c r="DL18" s="2">
        <f t="shared" si="2"/>
        <v>3.2803921568624923</v>
      </c>
      <c r="DM18" s="2">
        <f t="shared" si="3"/>
        <v>43.3</v>
      </c>
      <c r="DN18" s="3">
        <f t="shared" si="4"/>
        <v>0.59803921568627449</v>
      </c>
      <c r="DV18" s="2">
        <v>75</v>
      </c>
      <c r="DW18">
        <v>5</v>
      </c>
      <c r="DX18">
        <f t="shared" si="5"/>
        <v>14762</v>
      </c>
      <c r="DY18" s="3">
        <f t="shared" si="0"/>
        <v>0.99783696093010676</v>
      </c>
    </row>
    <row r="19" spans="1:129">
      <c r="A19" s="1">
        <v>40926</v>
      </c>
      <c r="B19" s="1"/>
      <c r="C19" s="1"/>
      <c r="D19">
        <v>5</v>
      </c>
      <c r="F19">
        <v>4.0999999999999996</v>
      </c>
      <c r="H19">
        <v>0.7</v>
      </c>
      <c r="I19">
        <v>3.7</v>
      </c>
      <c r="N19">
        <v>2</v>
      </c>
      <c r="O19">
        <v>25.5</v>
      </c>
      <c r="R19">
        <v>0</v>
      </c>
      <c r="S19">
        <v>0.4</v>
      </c>
      <c r="V19">
        <v>2.5</v>
      </c>
      <c r="W19">
        <v>13.2</v>
      </c>
      <c r="X19">
        <v>0</v>
      </c>
      <c r="Y19">
        <v>1.2</v>
      </c>
      <c r="Z19">
        <v>0.5</v>
      </c>
      <c r="AD19">
        <v>4.3999999999941801</v>
      </c>
      <c r="AG19">
        <v>2.5</v>
      </c>
      <c r="AH19">
        <v>0.69999999999981799</v>
      </c>
      <c r="AI19">
        <v>0.69999999999981799</v>
      </c>
      <c r="AJ19">
        <v>5</v>
      </c>
      <c r="AK19">
        <v>20.199999999982499</v>
      </c>
      <c r="AM19">
        <v>4.3999999999941801</v>
      </c>
      <c r="AO19">
        <v>9.9999999999908995E-2</v>
      </c>
      <c r="AP19">
        <v>2</v>
      </c>
      <c r="AQ19">
        <v>0.19999999999981799</v>
      </c>
      <c r="AR19">
        <v>5.1999999999970896</v>
      </c>
      <c r="AS19">
        <v>4.6999999999970896</v>
      </c>
      <c r="AT19">
        <v>22.199999999982499</v>
      </c>
      <c r="AW19">
        <v>0.29999999999972699</v>
      </c>
      <c r="AX19">
        <v>9.9999999999908995E-2</v>
      </c>
      <c r="AY19">
        <v>2.2999999999992702</v>
      </c>
      <c r="AZ19">
        <v>8.5</v>
      </c>
      <c r="BA19">
        <v>8</v>
      </c>
      <c r="BC19">
        <v>7.2</v>
      </c>
      <c r="BD19">
        <v>2</v>
      </c>
      <c r="BF19">
        <v>9.5</v>
      </c>
      <c r="BG19">
        <v>5</v>
      </c>
      <c r="BH19">
        <v>0.200000000000045</v>
      </c>
      <c r="BI19">
        <v>1.5</v>
      </c>
      <c r="BJ19">
        <v>18.5</v>
      </c>
      <c r="BK19">
        <v>4.5</v>
      </c>
      <c r="BM19">
        <v>0.30000000000018201</v>
      </c>
      <c r="BN19">
        <v>13.6999999999971</v>
      </c>
      <c r="BO19">
        <v>0.200000000000045</v>
      </c>
      <c r="BP19">
        <v>4.6999999999970896</v>
      </c>
      <c r="BQ19">
        <v>1</v>
      </c>
      <c r="BR19">
        <v>0</v>
      </c>
      <c r="BS19">
        <v>8.5</v>
      </c>
      <c r="BT19">
        <v>0.100000000000023</v>
      </c>
      <c r="BU19">
        <v>0.200000000000045</v>
      </c>
      <c r="BW19">
        <v>0.100000000000023</v>
      </c>
      <c r="BY19">
        <v>0.7</v>
      </c>
      <c r="BZ19">
        <v>6</v>
      </c>
      <c r="CA19">
        <v>0</v>
      </c>
      <c r="CE19">
        <v>4</v>
      </c>
      <c r="CH19">
        <v>0.3</v>
      </c>
      <c r="CI19">
        <v>0.2</v>
      </c>
      <c r="CM19">
        <v>13</v>
      </c>
      <c r="CN19">
        <v>5.5</v>
      </c>
      <c r="CO19">
        <v>1.5</v>
      </c>
      <c r="CS19">
        <v>1.8</v>
      </c>
      <c r="CT19">
        <v>6.1</v>
      </c>
      <c r="CX19">
        <v>13.3</v>
      </c>
      <c r="CZ19">
        <v>0.7</v>
      </c>
      <c r="DA19">
        <v>3</v>
      </c>
      <c r="DD19" s="5">
        <v>6.3</v>
      </c>
      <c r="DJ19" s="1">
        <v>40926</v>
      </c>
      <c r="DK19" s="2">
        <f t="shared" si="1"/>
        <v>4.5296874999990688</v>
      </c>
      <c r="DL19" s="2">
        <f t="shared" si="2"/>
        <v>2.8421568627445137</v>
      </c>
      <c r="DM19" s="2">
        <f t="shared" si="3"/>
        <v>25.5</v>
      </c>
      <c r="DN19" s="3">
        <f t="shared" si="4"/>
        <v>0.62745098039215685</v>
      </c>
      <c r="DV19" s="2">
        <v>80</v>
      </c>
      <c r="DW19">
        <v>8</v>
      </c>
      <c r="DX19">
        <f t="shared" si="5"/>
        <v>14770</v>
      </c>
      <c r="DY19" s="3">
        <f t="shared" si="0"/>
        <v>0.99837772069758013</v>
      </c>
    </row>
    <row r="20" spans="1:129">
      <c r="A20" s="1">
        <v>40927</v>
      </c>
      <c r="B20" s="1"/>
      <c r="C20" s="1"/>
      <c r="D20">
        <v>2</v>
      </c>
      <c r="E20">
        <v>17.3</v>
      </c>
      <c r="F20">
        <v>5.6</v>
      </c>
      <c r="M20">
        <v>0.4</v>
      </c>
      <c r="N20">
        <v>4.3</v>
      </c>
      <c r="O20">
        <v>0.4</v>
      </c>
      <c r="Q20">
        <v>0.3</v>
      </c>
      <c r="R20">
        <v>16.5</v>
      </c>
      <c r="T20">
        <v>0.4</v>
      </c>
      <c r="V20">
        <v>2.8</v>
      </c>
      <c r="W20">
        <v>0.3</v>
      </c>
      <c r="Y20">
        <v>0.3</v>
      </c>
      <c r="AB20">
        <v>8.0999999999912706</v>
      </c>
      <c r="AC20">
        <v>0.19999999999981799</v>
      </c>
      <c r="AE20">
        <v>0</v>
      </c>
      <c r="AF20">
        <v>12.099999999991301</v>
      </c>
      <c r="AG20">
        <v>0.89999999999963598</v>
      </c>
      <c r="AH20">
        <v>1</v>
      </c>
      <c r="AI20">
        <v>0</v>
      </c>
      <c r="AM20">
        <v>3.5</v>
      </c>
      <c r="AN20">
        <v>18.5</v>
      </c>
      <c r="AO20">
        <v>0.5</v>
      </c>
      <c r="AQ20">
        <v>33</v>
      </c>
      <c r="AS20">
        <v>3</v>
      </c>
      <c r="AU20">
        <v>23.299999999988401</v>
      </c>
      <c r="AV20">
        <v>1.5</v>
      </c>
      <c r="AW20">
        <v>4.6999999999970896</v>
      </c>
      <c r="AX20">
        <v>1.89999999999964</v>
      </c>
      <c r="AY20">
        <v>1.5</v>
      </c>
      <c r="AZ20">
        <v>8.6999999999970896</v>
      </c>
      <c r="BA20">
        <v>14</v>
      </c>
      <c r="BB20">
        <v>0</v>
      </c>
      <c r="BC20">
        <v>18.799999999988401</v>
      </c>
      <c r="BE20">
        <v>0.60000000000036402</v>
      </c>
      <c r="BF20">
        <v>0.80000000000018201</v>
      </c>
      <c r="BG20">
        <v>0</v>
      </c>
      <c r="BI20">
        <v>12.6999999999971</v>
      </c>
      <c r="BJ20">
        <v>4.6999999999970896</v>
      </c>
      <c r="BK20">
        <v>0.200000000000045</v>
      </c>
      <c r="BM20">
        <v>2.7000000000007298</v>
      </c>
      <c r="BN20">
        <v>24.399999999994201</v>
      </c>
      <c r="BO20">
        <v>0</v>
      </c>
      <c r="BP20">
        <v>0.200000000000045</v>
      </c>
      <c r="BQ20">
        <v>7.8000000000029104</v>
      </c>
      <c r="BR20">
        <v>1</v>
      </c>
      <c r="BS20">
        <v>4.8000000000029104</v>
      </c>
      <c r="BU20">
        <v>4.5</v>
      </c>
      <c r="BW20">
        <v>5.699999999998</v>
      </c>
      <c r="BX20">
        <v>1.5</v>
      </c>
      <c r="BY20">
        <v>12.7</v>
      </c>
      <c r="BZ20">
        <v>0.2</v>
      </c>
      <c r="CA20">
        <v>4</v>
      </c>
      <c r="CD20">
        <v>16</v>
      </c>
      <c r="CE20">
        <v>1.5</v>
      </c>
      <c r="CH20">
        <v>4.5</v>
      </c>
      <c r="CM20">
        <v>3.5</v>
      </c>
      <c r="CN20">
        <v>0.7</v>
      </c>
      <c r="CO20">
        <v>0.5</v>
      </c>
      <c r="CP20">
        <v>2.4</v>
      </c>
      <c r="CQ20">
        <v>0.3</v>
      </c>
      <c r="CT20">
        <v>21.8</v>
      </c>
      <c r="CU20">
        <v>6.5</v>
      </c>
      <c r="CW20">
        <v>0.2</v>
      </c>
      <c r="CX20">
        <v>14.5</v>
      </c>
      <c r="DA20">
        <v>2.2000000000000002</v>
      </c>
      <c r="DD20" s="5">
        <v>1.3</v>
      </c>
      <c r="DJ20" s="1">
        <v>40927</v>
      </c>
      <c r="DK20" s="2">
        <f t="shared" si="1"/>
        <v>5.6090909090900931</v>
      </c>
      <c r="DL20" s="2">
        <f t="shared" si="2"/>
        <v>3.6294117647053543</v>
      </c>
      <c r="DM20" s="2">
        <f t="shared" si="3"/>
        <v>33</v>
      </c>
      <c r="DN20" s="3">
        <f t="shared" si="4"/>
        <v>0.6470588235294118</v>
      </c>
      <c r="DV20" s="2">
        <v>85</v>
      </c>
      <c r="DW20">
        <v>4</v>
      </c>
      <c r="DX20">
        <f t="shared" si="5"/>
        <v>14774</v>
      </c>
      <c r="DY20" s="3">
        <f t="shared" si="0"/>
        <v>0.9986481005813167</v>
      </c>
    </row>
    <row r="21" spans="1:129">
      <c r="A21" s="1">
        <v>40928</v>
      </c>
      <c r="B21" s="1"/>
      <c r="C21" s="1"/>
      <c r="F21">
        <v>5.6</v>
      </c>
      <c r="I21">
        <v>9.8000000000000007</v>
      </c>
      <c r="K21">
        <v>2.2999999999999998</v>
      </c>
      <c r="M21">
        <v>0.3</v>
      </c>
      <c r="N21">
        <v>2.9</v>
      </c>
      <c r="O21">
        <v>1.4</v>
      </c>
      <c r="Q21">
        <v>3.3</v>
      </c>
      <c r="T21">
        <v>0.7</v>
      </c>
      <c r="U21">
        <v>3</v>
      </c>
      <c r="V21">
        <v>7.2</v>
      </c>
      <c r="X21">
        <v>1</v>
      </c>
      <c r="Y21">
        <v>3.9</v>
      </c>
      <c r="AC21">
        <v>10.099999999991301</v>
      </c>
      <c r="AH21">
        <v>6.3999999999941801</v>
      </c>
      <c r="AI21">
        <v>0</v>
      </c>
      <c r="AJ21">
        <v>10.299999999988399</v>
      </c>
      <c r="AK21">
        <v>5</v>
      </c>
      <c r="AM21">
        <v>0.79999999999927196</v>
      </c>
      <c r="AP21">
        <v>15.1999999999971</v>
      </c>
      <c r="AQ21">
        <v>18.099999999976699</v>
      </c>
      <c r="AR21">
        <v>7.3999999999941801</v>
      </c>
      <c r="AS21">
        <v>11</v>
      </c>
      <c r="AT21">
        <v>3.1</v>
      </c>
      <c r="AU21">
        <v>12.399999999994201</v>
      </c>
      <c r="AV21">
        <v>12.799999999988399</v>
      </c>
      <c r="AW21">
        <v>4.5</v>
      </c>
      <c r="BA21">
        <v>0</v>
      </c>
      <c r="BC21">
        <v>19.599999999976699</v>
      </c>
      <c r="BD21">
        <v>10</v>
      </c>
      <c r="BE21">
        <v>0.80000000000018201</v>
      </c>
      <c r="BF21">
        <v>14.6999999999971</v>
      </c>
      <c r="BH21">
        <v>0.100000000000023</v>
      </c>
      <c r="BI21">
        <v>0</v>
      </c>
      <c r="BJ21">
        <v>20.5</v>
      </c>
      <c r="BK21">
        <v>0.100000000000023</v>
      </c>
      <c r="BM21">
        <v>1.5</v>
      </c>
      <c r="BN21">
        <v>2.5</v>
      </c>
      <c r="BO21">
        <v>0.5</v>
      </c>
      <c r="BQ21">
        <v>0.30000000000018201</v>
      </c>
      <c r="BR21">
        <v>1.60000000000036</v>
      </c>
      <c r="BS21">
        <v>1.5</v>
      </c>
      <c r="BT21">
        <v>0.100000000000023</v>
      </c>
      <c r="BU21">
        <v>0.89999999999963598</v>
      </c>
      <c r="BV21">
        <v>0</v>
      </c>
      <c r="BW21">
        <v>32.3999999999944</v>
      </c>
      <c r="BX21">
        <v>9.1</v>
      </c>
      <c r="BY21">
        <v>4</v>
      </c>
      <c r="CA21">
        <v>5.7</v>
      </c>
      <c r="CC21">
        <v>0.4</v>
      </c>
      <c r="CD21">
        <v>3.8</v>
      </c>
      <c r="CE21">
        <v>0.3</v>
      </c>
      <c r="CH21">
        <v>0.8</v>
      </c>
      <c r="CI21">
        <v>0.8</v>
      </c>
      <c r="CJ21">
        <v>0.4</v>
      </c>
      <c r="CL21">
        <v>0</v>
      </c>
      <c r="CM21">
        <v>4</v>
      </c>
      <c r="CN21">
        <v>0.7</v>
      </c>
      <c r="CO21">
        <v>1.5</v>
      </c>
      <c r="CP21">
        <v>0.4</v>
      </c>
      <c r="CQ21">
        <v>2.9</v>
      </c>
      <c r="CR21">
        <v>1.2</v>
      </c>
      <c r="CS21">
        <v>0.1</v>
      </c>
      <c r="CT21">
        <v>2.9</v>
      </c>
      <c r="CU21">
        <v>0.1</v>
      </c>
      <c r="CX21">
        <v>0.1</v>
      </c>
      <c r="CZ21">
        <v>2</v>
      </c>
      <c r="DD21" s="5"/>
      <c r="DJ21" s="1">
        <v>40928</v>
      </c>
      <c r="DK21" s="2">
        <f t="shared" si="1"/>
        <v>4.6484848484832177</v>
      </c>
      <c r="DL21" s="2">
        <f t="shared" si="2"/>
        <v>3.0078431372538468</v>
      </c>
      <c r="DM21" s="2">
        <f t="shared" si="3"/>
        <v>32.3999999999944</v>
      </c>
      <c r="DN21" s="3">
        <f t="shared" si="4"/>
        <v>0.6470588235294118</v>
      </c>
      <c r="DV21" s="2">
        <v>90</v>
      </c>
      <c r="DW21">
        <v>4</v>
      </c>
      <c r="DX21">
        <f t="shared" si="5"/>
        <v>14778</v>
      </c>
      <c r="DY21" s="3">
        <f t="shared" si="0"/>
        <v>0.99891848046505338</v>
      </c>
    </row>
    <row r="22" spans="1:129">
      <c r="A22" s="1">
        <v>40929</v>
      </c>
      <c r="B22" s="1"/>
      <c r="C22" s="1"/>
      <c r="E22">
        <v>8.6</v>
      </c>
      <c r="F22">
        <v>2.2999999999999998</v>
      </c>
      <c r="I22">
        <v>6.3</v>
      </c>
      <c r="K22">
        <v>0.8</v>
      </c>
      <c r="L22">
        <v>0.4</v>
      </c>
      <c r="N22">
        <v>1.3</v>
      </c>
      <c r="R22">
        <v>10.8</v>
      </c>
      <c r="T22">
        <v>1.5</v>
      </c>
      <c r="V22">
        <v>8.8000000000000007</v>
      </c>
      <c r="X22">
        <v>4.7</v>
      </c>
      <c r="Y22">
        <v>6.5</v>
      </c>
      <c r="Z22">
        <v>3.6999999999970901</v>
      </c>
      <c r="AC22">
        <v>0.79999999999927196</v>
      </c>
      <c r="AF22">
        <v>0.79999999999927196</v>
      </c>
      <c r="AH22">
        <v>0.5</v>
      </c>
      <c r="AJ22">
        <v>0.19999999999981799</v>
      </c>
      <c r="AK22">
        <v>7.6999999999970896</v>
      </c>
      <c r="AL22">
        <v>7.7</v>
      </c>
      <c r="AM22">
        <v>1.6</v>
      </c>
      <c r="AP22">
        <v>0.79999999999927196</v>
      </c>
      <c r="AQ22">
        <v>6.0999999999985501</v>
      </c>
      <c r="AR22">
        <v>1.0999999999985499</v>
      </c>
      <c r="AS22">
        <v>42.5</v>
      </c>
      <c r="AT22">
        <v>5.3999999999941801</v>
      </c>
      <c r="AU22">
        <v>7.5</v>
      </c>
      <c r="AV22">
        <v>1.89999999999964</v>
      </c>
      <c r="BA22">
        <v>7.3</v>
      </c>
      <c r="BC22">
        <v>13.5</v>
      </c>
      <c r="BE22">
        <v>0.30000000000018201</v>
      </c>
      <c r="BF22">
        <v>32.299999999988401</v>
      </c>
      <c r="BI22">
        <v>12</v>
      </c>
      <c r="BJ22">
        <v>6.4000000000014596</v>
      </c>
      <c r="BK22">
        <v>0</v>
      </c>
      <c r="BL22">
        <v>3.5</v>
      </c>
      <c r="BM22">
        <v>0.100000000000023</v>
      </c>
      <c r="BN22">
        <v>0.30000000000018201</v>
      </c>
      <c r="BO22">
        <v>5.1999999999970896</v>
      </c>
      <c r="BQ22">
        <v>1</v>
      </c>
      <c r="BR22">
        <v>2</v>
      </c>
      <c r="BS22">
        <v>0.5</v>
      </c>
      <c r="BT22">
        <v>2.0999999999985399</v>
      </c>
      <c r="BU22">
        <v>8.3999999999941792</v>
      </c>
      <c r="BV22">
        <v>2.4000000000014601</v>
      </c>
      <c r="BW22">
        <v>28.099999999999</v>
      </c>
      <c r="BY22">
        <v>0.3</v>
      </c>
      <c r="CA22">
        <v>4</v>
      </c>
      <c r="CD22">
        <v>1.4</v>
      </c>
      <c r="CE22">
        <v>0.3</v>
      </c>
      <c r="CF22">
        <v>1.8</v>
      </c>
      <c r="CH22">
        <v>7</v>
      </c>
      <c r="CI22">
        <v>0.5</v>
      </c>
      <c r="CK22">
        <v>2</v>
      </c>
      <c r="CL22">
        <v>4.2</v>
      </c>
      <c r="CN22">
        <v>0.9</v>
      </c>
      <c r="CO22">
        <v>0.5</v>
      </c>
      <c r="CQ22">
        <v>0.2</v>
      </c>
      <c r="CR22">
        <v>50.5</v>
      </c>
      <c r="CS22">
        <v>9.4</v>
      </c>
      <c r="CY22">
        <v>0.1</v>
      </c>
      <c r="CZ22">
        <v>5.0999999999999996</v>
      </c>
      <c r="DA22">
        <v>1.6</v>
      </c>
      <c r="DB22">
        <v>6.2</v>
      </c>
      <c r="DD22" s="5"/>
      <c r="DJ22" s="1">
        <v>40929</v>
      </c>
      <c r="DK22" s="2">
        <f t="shared" si="1"/>
        <v>5.8338709677413432</v>
      </c>
      <c r="DL22" s="2">
        <f t="shared" si="2"/>
        <v>3.5460784313721887</v>
      </c>
      <c r="DM22" s="2">
        <f t="shared" si="3"/>
        <v>50.5</v>
      </c>
      <c r="DN22" s="3">
        <f t="shared" si="4"/>
        <v>0.60784313725490191</v>
      </c>
      <c r="DV22" s="2">
        <v>95</v>
      </c>
      <c r="DW22">
        <v>4</v>
      </c>
      <c r="DX22">
        <f t="shared" si="5"/>
        <v>14782</v>
      </c>
      <c r="DY22" s="3">
        <f t="shared" si="0"/>
        <v>0.99918886034879006</v>
      </c>
    </row>
    <row r="23" spans="1:129">
      <c r="A23" s="1">
        <v>40930</v>
      </c>
      <c r="B23" s="1"/>
      <c r="C23" s="1"/>
      <c r="E23">
        <v>39.5</v>
      </c>
      <c r="F23">
        <v>0.7</v>
      </c>
      <c r="G23">
        <v>3.3</v>
      </c>
      <c r="H23">
        <v>7.5</v>
      </c>
      <c r="I23">
        <v>1.8</v>
      </c>
      <c r="K23">
        <v>0.9</v>
      </c>
      <c r="L23">
        <v>3.5</v>
      </c>
      <c r="N23">
        <v>10</v>
      </c>
      <c r="P23">
        <v>15.3</v>
      </c>
      <c r="S23">
        <v>9</v>
      </c>
      <c r="V23">
        <v>0.8</v>
      </c>
      <c r="W23">
        <v>2.2000000000000002</v>
      </c>
      <c r="X23">
        <v>2.1</v>
      </c>
      <c r="Y23">
        <v>13.5</v>
      </c>
      <c r="Z23">
        <v>2.5</v>
      </c>
      <c r="AA23">
        <v>8</v>
      </c>
      <c r="AC23">
        <v>0</v>
      </c>
      <c r="AE23">
        <v>0</v>
      </c>
      <c r="AF23">
        <v>4</v>
      </c>
      <c r="AH23">
        <v>0</v>
      </c>
      <c r="AK23">
        <v>10.5</v>
      </c>
      <c r="AL23">
        <v>0.59999999999945397</v>
      </c>
      <c r="AM23">
        <v>1</v>
      </c>
      <c r="AN23">
        <v>13.6</v>
      </c>
      <c r="AO23">
        <v>0.19999999999981799</v>
      </c>
      <c r="AP23">
        <v>0</v>
      </c>
      <c r="AQ23">
        <v>6.0999999999985501</v>
      </c>
      <c r="AS23">
        <v>1.5</v>
      </c>
      <c r="AT23">
        <v>0.89999999999963598</v>
      </c>
      <c r="AU23">
        <v>4.5</v>
      </c>
      <c r="AV23">
        <v>0.79999999999927196</v>
      </c>
      <c r="AX23">
        <v>0.29999999999972699</v>
      </c>
      <c r="AZ23">
        <v>5</v>
      </c>
      <c r="BA23">
        <v>0.39999999999963598</v>
      </c>
      <c r="BD23" t="s">
        <v>0</v>
      </c>
      <c r="BE23">
        <v>1.5</v>
      </c>
      <c r="BF23">
        <v>11.5</v>
      </c>
      <c r="BI23">
        <v>27.299999999988401</v>
      </c>
      <c r="BJ23">
        <v>5.4000000000014596</v>
      </c>
      <c r="BL23">
        <v>0.100000000000023</v>
      </c>
      <c r="BM23">
        <v>0.200000000000045</v>
      </c>
      <c r="BN23">
        <v>0.200000000000045</v>
      </c>
      <c r="BO23">
        <v>2.2999999999992702</v>
      </c>
      <c r="BP23">
        <v>1.20000000000073</v>
      </c>
      <c r="BQ23">
        <v>2.5</v>
      </c>
      <c r="BR23">
        <v>4.5999999999985501</v>
      </c>
      <c r="BS23">
        <v>0.400000000000091</v>
      </c>
      <c r="BT23">
        <v>0.60000000000036402</v>
      </c>
      <c r="BU23">
        <v>0.80000000000018201</v>
      </c>
      <c r="BV23">
        <v>0</v>
      </c>
      <c r="CA23">
        <v>0.6</v>
      </c>
      <c r="CD23">
        <v>3.1</v>
      </c>
      <c r="CE23">
        <v>0.2</v>
      </c>
      <c r="CJ23">
        <v>6.6</v>
      </c>
      <c r="CL23">
        <v>8.3000000000000007</v>
      </c>
      <c r="CR23">
        <v>40.1</v>
      </c>
      <c r="CS23">
        <v>1.2</v>
      </c>
      <c r="CT23">
        <v>5.3</v>
      </c>
      <c r="CX23">
        <v>48.5</v>
      </c>
      <c r="CY23">
        <v>1.3</v>
      </c>
      <c r="DA23">
        <v>3</v>
      </c>
      <c r="DB23">
        <v>0.2</v>
      </c>
      <c r="DD23" s="5">
        <v>1.7</v>
      </c>
      <c r="DJ23" s="1">
        <v>40930</v>
      </c>
      <c r="DK23" s="2">
        <f t="shared" si="1"/>
        <v>5.6241935483868577</v>
      </c>
      <c r="DL23" s="2">
        <f t="shared" si="2"/>
        <v>3.4186274509802468</v>
      </c>
      <c r="DM23" s="2">
        <f t="shared" si="3"/>
        <v>48.5</v>
      </c>
      <c r="DN23" s="3">
        <f t="shared" si="4"/>
        <v>0.61764705882352944</v>
      </c>
      <c r="DV23" s="2">
        <v>100</v>
      </c>
      <c r="DW23">
        <v>1</v>
      </c>
      <c r="DX23">
        <f t="shared" si="5"/>
        <v>14783</v>
      </c>
      <c r="DY23" s="3">
        <f t="shared" si="0"/>
        <v>0.99925645531972418</v>
      </c>
    </row>
    <row r="24" spans="1:129">
      <c r="A24" s="1">
        <v>40931</v>
      </c>
      <c r="B24" s="1"/>
      <c r="C24" s="1"/>
      <c r="E24">
        <v>22.5</v>
      </c>
      <c r="F24">
        <v>1.1000000000000001</v>
      </c>
      <c r="G24">
        <v>4.5</v>
      </c>
      <c r="H24">
        <v>1.2</v>
      </c>
      <c r="I24">
        <v>2.9</v>
      </c>
      <c r="K24">
        <v>0.1</v>
      </c>
      <c r="L24">
        <v>12.4</v>
      </c>
      <c r="N24">
        <v>15.6</v>
      </c>
      <c r="P24">
        <v>3</v>
      </c>
      <c r="Q24">
        <v>0.3</v>
      </c>
      <c r="R24">
        <v>6.6</v>
      </c>
      <c r="S24">
        <v>4.5</v>
      </c>
      <c r="T24">
        <v>1.2</v>
      </c>
      <c r="X24">
        <v>4.4000000000000004</v>
      </c>
      <c r="Y24">
        <v>12</v>
      </c>
      <c r="AA24">
        <v>0.29999999999972699</v>
      </c>
      <c r="AB24">
        <v>10.899999999994201</v>
      </c>
      <c r="AC24">
        <v>0</v>
      </c>
      <c r="AD24">
        <v>5.1999999999970896</v>
      </c>
      <c r="AE24">
        <v>0.69999999999981799</v>
      </c>
      <c r="AG24">
        <v>0.39999999999963598</v>
      </c>
      <c r="AH24">
        <v>24</v>
      </c>
      <c r="AK24">
        <v>0.59999999999945397</v>
      </c>
      <c r="AN24">
        <v>1.5999999999985499</v>
      </c>
      <c r="AO24">
        <v>0.39999999999963598</v>
      </c>
      <c r="AP24">
        <v>26</v>
      </c>
      <c r="AQ24">
        <v>2.0999999999985399</v>
      </c>
      <c r="AR24">
        <v>2.1</v>
      </c>
      <c r="AT24">
        <v>5</v>
      </c>
      <c r="AU24">
        <v>5.1999999999970896</v>
      </c>
      <c r="AV24">
        <v>0.19999999999981799</v>
      </c>
      <c r="AX24">
        <v>10</v>
      </c>
      <c r="BC24">
        <v>19.899999999994201</v>
      </c>
      <c r="BD24">
        <v>0.80000000000018201</v>
      </c>
      <c r="BF24">
        <v>5.0999999999985501</v>
      </c>
      <c r="BH24">
        <v>1.70000000000073</v>
      </c>
      <c r="BI24">
        <v>0</v>
      </c>
      <c r="BJ24">
        <v>0.200000000000045</v>
      </c>
      <c r="BL24">
        <v>0.100000000000023</v>
      </c>
      <c r="BM24">
        <v>0.5</v>
      </c>
      <c r="BN24">
        <v>0</v>
      </c>
      <c r="BO24">
        <v>0.100000000000023</v>
      </c>
      <c r="BQ24">
        <v>0.5</v>
      </c>
      <c r="BR24">
        <v>0.80000000000018201</v>
      </c>
      <c r="BU24">
        <v>9.6999999999970896</v>
      </c>
      <c r="BW24">
        <v>0.89999999999963598</v>
      </c>
      <c r="BZ24">
        <v>0.2</v>
      </c>
      <c r="CA24">
        <v>0.3</v>
      </c>
      <c r="CB24">
        <v>2.4</v>
      </c>
      <c r="CE24">
        <v>3.9</v>
      </c>
      <c r="CJ24">
        <v>1.5</v>
      </c>
      <c r="CL24">
        <v>3.7</v>
      </c>
      <c r="CM24">
        <v>0.5</v>
      </c>
      <c r="CQ24">
        <v>5.7</v>
      </c>
      <c r="CR24">
        <v>5.8</v>
      </c>
      <c r="CS24">
        <v>1.1000000000000001</v>
      </c>
      <c r="CT24">
        <v>1.4</v>
      </c>
      <c r="CV24">
        <v>8.4</v>
      </c>
      <c r="CW24">
        <v>3.5</v>
      </c>
      <c r="CX24">
        <v>7.6</v>
      </c>
      <c r="CY24">
        <v>12.2</v>
      </c>
      <c r="DA24">
        <v>0.3</v>
      </c>
      <c r="DB24">
        <v>0.1</v>
      </c>
      <c r="DD24" s="5">
        <v>1.7</v>
      </c>
      <c r="DJ24" s="1">
        <v>40931</v>
      </c>
      <c r="DK24" s="2">
        <f t="shared" si="1"/>
        <v>4.493749999999598</v>
      </c>
      <c r="DL24" s="2">
        <f t="shared" si="2"/>
        <v>2.8196078431370029</v>
      </c>
      <c r="DM24" s="2">
        <f t="shared" si="3"/>
        <v>26</v>
      </c>
      <c r="DN24" s="3">
        <f t="shared" si="4"/>
        <v>0.62745098039215685</v>
      </c>
      <c r="DV24" s="2">
        <v>105</v>
      </c>
      <c r="DW24">
        <v>3</v>
      </c>
      <c r="DX24">
        <f t="shared" si="5"/>
        <v>14786</v>
      </c>
      <c r="DY24" s="3">
        <f t="shared" si="0"/>
        <v>0.99945924023252675</v>
      </c>
    </row>
    <row r="25" spans="1:129">
      <c r="A25" s="1">
        <v>40932</v>
      </c>
      <c r="B25" s="1"/>
      <c r="C25" s="1"/>
      <c r="E25">
        <v>2.2999999999999998</v>
      </c>
      <c r="F25">
        <v>0.6</v>
      </c>
      <c r="H25">
        <v>0.5</v>
      </c>
      <c r="K25">
        <v>0.7</v>
      </c>
      <c r="L25">
        <v>2.6</v>
      </c>
      <c r="N25">
        <v>2.5</v>
      </c>
      <c r="R25">
        <v>1.5</v>
      </c>
      <c r="S25">
        <v>2.2000000000000002</v>
      </c>
      <c r="T25">
        <v>0.2</v>
      </c>
      <c r="V25">
        <v>0.3</v>
      </c>
      <c r="X25">
        <v>3.6</v>
      </c>
      <c r="Y25">
        <v>4</v>
      </c>
      <c r="Z25">
        <v>3.5</v>
      </c>
      <c r="AC25">
        <v>0</v>
      </c>
      <c r="AD25">
        <v>0.5</v>
      </c>
      <c r="AE25">
        <v>0</v>
      </c>
      <c r="AG25">
        <v>1.39999999999964</v>
      </c>
      <c r="AH25">
        <v>0</v>
      </c>
      <c r="AK25">
        <v>0.19999999999981799</v>
      </c>
      <c r="AO25">
        <v>0.19999999999981799</v>
      </c>
      <c r="AP25">
        <v>2</v>
      </c>
      <c r="AT25">
        <v>5.6</v>
      </c>
      <c r="AU25">
        <v>0.5</v>
      </c>
      <c r="AW25">
        <v>0.19999999999981799</v>
      </c>
      <c r="AX25">
        <v>6.6999999999970896</v>
      </c>
      <c r="BA25">
        <v>1.5</v>
      </c>
      <c r="BC25">
        <v>1</v>
      </c>
      <c r="BD25">
        <v>0.80000000000018201</v>
      </c>
      <c r="BE25">
        <v>3</v>
      </c>
      <c r="BF25">
        <v>1.20000000000073</v>
      </c>
      <c r="BG25">
        <v>2.0999999999985399</v>
      </c>
      <c r="BI25" t="s">
        <v>0</v>
      </c>
      <c r="BJ25">
        <v>3.0999999999985399</v>
      </c>
      <c r="BK25">
        <v>0</v>
      </c>
      <c r="BL25">
        <v>1.60000000000036</v>
      </c>
      <c r="BM25">
        <v>0.100000000000023</v>
      </c>
      <c r="BN25" t="s">
        <v>0</v>
      </c>
      <c r="BQ25">
        <v>2</v>
      </c>
      <c r="BR25">
        <v>0.60000000000036402</v>
      </c>
      <c r="BT25">
        <v>0.100000000000023</v>
      </c>
      <c r="BU25">
        <v>8.1999999999970896</v>
      </c>
      <c r="BV25">
        <v>0.89999999999963598</v>
      </c>
      <c r="BW25">
        <v>0.200000000000045</v>
      </c>
      <c r="BX25">
        <v>0.4</v>
      </c>
      <c r="BZ25">
        <v>0.4</v>
      </c>
      <c r="CA25">
        <v>6</v>
      </c>
      <c r="CB25">
        <v>2</v>
      </c>
      <c r="CE25">
        <v>1.5</v>
      </c>
      <c r="CF25">
        <v>1.7</v>
      </c>
      <c r="CI25">
        <v>5.7</v>
      </c>
      <c r="CL25">
        <v>0</v>
      </c>
      <c r="CN25">
        <v>30.2</v>
      </c>
      <c r="CQ25">
        <v>0.3</v>
      </c>
      <c r="CT25">
        <v>3.2</v>
      </c>
      <c r="CV25">
        <v>0.8</v>
      </c>
      <c r="CW25">
        <v>0.1</v>
      </c>
      <c r="CX25">
        <v>1</v>
      </c>
      <c r="CY25">
        <v>9.8000000000000007</v>
      </c>
      <c r="CZ25">
        <v>2.6</v>
      </c>
      <c r="DA25">
        <v>6.2</v>
      </c>
      <c r="DB25">
        <v>2</v>
      </c>
      <c r="DC25">
        <v>0.2</v>
      </c>
      <c r="DD25" s="5">
        <v>0.5</v>
      </c>
      <c r="DJ25" s="1">
        <v>40932</v>
      </c>
      <c r="DK25" s="2">
        <f t="shared" si="1"/>
        <v>2.3409836065572409</v>
      </c>
      <c r="DL25" s="2">
        <f t="shared" si="2"/>
        <v>1.3999999999999184</v>
      </c>
      <c r="DM25" s="2">
        <f t="shared" si="3"/>
        <v>30.2</v>
      </c>
      <c r="DN25" s="3">
        <f t="shared" si="4"/>
        <v>0.61764705882352944</v>
      </c>
      <c r="DV25" s="2">
        <v>110</v>
      </c>
      <c r="DW25">
        <v>1</v>
      </c>
      <c r="DX25">
        <f t="shared" si="5"/>
        <v>14787</v>
      </c>
      <c r="DY25" s="3">
        <f t="shared" si="0"/>
        <v>0.99952683520346086</v>
      </c>
    </row>
    <row r="26" spans="1:129">
      <c r="A26" s="1">
        <v>40933</v>
      </c>
      <c r="B26" s="1"/>
      <c r="C26" s="1"/>
      <c r="D26">
        <v>1</v>
      </c>
      <c r="H26">
        <v>1.2</v>
      </c>
      <c r="I26">
        <v>13.2</v>
      </c>
      <c r="J26">
        <v>4.4000000000000004</v>
      </c>
      <c r="K26">
        <v>0.9</v>
      </c>
      <c r="M26">
        <v>3.5</v>
      </c>
      <c r="N26">
        <v>8.3000000000000007</v>
      </c>
      <c r="S26">
        <v>0.7</v>
      </c>
      <c r="W26">
        <v>0</v>
      </c>
      <c r="X26">
        <v>13.6</v>
      </c>
      <c r="Y26">
        <v>5.8</v>
      </c>
      <c r="AA26">
        <v>0.19999999999981799</v>
      </c>
      <c r="AC26">
        <v>25.5</v>
      </c>
      <c r="AD26">
        <v>2.6999999999970901</v>
      </c>
      <c r="AE26">
        <v>1</v>
      </c>
      <c r="AF26">
        <v>2.1999999999970901</v>
      </c>
      <c r="AG26">
        <v>0.1</v>
      </c>
      <c r="AH26">
        <v>0.59999999999945397</v>
      </c>
      <c r="AI26">
        <v>3.3999999999978199</v>
      </c>
      <c r="AK26">
        <v>26</v>
      </c>
      <c r="AL26">
        <v>1.4</v>
      </c>
      <c r="AM26">
        <v>8.6999999999999993</v>
      </c>
      <c r="AO26">
        <v>0</v>
      </c>
      <c r="AP26">
        <v>3.4</v>
      </c>
      <c r="AR26">
        <v>2.0999999999985399</v>
      </c>
      <c r="AT26">
        <v>2.2000000000000002</v>
      </c>
      <c r="AV26">
        <v>22</v>
      </c>
      <c r="AW26">
        <v>2.5999999999985399</v>
      </c>
      <c r="AX26">
        <v>14.5</v>
      </c>
      <c r="AY26">
        <v>30</v>
      </c>
      <c r="BA26">
        <v>5</v>
      </c>
      <c r="BC26">
        <v>1</v>
      </c>
      <c r="BE26">
        <v>17.799999999988401</v>
      </c>
      <c r="BF26">
        <v>4.8</v>
      </c>
      <c r="BH26">
        <v>8</v>
      </c>
      <c r="BI26">
        <v>3.4000000000014601</v>
      </c>
      <c r="BJ26">
        <v>0.400000000000091</v>
      </c>
      <c r="BL26">
        <v>1.29999999999927</v>
      </c>
      <c r="BM26">
        <v>1.79999999999927</v>
      </c>
      <c r="BN26">
        <v>5</v>
      </c>
      <c r="BP26">
        <v>0.100000000000023</v>
      </c>
      <c r="BQ26">
        <v>0.30000000000018201</v>
      </c>
      <c r="BR26">
        <v>2.7999999999992702</v>
      </c>
      <c r="BS26">
        <v>0.100000000000023</v>
      </c>
      <c r="BT26">
        <v>11.100000000005799</v>
      </c>
      <c r="BU26">
        <v>0.200000000000045</v>
      </c>
      <c r="BV26">
        <v>8.3999999999941792</v>
      </c>
      <c r="BW26">
        <v>0</v>
      </c>
      <c r="BX26">
        <v>3.6</v>
      </c>
      <c r="BY26">
        <v>10</v>
      </c>
      <c r="BZ26">
        <v>37.6</v>
      </c>
      <c r="CA26">
        <v>0.1</v>
      </c>
      <c r="CE26">
        <v>0.2</v>
      </c>
      <c r="CF26">
        <v>3.1</v>
      </c>
      <c r="CL26">
        <v>4</v>
      </c>
      <c r="CN26">
        <v>5.4</v>
      </c>
      <c r="CP26">
        <v>0.8</v>
      </c>
      <c r="CQ26">
        <v>0.5</v>
      </c>
      <c r="CR26">
        <v>2.5</v>
      </c>
      <c r="CS26">
        <v>1.7</v>
      </c>
      <c r="CT26">
        <v>18.600000000000001</v>
      </c>
      <c r="CW26">
        <v>9.4</v>
      </c>
      <c r="CX26">
        <v>4.5</v>
      </c>
      <c r="CY26">
        <v>11.1</v>
      </c>
      <c r="CZ26">
        <v>7.7</v>
      </c>
      <c r="DA26">
        <v>2.7</v>
      </c>
      <c r="DB26">
        <v>2</v>
      </c>
      <c r="DD26" s="5"/>
      <c r="DJ26" s="1">
        <v>40933</v>
      </c>
      <c r="DK26" s="2">
        <f t="shared" si="1"/>
        <v>5.9432835820892009</v>
      </c>
      <c r="DL26" s="2">
        <f t="shared" si="2"/>
        <v>3.90392156862722</v>
      </c>
      <c r="DM26" s="2">
        <f t="shared" si="3"/>
        <v>37.6</v>
      </c>
      <c r="DN26" s="3">
        <f t="shared" si="4"/>
        <v>0.65686274509803921</v>
      </c>
      <c r="DV26" s="2">
        <v>115</v>
      </c>
      <c r="DW26">
        <v>1</v>
      </c>
      <c r="DX26">
        <f t="shared" si="5"/>
        <v>14788</v>
      </c>
      <c r="DY26" s="3">
        <f t="shared" si="0"/>
        <v>0.99959443017439498</v>
      </c>
    </row>
    <row r="27" spans="1:129">
      <c r="A27" s="1">
        <v>40934</v>
      </c>
      <c r="B27" s="1"/>
      <c r="C27" s="1"/>
      <c r="G27">
        <v>0.5</v>
      </c>
      <c r="H27">
        <v>0.7</v>
      </c>
      <c r="I27">
        <v>19.899999999999999</v>
      </c>
      <c r="J27">
        <v>10.7</v>
      </c>
      <c r="K27">
        <v>0.7</v>
      </c>
      <c r="N27">
        <v>0.1</v>
      </c>
      <c r="S27">
        <v>0.3</v>
      </c>
      <c r="T27">
        <v>0.7</v>
      </c>
      <c r="V27">
        <v>3.6</v>
      </c>
      <c r="W27">
        <v>39.1</v>
      </c>
      <c r="X27">
        <v>0.2</v>
      </c>
      <c r="Y27">
        <v>1.6</v>
      </c>
      <c r="AA27">
        <v>0.5</v>
      </c>
      <c r="AD27">
        <v>0.5</v>
      </c>
      <c r="AE27">
        <v>0.39999999999963598</v>
      </c>
      <c r="AF27">
        <v>1.89999999999964</v>
      </c>
      <c r="AG27">
        <v>3.8</v>
      </c>
      <c r="AH27">
        <v>1.1999999999989099</v>
      </c>
      <c r="AI27">
        <v>9.6999999999999993</v>
      </c>
      <c r="AJ27">
        <v>2.2999999999992702</v>
      </c>
      <c r="AK27">
        <v>1.5999999999985499</v>
      </c>
      <c r="AL27">
        <v>0</v>
      </c>
      <c r="AM27">
        <v>10.1</v>
      </c>
      <c r="AO27">
        <v>4</v>
      </c>
      <c r="AP27">
        <v>1.5</v>
      </c>
      <c r="AQ27">
        <v>5.5</v>
      </c>
      <c r="AR27">
        <v>3.6999999999970901</v>
      </c>
      <c r="AS27">
        <v>33.599999999976703</v>
      </c>
      <c r="AT27">
        <v>15.2</v>
      </c>
      <c r="AX27">
        <v>7</v>
      </c>
      <c r="AY27">
        <v>20</v>
      </c>
      <c r="BA27">
        <v>4.6999999999970896</v>
      </c>
      <c r="BC27">
        <v>0</v>
      </c>
      <c r="BE27">
        <v>2.5</v>
      </c>
      <c r="BG27">
        <v>7.1999999999970896</v>
      </c>
      <c r="BH27">
        <v>19.299999999988401</v>
      </c>
      <c r="BI27">
        <v>2</v>
      </c>
      <c r="BJ27">
        <v>0.200000000000045</v>
      </c>
      <c r="BL27">
        <v>1.39999999999964</v>
      </c>
      <c r="BM27">
        <v>9.3000000000029104</v>
      </c>
      <c r="BO27">
        <v>0.30000000000018201</v>
      </c>
      <c r="BQ27">
        <v>0.200000000000045</v>
      </c>
      <c r="BR27">
        <v>9.8000000000029104</v>
      </c>
      <c r="BS27">
        <v>2</v>
      </c>
      <c r="BT27">
        <v>9.5</v>
      </c>
      <c r="BU27">
        <v>7</v>
      </c>
      <c r="BV27">
        <v>1.39999999999964</v>
      </c>
      <c r="BX27">
        <v>1.9</v>
      </c>
      <c r="BY27">
        <v>0.2</v>
      </c>
      <c r="BZ27">
        <v>11.5</v>
      </c>
      <c r="CB27">
        <v>1.9</v>
      </c>
      <c r="CF27">
        <v>1</v>
      </c>
      <c r="CG27">
        <v>15.4</v>
      </c>
      <c r="CI27">
        <v>7.2</v>
      </c>
      <c r="CK27">
        <v>0</v>
      </c>
      <c r="CL27">
        <v>7.8</v>
      </c>
      <c r="CN27">
        <v>0.2</v>
      </c>
      <c r="CQ27">
        <v>0.5</v>
      </c>
      <c r="CR27">
        <v>4</v>
      </c>
      <c r="CS27">
        <v>7.3</v>
      </c>
      <c r="CT27">
        <v>2.7</v>
      </c>
      <c r="CW27">
        <v>1.2</v>
      </c>
      <c r="CX27">
        <v>0.1</v>
      </c>
      <c r="CY27">
        <v>2.2999999999999998</v>
      </c>
      <c r="CZ27">
        <v>5.5</v>
      </c>
      <c r="DA27">
        <v>7.2</v>
      </c>
      <c r="DB27">
        <v>2</v>
      </c>
      <c r="DC27">
        <v>1.6</v>
      </c>
      <c r="DD27" s="5">
        <v>7</v>
      </c>
      <c r="DJ27" s="1">
        <v>40934</v>
      </c>
      <c r="DK27" s="2">
        <f t="shared" si="1"/>
        <v>5.3028985507240245</v>
      </c>
      <c r="DL27" s="2">
        <f t="shared" si="2"/>
        <v>3.5872549019603697</v>
      </c>
      <c r="DM27" s="2">
        <f t="shared" si="3"/>
        <v>39.1</v>
      </c>
      <c r="DN27" s="3">
        <f t="shared" si="4"/>
        <v>0.67647058823529416</v>
      </c>
      <c r="DV27" s="2">
        <v>120</v>
      </c>
      <c r="DW27">
        <v>1</v>
      </c>
      <c r="DX27">
        <f t="shared" si="5"/>
        <v>14789</v>
      </c>
      <c r="DY27" s="3">
        <f t="shared" si="0"/>
        <v>0.9996620251453292</v>
      </c>
    </row>
    <row r="28" spans="1:129">
      <c r="A28" s="1">
        <v>40935</v>
      </c>
      <c r="B28" s="1"/>
      <c r="C28" s="1"/>
      <c r="E28">
        <v>7.4</v>
      </c>
      <c r="G28">
        <v>0.8</v>
      </c>
      <c r="I28">
        <v>0.7</v>
      </c>
      <c r="M28">
        <v>1.4</v>
      </c>
      <c r="P28">
        <v>4.4000000000000004</v>
      </c>
      <c r="S28">
        <v>0.1</v>
      </c>
      <c r="U28">
        <v>0.4</v>
      </c>
      <c r="V28">
        <v>0.4</v>
      </c>
      <c r="W28">
        <v>9.5</v>
      </c>
      <c r="X28">
        <v>2.2000000000000002</v>
      </c>
      <c r="AA28">
        <v>6.0999999999985501</v>
      </c>
      <c r="AC28">
        <v>1.5999999999985499</v>
      </c>
      <c r="AE28">
        <v>0</v>
      </c>
      <c r="AF28">
        <v>17.299999999988401</v>
      </c>
      <c r="AG28">
        <v>11.2</v>
      </c>
      <c r="AH28">
        <v>5.5</v>
      </c>
      <c r="AI28">
        <v>26.2</v>
      </c>
      <c r="AJ28">
        <v>1.1999999999989099</v>
      </c>
      <c r="AM28">
        <v>7</v>
      </c>
      <c r="AO28">
        <v>1.29999999999927</v>
      </c>
      <c r="AQ28">
        <v>12.5</v>
      </c>
      <c r="AS28">
        <v>4.3999999999941801</v>
      </c>
      <c r="AT28">
        <v>3</v>
      </c>
      <c r="AX28">
        <v>37.699999999953398</v>
      </c>
      <c r="AY28">
        <v>7.6999999999970896</v>
      </c>
      <c r="BA28">
        <v>13.5</v>
      </c>
      <c r="BC28">
        <v>12</v>
      </c>
      <c r="BD28">
        <v>0</v>
      </c>
      <c r="BE28">
        <v>0.5</v>
      </c>
      <c r="BF28">
        <v>5.1999999999970896</v>
      </c>
      <c r="BG28">
        <v>0.89999999999963598</v>
      </c>
      <c r="BH28">
        <v>17.700000000011599</v>
      </c>
      <c r="BI28">
        <v>24</v>
      </c>
      <c r="BJ28">
        <v>0.100000000000023</v>
      </c>
      <c r="BL28">
        <v>0.100000000000023</v>
      </c>
      <c r="BM28">
        <v>0.89999999999963598</v>
      </c>
      <c r="BN28">
        <v>0.100000000000023</v>
      </c>
      <c r="BO28">
        <v>0.400000000000091</v>
      </c>
      <c r="BQ28">
        <v>2.7000000000007298</v>
      </c>
      <c r="BR28">
        <v>5.3000000000029104</v>
      </c>
      <c r="BS28">
        <v>0.200000000000045</v>
      </c>
      <c r="BT28">
        <v>40</v>
      </c>
      <c r="BU28">
        <v>19.600000000005799</v>
      </c>
      <c r="BV28">
        <v>0.200000000000045</v>
      </c>
      <c r="BX28">
        <v>4.2</v>
      </c>
      <c r="BZ28">
        <v>2.6</v>
      </c>
      <c r="CA28">
        <v>0.8</v>
      </c>
      <c r="CD28">
        <v>0.8</v>
      </c>
      <c r="CH28">
        <v>6.6</v>
      </c>
      <c r="CI28">
        <v>7.6</v>
      </c>
      <c r="CJ28">
        <v>0.1</v>
      </c>
      <c r="CL28">
        <v>9.6999999999999993</v>
      </c>
      <c r="CQ28">
        <v>2.8</v>
      </c>
      <c r="CR28">
        <v>1.9</v>
      </c>
      <c r="CS28">
        <v>20.6</v>
      </c>
      <c r="CT28">
        <v>1.3</v>
      </c>
      <c r="CU28">
        <v>13.3</v>
      </c>
      <c r="CV28">
        <v>5.7</v>
      </c>
      <c r="CX28">
        <v>9.3000000000000007</v>
      </c>
      <c r="CZ28">
        <v>3.5</v>
      </c>
      <c r="DA28">
        <v>7.2</v>
      </c>
      <c r="DB28">
        <v>1.7</v>
      </c>
      <c r="DC28">
        <v>15.5</v>
      </c>
      <c r="DD28" s="5"/>
      <c r="DJ28" s="1">
        <v>40935</v>
      </c>
      <c r="DK28" s="2">
        <f t="shared" si="1"/>
        <v>6.8031746031737486</v>
      </c>
      <c r="DL28" s="2">
        <f t="shared" si="2"/>
        <v>4.2019607843131972</v>
      </c>
      <c r="DM28" s="2">
        <f t="shared" si="3"/>
        <v>40</v>
      </c>
      <c r="DN28" s="3">
        <f t="shared" si="4"/>
        <v>0.61764705882352944</v>
      </c>
      <c r="DV28" s="2">
        <v>125</v>
      </c>
      <c r="DW28">
        <v>3</v>
      </c>
      <c r="DX28">
        <f t="shared" si="5"/>
        <v>14792</v>
      </c>
      <c r="DY28" s="3">
        <f t="shared" si="0"/>
        <v>0.99986481005813166</v>
      </c>
    </row>
    <row r="29" spans="1:129">
      <c r="A29" s="1">
        <v>40936</v>
      </c>
      <c r="B29" s="1"/>
      <c r="C29" s="1"/>
      <c r="D29">
        <v>7</v>
      </c>
      <c r="G29">
        <v>0.1</v>
      </c>
      <c r="M29">
        <v>8.6999999999999993</v>
      </c>
      <c r="N29">
        <v>1</v>
      </c>
      <c r="O29">
        <v>3.8</v>
      </c>
      <c r="P29">
        <v>1.2</v>
      </c>
      <c r="S29">
        <v>0.5</v>
      </c>
      <c r="T29">
        <v>1.2</v>
      </c>
      <c r="W29">
        <v>4.8</v>
      </c>
      <c r="X29">
        <v>11.8</v>
      </c>
      <c r="AA29">
        <v>5.5999999999985501</v>
      </c>
      <c r="AB29">
        <v>0.89999999999963598</v>
      </c>
      <c r="AE29">
        <v>2.5</v>
      </c>
      <c r="AF29">
        <v>0.29999999999972699</v>
      </c>
      <c r="AG29">
        <v>2.1</v>
      </c>
      <c r="AH29">
        <v>5</v>
      </c>
      <c r="AM29">
        <v>0.1</v>
      </c>
      <c r="AO29">
        <v>0.5</v>
      </c>
      <c r="AP29">
        <v>0.5</v>
      </c>
      <c r="AQ29">
        <v>0.29999999999972699</v>
      </c>
      <c r="AR29">
        <v>4.2999999999956398</v>
      </c>
      <c r="AT29">
        <v>0.19999999999981799</v>
      </c>
      <c r="AV29">
        <v>3.6</v>
      </c>
      <c r="AX29">
        <v>19</v>
      </c>
      <c r="AY29">
        <v>4.79999999999563</v>
      </c>
      <c r="BB29">
        <v>0.79999999999927196</v>
      </c>
      <c r="BC29">
        <v>0.59999999999945397</v>
      </c>
      <c r="BD29">
        <v>0.5</v>
      </c>
      <c r="BE29">
        <v>0.30000000000018201</v>
      </c>
      <c r="BF29">
        <v>17.200000000011599</v>
      </c>
      <c r="BG29">
        <v>8.6999999999970896</v>
      </c>
      <c r="BH29">
        <v>0</v>
      </c>
      <c r="BI29">
        <v>10.399999999994201</v>
      </c>
      <c r="BJ29">
        <v>14.100000000005799</v>
      </c>
      <c r="BK29">
        <v>17.299999999988401</v>
      </c>
      <c r="BM29">
        <v>1.70000000000073</v>
      </c>
      <c r="BN29">
        <v>0.100000000000023</v>
      </c>
      <c r="BO29">
        <v>0.60000000000036402</v>
      </c>
      <c r="BP29">
        <v>1.39999999999964</v>
      </c>
      <c r="BQ29">
        <v>5.8000000000029104</v>
      </c>
      <c r="BR29">
        <v>6.3000000000029104</v>
      </c>
      <c r="BT29">
        <v>16</v>
      </c>
      <c r="BU29">
        <v>14.5</v>
      </c>
      <c r="BV29">
        <v>1.70000000000073</v>
      </c>
      <c r="BX29">
        <v>0.1</v>
      </c>
      <c r="BY29">
        <v>10.7</v>
      </c>
      <c r="CA29">
        <v>2.1</v>
      </c>
      <c r="CC29">
        <v>0.5</v>
      </c>
      <c r="CE29">
        <v>1</v>
      </c>
      <c r="CF29">
        <v>2.1</v>
      </c>
      <c r="CH29">
        <v>0.7</v>
      </c>
      <c r="CJ29">
        <v>2.2999999999999998</v>
      </c>
      <c r="CL29">
        <v>3.4</v>
      </c>
      <c r="CM29">
        <v>8.5</v>
      </c>
      <c r="CO29">
        <v>1.5</v>
      </c>
      <c r="CQ29">
        <v>0.3</v>
      </c>
      <c r="CR29">
        <v>2.2999999999999998</v>
      </c>
      <c r="CS29">
        <v>19.8</v>
      </c>
      <c r="CU29">
        <v>0.5</v>
      </c>
      <c r="CV29">
        <v>7</v>
      </c>
      <c r="CW29">
        <v>0.3</v>
      </c>
      <c r="CX29">
        <v>5.6</v>
      </c>
      <c r="CY29">
        <v>0.3</v>
      </c>
      <c r="CZ29">
        <v>0.9</v>
      </c>
      <c r="DA29">
        <v>1.5</v>
      </c>
      <c r="DB29">
        <v>6.2</v>
      </c>
      <c r="DC29">
        <v>4.3</v>
      </c>
      <c r="DD29" s="5"/>
      <c r="DJ29" s="1">
        <v>40936</v>
      </c>
      <c r="DK29" s="2">
        <f t="shared" si="1"/>
        <v>4.3238805970148064</v>
      </c>
      <c r="DL29" s="2">
        <f t="shared" si="2"/>
        <v>2.8401960784312945</v>
      </c>
      <c r="DM29" s="2">
        <f t="shared" si="3"/>
        <v>19.8</v>
      </c>
      <c r="DN29" s="3">
        <f t="shared" si="4"/>
        <v>0.65686274509803921</v>
      </c>
      <c r="DV29" s="2">
        <v>130</v>
      </c>
      <c r="DW29">
        <v>0</v>
      </c>
      <c r="DX29">
        <f t="shared" si="5"/>
        <v>14792</v>
      </c>
      <c r="DY29" s="3">
        <f t="shared" si="0"/>
        <v>0.99986481005813166</v>
      </c>
    </row>
    <row r="30" spans="1:129">
      <c r="A30" s="1">
        <v>40937</v>
      </c>
      <c r="B30" s="1"/>
      <c r="C30" s="1"/>
      <c r="D30">
        <v>3.4</v>
      </c>
      <c r="I30">
        <v>2.8</v>
      </c>
      <c r="K30">
        <v>2.2000000000000002</v>
      </c>
      <c r="L30">
        <v>2.4</v>
      </c>
      <c r="M30">
        <v>1.7</v>
      </c>
      <c r="N30">
        <v>1</v>
      </c>
      <c r="S30">
        <v>0.4</v>
      </c>
      <c r="U30">
        <v>2.7</v>
      </c>
      <c r="Z30">
        <v>2.7999999999992702</v>
      </c>
      <c r="AA30">
        <v>8.5</v>
      </c>
      <c r="AB30">
        <v>8.8999999999941792</v>
      </c>
      <c r="AC30">
        <v>5.6999999999970896</v>
      </c>
      <c r="AF30">
        <v>0</v>
      </c>
      <c r="AG30">
        <v>0</v>
      </c>
      <c r="AH30">
        <v>2</v>
      </c>
      <c r="AI30">
        <v>2</v>
      </c>
      <c r="AJ30">
        <v>3</v>
      </c>
      <c r="AK30">
        <v>42.5</v>
      </c>
      <c r="AL30">
        <v>3.3</v>
      </c>
      <c r="AO30">
        <v>0.5</v>
      </c>
      <c r="AP30">
        <v>0</v>
      </c>
      <c r="AQ30">
        <v>2.0999999999985399</v>
      </c>
      <c r="AR30">
        <v>2.7999999999992702</v>
      </c>
      <c r="AT30">
        <v>3.2999999999992702</v>
      </c>
      <c r="AV30">
        <v>5</v>
      </c>
      <c r="AW30">
        <v>2.0999999999985399</v>
      </c>
      <c r="AY30">
        <v>3.6999999999970901</v>
      </c>
      <c r="BB30">
        <v>16.699999999982499</v>
      </c>
      <c r="BC30">
        <v>5</v>
      </c>
      <c r="BD30">
        <v>4.5</v>
      </c>
      <c r="BF30">
        <v>20.399999999994201</v>
      </c>
      <c r="BG30">
        <v>0.69999999999981799</v>
      </c>
      <c r="BH30">
        <v>7.3000000000029104</v>
      </c>
      <c r="BJ30">
        <v>12.8000000000029</v>
      </c>
      <c r="BK30">
        <v>0.100000000000023</v>
      </c>
      <c r="BM30">
        <v>1.5</v>
      </c>
      <c r="BN30">
        <v>0.30000000000018201</v>
      </c>
      <c r="BO30">
        <v>3</v>
      </c>
      <c r="BP30">
        <v>11</v>
      </c>
      <c r="BR30" t="s">
        <v>0</v>
      </c>
      <c r="BT30">
        <v>0.200000000000045</v>
      </c>
      <c r="BU30">
        <v>3.5</v>
      </c>
      <c r="BV30">
        <v>14.100000000005799</v>
      </c>
      <c r="BW30">
        <v>0.100000000000023</v>
      </c>
      <c r="BX30">
        <v>0</v>
      </c>
      <c r="BY30">
        <v>17.5</v>
      </c>
      <c r="BZ30">
        <v>7</v>
      </c>
      <c r="CA30">
        <v>11.1</v>
      </c>
      <c r="CC30">
        <v>2.5</v>
      </c>
      <c r="CE30">
        <v>4.7</v>
      </c>
      <c r="CF30">
        <v>0.2</v>
      </c>
      <c r="CG30">
        <v>4.5999999999999996</v>
      </c>
      <c r="CH30">
        <v>36</v>
      </c>
      <c r="CI30">
        <v>0.3</v>
      </c>
      <c r="CL30">
        <v>0.1</v>
      </c>
      <c r="CM30">
        <v>6.5</v>
      </c>
      <c r="CO30">
        <v>0.1</v>
      </c>
      <c r="CQ30">
        <v>12.7</v>
      </c>
      <c r="CR30">
        <v>15</v>
      </c>
      <c r="CS30">
        <v>34.1</v>
      </c>
      <c r="CT30">
        <v>0.1</v>
      </c>
      <c r="CU30">
        <v>0.8</v>
      </c>
      <c r="CV30">
        <v>1.8</v>
      </c>
      <c r="CW30">
        <v>7.1</v>
      </c>
      <c r="CX30">
        <v>19.7</v>
      </c>
      <c r="CY30">
        <v>8.1999999999999993</v>
      </c>
      <c r="CZ30">
        <v>1</v>
      </c>
      <c r="DA30">
        <v>0.2</v>
      </c>
      <c r="DB30">
        <v>3.3</v>
      </c>
      <c r="DC30">
        <v>0.4</v>
      </c>
      <c r="DD30" s="5"/>
      <c r="DJ30" s="1">
        <v>40937</v>
      </c>
      <c r="DK30" s="2">
        <f t="shared" si="1"/>
        <v>5.9565217391300251</v>
      </c>
      <c r="DL30" s="2">
        <f t="shared" si="2"/>
        <v>4.0294117647056051</v>
      </c>
      <c r="DM30" s="2">
        <f t="shared" si="3"/>
        <v>42.5</v>
      </c>
      <c r="DN30" s="3">
        <f t="shared" si="4"/>
        <v>0.68627450980392157</v>
      </c>
      <c r="DV30" s="2">
        <v>135</v>
      </c>
      <c r="DW30">
        <v>1</v>
      </c>
      <c r="DX30">
        <f t="shared" si="5"/>
        <v>14793</v>
      </c>
      <c r="DY30" s="3">
        <f t="shared" si="0"/>
        <v>0.99993240502906588</v>
      </c>
    </row>
    <row r="31" spans="1:129">
      <c r="A31" s="1">
        <v>40938</v>
      </c>
      <c r="B31" s="1"/>
      <c r="C31" s="1"/>
      <c r="D31">
        <v>8.1</v>
      </c>
      <c r="E31">
        <v>0.9</v>
      </c>
      <c r="F31">
        <v>1.2</v>
      </c>
      <c r="G31">
        <v>11.3</v>
      </c>
      <c r="H31">
        <v>0.7</v>
      </c>
      <c r="I31">
        <v>6.4</v>
      </c>
      <c r="K31">
        <v>0.9</v>
      </c>
      <c r="L31">
        <v>0.2</v>
      </c>
      <c r="N31">
        <v>2.2000000000000002</v>
      </c>
      <c r="O31">
        <v>0.7</v>
      </c>
      <c r="T31">
        <v>1.8</v>
      </c>
      <c r="U31">
        <v>6.3</v>
      </c>
      <c r="Y31">
        <v>1</v>
      </c>
      <c r="Z31">
        <v>5.8999999999941801</v>
      </c>
      <c r="AA31">
        <v>10.599999999991301</v>
      </c>
      <c r="AC31">
        <v>7.6999999999970896</v>
      </c>
      <c r="AE31" t="s">
        <v>0</v>
      </c>
      <c r="AF31">
        <v>1</v>
      </c>
      <c r="AH31">
        <v>1</v>
      </c>
      <c r="AJ31">
        <v>0.39999999999963598</v>
      </c>
      <c r="AK31">
        <v>22</v>
      </c>
      <c r="AM31">
        <v>0</v>
      </c>
      <c r="AN31">
        <v>0.39999999999963598</v>
      </c>
      <c r="AO31">
        <v>9.9999999999908995E-2</v>
      </c>
      <c r="AP31">
        <v>19.5</v>
      </c>
      <c r="AR31">
        <v>0.69999999999981799</v>
      </c>
      <c r="AT31">
        <v>4.0999999999985501</v>
      </c>
      <c r="AV31">
        <v>2</v>
      </c>
      <c r="AW31">
        <v>2.6999999999970901</v>
      </c>
      <c r="AX31">
        <v>6.29999999999563</v>
      </c>
      <c r="AY31">
        <v>1.0999999999985499</v>
      </c>
      <c r="BB31">
        <v>17.899999999994201</v>
      </c>
      <c r="BC31">
        <v>1.29999999999927</v>
      </c>
      <c r="BD31">
        <v>2.5</v>
      </c>
      <c r="BF31">
        <v>1.89999999999964</v>
      </c>
      <c r="BG31">
        <v>1.29999999999927</v>
      </c>
      <c r="BH31">
        <v>0.200000000000045</v>
      </c>
      <c r="BI31">
        <v>10.1999999999971</v>
      </c>
      <c r="BJ31">
        <v>0.200000000000045</v>
      </c>
      <c r="BM31">
        <v>5.3000000000029104</v>
      </c>
      <c r="BN31">
        <v>1.39999999999964</v>
      </c>
      <c r="BO31">
        <v>8.8000000000029104</v>
      </c>
      <c r="BP31">
        <v>0.80000000000018201</v>
      </c>
      <c r="BR31">
        <v>14</v>
      </c>
      <c r="BS31">
        <v>11</v>
      </c>
      <c r="BU31">
        <v>0.30000000000018201</v>
      </c>
      <c r="BV31">
        <v>9.3999999999941792</v>
      </c>
      <c r="BW31">
        <v>0.70000000000038698</v>
      </c>
      <c r="BX31">
        <v>0.5</v>
      </c>
      <c r="BY31">
        <v>9.1</v>
      </c>
      <c r="BZ31">
        <v>0.8</v>
      </c>
      <c r="CA31">
        <v>33.5</v>
      </c>
      <c r="CB31">
        <v>0.3</v>
      </c>
      <c r="CC31">
        <v>0.8</v>
      </c>
      <c r="CE31">
        <v>4.4000000000000004</v>
      </c>
      <c r="CF31">
        <v>1</v>
      </c>
      <c r="CG31">
        <v>3.8</v>
      </c>
      <c r="CH31">
        <v>4.3</v>
      </c>
      <c r="CJ31">
        <v>4.5</v>
      </c>
      <c r="CL31">
        <v>0</v>
      </c>
      <c r="CM31">
        <v>9.4</v>
      </c>
      <c r="CN31">
        <v>1</v>
      </c>
      <c r="CQ31">
        <v>5.2</v>
      </c>
      <c r="CR31">
        <v>4.3</v>
      </c>
      <c r="CU31">
        <v>0.3</v>
      </c>
      <c r="CV31">
        <v>0.8</v>
      </c>
      <c r="CW31">
        <v>3.3</v>
      </c>
      <c r="CX31">
        <v>0.5</v>
      </c>
      <c r="CY31">
        <v>0.1</v>
      </c>
      <c r="CZ31">
        <v>5.8</v>
      </c>
      <c r="DC31">
        <v>0.3</v>
      </c>
      <c r="DD31" s="5">
        <v>0.1</v>
      </c>
      <c r="DJ31" s="1">
        <v>40938</v>
      </c>
      <c r="DK31" s="2">
        <f t="shared" si="1"/>
        <v>4.3450704225346675</v>
      </c>
      <c r="DL31" s="2">
        <f t="shared" si="2"/>
        <v>3.0245098039211902</v>
      </c>
      <c r="DM31" s="2">
        <f t="shared" si="3"/>
        <v>33.5</v>
      </c>
      <c r="DN31" s="3">
        <f t="shared" si="4"/>
        <v>0.70588235294117652</v>
      </c>
      <c r="DV31" s="2">
        <v>140</v>
      </c>
      <c r="DW31">
        <v>0</v>
      </c>
      <c r="DX31">
        <f t="shared" si="5"/>
        <v>14793</v>
      </c>
      <c r="DY31" s="3">
        <f t="shared" si="0"/>
        <v>0.99993240502906588</v>
      </c>
    </row>
    <row r="32" spans="1:129">
      <c r="A32" s="1">
        <v>40939</v>
      </c>
      <c r="B32" s="1"/>
      <c r="C32" s="1"/>
      <c r="E32">
        <v>0.5</v>
      </c>
      <c r="F32">
        <v>2.2999999999999998</v>
      </c>
      <c r="G32">
        <v>15.7</v>
      </c>
      <c r="I32">
        <v>0.4</v>
      </c>
      <c r="K32">
        <v>0.6</v>
      </c>
      <c r="M32">
        <v>1.2</v>
      </c>
      <c r="O32">
        <v>2.9</v>
      </c>
      <c r="P32">
        <v>6.8</v>
      </c>
      <c r="Q32">
        <v>2.7</v>
      </c>
      <c r="T32">
        <v>0.3</v>
      </c>
      <c r="U32">
        <v>3</v>
      </c>
      <c r="V32">
        <v>1.3</v>
      </c>
      <c r="W32">
        <v>2.7</v>
      </c>
      <c r="Y32">
        <v>0.6</v>
      </c>
      <c r="Z32">
        <v>66</v>
      </c>
      <c r="AA32">
        <v>0.69999999999981799</v>
      </c>
      <c r="AC32">
        <v>0.39999999999963598</v>
      </c>
      <c r="AD32">
        <v>8.1999999999970896</v>
      </c>
      <c r="AE32">
        <v>15.299999999988399</v>
      </c>
      <c r="AF32">
        <v>0.19999999999981799</v>
      </c>
      <c r="AG32">
        <v>0.79999999999927196</v>
      </c>
      <c r="AH32">
        <v>14.5</v>
      </c>
      <c r="AJ32">
        <v>0.29999999999972699</v>
      </c>
      <c r="AK32">
        <v>7.5</v>
      </c>
      <c r="AL32">
        <v>3.3999999999978199</v>
      </c>
      <c r="AM32">
        <v>1.9</v>
      </c>
      <c r="AP32">
        <v>2</v>
      </c>
      <c r="AQ32">
        <v>3.0999999999985399</v>
      </c>
      <c r="AR32">
        <v>2</v>
      </c>
      <c r="AT32">
        <v>3.6999999999970901</v>
      </c>
      <c r="AV32">
        <v>2.7</v>
      </c>
      <c r="AW32">
        <v>3.5</v>
      </c>
      <c r="AY32">
        <v>1.79999999999927</v>
      </c>
      <c r="BB32">
        <v>6.29999999999563</v>
      </c>
      <c r="BC32">
        <v>2.1999999999970901</v>
      </c>
      <c r="BD32">
        <v>20.399999999994201</v>
      </c>
      <c r="BG32">
        <v>0</v>
      </c>
      <c r="BI32">
        <v>0.100000000000023</v>
      </c>
      <c r="BJ32">
        <v>6.6999999999970896</v>
      </c>
      <c r="BM32">
        <v>0.100000000000023</v>
      </c>
      <c r="BN32">
        <v>0.100000000000023</v>
      </c>
      <c r="BO32">
        <v>15</v>
      </c>
      <c r="BR32">
        <v>0.200000000000045</v>
      </c>
      <c r="BS32">
        <v>6.5</v>
      </c>
      <c r="BV32">
        <v>0.89999999999963598</v>
      </c>
      <c r="BW32">
        <v>20.199999999998099</v>
      </c>
      <c r="BY32">
        <v>0.2</v>
      </c>
      <c r="CA32">
        <v>0.8</v>
      </c>
      <c r="CB32">
        <v>5.2</v>
      </c>
      <c r="CC32">
        <v>1</v>
      </c>
      <c r="CD32">
        <v>0.2</v>
      </c>
      <c r="CE32">
        <v>4.5</v>
      </c>
      <c r="CF32">
        <v>4.8</v>
      </c>
      <c r="CG32">
        <v>0.2</v>
      </c>
      <c r="CJ32">
        <v>1.7</v>
      </c>
      <c r="CM32">
        <v>2.2999999999999998</v>
      </c>
      <c r="CN32">
        <v>0.5</v>
      </c>
      <c r="CO32">
        <v>13</v>
      </c>
      <c r="CQ32">
        <v>8.1999999999999993</v>
      </c>
      <c r="CU32">
        <v>0.5</v>
      </c>
      <c r="CW32">
        <v>1.3</v>
      </c>
      <c r="CX32">
        <v>5.3</v>
      </c>
      <c r="CY32">
        <v>0.1</v>
      </c>
      <c r="CZ32">
        <v>4.3</v>
      </c>
      <c r="DA32">
        <v>11.2</v>
      </c>
      <c r="DB32">
        <v>0.8</v>
      </c>
      <c r="DD32" s="5">
        <v>0.5</v>
      </c>
      <c r="DJ32" s="1">
        <v>40939</v>
      </c>
      <c r="DK32" s="2">
        <f t="shared" si="1"/>
        <v>4.840298507462065</v>
      </c>
      <c r="DL32" s="2">
        <f t="shared" si="2"/>
        <v>3.179411764705474</v>
      </c>
      <c r="DM32" s="2">
        <f t="shared" si="3"/>
        <v>66</v>
      </c>
      <c r="DN32" s="3">
        <f t="shared" si="4"/>
        <v>0.65686274509803921</v>
      </c>
      <c r="DV32" s="2">
        <v>145</v>
      </c>
      <c r="DW32">
        <v>0</v>
      </c>
      <c r="DX32">
        <f t="shared" si="5"/>
        <v>14793</v>
      </c>
      <c r="DY32" s="3">
        <f t="shared" si="0"/>
        <v>0.99993240502906588</v>
      </c>
    </row>
    <row r="33" spans="1:129">
      <c r="A33" s="1">
        <v>40940</v>
      </c>
      <c r="B33" s="1"/>
      <c r="C33" s="1"/>
      <c r="D33">
        <v>6</v>
      </c>
      <c r="G33">
        <v>3.3</v>
      </c>
      <c r="H33">
        <v>0.1</v>
      </c>
      <c r="I33">
        <v>2.8</v>
      </c>
      <c r="J33">
        <v>3.4</v>
      </c>
      <c r="K33">
        <v>3.2</v>
      </c>
      <c r="N33">
        <v>10.7</v>
      </c>
      <c r="P33">
        <v>2</v>
      </c>
      <c r="R33">
        <v>14.5</v>
      </c>
      <c r="S33">
        <v>2.5</v>
      </c>
      <c r="T33">
        <v>7.5</v>
      </c>
      <c r="U33">
        <v>0</v>
      </c>
      <c r="V33">
        <v>0.2</v>
      </c>
      <c r="W33">
        <v>0.3</v>
      </c>
      <c r="Y33">
        <v>1</v>
      </c>
      <c r="Z33">
        <v>2.0999999999985399</v>
      </c>
      <c r="AC33">
        <v>1.5999999999985499</v>
      </c>
      <c r="AD33">
        <v>6.29999999999563</v>
      </c>
      <c r="AE33">
        <v>24</v>
      </c>
      <c r="AF33">
        <v>7</v>
      </c>
      <c r="AL33">
        <v>20.399999999994201</v>
      </c>
      <c r="AM33">
        <v>0.19999999999981799</v>
      </c>
      <c r="AQ33">
        <v>6.1999999999970896</v>
      </c>
      <c r="AR33">
        <v>14.299999999988399</v>
      </c>
      <c r="AS33">
        <v>0.19999999999981799</v>
      </c>
      <c r="AT33">
        <v>1.6999999999989099</v>
      </c>
      <c r="AV33">
        <v>35.5</v>
      </c>
      <c r="AW33">
        <v>2.5999999999985399</v>
      </c>
      <c r="AZ33">
        <v>1</v>
      </c>
      <c r="BB33">
        <v>1.39999999999964</v>
      </c>
      <c r="BC33">
        <v>0.89999999999963598</v>
      </c>
      <c r="BD33">
        <v>10.6999999999971</v>
      </c>
      <c r="BE33">
        <v>0.69999999999981799</v>
      </c>
      <c r="BJ33">
        <v>8</v>
      </c>
      <c r="BK33">
        <v>0.200000000000045</v>
      </c>
      <c r="BL33">
        <v>2.2999999999992702</v>
      </c>
      <c r="BN33">
        <v>0.200000000000045</v>
      </c>
      <c r="BO33">
        <v>7.5</v>
      </c>
      <c r="BP33">
        <v>0.400000000000091</v>
      </c>
      <c r="BR33">
        <v>1</v>
      </c>
      <c r="BS33">
        <v>0.100000000000023</v>
      </c>
      <c r="BU33">
        <v>0.80000000000018201</v>
      </c>
      <c r="BV33">
        <v>8.8000000000029104</v>
      </c>
      <c r="BW33">
        <v>3.3</v>
      </c>
      <c r="BY33">
        <v>0.3</v>
      </c>
      <c r="CA33">
        <v>3.1</v>
      </c>
      <c r="CB33">
        <v>14</v>
      </c>
      <c r="CE33">
        <v>6.5</v>
      </c>
      <c r="CF33">
        <v>15.7</v>
      </c>
      <c r="CG33">
        <v>1.2</v>
      </c>
      <c r="CH33">
        <v>0.9</v>
      </c>
      <c r="CI33">
        <v>9.5</v>
      </c>
      <c r="CJ33">
        <v>2.4</v>
      </c>
      <c r="CK33">
        <v>0.6</v>
      </c>
      <c r="CL33">
        <v>8</v>
      </c>
      <c r="CM33">
        <v>19</v>
      </c>
      <c r="CO33">
        <v>17.5</v>
      </c>
      <c r="CQ33">
        <v>10.5</v>
      </c>
      <c r="CS33">
        <v>2.7</v>
      </c>
      <c r="CX33">
        <v>6.7</v>
      </c>
      <c r="CZ33">
        <v>2.2999999999999998</v>
      </c>
      <c r="DC33">
        <v>3</v>
      </c>
      <c r="DD33" s="5">
        <v>0.5</v>
      </c>
      <c r="DJ33" s="1">
        <v>40940</v>
      </c>
      <c r="DK33" s="2">
        <f t="shared" si="1"/>
        <v>5.5761904761899723</v>
      </c>
      <c r="DL33" s="2">
        <f t="shared" si="2"/>
        <v>3.444117647058512</v>
      </c>
      <c r="DM33" s="2">
        <f t="shared" si="3"/>
        <v>35.5</v>
      </c>
      <c r="DN33" s="3">
        <f t="shared" si="4"/>
        <v>0.61764705882352944</v>
      </c>
      <c r="DV33" s="2">
        <v>150</v>
      </c>
      <c r="DW33">
        <v>0</v>
      </c>
      <c r="DX33">
        <f t="shared" si="5"/>
        <v>14793</v>
      </c>
      <c r="DY33" s="3">
        <f t="shared" si="0"/>
        <v>0.99993240502906588</v>
      </c>
    </row>
    <row r="34" spans="1:129">
      <c r="A34" s="1">
        <v>40941</v>
      </c>
      <c r="B34" s="1"/>
      <c r="C34" s="1"/>
      <c r="G34">
        <v>18.600000000000001</v>
      </c>
      <c r="I34">
        <v>9.3000000000000007</v>
      </c>
      <c r="J34">
        <v>1.2</v>
      </c>
      <c r="K34">
        <v>6.5</v>
      </c>
      <c r="L34">
        <v>5.5</v>
      </c>
      <c r="N34">
        <v>7.4</v>
      </c>
      <c r="O34">
        <v>1.4</v>
      </c>
      <c r="P34">
        <v>2.4</v>
      </c>
      <c r="Q34">
        <v>6</v>
      </c>
      <c r="S34">
        <v>4.3</v>
      </c>
      <c r="T34">
        <v>12.2</v>
      </c>
      <c r="U34">
        <v>0</v>
      </c>
      <c r="V34">
        <v>1</v>
      </c>
      <c r="W34">
        <v>2.7</v>
      </c>
      <c r="Z34">
        <v>1</v>
      </c>
      <c r="AD34">
        <v>0</v>
      </c>
      <c r="AE34">
        <v>0</v>
      </c>
      <c r="AG34">
        <v>7.29999999999563</v>
      </c>
      <c r="AH34">
        <v>3.3999999999978199</v>
      </c>
      <c r="AK34">
        <v>0.19999999999981799</v>
      </c>
      <c r="AL34">
        <v>2.2999999999992702</v>
      </c>
      <c r="AN34">
        <v>1</v>
      </c>
      <c r="AO34">
        <v>17</v>
      </c>
      <c r="AP34">
        <v>2.7</v>
      </c>
      <c r="AQ34">
        <v>2.7999999999992702</v>
      </c>
      <c r="AS34">
        <v>24</v>
      </c>
      <c r="AT34">
        <v>6</v>
      </c>
      <c r="AU34">
        <v>0.79999999999927196</v>
      </c>
      <c r="AV34">
        <v>8.1999999999970896</v>
      </c>
      <c r="AW34">
        <v>2.2999999999992702</v>
      </c>
      <c r="AY34">
        <v>1.29999999999927</v>
      </c>
      <c r="AZ34">
        <v>5.8</v>
      </c>
      <c r="BA34">
        <v>4</v>
      </c>
      <c r="BB34">
        <v>3.5</v>
      </c>
      <c r="BC34">
        <v>9.9999999999908995E-2</v>
      </c>
      <c r="BD34">
        <v>1.60000000000036</v>
      </c>
      <c r="BE34">
        <v>32.400000000023297</v>
      </c>
      <c r="BJ34">
        <v>4.6999999999970896</v>
      </c>
      <c r="BK34">
        <v>13.600000000005799</v>
      </c>
      <c r="BL34">
        <v>13.6999999999971</v>
      </c>
      <c r="BM34">
        <v>0.100000000000023</v>
      </c>
      <c r="BO34">
        <v>4.0999999999985501</v>
      </c>
      <c r="BR34">
        <v>1.5</v>
      </c>
      <c r="BT34">
        <v>8</v>
      </c>
      <c r="BV34">
        <v>14.8000000000029</v>
      </c>
      <c r="BW34">
        <v>3.1</v>
      </c>
      <c r="BY34">
        <v>5.6</v>
      </c>
      <c r="BZ34">
        <v>21.2</v>
      </c>
      <c r="CA34">
        <v>2.6</v>
      </c>
      <c r="CB34">
        <v>0</v>
      </c>
      <c r="CE34">
        <v>1.6</v>
      </c>
      <c r="CF34">
        <v>0.5</v>
      </c>
      <c r="CG34">
        <v>0.4</v>
      </c>
      <c r="CK34">
        <v>2.6</v>
      </c>
      <c r="CL34">
        <v>12.5</v>
      </c>
      <c r="CM34">
        <v>1</v>
      </c>
      <c r="CN34">
        <v>9</v>
      </c>
      <c r="CO34">
        <v>23.5</v>
      </c>
      <c r="CQ34">
        <v>18.7</v>
      </c>
      <c r="CS34">
        <v>3.1</v>
      </c>
      <c r="CU34">
        <v>0.3</v>
      </c>
      <c r="CW34">
        <v>0.1</v>
      </c>
      <c r="CX34">
        <v>39.299999999999997</v>
      </c>
      <c r="CZ34">
        <v>0.1</v>
      </c>
      <c r="DC34">
        <v>46.4</v>
      </c>
      <c r="DD34" s="5"/>
      <c r="DJ34" s="1">
        <v>40941</v>
      </c>
      <c r="DK34" s="2">
        <f t="shared" si="1"/>
        <v>7.0507692307694132</v>
      </c>
      <c r="DL34" s="2">
        <f t="shared" si="2"/>
        <v>4.4931372549020772</v>
      </c>
      <c r="DM34" s="2">
        <f t="shared" si="3"/>
        <v>46.4</v>
      </c>
      <c r="DN34" s="3">
        <f t="shared" si="4"/>
        <v>0.63725490196078427</v>
      </c>
      <c r="DV34" s="2">
        <v>155</v>
      </c>
      <c r="DW34">
        <v>0</v>
      </c>
      <c r="DX34">
        <f t="shared" si="5"/>
        <v>14793</v>
      </c>
      <c r="DY34" s="3">
        <f t="shared" si="0"/>
        <v>0.99993240502906588</v>
      </c>
    </row>
    <row r="35" spans="1:129">
      <c r="A35" s="1">
        <v>40942</v>
      </c>
      <c r="B35" s="1"/>
      <c r="C35" s="1"/>
      <c r="E35">
        <v>14.7</v>
      </c>
      <c r="G35">
        <v>12.7</v>
      </c>
      <c r="I35">
        <v>1.8</v>
      </c>
      <c r="J35">
        <v>2.4</v>
      </c>
      <c r="N35">
        <v>4.5</v>
      </c>
      <c r="P35">
        <v>1.2</v>
      </c>
      <c r="Q35">
        <v>2.9</v>
      </c>
      <c r="S35">
        <v>1</v>
      </c>
      <c r="U35">
        <v>0</v>
      </c>
      <c r="V35">
        <v>2.2999999999999998</v>
      </c>
      <c r="W35">
        <v>10.4</v>
      </c>
      <c r="Y35">
        <v>2.5</v>
      </c>
      <c r="AA35">
        <v>0.39999999999963598</v>
      </c>
      <c r="AC35">
        <v>0</v>
      </c>
      <c r="AE35">
        <v>0.39999999999963598</v>
      </c>
      <c r="AG35">
        <v>20.5</v>
      </c>
      <c r="AH35">
        <v>7.5</v>
      </c>
      <c r="AI35">
        <v>5.0999999999985501</v>
      </c>
      <c r="AO35">
        <v>6</v>
      </c>
      <c r="AP35">
        <v>0</v>
      </c>
      <c r="AQ35">
        <v>2.3999999999978199</v>
      </c>
      <c r="AR35">
        <v>12</v>
      </c>
      <c r="AS35">
        <v>7.29999999999563</v>
      </c>
      <c r="AT35">
        <v>1</v>
      </c>
      <c r="AU35">
        <v>1.79999999999927</v>
      </c>
      <c r="AV35">
        <v>12.4</v>
      </c>
      <c r="AY35">
        <v>5.6999999999970896</v>
      </c>
      <c r="BA35">
        <v>4</v>
      </c>
      <c r="BB35">
        <v>2.6999999999970901</v>
      </c>
      <c r="BC35">
        <v>1.5</v>
      </c>
      <c r="BD35">
        <v>3.7999999999992702</v>
      </c>
      <c r="BE35">
        <v>15.3000000000029</v>
      </c>
      <c r="BG35">
        <v>0.30000000000018201</v>
      </c>
      <c r="BJ35">
        <v>5.6999999999970896</v>
      </c>
      <c r="BK35">
        <v>7.5999999999985501</v>
      </c>
      <c r="BL35">
        <v>5.0999999999985501</v>
      </c>
      <c r="BM35">
        <v>0.100000000000023</v>
      </c>
      <c r="BO35">
        <v>0.200000000000045</v>
      </c>
      <c r="BP35">
        <v>3</v>
      </c>
      <c r="BQ35">
        <v>6</v>
      </c>
      <c r="BR35">
        <v>6.5</v>
      </c>
      <c r="BS35">
        <v>0.100000000000023</v>
      </c>
      <c r="BT35">
        <v>8.3999999999941792</v>
      </c>
      <c r="BV35">
        <v>28.899999999994201</v>
      </c>
      <c r="BW35">
        <v>23.9</v>
      </c>
      <c r="BY35">
        <v>1</v>
      </c>
      <c r="BZ35">
        <v>14</v>
      </c>
      <c r="CA35">
        <v>0.2</v>
      </c>
      <c r="CB35">
        <v>0.1</v>
      </c>
      <c r="CD35">
        <v>0.1</v>
      </c>
      <c r="CE35">
        <v>1.6</v>
      </c>
      <c r="CG35">
        <v>0.3</v>
      </c>
      <c r="CI35">
        <v>0</v>
      </c>
      <c r="CK35">
        <v>2.7</v>
      </c>
      <c r="CL35">
        <v>1</v>
      </c>
      <c r="CN35">
        <v>5</v>
      </c>
      <c r="CO35">
        <v>2</v>
      </c>
      <c r="CQ35">
        <v>4.2</v>
      </c>
      <c r="CR35">
        <v>4.4000000000000004</v>
      </c>
      <c r="CS35">
        <v>12.9</v>
      </c>
      <c r="CU35">
        <v>0.6</v>
      </c>
      <c r="CV35">
        <v>0.6</v>
      </c>
      <c r="CW35">
        <v>1</v>
      </c>
      <c r="CX35">
        <v>0.1</v>
      </c>
      <c r="CZ35">
        <v>0.1</v>
      </c>
      <c r="DC35">
        <v>1.6</v>
      </c>
      <c r="DD35" s="5"/>
      <c r="DJ35" s="1">
        <v>40942</v>
      </c>
      <c r="DK35" s="2">
        <f t="shared" si="1"/>
        <v>4.7803030303025729</v>
      </c>
      <c r="DL35" s="2">
        <f t="shared" si="2"/>
        <v>3.0931372549016647</v>
      </c>
      <c r="DM35" s="2">
        <f t="shared" si="3"/>
        <v>28.899999999994201</v>
      </c>
      <c r="DN35" s="3">
        <f t="shared" si="4"/>
        <v>0.6470588235294118</v>
      </c>
      <c r="DV35" s="2">
        <v>160</v>
      </c>
      <c r="DW35">
        <v>0</v>
      </c>
      <c r="DX35">
        <f t="shared" si="5"/>
        <v>14793</v>
      </c>
      <c r="DY35" s="3">
        <f t="shared" si="0"/>
        <v>0.99993240502906588</v>
      </c>
    </row>
    <row r="36" spans="1:129">
      <c r="A36" s="1">
        <v>40943</v>
      </c>
      <c r="B36" s="1"/>
      <c r="C36" s="1"/>
      <c r="D36">
        <v>1.8</v>
      </c>
      <c r="I36">
        <v>0.4</v>
      </c>
      <c r="J36">
        <v>6.3</v>
      </c>
      <c r="L36">
        <v>2.6</v>
      </c>
      <c r="N36">
        <v>1.4</v>
      </c>
      <c r="U36">
        <v>0</v>
      </c>
      <c r="V36">
        <v>11.8</v>
      </c>
      <c r="W36">
        <v>3.9</v>
      </c>
      <c r="X36">
        <v>0.1</v>
      </c>
      <c r="AA36">
        <v>3.2</v>
      </c>
      <c r="AB36">
        <v>7.3999999999941801</v>
      </c>
      <c r="AD36">
        <v>0.59999999999945397</v>
      </c>
      <c r="AF36">
        <v>1.29999999999927</v>
      </c>
      <c r="AH36">
        <v>7.79999999999563</v>
      </c>
      <c r="AO36">
        <v>0</v>
      </c>
      <c r="AP36">
        <v>15</v>
      </c>
      <c r="AQ36">
        <v>0</v>
      </c>
      <c r="AS36">
        <v>5.0999999999985501</v>
      </c>
      <c r="AT36">
        <v>4</v>
      </c>
      <c r="AU36">
        <v>0.39999999999963598</v>
      </c>
      <c r="AV36">
        <v>0</v>
      </c>
      <c r="AY36">
        <v>1.79999999999927</v>
      </c>
      <c r="AZ36">
        <v>6.5</v>
      </c>
      <c r="BA36">
        <v>17.399999999994201</v>
      </c>
      <c r="BB36">
        <v>2.0999999999985399</v>
      </c>
      <c r="BD36">
        <v>2.9000000000014601</v>
      </c>
      <c r="BE36">
        <v>14.600000000005799</v>
      </c>
      <c r="BF36">
        <v>1.39999999999964</v>
      </c>
      <c r="BJ36">
        <v>0.80000000000018201</v>
      </c>
      <c r="BK36">
        <v>3.2999999999992702</v>
      </c>
      <c r="BL36">
        <v>0.60000000000036402</v>
      </c>
      <c r="BM36">
        <v>0.200000000000045</v>
      </c>
      <c r="BN36">
        <v>1.60000000000036</v>
      </c>
      <c r="BO36">
        <v>1.20000000000073</v>
      </c>
      <c r="BP36">
        <v>0.200000000000045</v>
      </c>
      <c r="BQ36">
        <v>0.80000000000018201</v>
      </c>
      <c r="BR36">
        <v>9</v>
      </c>
      <c r="BS36">
        <v>1.29999999999927</v>
      </c>
      <c r="BT36">
        <v>2.2000000000007298</v>
      </c>
      <c r="BV36">
        <v>28.399999999994201</v>
      </c>
      <c r="BW36">
        <v>2</v>
      </c>
      <c r="BY36">
        <v>0.7</v>
      </c>
      <c r="BZ36">
        <v>1</v>
      </c>
      <c r="CD36">
        <v>0.2</v>
      </c>
      <c r="CF36">
        <v>1</v>
      </c>
      <c r="CL36">
        <v>18.5</v>
      </c>
      <c r="CM36">
        <v>0.7</v>
      </c>
      <c r="CN36">
        <v>0.2</v>
      </c>
      <c r="CQ36">
        <v>0.5</v>
      </c>
      <c r="CR36">
        <v>0.1</v>
      </c>
      <c r="CS36">
        <v>30</v>
      </c>
      <c r="CU36">
        <v>2.2999999999999998</v>
      </c>
      <c r="DA36">
        <v>4.9000000000000004</v>
      </c>
      <c r="DC36">
        <v>1.3</v>
      </c>
      <c r="DD36" s="5">
        <v>0.5</v>
      </c>
      <c r="DJ36" s="1">
        <v>40943</v>
      </c>
      <c r="DK36" s="2">
        <f t="shared" si="1"/>
        <v>4.2418181818178367</v>
      </c>
      <c r="DL36" s="2">
        <f t="shared" si="2"/>
        <v>2.2872549019605981</v>
      </c>
      <c r="DM36" s="2">
        <f t="shared" si="3"/>
        <v>30</v>
      </c>
      <c r="DN36" s="3">
        <f t="shared" si="4"/>
        <v>0.53921568627450978</v>
      </c>
      <c r="DV36" s="2">
        <v>165</v>
      </c>
      <c r="DW36">
        <v>0</v>
      </c>
      <c r="DX36">
        <f t="shared" si="5"/>
        <v>14793</v>
      </c>
      <c r="DY36" s="3">
        <f t="shared" si="0"/>
        <v>0.99993240502906588</v>
      </c>
    </row>
    <row r="37" spans="1:129">
      <c r="A37" s="1">
        <v>40944</v>
      </c>
      <c r="B37" s="1"/>
      <c r="C37" s="1"/>
      <c r="H37">
        <v>5.3</v>
      </c>
      <c r="I37">
        <v>5.4</v>
      </c>
      <c r="J37">
        <v>5.3</v>
      </c>
      <c r="K37">
        <v>8.5</v>
      </c>
      <c r="M37">
        <v>11</v>
      </c>
      <c r="O37">
        <v>1.8</v>
      </c>
      <c r="T37">
        <v>0.3</v>
      </c>
      <c r="U37">
        <v>0</v>
      </c>
      <c r="W37">
        <v>2.9</v>
      </c>
      <c r="X37">
        <v>0</v>
      </c>
      <c r="AA37">
        <v>0</v>
      </c>
      <c r="AB37">
        <v>1.29999999999927</v>
      </c>
      <c r="AE37">
        <v>7.3999999999941801</v>
      </c>
      <c r="AH37">
        <v>1.39999999999964</v>
      </c>
      <c r="AM37">
        <v>51</v>
      </c>
      <c r="AN37">
        <v>31</v>
      </c>
      <c r="AO37">
        <v>2.9</v>
      </c>
      <c r="AP37">
        <v>5</v>
      </c>
      <c r="AQ37">
        <v>1.5999999999985499</v>
      </c>
      <c r="AS37">
        <v>4.5</v>
      </c>
      <c r="AT37">
        <v>0</v>
      </c>
      <c r="AV37">
        <v>10</v>
      </c>
      <c r="AY37">
        <v>0.89999999999963598</v>
      </c>
      <c r="AZ37">
        <v>0.39999999999963598</v>
      </c>
      <c r="BA37">
        <v>19.199999999982499</v>
      </c>
      <c r="BB37">
        <v>2.5999999999985399</v>
      </c>
      <c r="BD37">
        <v>0.69999999999981799</v>
      </c>
      <c r="BE37">
        <v>0</v>
      </c>
      <c r="BG37">
        <v>4.3000000000029104</v>
      </c>
      <c r="BK37">
        <v>3.7999999999992702</v>
      </c>
      <c r="BM37">
        <v>0.200000000000045</v>
      </c>
      <c r="BN37">
        <v>0.30000000000018201</v>
      </c>
      <c r="BO37">
        <v>0.200000000000045</v>
      </c>
      <c r="BP37">
        <v>0.30000000000018201</v>
      </c>
      <c r="BQ37">
        <v>1.39999999999964</v>
      </c>
      <c r="BR37">
        <v>0.69999999999981799</v>
      </c>
      <c r="BS37">
        <v>0.400000000000091</v>
      </c>
      <c r="BT37">
        <v>0.200000000000045</v>
      </c>
      <c r="BU37">
        <v>0</v>
      </c>
      <c r="BW37">
        <v>5.6</v>
      </c>
      <c r="BX37">
        <v>9.9999999999908995E-2</v>
      </c>
      <c r="BY37">
        <v>0.8</v>
      </c>
      <c r="BZ37">
        <v>1.5</v>
      </c>
      <c r="CA37">
        <v>0.1</v>
      </c>
      <c r="CB37">
        <v>0.7</v>
      </c>
      <c r="CD37">
        <v>1.5</v>
      </c>
      <c r="CJ37">
        <v>36.299999999999997</v>
      </c>
      <c r="CL37">
        <v>9</v>
      </c>
      <c r="CQ37">
        <v>6.6</v>
      </c>
      <c r="CS37">
        <v>6</v>
      </c>
      <c r="CT37">
        <v>18.399999999999999</v>
      </c>
      <c r="CU37">
        <v>6.4</v>
      </c>
      <c r="DD37" s="5">
        <v>50.1</v>
      </c>
      <c r="DJ37" s="1">
        <v>40944</v>
      </c>
      <c r="DK37" s="2">
        <f t="shared" si="1"/>
        <v>6.3264150943391302</v>
      </c>
      <c r="DL37" s="2">
        <f t="shared" si="2"/>
        <v>3.2872549019605288</v>
      </c>
      <c r="DM37" s="2">
        <f t="shared" si="3"/>
        <v>51</v>
      </c>
      <c r="DN37" s="3">
        <f t="shared" si="4"/>
        <v>0.51960784313725494</v>
      </c>
      <c r="DV37" s="2">
        <v>170</v>
      </c>
      <c r="DW37">
        <v>1</v>
      </c>
      <c r="DX37">
        <f t="shared" si="5"/>
        <v>14794</v>
      </c>
      <c r="DY37" s="3">
        <f t="shared" si="0"/>
        <v>1</v>
      </c>
    </row>
    <row r="38" spans="1:129">
      <c r="A38" s="1">
        <v>40945</v>
      </c>
      <c r="B38" s="1"/>
      <c r="C38" s="1"/>
      <c r="H38">
        <v>0.2</v>
      </c>
      <c r="I38">
        <v>0.5</v>
      </c>
      <c r="J38">
        <v>6.1</v>
      </c>
      <c r="K38">
        <v>18.3</v>
      </c>
      <c r="L38">
        <v>2.8</v>
      </c>
      <c r="M38">
        <v>5.6</v>
      </c>
      <c r="O38">
        <v>7.6</v>
      </c>
      <c r="P38">
        <v>1.1000000000000001</v>
      </c>
      <c r="R38">
        <v>0.3</v>
      </c>
      <c r="S38">
        <v>13.5</v>
      </c>
      <c r="U38">
        <v>0</v>
      </c>
      <c r="W38">
        <v>0.4</v>
      </c>
      <c r="X38">
        <v>0.6</v>
      </c>
      <c r="Y38">
        <v>2</v>
      </c>
      <c r="AA38">
        <v>1.29999999999927</v>
      </c>
      <c r="AB38">
        <v>11.899999999994201</v>
      </c>
      <c r="AC38">
        <v>7.29999999999563</v>
      </c>
      <c r="AD38">
        <v>2.0999999999985399</v>
      </c>
      <c r="AF38">
        <v>0.19999999999981799</v>
      </c>
      <c r="AG38">
        <v>4.2999999999956398</v>
      </c>
      <c r="AH38">
        <v>0</v>
      </c>
      <c r="AJ38">
        <v>4.3999999999941801</v>
      </c>
      <c r="AK38">
        <v>0.69999999999981799</v>
      </c>
      <c r="AL38">
        <v>13.3</v>
      </c>
      <c r="AM38">
        <v>7.0999999999985501</v>
      </c>
      <c r="AN38">
        <v>4</v>
      </c>
      <c r="AO38">
        <v>6</v>
      </c>
      <c r="AR38">
        <v>0.39999999999963598</v>
      </c>
      <c r="AS38">
        <v>7.5999999999985501</v>
      </c>
      <c r="AT38">
        <v>6.6</v>
      </c>
      <c r="AV38">
        <v>15.2</v>
      </c>
      <c r="AW38">
        <v>9.9999999999908995E-2</v>
      </c>
      <c r="AZ38">
        <v>0.29999999999972699</v>
      </c>
      <c r="BA38">
        <v>3</v>
      </c>
      <c r="BB38">
        <v>0.19999999999981799</v>
      </c>
      <c r="BD38">
        <v>5.5999999999985501</v>
      </c>
      <c r="BE38">
        <v>4.5999999999985501</v>
      </c>
      <c r="BG38">
        <v>17.899999999994201</v>
      </c>
      <c r="BH38">
        <v>0.30000000000018201</v>
      </c>
      <c r="BI38">
        <v>8</v>
      </c>
      <c r="BK38">
        <v>0.200000000000045</v>
      </c>
      <c r="BL38">
        <v>0.80000000000018201</v>
      </c>
      <c r="BM38">
        <v>0.100000000000023</v>
      </c>
      <c r="BN38">
        <v>0.200000000000045</v>
      </c>
      <c r="BO38">
        <v>0.30000000000018201</v>
      </c>
      <c r="BP38">
        <v>0.5</v>
      </c>
      <c r="BR38">
        <v>8.1999999999970896</v>
      </c>
      <c r="BS38">
        <v>0.200000000000045</v>
      </c>
      <c r="BT38">
        <v>6.8000000000029104</v>
      </c>
      <c r="BU38">
        <v>0.69999999999981799</v>
      </c>
      <c r="BX38">
        <v>1.0999999999985499</v>
      </c>
      <c r="BY38">
        <v>0</v>
      </c>
      <c r="BZ38">
        <v>1.6</v>
      </c>
      <c r="CA38">
        <v>1.1000000000000001</v>
      </c>
      <c r="CD38">
        <v>6.2</v>
      </c>
      <c r="CF38">
        <v>0.8</v>
      </c>
      <c r="CI38">
        <v>6.5</v>
      </c>
      <c r="CJ38">
        <v>9.3000000000000007</v>
      </c>
      <c r="CK38">
        <v>2.1</v>
      </c>
      <c r="CL38">
        <v>1</v>
      </c>
      <c r="CM38">
        <v>29</v>
      </c>
      <c r="CQ38">
        <v>9.5</v>
      </c>
      <c r="CS38">
        <v>20.9</v>
      </c>
      <c r="CT38">
        <v>21.7</v>
      </c>
      <c r="CZ38">
        <v>9</v>
      </c>
      <c r="DC38">
        <v>3.2</v>
      </c>
      <c r="DD38" s="5">
        <v>3</v>
      </c>
      <c r="DJ38" s="1">
        <v>40945</v>
      </c>
      <c r="DK38" s="2">
        <f t="shared" si="1"/>
        <v>5.0059701492531881</v>
      </c>
      <c r="DL38" s="2">
        <f t="shared" si="2"/>
        <v>3.2882352941172903</v>
      </c>
      <c r="DM38" s="2">
        <f t="shared" si="3"/>
        <v>29</v>
      </c>
      <c r="DN38" s="3">
        <f t="shared" si="4"/>
        <v>0.65686274509803921</v>
      </c>
      <c r="DV38" s="2">
        <v>175</v>
      </c>
      <c r="DW38">
        <v>0</v>
      </c>
      <c r="DX38">
        <f t="shared" si="5"/>
        <v>14794</v>
      </c>
      <c r="DY38">
        <f t="shared" si="0"/>
        <v>1</v>
      </c>
    </row>
    <row r="39" spans="1:129">
      <c r="A39" s="1">
        <v>40946</v>
      </c>
      <c r="B39" s="1"/>
      <c r="C39" s="1"/>
      <c r="I39">
        <v>28.2</v>
      </c>
      <c r="J39">
        <v>1.8</v>
      </c>
      <c r="K39">
        <v>0.6</v>
      </c>
      <c r="L39">
        <v>0.2</v>
      </c>
      <c r="M39">
        <v>0.5</v>
      </c>
      <c r="O39">
        <v>20.2</v>
      </c>
      <c r="P39">
        <v>23.3</v>
      </c>
      <c r="S39">
        <v>2</v>
      </c>
      <c r="T39">
        <v>3.5</v>
      </c>
      <c r="U39">
        <v>0</v>
      </c>
      <c r="V39">
        <v>2.2999999999999998</v>
      </c>
      <c r="X39">
        <v>0</v>
      </c>
      <c r="Y39">
        <v>0.3</v>
      </c>
      <c r="AA39">
        <v>7.79999999999563</v>
      </c>
      <c r="AB39">
        <v>29.399999999994201</v>
      </c>
      <c r="AC39">
        <v>10.1999999999971</v>
      </c>
      <c r="AD39">
        <v>3.7999999999992702</v>
      </c>
      <c r="AF39">
        <v>0.59999999999945397</v>
      </c>
      <c r="AG39">
        <v>11.1999999999971</v>
      </c>
      <c r="AI39">
        <v>3</v>
      </c>
      <c r="AJ39">
        <v>0.5</v>
      </c>
      <c r="AK39">
        <v>0.89999999999963598</v>
      </c>
      <c r="AL39">
        <v>9.9999999999908995E-2</v>
      </c>
      <c r="AM39">
        <v>6.1999999999970896</v>
      </c>
      <c r="AO39">
        <v>4.2</v>
      </c>
      <c r="AR39">
        <v>1.0999999999985499</v>
      </c>
      <c r="AT39">
        <v>3</v>
      </c>
      <c r="AV39">
        <v>2</v>
      </c>
      <c r="AW39">
        <v>0.29999999999972699</v>
      </c>
      <c r="AY39">
        <v>1.1999999999989099</v>
      </c>
      <c r="AZ39">
        <v>1.0999999999985499</v>
      </c>
      <c r="BA39">
        <v>0.19999999999981799</v>
      </c>
      <c r="BB39">
        <v>2.1999999999970901</v>
      </c>
      <c r="BC39">
        <v>0.29999999999972699</v>
      </c>
      <c r="BD39">
        <v>0</v>
      </c>
      <c r="BE39">
        <v>14</v>
      </c>
      <c r="BH39">
        <v>0.30000000000018201</v>
      </c>
      <c r="BI39">
        <v>8</v>
      </c>
      <c r="BJ39">
        <v>2</v>
      </c>
      <c r="BK39">
        <v>1.10000000000036</v>
      </c>
      <c r="BL39">
        <v>0.100000000000023</v>
      </c>
      <c r="BN39">
        <v>0</v>
      </c>
      <c r="BO39">
        <v>0.100000000000023</v>
      </c>
      <c r="BP39">
        <v>3</v>
      </c>
      <c r="BQ39">
        <v>3.4000000000014601</v>
      </c>
      <c r="BR39">
        <v>2.2999999999992702</v>
      </c>
      <c r="BS39">
        <v>5.5999999999985501</v>
      </c>
      <c r="BU39">
        <v>2.5999999999985399</v>
      </c>
      <c r="BY39">
        <v>7.1</v>
      </c>
      <c r="BZ39">
        <v>0</v>
      </c>
      <c r="CA39">
        <v>0.1</v>
      </c>
      <c r="CD39">
        <v>0.5</v>
      </c>
      <c r="CE39">
        <v>0.1</v>
      </c>
      <c r="CF39">
        <v>1</v>
      </c>
      <c r="CG39">
        <v>2.2999999999999998</v>
      </c>
      <c r="CH39">
        <v>2.1</v>
      </c>
      <c r="CJ39">
        <v>6</v>
      </c>
      <c r="CK39">
        <v>5</v>
      </c>
      <c r="CM39">
        <v>10</v>
      </c>
      <c r="CQ39">
        <v>33.700000000000003</v>
      </c>
      <c r="CS39">
        <v>13.5</v>
      </c>
      <c r="CT39">
        <v>10</v>
      </c>
      <c r="CW39">
        <v>1</v>
      </c>
      <c r="CX39">
        <v>14.5</v>
      </c>
      <c r="CZ39">
        <v>23.3</v>
      </c>
      <c r="DA39">
        <v>2.9</v>
      </c>
      <c r="DC39">
        <v>1.3</v>
      </c>
      <c r="DD39" s="5"/>
      <c r="DJ39" s="1">
        <v>40946</v>
      </c>
      <c r="DK39" s="2">
        <f t="shared" si="1"/>
        <v>5.210447761193584</v>
      </c>
      <c r="DL39" s="2">
        <f t="shared" si="2"/>
        <v>3.4225490196075503</v>
      </c>
      <c r="DM39" s="2">
        <f t="shared" si="3"/>
        <v>33.700000000000003</v>
      </c>
      <c r="DN39" s="3">
        <f t="shared" si="4"/>
        <v>0.65686274509803921</v>
      </c>
      <c r="DV39" s="2">
        <v>180</v>
      </c>
      <c r="DW39">
        <v>0</v>
      </c>
      <c r="DX39">
        <f t="shared" si="5"/>
        <v>14794</v>
      </c>
      <c r="DY39">
        <f t="shared" si="0"/>
        <v>1</v>
      </c>
    </row>
    <row r="40" spans="1:129">
      <c r="A40" s="1">
        <v>40947</v>
      </c>
      <c r="B40" s="1"/>
      <c r="C40" s="1"/>
      <c r="F40">
        <v>2.4</v>
      </c>
      <c r="G40">
        <v>0.2</v>
      </c>
      <c r="I40">
        <v>3.5</v>
      </c>
      <c r="K40">
        <v>12.1</v>
      </c>
      <c r="L40">
        <v>0</v>
      </c>
      <c r="N40">
        <v>0.8</v>
      </c>
      <c r="O40">
        <v>5.0999999999999996</v>
      </c>
      <c r="S40">
        <v>1.8</v>
      </c>
      <c r="U40">
        <v>0.24</v>
      </c>
      <c r="V40">
        <v>2</v>
      </c>
      <c r="W40">
        <v>9</v>
      </c>
      <c r="AA40">
        <v>3</v>
      </c>
      <c r="AB40">
        <v>57.5</v>
      </c>
      <c r="AD40">
        <v>0.79999999999927196</v>
      </c>
      <c r="AE40">
        <v>0</v>
      </c>
      <c r="AF40">
        <v>2.0999999999985399</v>
      </c>
      <c r="AJ40">
        <v>1</v>
      </c>
      <c r="AO40">
        <v>9.9999999999908995E-2</v>
      </c>
      <c r="AR40">
        <v>25.799999999988401</v>
      </c>
      <c r="AS40">
        <v>26.5</v>
      </c>
      <c r="AU40">
        <v>7.1999999999970896</v>
      </c>
      <c r="AV40">
        <v>30</v>
      </c>
      <c r="AW40">
        <v>0.29999999999972699</v>
      </c>
      <c r="AY40">
        <v>0.19999999999981799</v>
      </c>
      <c r="BA40">
        <v>0.79999999999927196</v>
      </c>
      <c r="BB40">
        <v>0.5</v>
      </c>
      <c r="BC40">
        <v>18.699999999982499</v>
      </c>
      <c r="BD40">
        <v>0.400000000000091</v>
      </c>
      <c r="BE40">
        <v>2</v>
      </c>
      <c r="BF40">
        <v>3.2999999999992702</v>
      </c>
      <c r="BG40">
        <v>0.5</v>
      </c>
      <c r="BH40">
        <v>0.200000000000045</v>
      </c>
      <c r="BI40">
        <v>0.400000000000091</v>
      </c>
      <c r="BJ40">
        <v>6.8000000000029104</v>
      </c>
      <c r="BK40">
        <v>0.30000000000018201</v>
      </c>
      <c r="BM40">
        <v>0.100000000000023</v>
      </c>
      <c r="BN40">
        <v>14</v>
      </c>
      <c r="BO40">
        <v>14</v>
      </c>
      <c r="BP40">
        <v>4.5</v>
      </c>
      <c r="BR40">
        <v>7.8000000000029104</v>
      </c>
      <c r="BS40">
        <v>0.200000000000045</v>
      </c>
      <c r="BZ40">
        <v>14.3</v>
      </c>
      <c r="CA40">
        <v>2.6</v>
      </c>
      <c r="CF40">
        <v>8.5</v>
      </c>
      <c r="CH40">
        <v>0.3</v>
      </c>
      <c r="CJ40">
        <v>9.5</v>
      </c>
      <c r="CM40">
        <v>15.5</v>
      </c>
      <c r="CQ40">
        <v>4.3</v>
      </c>
      <c r="CS40">
        <v>2.8</v>
      </c>
      <c r="CT40">
        <v>2.2999999999999998</v>
      </c>
      <c r="CV40">
        <v>0.5</v>
      </c>
      <c r="CW40">
        <v>25.3</v>
      </c>
      <c r="CX40">
        <v>4.0999999999999996</v>
      </c>
      <c r="CZ40">
        <v>6.2</v>
      </c>
      <c r="DA40">
        <v>7.1</v>
      </c>
      <c r="DB40">
        <v>0.3</v>
      </c>
      <c r="DC40">
        <v>16.399999999999999</v>
      </c>
      <c r="DD40" s="5"/>
      <c r="DJ40" s="1">
        <v>40947</v>
      </c>
      <c r="DK40" s="2">
        <f t="shared" si="1"/>
        <v>6.7743859649117582</v>
      </c>
      <c r="DL40" s="2">
        <f t="shared" si="2"/>
        <v>3.7856862745095117</v>
      </c>
      <c r="DM40" s="2">
        <f t="shared" si="3"/>
        <v>57.5</v>
      </c>
      <c r="DN40" s="3">
        <f t="shared" si="4"/>
        <v>0.55882352941176472</v>
      </c>
      <c r="DV40" s="2">
        <v>185</v>
      </c>
      <c r="DW40">
        <v>0</v>
      </c>
      <c r="DX40">
        <f t="shared" si="5"/>
        <v>14794</v>
      </c>
      <c r="DY40">
        <f t="shared" si="0"/>
        <v>1</v>
      </c>
    </row>
    <row r="41" spans="1:129">
      <c r="A41" s="1">
        <v>40948</v>
      </c>
      <c r="B41" s="1"/>
      <c r="C41" s="1"/>
      <c r="D41">
        <v>0.2</v>
      </c>
      <c r="F41">
        <v>0.5</v>
      </c>
      <c r="G41">
        <v>3.7</v>
      </c>
      <c r="J41">
        <v>1.2</v>
      </c>
      <c r="K41">
        <v>4</v>
      </c>
      <c r="L41">
        <v>42.2</v>
      </c>
      <c r="M41">
        <v>1.5</v>
      </c>
      <c r="N41">
        <v>6.6</v>
      </c>
      <c r="O41">
        <v>16</v>
      </c>
      <c r="S41">
        <v>3</v>
      </c>
      <c r="U41">
        <v>0</v>
      </c>
      <c r="V41">
        <v>6.4</v>
      </c>
      <c r="W41">
        <v>5.2</v>
      </c>
      <c r="X41">
        <v>4.0999999999999996</v>
      </c>
      <c r="AA41">
        <v>0.79999999999927196</v>
      </c>
      <c r="AB41">
        <v>3.8999999999978199</v>
      </c>
      <c r="AD41">
        <v>4.3</v>
      </c>
      <c r="AE41">
        <v>0.1</v>
      </c>
      <c r="AG41">
        <v>0.29999999999972699</v>
      </c>
      <c r="AI41">
        <v>7</v>
      </c>
      <c r="AJ41">
        <v>1.1999999999989099</v>
      </c>
      <c r="AN41">
        <v>3.5999999999985399</v>
      </c>
      <c r="AQ41">
        <v>2.6999999999970901</v>
      </c>
      <c r="AR41">
        <v>5.29999999999563</v>
      </c>
      <c r="AT41">
        <v>4</v>
      </c>
      <c r="AU41">
        <v>33.5</v>
      </c>
      <c r="AV41">
        <v>19</v>
      </c>
      <c r="BA41">
        <v>3.5999999999985399</v>
      </c>
      <c r="BC41">
        <v>9.2999999999883602</v>
      </c>
      <c r="BD41">
        <v>0</v>
      </c>
      <c r="BG41">
        <v>0.89999999999963598</v>
      </c>
      <c r="BI41">
        <v>1</v>
      </c>
      <c r="BJ41">
        <v>0.200000000000045</v>
      </c>
      <c r="BK41">
        <v>4.8000000000029104</v>
      </c>
      <c r="BN41">
        <v>0.200000000000045</v>
      </c>
      <c r="BO41">
        <v>6.5</v>
      </c>
      <c r="BP41">
        <v>4.1999999999970896</v>
      </c>
      <c r="BR41">
        <v>3.7000000000007298</v>
      </c>
      <c r="BV41">
        <v>0.200000000000045</v>
      </c>
      <c r="BX41">
        <v>4.5</v>
      </c>
      <c r="BY41">
        <v>1.6</v>
      </c>
      <c r="BZ41">
        <v>5.0999999999999996</v>
      </c>
      <c r="CB41">
        <v>0.8</v>
      </c>
      <c r="CC41">
        <v>0.5</v>
      </c>
      <c r="CE41">
        <v>1</v>
      </c>
      <c r="CI41">
        <v>1.3</v>
      </c>
      <c r="CJ41">
        <v>12.5</v>
      </c>
      <c r="CM41">
        <v>4</v>
      </c>
      <c r="CQ41">
        <v>0.5</v>
      </c>
      <c r="CR41">
        <v>1.1000000000000001</v>
      </c>
      <c r="CS41">
        <v>13.3</v>
      </c>
      <c r="CT41">
        <v>7</v>
      </c>
      <c r="CV41">
        <v>7.8</v>
      </c>
      <c r="CW41">
        <v>30.3</v>
      </c>
      <c r="CX41">
        <v>0.1</v>
      </c>
      <c r="CZ41">
        <v>0.5</v>
      </c>
      <c r="DA41">
        <v>6.6</v>
      </c>
      <c r="DB41">
        <v>3.7</v>
      </c>
      <c r="DC41">
        <v>6.9</v>
      </c>
      <c r="DD41" s="5"/>
      <c r="DJ41" s="1">
        <v>40948</v>
      </c>
      <c r="DK41" s="2">
        <f t="shared" si="1"/>
        <v>5.4915254237283797</v>
      </c>
      <c r="DL41" s="2">
        <f t="shared" si="2"/>
        <v>3.1764705882350435</v>
      </c>
      <c r="DM41" s="2">
        <f t="shared" si="3"/>
        <v>42.2</v>
      </c>
      <c r="DN41" s="3">
        <f t="shared" si="4"/>
        <v>0.57843137254901966</v>
      </c>
      <c r="DV41" s="2">
        <v>190</v>
      </c>
      <c r="DW41">
        <v>0</v>
      </c>
      <c r="DX41">
        <f t="shared" si="5"/>
        <v>14794</v>
      </c>
      <c r="DY41">
        <f t="shared" si="0"/>
        <v>1</v>
      </c>
    </row>
    <row r="42" spans="1:129">
      <c r="A42" s="1">
        <v>40949</v>
      </c>
      <c r="B42" s="1"/>
      <c r="C42" s="1"/>
      <c r="D42">
        <v>4.5</v>
      </c>
      <c r="G42">
        <v>0.5</v>
      </c>
      <c r="K42">
        <v>3.8</v>
      </c>
      <c r="L42">
        <v>9.1</v>
      </c>
      <c r="O42">
        <v>4</v>
      </c>
      <c r="Q42">
        <v>0.2</v>
      </c>
      <c r="U42">
        <v>0</v>
      </c>
      <c r="V42">
        <v>0</v>
      </c>
      <c r="W42">
        <v>0</v>
      </c>
      <c r="X42">
        <v>16.5</v>
      </c>
      <c r="AA42">
        <v>45.599999999976703</v>
      </c>
      <c r="AB42">
        <v>1.1999999999989099</v>
      </c>
      <c r="AC42">
        <v>20.599999999976699</v>
      </c>
      <c r="AE42">
        <v>0</v>
      </c>
      <c r="AF42">
        <v>2.7999999999992702</v>
      </c>
      <c r="AH42">
        <v>0.69999999999981799</v>
      </c>
      <c r="AI42">
        <v>0.69999999999981799</v>
      </c>
      <c r="AJ42">
        <v>20</v>
      </c>
      <c r="AK42">
        <v>0</v>
      </c>
      <c r="AL42">
        <v>9.5999999999912706</v>
      </c>
      <c r="AN42">
        <v>3.0999999999985399</v>
      </c>
      <c r="AP42">
        <v>9.5</v>
      </c>
      <c r="AQ42">
        <v>5.6999999999970896</v>
      </c>
      <c r="AR42">
        <v>8.6999999999999993</v>
      </c>
      <c r="AT42">
        <v>1.6999999999989099</v>
      </c>
      <c r="AU42">
        <v>2.3999999999978199</v>
      </c>
      <c r="AW42">
        <v>3.2999999999992702</v>
      </c>
      <c r="AY42">
        <v>0.39999999999963598</v>
      </c>
      <c r="BC42">
        <v>0.89999999999963598</v>
      </c>
      <c r="BD42">
        <v>4.5</v>
      </c>
      <c r="BE42">
        <v>25.200000000011599</v>
      </c>
      <c r="BF42">
        <v>9.3999999999941792</v>
      </c>
      <c r="BG42">
        <v>10.3000000000029</v>
      </c>
      <c r="BI42">
        <v>5.5999999999985501</v>
      </c>
      <c r="BK42">
        <v>0.200000000000045</v>
      </c>
      <c r="BN42">
        <v>0.100000000000023</v>
      </c>
      <c r="BO42">
        <v>0</v>
      </c>
      <c r="BS42">
        <v>1.20000000000073</v>
      </c>
      <c r="BT42">
        <v>0.100000000000023</v>
      </c>
      <c r="BV42">
        <v>1.10000000000036</v>
      </c>
      <c r="BX42">
        <v>5.79999999999563</v>
      </c>
      <c r="BZ42">
        <v>2.5</v>
      </c>
      <c r="CC42">
        <v>2</v>
      </c>
      <c r="CI42">
        <v>17.5</v>
      </c>
      <c r="CJ42">
        <v>4.3</v>
      </c>
      <c r="CN42">
        <v>0.1</v>
      </c>
      <c r="CQ42">
        <v>3</v>
      </c>
      <c r="CS42">
        <v>9.6</v>
      </c>
      <c r="CT42">
        <v>31.6</v>
      </c>
      <c r="CV42">
        <v>7.8</v>
      </c>
      <c r="CW42">
        <v>5.8</v>
      </c>
      <c r="CX42">
        <v>3.1</v>
      </c>
      <c r="CZ42">
        <v>0.6</v>
      </c>
      <c r="DA42">
        <v>3.4</v>
      </c>
      <c r="DB42">
        <v>0.2</v>
      </c>
      <c r="DC42">
        <v>19.100000000000001</v>
      </c>
      <c r="DD42" s="5">
        <v>2</v>
      </c>
      <c r="DJ42" s="1">
        <v>40949</v>
      </c>
      <c r="DK42" s="2">
        <f t="shared" si="1"/>
        <v>6.1684210526304835</v>
      </c>
      <c r="DL42" s="2">
        <f t="shared" si="2"/>
        <v>3.4470588235287996</v>
      </c>
      <c r="DM42" s="2">
        <f t="shared" si="3"/>
        <v>45.599999999976703</v>
      </c>
      <c r="DN42" s="3">
        <f t="shared" si="4"/>
        <v>0.55882352941176472</v>
      </c>
      <c r="DV42" s="2">
        <v>195</v>
      </c>
      <c r="DW42">
        <v>0</v>
      </c>
      <c r="DX42">
        <f t="shared" si="5"/>
        <v>14794</v>
      </c>
      <c r="DY42">
        <f t="shared" si="0"/>
        <v>1</v>
      </c>
    </row>
    <row r="43" spans="1:129">
      <c r="A43" s="1">
        <v>40950</v>
      </c>
      <c r="B43" s="1"/>
      <c r="C43" s="1"/>
      <c r="K43">
        <v>3.6</v>
      </c>
      <c r="L43">
        <v>1.8</v>
      </c>
      <c r="N43">
        <v>0.3</v>
      </c>
      <c r="O43">
        <v>0.9</v>
      </c>
      <c r="P43">
        <v>1.7</v>
      </c>
      <c r="S43">
        <v>0.7</v>
      </c>
      <c r="U43">
        <v>0</v>
      </c>
      <c r="V43">
        <v>0.2</v>
      </c>
      <c r="W43">
        <v>20.8</v>
      </c>
      <c r="X43">
        <v>26.1</v>
      </c>
      <c r="AA43">
        <v>8</v>
      </c>
      <c r="AB43">
        <v>20</v>
      </c>
      <c r="AC43">
        <v>3.5</v>
      </c>
      <c r="AF43">
        <v>17</v>
      </c>
      <c r="AH43">
        <v>0.29999999999972699</v>
      </c>
      <c r="AK43">
        <v>0.44</v>
      </c>
      <c r="AL43">
        <v>5.5999999999985501</v>
      </c>
      <c r="AN43">
        <v>28</v>
      </c>
      <c r="AO43">
        <v>8.2999999999883602</v>
      </c>
      <c r="AQ43">
        <v>0.59999999999945397</v>
      </c>
      <c r="AT43">
        <v>1</v>
      </c>
      <c r="AU43">
        <v>4.3999999999941801</v>
      </c>
      <c r="AW43">
        <v>2</v>
      </c>
      <c r="AY43">
        <v>3.1999999999970901</v>
      </c>
      <c r="AZ43">
        <v>3.3999999999978199</v>
      </c>
      <c r="BB43">
        <v>2</v>
      </c>
      <c r="BC43">
        <v>1.29999999999927</v>
      </c>
      <c r="BD43">
        <v>0.69999999999981799</v>
      </c>
      <c r="BE43">
        <v>14.3000000000029</v>
      </c>
      <c r="BG43">
        <v>2</v>
      </c>
      <c r="BH43">
        <v>23</v>
      </c>
      <c r="BI43">
        <v>31</v>
      </c>
      <c r="BJ43">
        <v>7</v>
      </c>
      <c r="BK43">
        <v>0.80000000000018201</v>
      </c>
      <c r="BM43">
        <v>8.5</v>
      </c>
      <c r="BN43">
        <v>0</v>
      </c>
      <c r="BP43">
        <v>0.30000000000018201</v>
      </c>
      <c r="BQ43">
        <v>0</v>
      </c>
      <c r="BS43">
        <v>2.7000000000007298</v>
      </c>
      <c r="BT43">
        <v>0.100000000000023</v>
      </c>
      <c r="BV43">
        <v>2.4000000000014601</v>
      </c>
      <c r="BX43">
        <v>8.7999999999883602</v>
      </c>
      <c r="BY43">
        <v>0.1</v>
      </c>
      <c r="CC43">
        <v>1</v>
      </c>
      <c r="CD43">
        <v>2.4</v>
      </c>
      <c r="CH43">
        <v>3.7</v>
      </c>
      <c r="CJ43">
        <v>2.2999999999999998</v>
      </c>
      <c r="CQ43">
        <v>0</v>
      </c>
      <c r="CT43">
        <v>0.3</v>
      </c>
      <c r="CV43">
        <v>2.1</v>
      </c>
      <c r="CW43">
        <v>16.2</v>
      </c>
      <c r="CX43">
        <v>2.4</v>
      </c>
      <c r="DA43">
        <v>1.3</v>
      </c>
      <c r="DC43">
        <v>11.5</v>
      </c>
      <c r="DD43" s="5">
        <v>8.1999999999999993</v>
      </c>
      <c r="DJ43" s="1">
        <v>40950</v>
      </c>
      <c r="DK43" s="2">
        <f t="shared" si="1"/>
        <v>5.7861818181812383</v>
      </c>
      <c r="DL43" s="2">
        <f t="shared" si="2"/>
        <v>3.1199999999996875</v>
      </c>
      <c r="DM43" s="2">
        <f t="shared" si="3"/>
        <v>31</v>
      </c>
      <c r="DN43" s="3">
        <f t="shared" si="4"/>
        <v>0.53921568627450978</v>
      </c>
      <c r="DV43" s="2">
        <v>200</v>
      </c>
      <c r="DW43">
        <v>0</v>
      </c>
      <c r="DX43">
        <f t="shared" si="5"/>
        <v>14794</v>
      </c>
      <c r="DY43">
        <f t="shared" si="0"/>
        <v>1</v>
      </c>
    </row>
    <row r="44" spans="1:129">
      <c r="A44" s="1">
        <v>40951</v>
      </c>
      <c r="B44" s="1"/>
      <c r="C44" s="1"/>
      <c r="E44">
        <v>0.6</v>
      </c>
      <c r="L44">
        <v>6.6</v>
      </c>
      <c r="S44">
        <v>30.3</v>
      </c>
      <c r="U44">
        <v>2.8</v>
      </c>
      <c r="V44">
        <v>2.8</v>
      </c>
      <c r="W44">
        <v>19.899999999999999</v>
      </c>
      <c r="X44">
        <v>15</v>
      </c>
      <c r="Y44">
        <v>12.6</v>
      </c>
      <c r="AA44">
        <v>9.2999999999883602</v>
      </c>
      <c r="AB44">
        <v>6.7</v>
      </c>
      <c r="AE44">
        <v>13.599999999991301</v>
      </c>
      <c r="AH44">
        <v>2.1999999999970901</v>
      </c>
      <c r="AI44">
        <v>1.29999999999927</v>
      </c>
      <c r="AK44">
        <v>1.4</v>
      </c>
      <c r="AN44">
        <v>13</v>
      </c>
      <c r="AP44">
        <v>0.39999999999963598</v>
      </c>
      <c r="AQ44">
        <v>9.9999999999908995E-2</v>
      </c>
      <c r="AR44">
        <v>0.19999999999981799</v>
      </c>
      <c r="AS44">
        <v>3.6999999999970901</v>
      </c>
      <c r="AW44">
        <v>2.0999999999985399</v>
      </c>
      <c r="AX44">
        <v>0</v>
      </c>
      <c r="AY44">
        <v>5.5</v>
      </c>
      <c r="BA44">
        <v>2</v>
      </c>
      <c r="BB44">
        <v>0.19999999999981799</v>
      </c>
      <c r="BC44">
        <v>5.5</v>
      </c>
      <c r="BE44">
        <v>0</v>
      </c>
      <c r="BG44">
        <v>0</v>
      </c>
      <c r="BH44">
        <v>0.69999999999981799</v>
      </c>
      <c r="BI44">
        <v>1</v>
      </c>
      <c r="BJ44">
        <v>6.5999999999985501</v>
      </c>
      <c r="BK44">
        <v>0.200000000000045</v>
      </c>
      <c r="BM44">
        <v>12.399999999994201</v>
      </c>
      <c r="BN44">
        <v>0.200000000000045</v>
      </c>
      <c r="BO44">
        <v>0</v>
      </c>
      <c r="BP44">
        <v>2.2000000000007298</v>
      </c>
      <c r="BT44">
        <v>1.20000000000073</v>
      </c>
      <c r="BU44">
        <v>0.69999999999981799</v>
      </c>
      <c r="BV44">
        <v>0.400000000000091</v>
      </c>
      <c r="BY44">
        <v>4.9000000000000004</v>
      </c>
      <c r="BZ44">
        <v>1.1000000000000001</v>
      </c>
      <c r="CC44">
        <v>0.1</v>
      </c>
      <c r="CD44">
        <v>2.4</v>
      </c>
      <c r="CH44">
        <v>4.0999999999999996</v>
      </c>
      <c r="CI44">
        <v>1.6</v>
      </c>
      <c r="CM44">
        <v>2.5</v>
      </c>
      <c r="CN44">
        <v>0.1</v>
      </c>
      <c r="CO44">
        <v>3.2</v>
      </c>
      <c r="CQ44">
        <v>10.5</v>
      </c>
      <c r="CR44">
        <v>15.3</v>
      </c>
      <c r="CT44">
        <v>13.3</v>
      </c>
      <c r="CU44">
        <v>2.2999999999999998</v>
      </c>
      <c r="CW44">
        <v>18.8</v>
      </c>
      <c r="CX44">
        <v>6.5</v>
      </c>
      <c r="DA44">
        <v>0.2</v>
      </c>
      <c r="DC44">
        <v>4.0999999999999996</v>
      </c>
      <c r="DD44" s="5">
        <v>1.32</v>
      </c>
      <c r="DJ44" s="1">
        <v>40951</v>
      </c>
      <c r="DK44" s="2">
        <f t="shared" si="1"/>
        <v>4.9235714285708019</v>
      </c>
      <c r="DL44" s="2">
        <f t="shared" si="2"/>
        <v>2.7031372549016166</v>
      </c>
      <c r="DM44" s="2">
        <f t="shared" si="3"/>
        <v>30.3</v>
      </c>
      <c r="DN44" s="3">
        <f t="shared" si="4"/>
        <v>0.5490196078431373</v>
      </c>
      <c r="DV44" s="2">
        <v>205</v>
      </c>
      <c r="DW44">
        <v>0</v>
      </c>
      <c r="DX44">
        <f t="shared" si="5"/>
        <v>14794</v>
      </c>
      <c r="DY44">
        <f t="shared" si="0"/>
        <v>1</v>
      </c>
    </row>
    <row r="45" spans="1:129">
      <c r="A45" s="1">
        <v>40952</v>
      </c>
      <c r="B45" s="1"/>
      <c r="C45" s="1"/>
      <c r="E45">
        <v>5.8</v>
      </c>
      <c r="H45">
        <v>5.2</v>
      </c>
      <c r="I45">
        <v>5.8</v>
      </c>
      <c r="L45">
        <v>4.7</v>
      </c>
      <c r="O45">
        <v>0.3</v>
      </c>
      <c r="T45">
        <v>2.5</v>
      </c>
      <c r="U45">
        <v>0.3</v>
      </c>
      <c r="V45">
        <v>0</v>
      </c>
      <c r="W45">
        <v>0.6</v>
      </c>
      <c r="X45">
        <v>1.7</v>
      </c>
      <c r="Y45">
        <v>5.7</v>
      </c>
      <c r="AA45">
        <v>2.3999999999978199</v>
      </c>
      <c r="AC45">
        <v>14.7</v>
      </c>
      <c r="AD45">
        <v>5.79999999999563</v>
      </c>
      <c r="AE45">
        <v>0</v>
      </c>
      <c r="AH45">
        <v>7.5</v>
      </c>
      <c r="AJ45">
        <v>4.6999999999970896</v>
      </c>
      <c r="AK45">
        <v>0.4</v>
      </c>
      <c r="AL45">
        <v>3.6999999999970901</v>
      </c>
      <c r="AN45">
        <v>4.79999999999563</v>
      </c>
      <c r="AO45">
        <v>0</v>
      </c>
      <c r="AS45">
        <v>6.8999999999941801</v>
      </c>
      <c r="AU45">
        <v>0.39999999999963598</v>
      </c>
      <c r="AX45">
        <v>0.29999999999972699</v>
      </c>
      <c r="AY45">
        <v>5.3</v>
      </c>
      <c r="BA45">
        <v>0.79999999999927196</v>
      </c>
      <c r="BB45">
        <v>2.1999999999970901</v>
      </c>
      <c r="BC45">
        <v>17.199999999982499</v>
      </c>
      <c r="BD45">
        <v>7.0999999999985501</v>
      </c>
      <c r="BE45">
        <v>1.20000000000073</v>
      </c>
      <c r="BG45">
        <v>2.9</v>
      </c>
      <c r="BI45">
        <v>0.200000000000045</v>
      </c>
      <c r="BK45">
        <v>0.100000000000023</v>
      </c>
      <c r="BL45">
        <v>5.3000000000029104</v>
      </c>
      <c r="BM45">
        <v>0.5</v>
      </c>
      <c r="BN45">
        <v>0.100000000000023</v>
      </c>
      <c r="BO45">
        <v>1</v>
      </c>
      <c r="BP45">
        <v>3.2000000000007298</v>
      </c>
      <c r="BS45">
        <v>0.100000000000023</v>
      </c>
      <c r="BT45">
        <v>5.1999999999970896</v>
      </c>
      <c r="BU45">
        <v>0</v>
      </c>
      <c r="BV45">
        <v>0.400000000000091</v>
      </c>
      <c r="BX45">
        <v>0</v>
      </c>
      <c r="BY45">
        <v>15.1</v>
      </c>
      <c r="BZ45">
        <v>1.8</v>
      </c>
      <c r="CB45">
        <v>0.1</v>
      </c>
      <c r="CD45">
        <v>9.3000000000000007</v>
      </c>
      <c r="CE45">
        <v>4.2</v>
      </c>
      <c r="CH45">
        <v>7.6</v>
      </c>
      <c r="CL45">
        <v>1</v>
      </c>
      <c r="CM45">
        <v>4.4000000000000004</v>
      </c>
      <c r="CO45">
        <v>2</v>
      </c>
      <c r="CQ45">
        <v>13.3</v>
      </c>
      <c r="CR45">
        <v>19.100000000000001</v>
      </c>
      <c r="CS45">
        <v>0.7</v>
      </c>
      <c r="CT45">
        <v>3.2</v>
      </c>
      <c r="CU45">
        <v>0.9</v>
      </c>
      <c r="CV45">
        <v>8.1</v>
      </c>
      <c r="CW45">
        <v>17.399999999999999</v>
      </c>
      <c r="CX45">
        <v>16.8</v>
      </c>
      <c r="CZ45">
        <v>6.6</v>
      </c>
      <c r="DB45">
        <v>1.5</v>
      </c>
      <c r="DC45">
        <v>4.7</v>
      </c>
      <c r="DD45" s="5">
        <v>3.6</v>
      </c>
      <c r="DJ45" s="1">
        <v>40952</v>
      </c>
      <c r="DK45" s="2">
        <f t="shared" si="1"/>
        <v>4.3499999999993104</v>
      </c>
      <c r="DL45" s="2">
        <f t="shared" si="2"/>
        <v>2.7294117647054499</v>
      </c>
      <c r="DM45" s="2">
        <f t="shared" si="3"/>
        <v>19.100000000000001</v>
      </c>
      <c r="DN45" s="3">
        <f t="shared" si="4"/>
        <v>0.62745098039215685</v>
      </c>
      <c r="DV45" s="2">
        <v>210</v>
      </c>
      <c r="DW45">
        <v>0</v>
      </c>
      <c r="DX45">
        <f t="shared" si="5"/>
        <v>14794</v>
      </c>
      <c r="DY45">
        <f t="shared" si="0"/>
        <v>1</v>
      </c>
    </row>
    <row r="46" spans="1:129">
      <c r="A46" s="1">
        <v>40953</v>
      </c>
      <c r="B46" s="1"/>
      <c r="C46" s="1"/>
      <c r="D46">
        <v>3</v>
      </c>
      <c r="E46">
        <v>13.5</v>
      </c>
      <c r="F46">
        <v>0.4</v>
      </c>
      <c r="I46">
        <v>1.9</v>
      </c>
      <c r="L46">
        <v>1.3</v>
      </c>
      <c r="M46">
        <v>0.5</v>
      </c>
      <c r="O46">
        <v>14.4</v>
      </c>
      <c r="P46">
        <v>16.600000000000001</v>
      </c>
      <c r="S46">
        <v>51.1</v>
      </c>
      <c r="T46">
        <v>1</v>
      </c>
      <c r="W46">
        <v>1</v>
      </c>
      <c r="X46">
        <v>0</v>
      </c>
      <c r="Z46">
        <v>0</v>
      </c>
      <c r="AD46">
        <v>1</v>
      </c>
      <c r="AE46">
        <v>2.7999999999992702</v>
      </c>
      <c r="AH46">
        <v>0.39999999999963598</v>
      </c>
      <c r="AI46">
        <v>1.79999999999927</v>
      </c>
      <c r="AJ46">
        <v>0.5</v>
      </c>
      <c r="AL46">
        <v>9.3000000000000007</v>
      </c>
      <c r="AM46">
        <v>4.0999999999985501</v>
      </c>
      <c r="AN46">
        <v>5.8999999999941801</v>
      </c>
      <c r="AO46">
        <v>8.1999999999999993</v>
      </c>
      <c r="AQ46">
        <v>5.79999999999563</v>
      </c>
      <c r="AS46">
        <v>0.19999999999981799</v>
      </c>
      <c r="AU46">
        <v>15.5</v>
      </c>
      <c r="AV46">
        <v>25.699999999982499</v>
      </c>
      <c r="AW46">
        <v>3.6999999999970901</v>
      </c>
      <c r="AY46">
        <v>0</v>
      </c>
      <c r="BA46">
        <v>8.8999999999941792</v>
      </c>
      <c r="BB46">
        <v>18.299999999988401</v>
      </c>
      <c r="BC46">
        <v>20.199999999982499</v>
      </c>
      <c r="BD46">
        <v>3.2999999999992702</v>
      </c>
      <c r="BF46">
        <v>0.400000000000091</v>
      </c>
      <c r="BG46">
        <v>6.4</v>
      </c>
      <c r="BI46">
        <v>0.5</v>
      </c>
      <c r="BL46">
        <v>10.5</v>
      </c>
      <c r="BM46">
        <v>0.100000000000023</v>
      </c>
      <c r="BO46">
        <v>0.100000000000023</v>
      </c>
      <c r="BP46">
        <v>5.1999999999970896</v>
      </c>
      <c r="BR46">
        <v>1.70000000000073</v>
      </c>
      <c r="BS46">
        <v>8.1000000000058208</v>
      </c>
      <c r="BT46">
        <v>38.5</v>
      </c>
      <c r="BU46">
        <v>8.3000000000029104</v>
      </c>
      <c r="BV46">
        <v>0</v>
      </c>
      <c r="BW46">
        <v>2.1</v>
      </c>
      <c r="BX46">
        <v>9.9999999999908995E-2</v>
      </c>
      <c r="BY46">
        <v>0</v>
      </c>
      <c r="BZ46">
        <v>5.7</v>
      </c>
      <c r="CB46">
        <v>3.7</v>
      </c>
      <c r="CE46">
        <v>0</v>
      </c>
      <c r="CH46">
        <v>1.7</v>
      </c>
      <c r="CK46">
        <v>2.5</v>
      </c>
      <c r="CL46">
        <v>0.1</v>
      </c>
      <c r="CM46">
        <v>5.5</v>
      </c>
      <c r="CO46">
        <v>5.5</v>
      </c>
      <c r="CQ46">
        <v>4.7</v>
      </c>
      <c r="CR46">
        <v>0.1</v>
      </c>
      <c r="CT46">
        <v>0.4</v>
      </c>
      <c r="CU46">
        <v>0.9</v>
      </c>
      <c r="CW46">
        <v>15.5</v>
      </c>
      <c r="CX46">
        <v>1.8</v>
      </c>
      <c r="CZ46">
        <v>13.7</v>
      </c>
      <c r="DA46">
        <v>5.8</v>
      </c>
      <c r="DB46">
        <v>8.5</v>
      </c>
      <c r="DC46">
        <v>1.5</v>
      </c>
      <c r="DD46" s="5"/>
      <c r="DJ46" s="1">
        <v>40953</v>
      </c>
      <c r="DK46" s="2">
        <f t="shared" si="1"/>
        <v>6.1523076923067208</v>
      </c>
      <c r="DL46" s="2">
        <f t="shared" si="2"/>
        <v>3.9205882352934989</v>
      </c>
      <c r="DM46" s="2">
        <f t="shared" si="3"/>
        <v>51.1</v>
      </c>
      <c r="DN46" s="3">
        <f t="shared" si="4"/>
        <v>0.63725490196078427</v>
      </c>
      <c r="DV46" s="2">
        <v>215</v>
      </c>
      <c r="DW46">
        <v>0</v>
      </c>
      <c r="DX46">
        <f t="shared" si="5"/>
        <v>14794</v>
      </c>
      <c r="DY46">
        <f t="shared" si="0"/>
        <v>1</v>
      </c>
    </row>
    <row r="47" spans="1:129">
      <c r="A47" s="1">
        <v>40954</v>
      </c>
      <c r="B47" s="1"/>
      <c r="C47" s="1"/>
      <c r="D47">
        <v>9.6</v>
      </c>
      <c r="E47">
        <v>0.9</v>
      </c>
      <c r="F47">
        <v>0.4</v>
      </c>
      <c r="I47">
        <v>0.6</v>
      </c>
      <c r="J47">
        <v>7.3</v>
      </c>
      <c r="L47">
        <v>0.8</v>
      </c>
      <c r="M47">
        <v>1.9</v>
      </c>
      <c r="O47">
        <v>0.4</v>
      </c>
      <c r="S47">
        <v>55.1</v>
      </c>
      <c r="T47">
        <v>4.5</v>
      </c>
      <c r="Y47">
        <v>18.5</v>
      </c>
      <c r="Z47">
        <v>0</v>
      </c>
      <c r="AA47">
        <v>0.39999999999963598</v>
      </c>
      <c r="AC47">
        <v>0</v>
      </c>
      <c r="AE47">
        <v>8.0999999999912706</v>
      </c>
      <c r="AF47">
        <v>17.599999999976699</v>
      </c>
      <c r="AG47">
        <v>2</v>
      </c>
      <c r="AJ47">
        <v>10.899999999994201</v>
      </c>
      <c r="AL47">
        <v>2</v>
      </c>
      <c r="AM47">
        <v>1</v>
      </c>
      <c r="AN47">
        <v>8.1999999999970896</v>
      </c>
      <c r="AO47">
        <v>2.4</v>
      </c>
      <c r="AP47">
        <v>0.5</v>
      </c>
      <c r="AS47">
        <v>5.79999999999563</v>
      </c>
      <c r="AU47">
        <v>10.399999999994201</v>
      </c>
      <c r="AV47">
        <v>9.2999999999883602</v>
      </c>
      <c r="AW47">
        <v>0.29999999999972699</v>
      </c>
      <c r="AY47">
        <v>3</v>
      </c>
      <c r="AZ47">
        <v>0.79999999999927196</v>
      </c>
      <c r="BA47">
        <v>3.6999999999970901</v>
      </c>
      <c r="BB47">
        <v>1.0999999999985499</v>
      </c>
      <c r="BC47">
        <v>10.6999999999971</v>
      </c>
      <c r="BG47">
        <v>11</v>
      </c>
      <c r="BK47">
        <v>0.89999999999963598</v>
      </c>
      <c r="BL47">
        <v>0.200000000000045</v>
      </c>
      <c r="BN47">
        <v>0</v>
      </c>
      <c r="BO47">
        <v>0.100000000000023</v>
      </c>
      <c r="BP47">
        <v>0.100000000000023</v>
      </c>
      <c r="BR47">
        <v>3.2000000000007298</v>
      </c>
      <c r="BS47">
        <v>0.100000000000023</v>
      </c>
      <c r="BT47">
        <v>8.6000000000058208</v>
      </c>
      <c r="BU47">
        <v>2.4000000000014601</v>
      </c>
      <c r="BV47">
        <v>0</v>
      </c>
      <c r="BW47">
        <v>0.2</v>
      </c>
      <c r="BX47">
        <v>1.5999999999985499</v>
      </c>
      <c r="BY47">
        <v>0.4</v>
      </c>
      <c r="CA47">
        <v>0.3</v>
      </c>
      <c r="CB47">
        <v>2.2999999999999998</v>
      </c>
      <c r="CD47">
        <v>0.2</v>
      </c>
      <c r="CE47">
        <v>10.199999999999999</v>
      </c>
      <c r="CH47">
        <v>19</v>
      </c>
      <c r="CI47">
        <v>0.6</v>
      </c>
      <c r="CL47">
        <v>2</v>
      </c>
      <c r="CN47">
        <v>9.5</v>
      </c>
      <c r="CO47">
        <v>6.6</v>
      </c>
      <c r="CQ47">
        <v>0.3</v>
      </c>
      <c r="CR47">
        <v>4.0999999999999996</v>
      </c>
      <c r="CS47">
        <v>0</v>
      </c>
      <c r="CT47">
        <v>2.2999999999999998</v>
      </c>
      <c r="CU47">
        <v>1.6</v>
      </c>
      <c r="CV47">
        <v>1.8</v>
      </c>
      <c r="CW47">
        <v>4.5</v>
      </c>
      <c r="CX47">
        <v>1.1000000000000001</v>
      </c>
      <c r="CY47">
        <v>0.2</v>
      </c>
      <c r="CZ47">
        <v>4.5</v>
      </c>
      <c r="DA47">
        <v>11</v>
      </c>
      <c r="DB47">
        <v>2.6</v>
      </c>
      <c r="DC47">
        <v>3.5</v>
      </c>
      <c r="DD47" s="5"/>
      <c r="DJ47" s="1">
        <v>40954</v>
      </c>
      <c r="DK47" s="2">
        <f t="shared" si="1"/>
        <v>4.6352941176461071</v>
      </c>
      <c r="DL47" s="2">
        <f t="shared" si="2"/>
        <v>3.0901960784307381</v>
      </c>
      <c r="DM47" s="2">
        <f t="shared" si="3"/>
        <v>55.1</v>
      </c>
      <c r="DN47" s="3">
        <f t="shared" si="4"/>
        <v>0.66666666666666663</v>
      </c>
      <c r="DV47" s="2">
        <v>220</v>
      </c>
      <c r="DW47">
        <v>0</v>
      </c>
      <c r="DX47">
        <f t="shared" si="5"/>
        <v>14794</v>
      </c>
      <c r="DY47">
        <f t="shared" si="0"/>
        <v>1</v>
      </c>
    </row>
    <row r="48" spans="1:129">
      <c r="A48" s="1">
        <v>40955</v>
      </c>
      <c r="B48" s="1"/>
      <c r="C48" s="1"/>
      <c r="D48">
        <v>5.4</v>
      </c>
      <c r="E48">
        <v>0.4</v>
      </c>
      <c r="F48">
        <v>0.3</v>
      </c>
      <c r="H48">
        <v>3.1</v>
      </c>
      <c r="J48">
        <v>7.7</v>
      </c>
      <c r="K48">
        <v>1.4</v>
      </c>
      <c r="L48">
        <v>6.4</v>
      </c>
      <c r="M48">
        <v>0.2</v>
      </c>
      <c r="N48">
        <v>18.5</v>
      </c>
      <c r="O48">
        <v>3.5</v>
      </c>
      <c r="P48">
        <v>5.4</v>
      </c>
      <c r="R48">
        <v>0.3</v>
      </c>
      <c r="S48">
        <v>0.3</v>
      </c>
      <c r="T48">
        <v>0.3</v>
      </c>
      <c r="U48">
        <v>1</v>
      </c>
      <c r="W48">
        <v>3.5</v>
      </c>
      <c r="Y48">
        <v>12</v>
      </c>
      <c r="Z48">
        <v>11.7</v>
      </c>
      <c r="AB48">
        <v>2.5999999999985399</v>
      </c>
      <c r="AE48">
        <v>0</v>
      </c>
      <c r="AJ48">
        <v>3</v>
      </c>
      <c r="AK48">
        <v>0.19999999999981799</v>
      </c>
      <c r="AL48">
        <v>1.8</v>
      </c>
      <c r="AM48">
        <v>6</v>
      </c>
      <c r="AN48">
        <v>3.6999999999970901</v>
      </c>
      <c r="AP48">
        <v>1.79999999999927</v>
      </c>
      <c r="AR48">
        <v>15.1999999999971</v>
      </c>
      <c r="AS48">
        <v>5.6999999999970896</v>
      </c>
      <c r="AV48">
        <v>4.3999999999941801</v>
      </c>
      <c r="AY48">
        <v>1.5</v>
      </c>
      <c r="AZ48">
        <v>5.29999999999563</v>
      </c>
      <c r="BB48">
        <v>5.3999999999941801</v>
      </c>
      <c r="BC48">
        <v>2.6999999999970901</v>
      </c>
      <c r="BD48">
        <v>0.9</v>
      </c>
      <c r="BE48">
        <v>5.0999999999985501</v>
      </c>
      <c r="BF48">
        <v>0.30000000000018201</v>
      </c>
      <c r="BG48">
        <v>0</v>
      </c>
      <c r="BH48">
        <v>8.3000000000029104</v>
      </c>
      <c r="BJ48">
        <v>6</v>
      </c>
      <c r="BK48">
        <v>5.0999999999985501</v>
      </c>
      <c r="BL48">
        <v>4.9000000000014596</v>
      </c>
      <c r="BN48">
        <v>0</v>
      </c>
      <c r="BO48">
        <v>7.0999999999985501</v>
      </c>
      <c r="BQ48">
        <v>0.60000000000036402</v>
      </c>
      <c r="BS48">
        <v>0.100000000000023</v>
      </c>
      <c r="BT48">
        <v>22</v>
      </c>
      <c r="BU48">
        <v>86.900000000023297</v>
      </c>
      <c r="BV48">
        <v>0</v>
      </c>
      <c r="BW48">
        <v>2.7</v>
      </c>
      <c r="BX48">
        <v>3</v>
      </c>
      <c r="BY48">
        <v>8.3000000000000007</v>
      </c>
      <c r="BZ48">
        <v>0.6</v>
      </c>
      <c r="CB48">
        <v>0.4</v>
      </c>
      <c r="CD48">
        <v>11.5</v>
      </c>
      <c r="CE48">
        <v>0.1</v>
      </c>
      <c r="CH48">
        <v>0.2</v>
      </c>
      <c r="CK48">
        <v>18.5</v>
      </c>
      <c r="CL48">
        <v>0.5</v>
      </c>
      <c r="CS48">
        <v>9.4</v>
      </c>
      <c r="CU48">
        <v>0.2</v>
      </c>
      <c r="CV48">
        <v>18.100000000000001</v>
      </c>
      <c r="CW48">
        <v>3.5</v>
      </c>
      <c r="CZ48">
        <v>8</v>
      </c>
      <c r="DA48">
        <v>0.2</v>
      </c>
      <c r="DB48">
        <v>0.2</v>
      </c>
      <c r="DC48">
        <v>4.3</v>
      </c>
      <c r="DD48" s="5"/>
      <c r="DJ48" s="1">
        <v>40955</v>
      </c>
      <c r="DK48" s="2">
        <f t="shared" si="1"/>
        <v>5.7227272727271794</v>
      </c>
      <c r="DL48" s="2">
        <f t="shared" si="2"/>
        <v>3.702941176470528</v>
      </c>
      <c r="DM48" s="2">
        <f t="shared" si="3"/>
        <v>86.900000000023297</v>
      </c>
      <c r="DN48" s="3">
        <f t="shared" si="4"/>
        <v>0.6470588235294118</v>
      </c>
      <c r="DV48" s="2">
        <v>225</v>
      </c>
      <c r="DW48">
        <v>0</v>
      </c>
      <c r="DX48">
        <f t="shared" si="5"/>
        <v>14794</v>
      </c>
      <c r="DY48">
        <f t="shared" si="0"/>
        <v>1</v>
      </c>
    </row>
    <row r="49" spans="1:129">
      <c r="A49" s="1">
        <v>40956</v>
      </c>
      <c r="B49" s="1"/>
      <c r="C49" s="1"/>
      <c r="D49">
        <v>0</v>
      </c>
      <c r="E49">
        <v>20.3</v>
      </c>
      <c r="J49">
        <v>4.9000000000000004</v>
      </c>
      <c r="L49">
        <v>7.4</v>
      </c>
      <c r="N49">
        <v>8.1</v>
      </c>
      <c r="O49">
        <v>0.7</v>
      </c>
      <c r="R49">
        <v>2</v>
      </c>
      <c r="U49">
        <v>0</v>
      </c>
      <c r="W49">
        <v>1.7</v>
      </c>
      <c r="X49">
        <v>16.7</v>
      </c>
      <c r="Y49">
        <v>24.5</v>
      </c>
      <c r="Z49">
        <v>0</v>
      </c>
      <c r="AB49">
        <v>2.7999999999992702</v>
      </c>
      <c r="AE49">
        <v>0</v>
      </c>
      <c r="AF49">
        <v>15</v>
      </c>
      <c r="AG49">
        <v>2</v>
      </c>
      <c r="AH49">
        <v>2.5</v>
      </c>
      <c r="AJ49">
        <v>5</v>
      </c>
      <c r="AK49">
        <v>0</v>
      </c>
      <c r="AM49">
        <v>11.1999999999971</v>
      </c>
      <c r="AN49">
        <v>3.7999999999992702</v>
      </c>
      <c r="AO49">
        <v>0.19999999999981799</v>
      </c>
      <c r="AP49">
        <v>0.19999999999981799</v>
      </c>
      <c r="AR49">
        <v>24.799999999988401</v>
      </c>
      <c r="AS49">
        <v>8.5999999999912706</v>
      </c>
      <c r="AT49">
        <v>13</v>
      </c>
      <c r="AV49">
        <v>21</v>
      </c>
      <c r="AY49">
        <v>3.7999999999992702</v>
      </c>
      <c r="BA49">
        <v>1.79999999999927</v>
      </c>
      <c r="BB49">
        <v>2.5</v>
      </c>
      <c r="BC49">
        <v>0.39999999999963598</v>
      </c>
      <c r="BE49">
        <v>7.4000000000014596</v>
      </c>
      <c r="BG49">
        <v>0</v>
      </c>
      <c r="BH49">
        <v>0.100000000000023</v>
      </c>
      <c r="BI49">
        <v>10.600000000005799</v>
      </c>
      <c r="BJ49">
        <v>13.3000000000029</v>
      </c>
      <c r="BK49">
        <v>5</v>
      </c>
      <c r="BL49">
        <v>0.100000000000023</v>
      </c>
      <c r="BM49">
        <v>12.600000000005799</v>
      </c>
      <c r="BO49">
        <v>16</v>
      </c>
      <c r="BQ49">
        <v>3.0999999999985399</v>
      </c>
      <c r="BT49">
        <v>1</v>
      </c>
      <c r="BU49">
        <v>2.2999999999992702</v>
      </c>
      <c r="BV49">
        <v>0</v>
      </c>
      <c r="BW49">
        <v>4.4000000000000004</v>
      </c>
      <c r="BX49">
        <v>0.29999999999972699</v>
      </c>
      <c r="BY49">
        <v>0.9</v>
      </c>
      <c r="BZ49">
        <v>0</v>
      </c>
      <c r="CA49">
        <v>2.5</v>
      </c>
      <c r="CE49">
        <v>19.5</v>
      </c>
      <c r="CF49">
        <v>12.5</v>
      </c>
      <c r="CK49">
        <v>4.5</v>
      </c>
      <c r="CL49">
        <v>12</v>
      </c>
      <c r="CQ49">
        <v>2.6</v>
      </c>
      <c r="CS49">
        <v>2.2999999999999998</v>
      </c>
      <c r="CU49">
        <v>5.5</v>
      </c>
      <c r="CV49">
        <v>29.6</v>
      </c>
      <c r="CX49">
        <v>1.3</v>
      </c>
      <c r="CY49">
        <v>2</v>
      </c>
      <c r="CZ49">
        <v>1</v>
      </c>
      <c r="DB49">
        <v>0.2</v>
      </c>
      <c r="DC49">
        <v>16.7</v>
      </c>
      <c r="DD49" s="5"/>
      <c r="DJ49" s="1">
        <v>40956</v>
      </c>
      <c r="DK49" s="2">
        <f t="shared" si="1"/>
        <v>6.3580645161288176</v>
      </c>
      <c r="DL49" s="2">
        <f t="shared" si="2"/>
        <v>3.8647058823528107</v>
      </c>
      <c r="DM49" s="2">
        <f t="shared" si="3"/>
        <v>29.6</v>
      </c>
      <c r="DN49" s="3">
        <f t="shared" si="4"/>
        <v>0.60784313725490191</v>
      </c>
      <c r="DV49" s="2">
        <v>230</v>
      </c>
      <c r="DW49">
        <v>0</v>
      </c>
      <c r="DX49">
        <f t="shared" si="5"/>
        <v>14794</v>
      </c>
      <c r="DY49">
        <f t="shared" si="0"/>
        <v>1</v>
      </c>
    </row>
    <row r="50" spans="1:129">
      <c r="A50" s="1">
        <v>40957</v>
      </c>
      <c r="B50" s="1"/>
      <c r="C50" s="1"/>
      <c r="E50">
        <v>7.8</v>
      </c>
      <c r="H50">
        <v>15.3</v>
      </c>
      <c r="J50">
        <v>2.4</v>
      </c>
      <c r="K50">
        <v>0.6</v>
      </c>
      <c r="N50">
        <v>0.7</v>
      </c>
      <c r="O50">
        <v>2</v>
      </c>
      <c r="S50">
        <v>2</v>
      </c>
      <c r="T50">
        <v>3.1</v>
      </c>
      <c r="U50">
        <v>4</v>
      </c>
      <c r="X50">
        <v>1.4</v>
      </c>
      <c r="Y50">
        <v>13.5</v>
      </c>
      <c r="Z50">
        <v>0</v>
      </c>
      <c r="AB50">
        <v>20</v>
      </c>
      <c r="AF50">
        <v>9</v>
      </c>
      <c r="AG50">
        <v>0.29999999999972699</v>
      </c>
      <c r="AH50">
        <v>8.3999999999941792</v>
      </c>
      <c r="AK50">
        <v>0</v>
      </c>
      <c r="AM50">
        <v>9.9999999999908995E-2</v>
      </c>
      <c r="AN50">
        <v>19.2</v>
      </c>
      <c r="AR50">
        <v>2.8999999999978199</v>
      </c>
      <c r="AS50">
        <v>0</v>
      </c>
      <c r="AT50">
        <v>26.399999999994201</v>
      </c>
      <c r="AV50">
        <v>1.39999999999964</v>
      </c>
      <c r="AY50">
        <v>1.79999999999927</v>
      </c>
      <c r="BA50">
        <v>1.1999999999989099</v>
      </c>
      <c r="BC50">
        <v>1.39999999999964</v>
      </c>
      <c r="BD50">
        <v>2</v>
      </c>
      <c r="BH50">
        <v>2</v>
      </c>
      <c r="BI50">
        <v>4</v>
      </c>
      <c r="BK50">
        <v>5.1999999999970896</v>
      </c>
      <c r="BL50">
        <v>0.100000000000023</v>
      </c>
      <c r="BM50">
        <v>3.5999999999985399</v>
      </c>
      <c r="BN50">
        <v>0.100000000000023</v>
      </c>
      <c r="BO50">
        <v>0.100000000000023</v>
      </c>
      <c r="BR50">
        <v>2.4000000000014601</v>
      </c>
      <c r="BS50">
        <v>1.5</v>
      </c>
      <c r="BT50">
        <v>0.30000000000018201</v>
      </c>
      <c r="BV50">
        <v>0.100000000000023</v>
      </c>
      <c r="BW50">
        <v>13.5</v>
      </c>
      <c r="BX50">
        <v>0.39999999999963598</v>
      </c>
      <c r="BY50">
        <v>19.5</v>
      </c>
      <c r="CA50">
        <v>0.2</v>
      </c>
      <c r="CC50">
        <v>0.2</v>
      </c>
      <c r="CE50">
        <v>0.6</v>
      </c>
      <c r="CF50">
        <v>10.4</v>
      </c>
      <c r="CM50">
        <v>24.7</v>
      </c>
      <c r="CN50">
        <v>13</v>
      </c>
      <c r="CO50">
        <v>2.5</v>
      </c>
      <c r="CQ50">
        <v>2.2000000000000002</v>
      </c>
      <c r="CS50">
        <v>1.8</v>
      </c>
      <c r="CT50">
        <v>1.7</v>
      </c>
      <c r="CU50">
        <v>0.3</v>
      </c>
      <c r="CV50">
        <v>3.8</v>
      </c>
      <c r="CY50">
        <v>1.7</v>
      </c>
      <c r="DA50">
        <v>0.2</v>
      </c>
      <c r="DB50">
        <v>0.1</v>
      </c>
      <c r="DC50">
        <v>18.3</v>
      </c>
      <c r="DD50" s="5"/>
      <c r="DJ50" s="1">
        <v>40957</v>
      </c>
      <c r="DK50" s="2">
        <f t="shared" si="1"/>
        <v>4.9368421052628122</v>
      </c>
      <c r="DL50" s="2">
        <f t="shared" si="2"/>
        <v>2.7588235294115715</v>
      </c>
      <c r="DM50" s="2">
        <f t="shared" si="3"/>
        <v>26.399999999994201</v>
      </c>
      <c r="DN50" s="3">
        <f t="shared" si="4"/>
        <v>0.55882352941176472</v>
      </c>
      <c r="DV50" s="2">
        <v>235</v>
      </c>
      <c r="DW50">
        <v>0</v>
      </c>
      <c r="DX50">
        <f t="shared" si="5"/>
        <v>14794</v>
      </c>
      <c r="DY50">
        <f t="shared" si="0"/>
        <v>1</v>
      </c>
    </row>
    <row r="51" spans="1:129">
      <c r="A51" s="1">
        <v>40958</v>
      </c>
      <c r="B51" s="1"/>
      <c r="C51" s="1"/>
      <c r="E51">
        <v>4.0999999999999996</v>
      </c>
      <c r="H51">
        <v>1.2</v>
      </c>
      <c r="J51">
        <v>2</v>
      </c>
      <c r="K51">
        <v>19</v>
      </c>
      <c r="L51">
        <v>0.2</v>
      </c>
      <c r="M51">
        <v>1.7</v>
      </c>
      <c r="O51">
        <v>1</v>
      </c>
      <c r="P51">
        <v>0.7</v>
      </c>
      <c r="R51">
        <v>1.5</v>
      </c>
      <c r="S51">
        <v>1.6</v>
      </c>
      <c r="U51">
        <v>0</v>
      </c>
      <c r="V51">
        <v>0</v>
      </c>
      <c r="X51">
        <v>4.3</v>
      </c>
      <c r="Y51">
        <v>1</v>
      </c>
      <c r="AB51">
        <v>0.79999999999927196</v>
      </c>
      <c r="AD51">
        <v>9.9999999999908995E-2</v>
      </c>
      <c r="AF51">
        <v>6.6999999999970896</v>
      </c>
      <c r="AG51">
        <v>7.5999999999985501</v>
      </c>
      <c r="AH51">
        <v>12.799999999988399</v>
      </c>
      <c r="AK51">
        <v>19.099999999976699</v>
      </c>
      <c r="AL51">
        <v>0</v>
      </c>
      <c r="AM51">
        <v>5.5999999999985501</v>
      </c>
      <c r="AN51">
        <v>4.79999999999563</v>
      </c>
      <c r="AS51">
        <v>0.29999999999972699</v>
      </c>
      <c r="AT51">
        <v>0.39999999999963598</v>
      </c>
      <c r="AY51">
        <v>1.5999999999985499</v>
      </c>
      <c r="BB51">
        <v>1.1999999999989099</v>
      </c>
      <c r="BD51">
        <v>3.7000000000007298</v>
      </c>
      <c r="BE51">
        <v>11.600000000005799</v>
      </c>
      <c r="BH51">
        <v>1</v>
      </c>
      <c r="BI51">
        <v>0.100000000000023</v>
      </c>
      <c r="BN51">
        <v>0</v>
      </c>
      <c r="BR51">
        <v>0.100000000000023</v>
      </c>
      <c r="BS51">
        <v>13.6999999999971</v>
      </c>
      <c r="BU51">
        <v>1.10000000000036</v>
      </c>
      <c r="BW51">
        <v>4.2</v>
      </c>
      <c r="BX51">
        <v>3.6999999999970901</v>
      </c>
      <c r="BY51">
        <v>0.3</v>
      </c>
      <c r="CA51">
        <v>0.1</v>
      </c>
      <c r="CB51">
        <v>1.1000000000000001</v>
      </c>
      <c r="CF51">
        <v>0</v>
      </c>
      <c r="CI51">
        <v>2.2000000000000002</v>
      </c>
      <c r="CK51">
        <v>1.5</v>
      </c>
      <c r="CM51">
        <v>4.4000000000000004</v>
      </c>
      <c r="CN51">
        <v>0.3</v>
      </c>
      <c r="CO51">
        <v>2</v>
      </c>
      <c r="CP51">
        <v>1.6</v>
      </c>
      <c r="CQ51">
        <v>16</v>
      </c>
      <c r="CT51">
        <v>0.4</v>
      </c>
      <c r="CV51">
        <v>0.2</v>
      </c>
      <c r="CW51">
        <v>5.8</v>
      </c>
      <c r="CY51">
        <v>3</v>
      </c>
      <c r="DA51">
        <v>3.5</v>
      </c>
      <c r="DC51">
        <v>0.8</v>
      </c>
      <c r="DD51" s="5">
        <v>0.8</v>
      </c>
      <c r="DJ51" s="1">
        <v>40958</v>
      </c>
      <c r="DK51" s="2">
        <f t="shared" si="1"/>
        <v>3.3181818181809466</v>
      </c>
      <c r="DL51" s="2">
        <f t="shared" si="2"/>
        <v>1.7892156862740398</v>
      </c>
      <c r="DM51" s="2">
        <f t="shared" si="3"/>
        <v>19.099999999976699</v>
      </c>
      <c r="DN51" s="3">
        <f t="shared" si="4"/>
        <v>0.53921568627450978</v>
      </c>
      <c r="DV51" s="2">
        <v>240</v>
      </c>
      <c r="DW51">
        <v>0</v>
      </c>
      <c r="DX51">
        <f t="shared" si="5"/>
        <v>14794</v>
      </c>
      <c r="DY51">
        <f t="shared" si="0"/>
        <v>1</v>
      </c>
    </row>
    <row r="52" spans="1:129">
      <c r="A52" s="1">
        <v>40959</v>
      </c>
      <c r="B52" s="1"/>
      <c r="C52" s="1"/>
      <c r="E52">
        <v>2</v>
      </c>
      <c r="J52">
        <v>6.6</v>
      </c>
      <c r="M52">
        <v>1.4</v>
      </c>
      <c r="O52">
        <v>0.8</v>
      </c>
      <c r="P52">
        <v>0.7</v>
      </c>
      <c r="S52">
        <v>12.5</v>
      </c>
      <c r="U52">
        <v>0</v>
      </c>
      <c r="V52">
        <v>1</v>
      </c>
      <c r="AB52">
        <v>10.799999999988399</v>
      </c>
      <c r="AD52">
        <v>0.5</v>
      </c>
      <c r="AF52">
        <v>0.19999999999981799</v>
      </c>
      <c r="AH52">
        <v>17.2</v>
      </c>
      <c r="AJ52">
        <v>11</v>
      </c>
      <c r="AK52">
        <v>13</v>
      </c>
      <c r="AM52">
        <v>10</v>
      </c>
      <c r="AN52">
        <v>18.899999999999999</v>
      </c>
      <c r="AQ52">
        <v>20</v>
      </c>
      <c r="AR52">
        <v>9.9999999999908995E-2</v>
      </c>
      <c r="AS52">
        <v>0.19999999999981799</v>
      </c>
      <c r="AT52">
        <v>2.7999999999992702</v>
      </c>
      <c r="AV52">
        <v>2.5</v>
      </c>
      <c r="AX52">
        <v>52.5</v>
      </c>
      <c r="AZ52">
        <v>8.0999999999912706</v>
      </c>
      <c r="BB52">
        <v>0</v>
      </c>
      <c r="BC52">
        <v>15.6999999999971</v>
      </c>
      <c r="BD52">
        <v>13.8000000000029</v>
      </c>
      <c r="BE52">
        <v>9.3000000000029104</v>
      </c>
      <c r="BH52">
        <v>1.60000000000036</v>
      </c>
      <c r="BJ52">
        <v>11.6999999999971</v>
      </c>
      <c r="BK52">
        <v>1</v>
      </c>
      <c r="BM52">
        <v>0.100000000000023</v>
      </c>
      <c r="BN52">
        <v>0.5</v>
      </c>
      <c r="BO52">
        <v>1.5</v>
      </c>
      <c r="BR52">
        <v>28.600000000005799</v>
      </c>
      <c r="BS52">
        <v>10</v>
      </c>
      <c r="BT52">
        <v>0.30000000000018201</v>
      </c>
      <c r="BV52">
        <v>0.80000000000018201</v>
      </c>
      <c r="BX52">
        <v>9.9999999999908995E-2</v>
      </c>
      <c r="BY52">
        <v>2.4</v>
      </c>
      <c r="BZ52">
        <v>6.4</v>
      </c>
      <c r="CB52">
        <v>0.1</v>
      </c>
      <c r="CD52">
        <v>0.2</v>
      </c>
      <c r="CF52">
        <v>0</v>
      </c>
      <c r="CH52">
        <v>0.5</v>
      </c>
      <c r="CI52">
        <v>2.5</v>
      </c>
      <c r="CK52">
        <v>7.5</v>
      </c>
      <c r="CM52">
        <v>0.3</v>
      </c>
      <c r="CN52">
        <v>40.5</v>
      </c>
      <c r="CO52">
        <v>0.1</v>
      </c>
      <c r="CP52">
        <v>13.4</v>
      </c>
      <c r="CQ52">
        <v>2</v>
      </c>
      <c r="CR52">
        <v>5.8</v>
      </c>
      <c r="CS52">
        <v>0.8</v>
      </c>
      <c r="CW52">
        <v>1.5</v>
      </c>
      <c r="CY52">
        <v>2</v>
      </c>
      <c r="DA52">
        <v>0.7</v>
      </c>
      <c r="DC52">
        <v>9.1</v>
      </c>
      <c r="DD52" s="5">
        <v>6.4</v>
      </c>
      <c r="DJ52" s="1">
        <v>40959</v>
      </c>
      <c r="DK52" s="2">
        <f t="shared" si="1"/>
        <v>6.7241379310342229</v>
      </c>
      <c r="DL52" s="2">
        <f t="shared" si="2"/>
        <v>3.8235294117645582</v>
      </c>
      <c r="DM52" s="2">
        <f t="shared" si="3"/>
        <v>52.5</v>
      </c>
      <c r="DN52" s="3">
        <f t="shared" si="4"/>
        <v>0.56862745098039214</v>
      </c>
      <c r="DV52" s="2">
        <v>245</v>
      </c>
      <c r="DW52">
        <v>0</v>
      </c>
      <c r="DX52">
        <f t="shared" si="5"/>
        <v>14794</v>
      </c>
      <c r="DY52">
        <f t="shared" si="0"/>
        <v>1</v>
      </c>
    </row>
    <row r="53" spans="1:129">
      <c r="A53" s="1">
        <v>40960</v>
      </c>
      <c r="B53" s="1"/>
      <c r="C53" s="1"/>
      <c r="D53">
        <v>1.5</v>
      </c>
      <c r="H53">
        <v>7.4</v>
      </c>
      <c r="I53">
        <v>3.9</v>
      </c>
      <c r="M53">
        <v>0.6</v>
      </c>
      <c r="S53">
        <v>13.4</v>
      </c>
      <c r="T53">
        <v>2.6</v>
      </c>
      <c r="U53">
        <v>0.7</v>
      </c>
      <c r="X53">
        <v>2.4</v>
      </c>
      <c r="Y53">
        <v>0.5</v>
      </c>
      <c r="Z53">
        <v>0</v>
      </c>
      <c r="AB53">
        <v>2.2999999999992702</v>
      </c>
      <c r="AF53">
        <v>10.299999999988399</v>
      </c>
      <c r="AG53">
        <v>4</v>
      </c>
      <c r="AH53">
        <v>1</v>
      </c>
      <c r="AI53">
        <v>2</v>
      </c>
      <c r="AJ53">
        <v>11.2</v>
      </c>
      <c r="AK53">
        <v>3.8999999999978199</v>
      </c>
      <c r="AL53">
        <v>1.5999999999985499</v>
      </c>
      <c r="AM53">
        <v>0.19999999999981799</v>
      </c>
      <c r="AO53">
        <v>9.9999999999908995E-2</v>
      </c>
      <c r="AR53">
        <v>5.5</v>
      </c>
      <c r="AT53">
        <v>1.39999999999964</v>
      </c>
      <c r="AU53">
        <v>7.4</v>
      </c>
      <c r="AV53">
        <v>8</v>
      </c>
      <c r="AW53">
        <v>0.59999999999945397</v>
      </c>
      <c r="AX53">
        <v>0.39999999999963598</v>
      </c>
      <c r="AZ53">
        <v>1.5999999999985499</v>
      </c>
      <c r="BB53">
        <v>1.5999999999985499</v>
      </c>
      <c r="BD53">
        <v>4.8000000000029104</v>
      </c>
      <c r="BE53">
        <v>0.200000000000045</v>
      </c>
      <c r="BG53">
        <v>3.0999999999985399</v>
      </c>
      <c r="BI53">
        <v>7.4000000000014596</v>
      </c>
      <c r="BJ53">
        <v>6.5</v>
      </c>
      <c r="BK53">
        <v>0.69999999999981799</v>
      </c>
      <c r="BL53">
        <v>0.100000000000023</v>
      </c>
      <c r="BM53">
        <v>0.60000000000036402</v>
      </c>
      <c r="BN53">
        <v>0.200000000000045</v>
      </c>
      <c r="BO53">
        <v>0.30000000000018201</v>
      </c>
      <c r="BP53">
        <v>0.200000000000045</v>
      </c>
      <c r="BR53">
        <v>0.200000000000045</v>
      </c>
      <c r="BS53">
        <v>5.5</v>
      </c>
      <c r="BT53">
        <v>0</v>
      </c>
      <c r="BV53">
        <v>0.100000000000023</v>
      </c>
      <c r="BX53">
        <v>0</v>
      </c>
      <c r="BY53">
        <v>5.2</v>
      </c>
      <c r="BZ53">
        <v>0</v>
      </c>
      <c r="CB53">
        <v>6.5</v>
      </c>
      <c r="CF53">
        <v>11.7</v>
      </c>
      <c r="CG53">
        <v>2.2999999999999998</v>
      </c>
      <c r="CH53">
        <v>1.9</v>
      </c>
      <c r="CL53">
        <v>0</v>
      </c>
      <c r="CM53">
        <v>4.5</v>
      </c>
      <c r="CN53">
        <v>8.5</v>
      </c>
      <c r="CO53">
        <v>4.5</v>
      </c>
      <c r="CQ53">
        <v>4.5</v>
      </c>
      <c r="CR53">
        <v>4.5</v>
      </c>
      <c r="CS53">
        <v>0.9</v>
      </c>
      <c r="CV53">
        <v>0.2</v>
      </c>
      <c r="CW53">
        <v>11.3</v>
      </c>
      <c r="CX53">
        <v>2.2000000000000002</v>
      </c>
      <c r="DA53">
        <v>1.8</v>
      </c>
      <c r="DB53">
        <v>0.1</v>
      </c>
      <c r="DD53" s="5">
        <v>0.2</v>
      </c>
      <c r="DJ53" s="1">
        <v>40960</v>
      </c>
      <c r="DK53" s="2">
        <f t="shared" si="1"/>
        <v>3.1238095238092551</v>
      </c>
      <c r="DL53" s="2">
        <f t="shared" si="2"/>
        <v>1.9294117647057163</v>
      </c>
      <c r="DM53" s="2">
        <f t="shared" si="3"/>
        <v>13.4</v>
      </c>
      <c r="DN53" s="3">
        <f t="shared" si="4"/>
        <v>0.61764705882352944</v>
      </c>
      <c r="DV53" s="2">
        <v>250</v>
      </c>
      <c r="DW53">
        <v>0</v>
      </c>
      <c r="DX53">
        <f t="shared" si="5"/>
        <v>14794</v>
      </c>
      <c r="DY53">
        <f t="shared" si="0"/>
        <v>1</v>
      </c>
    </row>
    <row r="54" spans="1:129">
      <c r="A54" s="1">
        <v>40961</v>
      </c>
      <c r="B54" s="1"/>
      <c r="C54" s="1"/>
      <c r="D54">
        <v>0.8</v>
      </c>
      <c r="E54">
        <v>14.6</v>
      </c>
      <c r="G54">
        <v>3.3</v>
      </c>
      <c r="I54">
        <v>4.2</v>
      </c>
      <c r="M54">
        <v>2.5</v>
      </c>
      <c r="O54">
        <v>1</v>
      </c>
      <c r="R54">
        <v>0.2</v>
      </c>
      <c r="S54">
        <v>1.8</v>
      </c>
      <c r="U54">
        <v>0</v>
      </c>
      <c r="V54">
        <v>22.8</v>
      </c>
      <c r="W54">
        <v>0.7</v>
      </c>
      <c r="X54">
        <v>0</v>
      </c>
      <c r="Y54">
        <v>1.9</v>
      </c>
      <c r="Z54">
        <v>8.6999999999999993</v>
      </c>
      <c r="AB54">
        <v>0.5</v>
      </c>
      <c r="AC54">
        <v>3.3999999999978199</v>
      </c>
      <c r="AD54">
        <v>2.5</v>
      </c>
      <c r="AF54">
        <v>11.6999999999971</v>
      </c>
      <c r="AI54">
        <v>0.69999999999981799</v>
      </c>
      <c r="AJ54">
        <v>3.7</v>
      </c>
      <c r="AK54">
        <v>7.8999999999941801</v>
      </c>
      <c r="AL54">
        <v>5.1999999999970896</v>
      </c>
      <c r="AO54">
        <v>5.6999999999970896</v>
      </c>
      <c r="AP54">
        <v>10</v>
      </c>
      <c r="AQ54">
        <v>13.899999999994201</v>
      </c>
      <c r="AV54">
        <v>0.5</v>
      </c>
      <c r="AW54">
        <v>11.1999999999971</v>
      </c>
      <c r="AX54">
        <v>1.5</v>
      </c>
      <c r="AY54">
        <v>1.2</v>
      </c>
      <c r="AZ54">
        <v>5.3999999999941801</v>
      </c>
      <c r="BA54">
        <v>1.1999999999989099</v>
      </c>
      <c r="BB54">
        <v>1.39999999999964</v>
      </c>
      <c r="BC54">
        <v>1.0999999999985499</v>
      </c>
      <c r="BD54">
        <v>3.5</v>
      </c>
      <c r="BE54">
        <v>1.29999999999927</v>
      </c>
      <c r="BG54">
        <v>1.89999999999964</v>
      </c>
      <c r="BI54">
        <v>2.2000000000007298</v>
      </c>
      <c r="BJ54">
        <v>2.7000000000007298</v>
      </c>
      <c r="BK54">
        <v>0.89999999999963598</v>
      </c>
      <c r="BL54">
        <v>0.100000000000023</v>
      </c>
      <c r="BO54">
        <v>0.200000000000045</v>
      </c>
      <c r="BP54">
        <v>0.400000000000091</v>
      </c>
      <c r="BS54">
        <v>9</v>
      </c>
      <c r="BT54">
        <v>0.100000000000023</v>
      </c>
      <c r="BW54">
        <v>20.7</v>
      </c>
      <c r="BY54">
        <v>0.5</v>
      </c>
      <c r="BZ54">
        <v>0.5</v>
      </c>
      <c r="CB54">
        <v>0.5</v>
      </c>
      <c r="CC54">
        <v>0.8</v>
      </c>
      <c r="CF54">
        <v>3</v>
      </c>
      <c r="CG54">
        <v>1.6</v>
      </c>
      <c r="CH54">
        <v>0.2</v>
      </c>
      <c r="CK54">
        <v>3.3</v>
      </c>
      <c r="CM54">
        <v>0.5</v>
      </c>
      <c r="CN54">
        <v>0.5</v>
      </c>
      <c r="CO54">
        <v>2.5</v>
      </c>
      <c r="CQ54">
        <v>13.6</v>
      </c>
      <c r="CR54">
        <v>0.1</v>
      </c>
      <c r="CW54">
        <v>6.3</v>
      </c>
      <c r="CY54">
        <v>5.7</v>
      </c>
      <c r="DA54">
        <v>1.5</v>
      </c>
      <c r="DC54">
        <v>0.1</v>
      </c>
      <c r="DD54" s="5"/>
      <c r="DJ54" s="1">
        <v>40961</v>
      </c>
      <c r="DK54" s="2">
        <f t="shared" si="1"/>
        <v>3.7967741935478356</v>
      </c>
      <c r="DL54" s="2">
        <f t="shared" si="2"/>
        <v>2.3078431372545669</v>
      </c>
      <c r="DM54" s="2">
        <f t="shared" si="3"/>
        <v>22.8</v>
      </c>
      <c r="DN54" s="3">
        <f t="shared" si="4"/>
        <v>0.60784313725490191</v>
      </c>
      <c r="DV54" s="2">
        <v>255</v>
      </c>
      <c r="DW54">
        <v>0</v>
      </c>
      <c r="DX54">
        <f t="shared" si="5"/>
        <v>14794</v>
      </c>
      <c r="DY54">
        <f t="shared" si="0"/>
        <v>1</v>
      </c>
    </row>
    <row r="55" spans="1:129">
      <c r="A55" s="1">
        <v>40962</v>
      </c>
      <c r="B55" s="1"/>
      <c r="C55" s="1"/>
      <c r="D55">
        <v>0.2</v>
      </c>
      <c r="E55">
        <v>19.100000000000001</v>
      </c>
      <c r="G55">
        <v>18.2</v>
      </c>
      <c r="H55">
        <v>0.3</v>
      </c>
      <c r="J55">
        <v>1.3</v>
      </c>
      <c r="K55">
        <v>0.4</v>
      </c>
      <c r="M55">
        <v>2</v>
      </c>
      <c r="O55">
        <v>2.7</v>
      </c>
      <c r="P55">
        <v>14.3</v>
      </c>
      <c r="T55">
        <v>15.05</v>
      </c>
      <c r="U55">
        <v>0</v>
      </c>
      <c r="W55">
        <v>4.9000000000000004</v>
      </c>
      <c r="AD55">
        <v>0</v>
      </c>
      <c r="AE55">
        <v>0.69999999999981799</v>
      </c>
      <c r="AF55">
        <v>4.5999999999985501</v>
      </c>
      <c r="AJ55">
        <v>0.4</v>
      </c>
      <c r="AK55">
        <v>1</v>
      </c>
      <c r="AL55">
        <v>22.8</v>
      </c>
      <c r="AO55">
        <v>4.8999999999941801</v>
      </c>
      <c r="AP55">
        <v>8.0999999999912706</v>
      </c>
      <c r="AQ55">
        <v>0.69999999999981799</v>
      </c>
      <c r="AS55">
        <v>1.89999999999964</v>
      </c>
      <c r="AT55">
        <v>10</v>
      </c>
      <c r="AW55">
        <v>1.1999999999989099</v>
      </c>
      <c r="AX55">
        <v>12.299999999988399</v>
      </c>
      <c r="AY55">
        <v>12</v>
      </c>
      <c r="AZ55">
        <v>0</v>
      </c>
      <c r="BA55">
        <v>2.2999999999992702</v>
      </c>
      <c r="BB55">
        <v>3.6999999999970901</v>
      </c>
      <c r="BC55">
        <v>13.399999999994201</v>
      </c>
      <c r="BD55">
        <v>3.2999999999992702</v>
      </c>
      <c r="BI55">
        <v>0.100000000000023</v>
      </c>
      <c r="BK55">
        <v>1.5</v>
      </c>
      <c r="BL55">
        <v>4.8000000000029104</v>
      </c>
      <c r="BM55">
        <v>8.5</v>
      </c>
      <c r="BO55">
        <v>0.5</v>
      </c>
      <c r="BP55">
        <v>2.2999999999992702</v>
      </c>
      <c r="BR55">
        <v>1</v>
      </c>
      <c r="BS55">
        <v>2</v>
      </c>
      <c r="BT55">
        <v>1.79999999999927</v>
      </c>
      <c r="BU55">
        <v>0</v>
      </c>
      <c r="BV55">
        <v>0</v>
      </c>
      <c r="BW55">
        <v>5.3</v>
      </c>
      <c r="BX55">
        <v>1.6999999999989099</v>
      </c>
      <c r="BY55">
        <v>3.3</v>
      </c>
      <c r="BZ55">
        <v>5.5</v>
      </c>
      <c r="CB55">
        <v>0.1</v>
      </c>
      <c r="CE55">
        <v>0.3</v>
      </c>
      <c r="CF55">
        <v>4.9000000000000004</v>
      </c>
      <c r="CG55">
        <v>8.5</v>
      </c>
      <c r="CJ55">
        <v>3.9</v>
      </c>
      <c r="CK55">
        <v>2.7</v>
      </c>
      <c r="CM55">
        <v>10.5</v>
      </c>
      <c r="CN55">
        <v>0.2</v>
      </c>
      <c r="CO55">
        <v>5.5</v>
      </c>
      <c r="CQ55">
        <v>14.1</v>
      </c>
      <c r="CR55">
        <v>0.1</v>
      </c>
      <c r="CS55">
        <v>3.5</v>
      </c>
      <c r="CU55">
        <v>1.6</v>
      </c>
      <c r="CW55">
        <v>9.3000000000000007</v>
      </c>
      <c r="CX55">
        <v>5.2</v>
      </c>
      <c r="CY55">
        <v>5.6</v>
      </c>
      <c r="DA55">
        <v>0.2</v>
      </c>
      <c r="DB55">
        <v>3.4</v>
      </c>
      <c r="DC55">
        <v>6.5</v>
      </c>
      <c r="DD55" s="5"/>
      <c r="DJ55" s="1">
        <v>40962</v>
      </c>
      <c r="DK55" s="2">
        <f t="shared" si="1"/>
        <v>4.7099999999993978</v>
      </c>
      <c r="DL55" s="2">
        <f t="shared" si="2"/>
        <v>3.0014705882349104</v>
      </c>
      <c r="DM55" s="2">
        <f t="shared" si="3"/>
        <v>22.8</v>
      </c>
      <c r="DN55" s="3">
        <f t="shared" si="4"/>
        <v>0.63725490196078427</v>
      </c>
      <c r="DV55" s="2">
        <v>260</v>
      </c>
      <c r="DW55">
        <v>0</v>
      </c>
      <c r="DX55">
        <f t="shared" si="5"/>
        <v>14794</v>
      </c>
      <c r="DY55">
        <f t="shared" si="0"/>
        <v>1</v>
      </c>
    </row>
    <row r="56" spans="1:129">
      <c r="A56" s="1">
        <v>40963</v>
      </c>
      <c r="B56" s="1"/>
      <c r="C56" s="1"/>
      <c r="E56">
        <v>11.5</v>
      </c>
      <c r="G56">
        <v>1.1000000000000001</v>
      </c>
      <c r="H56">
        <v>1.3</v>
      </c>
      <c r="I56">
        <v>1.3</v>
      </c>
      <c r="J56">
        <v>2.2999999999999998</v>
      </c>
      <c r="L56">
        <v>0.6</v>
      </c>
      <c r="M56">
        <v>1.6</v>
      </c>
      <c r="O56">
        <v>8.6</v>
      </c>
      <c r="P56">
        <v>3.3</v>
      </c>
      <c r="Q56">
        <v>2</v>
      </c>
      <c r="T56">
        <v>12</v>
      </c>
      <c r="V56">
        <v>2.2999999999999998</v>
      </c>
      <c r="W56">
        <v>15.5</v>
      </c>
      <c r="Y56">
        <v>1.8</v>
      </c>
      <c r="AA56">
        <v>2.6999999999970901</v>
      </c>
      <c r="AB56">
        <v>1</v>
      </c>
      <c r="AC56">
        <v>18.599999999976699</v>
      </c>
      <c r="AD56">
        <v>5.1999999999970896</v>
      </c>
      <c r="AE56">
        <v>2.7999999999992702</v>
      </c>
      <c r="AG56">
        <v>1.0999999999985499</v>
      </c>
      <c r="AH56">
        <v>0</v>
      </c>
      <c r="AI56">
        <v>0.59999999999945397</v>
      </c>
      <c r="AL56">
        <v>3.3999999999978199</v>
      </c>
      <c r="AN56">
        <v>49.2</v>
      </c>
      <c r="AT56">
        <v>0</v>
      </c>
      <c r="AW56">
        <v>0.39999999999963598</v>
      </c>
      <c r="AZ56">
        <v>3.6999999999970901</v>
      </c>
      <c r="BA56">
        <v>7.1999999999970896</v>
      </c>
      <c r="BB56">
        <v>42.599999999976703</v>
      </c>
      <c r="BC56">
        <v>15</v>
      </c>
      <c r="BD56">
        <v>0.30000000000018201</v>
      </c>
      <c r="BE56">
        <v>0.5</v>
      </c>
      <c r="BF56">
        <v>0.5</v>
      </c>
      <c r="BG56">
        <v>2.4000000000014601</v>
      </c>
      <c r="BJ56">
        <v>14</v>
      </c>
      <c r="BK56">
        <v>0.200000000000045</v>
      </c>
      <c r="BM56">
        <v>16.799999999988401</v>
      </c>
      <c r="BN56">
        <v>29.5</v>
      </c>
      <c r="BO56">
        <v>0.200000000000045</v>
      </c>
      <c r="BP56">
        <v>9</v>
      </c>
      <c r="BT56">
        <v>0.80000000000018201</v>
      </c>
      <c r="BU56">
        <v>1.79999999999927</v>
      </c>
      <c r="BV56">
        <v>0.400000000000091</v>
      </c>
      <c r="BW56">
        <v>1.1000000000000001</v>
      </c>
      <c r="BY56">
        <v>2</v>
      </c>
      <c r="BZ56">
        <v>0.5</v>
      </c>
      <c r="CA56">
        <v>19.3</v>
      </c>
      <c r="CE56">
        <v>1.1000000000000001</v>
      </c>
      <c r="CF56">
        <v>2.5</v>
      </c>
      <c r="CG56">
        <v>17</v>
      </c>
      <c r="CN56">
        <v>0.1</v>
      </c>
      <c r="CO56">
        <v>2.2000000000000002</v>
      </c>
      <c r="CP56">
        <v>16.600000000000001</v>
      </c>
      <c r="CQ56">
        <v>8.3000000000000007</v>
      </c>
      <c r="CR56">
        <v>2.6</v>
      </c>
      <c r="CT56">
        <v>11.9</v>
      </c>
      <c r="CU56">
        <v>0.1</v>
      </c>
      <c r="CW56">
        <v>1.5</v>
      </c>
      <c r="CX56">
        <v>1.3</v>
      </c>
      <c r="CY56">
        <v>6.5</v>
      </c>
      <c r="DB56">
        <v>21.3</v>
      </c>
      <c r="DC56">
        <v>0.8</v>
      </c>
      <c r="DD56" s="5">
        <v>11.5</v>
      </c>
      <c r="DJ56" s="1">
        <v>40963</v>
      </c>
      <c r="DK56" s="2">
        <f t="shared" si="1"/>
        <v>6.7190476190464503</v>
      </c>
      <c r="DL56" s="2">
        <f t="shared" si="2"/>
        <v>4.1499999999992783</v>
      </c>
      <c r="DM56" s="2">
        <f t="shared" si="3"/>
        <v>49.2</v>
      </c>
      <c r="DN56" s="3">
        <f t="shared" si="4"/>
        <v>0.61764705882352944</v>
      </c>
      <c r="DV56" s="2">
        <v>265</v>
      </c>
      <c r="DW56">
        <v>0</v>
      </c>
      <c r="DX56">
        <f t="shared" si="5"/>
        <v>14794</v>
      </c>
      <c r="DY56">
        <f t="shared" si="0"/>
        <v>1</v>
      </c>
    </row>
    <row r="57" spans="1:129">
      <c r="A57" s="1">
        <v>40964</v>
      </c>
      <c r="B57" s="1"/>
      <c r="C57" s="1"/>
      <c r="G57">
        <v>12.7</v>
      </c>
      <c r="H57">
        <v>8.6999999999999993</v>
      </c>
      <c r="K57">
        <v>0.8</v>
      </c>
      <c r="L57">
        <v>0.3</v>
      </c>
      <c r="M57">
        <v>1.7</v>
      </c>
      <c r="N57">
        <v>3</v>
      </c>
      <c r="P57">
        <v>0.7</v>
      </c>
      <c r="V57">
        <v>0.8</v>
      </c>
      <c r="W57">
        <v>21.6</v>
      </c>
      <c r="X57">
        <v>7.5</v>
      </c>
      <c r="Y57">
        <v>1</v>
      </c>
      <c r="Z57">
        <v>0.29999999999972699</v>
      </c>
      <c r="AA57">
        <v>0.19999999999981799</v>
      </c>
      <c r="AB57">
        <v>4.5</v>
      </c>
      <c r="AD57">
        <v>0</v>
      </c>
      <c r="AE57">
        <v>0.39999999999963598</v>
      </c>
      <c r="AG57">
        <v>4.2999999999956398</v>
      </c>
      <c r="AI57">
        <v>9.9999999999908995E-2</v>
      </c>
      <c r="AK57">
        <v>14.6999999999971</v>
      </c>
      <c r="AN57">
        <v>7.6999999999970896</v>
      </c>
      <c r="AR57">
        <v>1.6999999999989099</v>
      </c>
      <c r="AS57">
        <v>0.59999999999945397</v>
      </c>
      <c r="AT57">
        <v>1</v>
      </c>
      <c r="AW57">
        <v>1.6999999999989099</v>
      </c>
      <c r="AY57">
        <v>4.8999999999941801</v>
      </c>
      <c r="BA57">
        <v>0</v>
      </c>
      <c r="BB57">
        <v>1.39999999999964</v>
      </c>
      <c r="BC57">
        <v>1.5999999999985499</v>
      </c>
      <c r="BE57">
        <v>20.100000000005799</v>
      </c>
      <c r="BI57">
        <v>5</v>
      </c>
      <c r="BJ57">
        <v>4.1999999999970896</v>
      </c>
      <c r="BK57">
        <v>13.6999999999971</v>
      </c>
      <c r="BL57">
        <v>0.400000000000091</v>
      </c>
      <c r="BM57">
        <v>7.5999999999985501</v>
      </c>
      <c r="BN57">
        <v>2.7999999999992702</v>
      </c>
      <c r="BO57">
        <v>5.6999999999970896</v>
      </c>
      <c r="BP57">
        <v>12.399999999994201</v>
      </c>
      <c r="BT57">
        <v>0.89999999999963598</v>
      </c>
      <c r="BU57">
        <v>9.6999999999970896</v>
      </c>
      <c r="BV57">
        <v>1.5</v>
      </c>
      <c r="BW57">
        <v>0.8</v>
      </c>
      <c r="BY57">
        <v>1.9</v>
      </c>
      <c r="BZ57">
        <v>20.100000000000001</v>
      </c>
      <c r="CA57">
        <v>0.1</v>
      </c>
      <c r="CB57">
        <v>0.8</v>
      </c>
      <c r="CE57">
        <v>1.9</v>
      </c>
      <c r="CF57">
        <v>4.8</v>
      </c>
      <c r="CG57">
        <v>24</v>
      </c>
      <c r="CH57">
        <v>10.1</v>
      </c>
      <c r="CJ57">
        <v>26.3</v>
      </c>
      <c r="CO57">
        <v>0</v>
      </c>
      <c r="CP57">
        <v>13.2</v>
      </c>
      <c r="CQ57">
        <v>4.0999999999999996</v>
      </c>
      <c r="CR57">
        <v>1</v>
      </c>
      <c r="CS57">
        <v>0.3</v>
      </c>
      <c r="CT57">
        <v>8</v>
      </c>
      <c r="CW57">
        <v>6.8</v>
      </c>
      <c r="CX57">
        <v>3</v>
      </c>
      <c r="CY57">
        <v>9</v>
      </c>
      <c r="CZ57">
        <v>0.1</v>
      </c>
      <c r="DB57">
        <v>4.2</v>
      </c>
      <c r="DD57" s="5">
        <v>0.2</v>
      </c>
      <c r="DJ57" s="1">
        <v>40964</v>
      </c>
      <c r="DK57" s="2">
        <f t="shared" si="1"/>
        <v>5.2999999999994269</v>
      </c>
      <c r="DL57" s="2">
        <f t="shared" si="2"/>
        <v>3.2215686274506323</v>
      </c>
      <c r="DM57" s="2">
        <f t="shared" si="3"/>
        <v>26.3</v>
      </c>
      <c r="DN57" s="3">
        <f t="shared" si="4"/>
        <v>0.60784313725490191</v>
      </c>
      <c r="DV57" s="2">
        <v>270</v>
      </c>
      <c r="DW57">
        <v>0</v>
      </c>
      <c r="DX57">
        <f t="shared" si="5"/>
        <v>14794</v>
      </c>
      <c r="DY57">
        <f t="shared" si="0"/>
        <v>1</v>
      </c>
    </row>
    <row r="58" spans="1:129">
      <c r="A58" s="1">
        <v>40965</v>
      </c>
      <c r="B58" s="1"/>
      <c r="C58" s="1"/>
      <c r="D58">
        <v>1.5</v>
      </c>
      <c r="G58">
        <v>0.1</v>
      </c>
      <c r="J58">
        <v>3.9</v>
      </c>
      <c r="K58">
        <v>3.4</v>
      </c>
      <c r="M58">
        <v>3.4</v>
      </c>
      <c r="N58">
        <v>2.7</v>
      </c>
      <c r="R58">
        <v>0.3</v>
      </c>
      <c r="S58">
        <v>0.2</v>
      </c>
      <c r="V58">
        <v>0.3</v>
      </c>
      <c r="X58">
        <v>0</v>
      </c>
      <c r="Y58">
        <v>6.4</v>
      </c>
      <c r="AB58">
        <v>1.1999999999989099</v>
      </c>
      <c r="AC58">
        <v>0</v>
      </c>
      <c r="AD58">
        <v>10.799999999988399</v>
      </c>
      <c r="AE58">
        <v>0</v>
      </c>
      <c r="AH58">
        <v>1.6999999999989099</v>
      </c>
      <c r="AJ58">
        <v>1.29999999999927</v>
      </c>
      <c r="AL58">
        <v>0.19999999999981799</v>
      </c>
      <c r="AM58">
        <v>3.5</v>
      </c>
      <c r="AN58">
        <v>9.8999999999941792</v>
      </c>
      <c r="AO58">
        <v>2</v>
      </c>
      <c r="AR58">
        <v>0.5</v>
      </c>
      <c r="AS58">
        <v>0</v>
      </c>
      <c r="AV58">
        <v>19</v>
      </c>
      <c r="AW58">
        <v>4.6999999999970896</v>
      </c>
      <c r="AY58">
        <v>1.1999999999989099</v>
      </c>
      <c r="AZ58">
        <v>3.2999999999992702</v>
      </c>
      <c r="BA58">
        <v>0</v>
      </c>
      <c r="BD58">
        <v>17.600000000005799</v>
      </c>
      <c r="BE58">
        <v>1.39999999999964</v>
      </c>
      <c r="BH58">
        <v>3.5</v>
      </c>
      <c r="BI58">
        <v>0.100000000000023</v>
      </c>
      <c r="BJ58">
        <v>7.3000000000029104</v>
      </c>
      <c r="BK58">
        <v>14.3000000000029</v>
      </c>
      <c r="BL58">
        <v>6.5</v>
      </c>
      <c r="BM58">
        <v>2.0999999999985399</v>
      </c>
      <c r="BN58">
        <v>3.4000000000014601</v>
      </c>
      <c r="BO58">
        <v>10</v>
      </c>
      <c r="BP58">
        <v>1</v>
      </c>
      <c r="BR58">
        <v>0.200000000000045</v>
      </c>
      <c r="BT58">
        <v>0.30000000000018201</v>
      </c>
      <c r="BU58">
        <v>1.79999999999927</v>
      </c>
      <c r="BV58">
        <v>0.200000000000045</v>
      </c>
      <c r="BY58">
        <v>1.7</v>
      </c>
      <c r="BZ58">
        <v>10.4</v>
      </c>
      <c r="CA58">
        <v>0.2</v>
      </c>
      <c r="CB58">
        <v>5.2</v>
      </c>
      <c r="CC58">
        <v>0.4</v>
      </c>
      <c r="CE58">
        <v>0</v>
      </c>
      <c r="CG58">
        <v>0.7</v>
      </c>
      <c r="CJ58">
        <v>9.1</v>
      </c>
      <c r="CN58">
        <v>0.3</v>
      </c>
      <c r="CQ58">
        <v>2.1</v>
      </c>
      <c r="CS58">
        <v>3.7</v>
      </c>
      <c r="CT58">
        <v>13.2</v>
      </c>
      <c r="CW58">
        <v>10.9</v>
      </c>
      <c r="CX58">
        <v>1.3</v>
      </c>
      <c r="CY58">
        <v>6.5</v>
      </c>
      <c r="CZ58">
        <v>5.4</v>
      </c>
      <c r="DA58">
        <v>3.9</v>
      </c>
      <c r="DB58">
        <v>0.1</v>
      </c>
      <c r="DD58" s="5">
        <v>14.6</v>
      </c>
      <c r="DJ58" s="1">
        <v>40965</v>
      </c>
      <c r="DK58" s="2">
        <f t="shared" si="1"/>
        <v>3.8854838709675081</v>
      </c>
      <c r="DL58" s="2">
        <f t="shared" si="2"/>
        <v>2.3617647058822109</v>
      </c>
      <c r="DM58" s="2">
        <f t="shared" si="3"/>
        <v>19</v>
      </c>
      <c r="DN58" s="3">
        <f t="shared" si="4"/>
        <v>0.60784313725490191</v>
      </c>
      <c r="DV58" s="2">
        <v>275</v>
      </c>
      <c r="DW58">
        <v>0</v>
      </c>
      <c r="DX58">
        <f t="shared" si="5"/>
        <v>14794</v>
      </c>
      <c r="DY58">
        <f t="shared" si="0"/>
        <v>1</v>
      </c>
    </row>
    <row r="59" spans="1:129">
      <c r="A59" s="1">
        <v>40966</v>
      </c>
      <c r="B59" s="1"/>
      <c r="C59" s="1"/>
      <c r="D59">
        <v>0.5</v>
      </c>
      <c r="G59">
        <v>9</v>
      </c>
      <c r="H59">
        <v>6.9</v>
      </c>
      <c r="M59">
        <v>3.5</v>
      </c>
      <c r="V59">
        <v>0.3</v>
      </c>
      <c r="X59">
        <v>1.6</v>
      </c>
      <c r="Y59">
        <v>1.3</v>
      </c>
      <c r="AA59">
        <v>5.29999999999563</v>
      </c>
      <c r="AD59">
        <v>3.1999999999970901</v>
      </c>
      <c r="AE59">
        <v>0</v>
      </c>
      <c r="AG59">
        <v>13.099999999991301</v>
      </c>
      <c r="AH59">
        <v>1.79999999999927</v>
      </c>
      <c r="AI59">
        <v>0.19999999999981799</v>
      </c>
      <c r="AK59">
        <v>3.6999999999970901</v>
      </c>
      <c r="AM59">
        <v>4.3999999999941801</v>
      </c>
      <c r="AN59">
        <v>7.5</v>
      </c>
      <c r="AQ59">
        <v>2.5</v>
      </c>
      <c r="AS59">
        <v>23.8</v>
      </c>
      <c r="AV59">
        <v>1</v>
      </c>
      <c r="AZ59">
        <v>0.59999999999945397</v>
      </c>
      <c r="BA59">
        <v>5</v>
      </c>
      <c r="BB59">
        <v>0.29999999999972699</v>
      </c>
      <c r="BD59">
        <v>1.70000000000073</v>
      </c>
      <c r="BE59">
        <v>12.6999999999971</v>
      </c>
      <c r="BH59">
        <v>17</v>
      </c>
      <c r="BI59">
        <v>3.7999999999992702</v>
      </c>
      <c r="BJ59">
        <v>31</v>
      </c>
      <c r="BK59">
        <v>4.5999999999985501</v>
      </c>
      <c r="BM59">
        <v>5</v>
      </c>
      <c r="BN59">
        <v>2.5999999999985399</v>
      </c>
      <c r="BO59">
        <v>3.4000000000014601</v>
      </c>
      <c r="BP59">
        <v>0</v>
      </c>
      <c r="BQ59">
        <v>1.70000000000073</v>
      </c>
      <c r="BR59">
        <v>1.89999999999964</v>
      </c>
      <c r="BT59">
        <v>0.60000000000036402</v>
      </c>
      <c r="BU59">
        <v>19.799999999988401</v>
      </c>
      <c r="BV59">
        <v>0.80000000000018201</v>
      </c>
      <c r="BY59">
        <v>0.3</v>
      </c>
      <c r="BZ59">
        <v>6</v>
      </c>
      <c r="CA59">
        <v>0.1</v>
      </c>
      <c r="CB59">
        <v>11.3</v>
      </c>
      <c r="CC59">
        <v>12.8</v>
      </c>
      <c r="CD59">
        <v>0.1</v>
      </c>
      <c r="CJ59">
        <v>0.5</v>
      </c>
      <c r="CK59">
        <v>2.5</v>
      </c>
      <c r="CN59">
        <v>5.0999999999999996</v>
      </c>
      <c r="CO59">
        <v>0.1</v>
      </c>
      <c r="CR59">
        <v>15</v>
      </c>
      <c r="CS59">
        <v>7.3</v>
      </c>
      <c r="CT59">
        <v>0.4</v>
      </c>
      <c r="CU59">
        <v>0.9</v>
      </c>
      <c r="CW59">
        <v>1.2</v>
      </c>
      <c r="CX59">
        <v>1.3</v>
      </c>
      <c r="CY59">
        <v>0.2</v>
      </c>
      <c r="CZ59">
        <v>25</v>
      </c>
      <c r="DA59">
        <v>2.5</v>
      </c>
      <c r="DC59">
        <v>7.1</v>
      </c>
      <c r="DD59" s="5">
        <v>0.3</v>
      </c>
      <c r="DJ59" s="1">
        <v>40966</v>
      </c>
      <c r="DK59" s="2">
        <f t="shared" si="1"/>
        <v>5.2086206896544578</v>
      </c>
      <c r="DL59" s="2">
        <f t="shared" si="2"/>
        <v>2.9617647058819463</v>
      </c>
      <c r="DM59" s="2">
        <f t="shared" si="3"/>
        <v>31</v>
      </c>
      <c r="DN59" s="3">
        <f t="shared" si="4"/>
        <v>0.56862745098039214</v>
      </c>
      <c r="DV59" s="2">
        <v>280</v>
      </c>
      <c r="DW59">
        <v>0</v>
      </c>
      <c r="DX59">
        <f t="shared" si="5"/>
        <v>14794</v>
      </c>
      <c r="DY59">
        <f t="shared" si="0"/>
        <v>1</v>
      </c>
    </row>
    <row r="60" spans="1:129">
      <c r="A60" s="1">
        <v>40967</v>
      </c>
      <c r="B60" s="1"/>
      <c r="C60" s="1"/>
      <c r="G60">
        <v>4</v>
      </c>
      <c r="H60">
        <v>3.7</v>
      </c>
      <c r="K60">
        <v>3.5</v>
      </c>
      <c r="L60">
        <v>1.7</v>
      </c>
      <c r="O60">
        <v>1.4</v>
      </c>
      <c r="P60">
        <v>6</v>
      </c>
      <c r="S60">
        <v>4.8</v>
      </c>
      <c r="T60">
        <v>7.5</v>
      </c>
      <c r="V60">
        <v>0.2</v>
      </c>
      <c r="AA60">
        <v>2</v>
      </c>
      <c r="AG60">
        <v>6.79999999999563</v>
      </c>
      <c r="AI60">
        <v>1.5999999999985499</v>
      </c>
      <c r="AJ60">
        <v>0.1</v>
      </c>
      <c r="AL60">
        <v>0.29999999999972699</v>
      </c>
      <c r="AN60">
        <v>2</v>
      </c>
      <c r="AR60">
        <v>7.5</v>
      </c>
      <c r="AS60">
        <v>11.5</v>
      </c>
      <c r="AW60">
        <v>6.79999999999563</v>
      </c>
      <c r="AY60">
        <v>1.79999999999927</v>
      </c>
      <c r="BA60">
        <v>0.59999999999945397</v>
      </c>
      <c r="BD60">
        <v>0.5</v>
      </c>
      <c r="BE60">
        <v>2.5</v>
      </c>
      <c r="BJ60">
        <v>8.3999999999941792</v>
      </c>
      <c r="BK60">
        <v>4</v>
      </c>
      <c r="BM60">
        <v>9</v>
      </c>
      <c r="BN60">
        <v>3.7999999999992702</v>
      </c>
      <c r="BP60">
        <v>0.100000000000023</v>
      </c>
      <c r="BR60">
        <v>0.100000000000023</v>
      </c>
      <c r="BS60">
        <v>0.100000000000023</v>
      </c>
      <c r="BT60">
        <v>9.6999999999970896</v>
      </c>
      <c r="BU60">
        <v>0</v>
      </c>
      <c r="BV60">
        <v>17.399999999994201</v>
      </c>
      <c r="BW60">
        <v>0.1</v>
      </c>
      <c r="BX60">
        <v>5.6999999999970896</v>
      </c>
      <c r="BZ60">
        <v>0.1</v>
      </c>
      <c r="CD60">
        <v>22</v>
      </c>
      <c r="CE60">
        <v>0.4</v>
      </c>
      <c r="CI60">
        <v>1.6</v>
      </c>
      <c r="CJ60">
        <v>2.1</v>
      </c>
      <c r="CK60">
        <v>2.5</v>
      </c>
      <c r="CN60">
        <v>1.3</v>
      </c>
      <c r="CO60">
        <v>0.5</v>
      </c>
      <c r="CS60">
        <v>0.6</v>
      </c>
      <c r="CT60">
        <v>1.8</v>
      </c>
      <c r="CU60">
        <v>0.2</v>
      </c>
      <c r="CW60">
        <v>0.5</v>
      </c>
      <c r="CY60">
        <v>0.2</v>
      </c>
      <c r="CZ60">
        <v>0.5</v>
      </c>
      <c r="DA60">
        <v>1.1000000000000001</v>
      </c>
      <c r="DD60" s="5"/>
      <c r="DJ60" s="1">
        <v>40967</v>
      </c>
      <c r="DK60" s="2">
        <f t="shared" si="1"/>
        <v>3.4816326530606152</v>
      </c>
      <c r="DL60" s="2">
        <f t="shared" si="2"/>
        <v>1.6725490196075505</v>
      </c>
      <c r="DM60" s="2">
        <f t="shared" si="3"/>
        <v>22</v>
      </c>
      <c r="DN60" s="3">
        <f t="shared" si="4"/>
        <v>0.48039215686274511</v>
      </c>
      <c r="DV60" s="2">
        <v>285</v>
      </c>
      <c r="DW60">
        <v>0</v>
      </c>
      <c r="DX60">
        <f t="shared" si="5"/>
        <v>14794</v>
      </c>
      <c r="DY60">
        <f t="shared" si="0"/>
        <v>1</v>
      </c>
    </row>
    <row r="61" spans="1:129">
      <c r="A61" s="1">
        <v>40968</v>
      </c>
      <c r="B61" s="1"/>
      <c r="C61" s="1"/>
      <c r="D61">
        <v>2.8</v>
      </c>
      <c r="H61">
        <v>0.1</v>
      </c>
      <c r="L61">
        <v>0.4</v>
      </c>
      <c r="P61">
        <v>7.5</v>
      </c>
      <c r="T61">
        <v>6</v>
      </c>
      <c r="X61">
        <v>0</v>
      </c>
      <c r="AN61">
        <v>0.5</v>
      </c>
      <c r="AR61">
        <v>0.69999999999981799</v>
      </c>
      <c r="BH61">
        <v>25.899999999994201</v>
      </c>
      <c r="BP61">
        <v>0.100000000000023</v>
      </c>
      <c r="BT61">
        <v>2.7000000000007298</v>
      </c>
      <c r="BX61">
        <v>0.5</v>
      </c>
      <c r="CJ61">
        <v>4.7</v>
      </c>
      <c r="CZ61">
        <v>1</v>
      </c>
      <c r="DD61" s="5"/>
      <c r="DJ61" s="1">
        <v>40968</v>
      </c>
      <c r="DK61" s="2">
        <f t="shared" si="1"/>
        <v>3.7785714285710554</v>
      </c>
      <c r="DL61" s="2">
        <f t="shared" si="2"/>
        <v>0.51862745098034091</v>
      </c>
      <c r="DM61" s="2">
        <f t="shared" si="3"/>
        <v>25.899999999994201</v>
      </c>
      <c r="DN61" s="3">
        <f t="shared" si="4"/>
        <v>0.13725490196078433</v>
      </c>
      <c r="DV61" s="2">
        <v>290</v>
      </c>
      <c r="DW61">
        <v>0</v>
      </c>
      <c r="DX61">
        <f t="shared" si="5"/>
        <v>14794</v>
      </c>
      <c r="DY61">
        <f t="shared" si="0"/>
        <v>1</v>
      </c>
    </row>
    <row r="62" spans="1:129">
      <c r="A62" s="1">
        <v>40969</v>
      </c>
      <c r="B62" s="1"/>
      <c r="C62" s="1"/>
      <c r="D62">
        <v>6.7</v>
      </c>
      <c r="E62">
        <v>19.7</v>
      </c>
      <c r="F62">
        <v>1.5</v>
      </c>
      <c r="G62">
        <v>0.7</v>
      </c>
      <c r="H62">
        <v>0.2</v>
      </c>
      <c r="I62">
        <v>2.5</v>
      </c>
      <c r="K62">
        <v>2.9</v>
      </c>
      <c r="L62">
        <v>0.4</v>
      </c>
      <c r="M62">
        <v>0.4</v>
      </c>
      <c r="O62">
        <v>8.5</v>
      </c>
      <c r="P62">
        <v>2.2000000000000002</v>
      </c>
      <c r="R62">
        <v>18</v>
      </c>
      <c r="U62">
        <v>0</v>
      </c>
      <c r="V62">
        <v>0</v>
      </c>
      <c r="W62">
        <v>0.7</v>
      </c>
      <c r="X62">
        <v>0</v>
      </c>
      <c r="AF62">
        <v>0.79999999999927196</v>
      </c>
      <c r="AG62">
        <v>1.5</v>
      </c>
      <c r="AH62">
        <v>1.79999999999927</v>
      </c>
      <c r="AL62">
        <v>3.1999999999970901</v>
      </c>
      <c r="AM62">
        <v>0</v>
      </c>
      <c r="AN62">
        <v>2.3999999999978199</v>
      </c>
      <c r="AO62">
        <v>11</v>
      </c>
      <c r="AP62">
        <v>9.9999999999908995E-2</v>
      </c>
      <c r="AQ62">
        <v>2.5999999999985399</v>
      </c>
      <c r="AS62">
        <v>18</v>
      </c>
      <c r="AU62">
        <v>2.5999999999985399</v>
      </c>
      <c r="AW62">
        <v>19.199999999982499</v>
      </c>
      <c r="AY62">
        <v>0.5</v>
      </c>
      <c r="BB62">
        <v>0.39999999999963598</v>
      </c>
      <c r="BC62">
        <v>7.5</v>
      </c>
      <c r="BD62">
        <v>15.399999999994201</v>
      </c>
      <c r="BH62">
        <v>5.5999999999985501</v>
      </c>
      <c r="BK62">
        <v>14.5</v>
      </c>
      <c r="BM62">
        <v>0.100000000000023</v>
      </c>
      <c r="BN62">
        <v>4.5</v>
      </c>
      <c r="BQ62">
        <v>15.6999999999971</v>
      </c>
      <c r="BR62">
        <v>3.1</v>
      </c>
      <c r="BT62">
        <v>0.200000000000045</v>
      </c>
      <c r="BU62">
        <v>8.5</v>
      </c>
      <c r="BW62">
        <v>0.1</v>
      </c>
      <c r="BX62">
        <v>1</v>
      </c>
      <c r="CB62">
        <v>2.7</v>
      </c>
      <c r="CJ62">
        <v>0</v>
      </c>
      <c r="CO62">
        <v>11.5</v>
      </c>
      <c r="CS62">
        <v>13.5</v>
      </c>
      <c r="CU62">
        <v>0.2</v>
      </c>
      <c r="CV62">
        <v>6.5</v>
      </c>
      <c r="CW62">
        <v>0.1</v>
      </c>
      <c r="CY62">
        <v>0.1</v>
      </c>
      <c r="CZ62">
        <v>2.7</v>
      </c>
      <c r="DA62">
        <v>0.2</v>
      </c>
      <c r="DC62">
        <v>0.1</v>
      </c>
      <c r="DD62" s="5"/>
      <c r="DJ62" s="1">
        <v>40969</v>
      </c>
      <c r="DK62" s="2">
        <f t="shared" si="1"/>
        <v>4.5716981132068382</v>
      </c>
      <c r="DL62" s="2">
        <f t="shared" si="2"/>
        <v>2.3754901960780628</v>
      </c>
      <c r="DM62" s="2">
        <f t="shared" si="3"/>
        <v>19.7</v>
      </c>
      <c r="DN62" s="3">
        <f t="shared" si="4"/>
        <v>0.51960784313725494</v>
      </c>
      <c r="DV62" s="2">
        <v>295</v>
      </c>
      <c r="DW62">
        <v>0</v>
      </c>
      <c r="DX62">
        <f t="shared" si="5"/>
        <v>14794</v>
      </c>
      <c r="DY62">
        <f t="shared" si="0"/>
        <v>1</v>
      </c>
    </row>
    <row r="63" spans="1:129">
      <c r="A63" s="1">
        <v>40970</v>
      </c>
      <c r="B63" s="1"/>
      <c r="C63" s="1"/>
      <c r="E63">
        <v>0</v>
      </c>
      <c r="F63">
        <v>0.7</v>
      </c>
      <c r="G63">
        <v>5.8</v>
      </c>
      <c r="H63">
        <v>17.5</v>
      </c>
      <c r="I63">
        <v>3.4</v>
      </c>
      <c r="K63">
        <v>1.1000000000000001</v>
      </c>
      <c r="M63">
        <v>0.3</v>
      </c>
      <c r="O63">
        <v>0.1</v>
      </c>
      <c r="R63">
        <v>2.5</v>
      </c>
      <c r="U63">
        <v>30</v>
      </c>
      <c r="W63">
        <v>2.2999999999999998</v>
      </c>
      <c r="X63">
        <v>5</v>
      </c>
      <c r="Y63">
        <v>0</v>
      </c>
      <c r="AA63">
        <v>9.8999999999941792</v>
      </c>
      <c r="AC63">
        <v>4.0999999999985501</v>
      </c>
      <c r="AF63">
        <v>6.5</v>
      </c>
      <c r="AH63">
        <v>2.5</v>
      </c>
      <c r="AI63">
        <v>6.0999999999985501</v>
      </c>
      <c r="AJ63">
        <v>7.6999999999970896</v>
      </c>
      <c r="AL63">
        <v>8.3999999999941792</v>
      </c>
      <c r="AM63">
        <v>1.39999999999964</v>
      </c>
      <c r="AN63">
        <v>2.0999999999985399</v>
      </c>
      <c r="AO63">
        <v>0.29999999999972699</v>
      </c>
      <c r="AP63">
        <v>10</v>
      </c>
      <c r="AQ63">
        <v>8.5999999999912706</v>
      </c>
      <c r="AR63">
        <v>0.7</v>
      </c>
      <c r="AS63">
        <v>1.0999999999985499</v>
      </c>
      <c r="AU63">
        <v>3.3999999999978199</v>
      </c>
      <c r="AV63">
        <v>0.69999999999981799</v>
      </c>
      <c r="AW63">
        <v>7.3</v>
      </c>
      <c r="AX63">
        <v>1.1999999999989099</v>
      </c>
      <c r="AZ63">
        <v>2.0999999999985399</v>
      </c>
      <c r="BB63">
        <v>28.699999999982499</v>
      </c>
      <c r="BC63">
        <v>11.1999999999971</v>
      </c>
      <c r="BD63">
        <v>1.60000000000036</v>
      </c>
      <c r="BG63">
        <v>12.6999999999971</v>
      </c>
      <c r="BH63">
        <v>0.200000000000045</v>
      </c>
      <c r="BI63">
        <v>0.3</v>
      </c>
      <c r="BJ63">
        <v>0.100000000000023</v>
      </c>
      <c r="BK63">
        <v>2.4000000000014601</v>
      </c>
      <c r="BN63">
        <v>0.30000000000018201</v>
      </c>
      <c r="BQ63">
        <v>10.899999999994201</v>
      </c>
      <c r="BR63">
        <v>0.1</v>
      </c>
      <c r="BU63">
        <v>0.30000000000018201</v>
      </c>
      <c r="BV63">
        <v>0.200000000000045</v>
      </c>
      <c r="BW63">
        <v>0.2</v>
      </c>
      <c r="BZ63">
        <v>1.8</v>
      </c>
      <c r="CB63">
        <v>2</v>
      </c>
      <c r="CC63">
        <v>5.2</v>
      </c>
      <c r="CD63">
        <v>2.4</v>
      </c>
      <c r="CJ63">
        <v>5.5</v>
      </c>
      <c r="CL63">
        <v>1</v>
      </c>
      <c r="CO63">
        <v>4.5</v>
      </c>
      <c r="CS63">
        <v>13.5</v>
      </c>
      <c r="CT63">
        <v>6.7</v>
      </c>
      <c r="CU63">
        <v>1.2</v>
      </c>
      <c r="CV63">
        <v>1.9</v>
      </c>
      <c r="CW63">
        <v>1.9</v>
      </c>
      <c r="CX63">
        <v>14.2</v>
      </c>
      <c r="CZ63">
        <v>1.7</v>
      </c>
      <c r="DD63" s="5">
        <v>31.5</v>
      </c>
      <c r="DJ63" s="1">
        <v>40970</v>
      </c>
      <c r="DK63" s="2">
        <f t="shared" si="1"/>
        <v>5.196721311474402</v>
      </c>
      <c r="DL63" s="2">
        <f t="shared" si="2"/>
        <v>3.1078431372542989</v>
      </c>
      <c r="DM63" s="2">
        <f t="shared" si="3"/>
        <v>31.5</v>
      </c>
      <c r="DN63" s="3">
        <f t="shared" si="4"/>
        <v>0.59803921568627449</v>
      </c>
      <c r="DV63" s="2">
        <v>300</v>
      </c>
      <c r="DW63">
        <v>0</v>
      </c>
      <c r="DX63">
        <f t="shared" si="5"/>
        <v>14794</v>
      </c>
      <c r="DY63">
        <f t="shared" si="0"/>
        <v>1</v>
      </c>
    </row>
    <row r="64" spans="1:129">
      <c r="A64" s="1">
        <v>40971</v>
      </c>
      <c r="B64" s="1"/>
      <c r="C64" s="1"/>
      <c r="E64">
        <v>0</v>
      </c>
      <c r="F64">
        <v>0.4</v>
      </c>
      <c r="G64">
        <v>5</v>
      </c>
      <c r="H64">
        <v>6.6</v>
      </c>
      <c r="I64">
        <v>1.6</v>
      </c>
      <c r="K64">
        <v>12.4</v>
      </c>
      <c r="U64">
        <v>25</v>
      </c>
      <c r="V64">
        <v>0</v>
      </c>
      <c r="W64">
        <v>3.1</v>
      </c>
      <c r="AA64">
        <v>4.5</v>
      </c>
      <c r="AC64">
        <v>6</v>
      </c>
      <c r="AE64">
        <v>0.29999999999972699</v>
      </c>
      <c r="AI64">
        <v>1.3</v>
      </c>
      <c r="AK64">
        <v>1.5</v>
      </c>
      <c r="AL64">
        <v>0.19999999999981799</v>
      </c>
      <c r="AM64">
        <v>0.69999999999981799</v>
      </c>
      <c r="AN64">
        <v>3.7999999999992702</v>
      </c>
      <c r="AO64">
        <v>5.5999999999985501</v>
      </c>
      <c r="AP64">
        <v>13.6999999999971</v>
      </c>
      <c r="AQ64">
        <v>3</v>
      </c>
      <c r="AS64">
        <v>0.19999999999981799</v>
      </c>
      <c r="AU64">
        <v>0.19999999999981799</v>
      </c>
      <c r="AV64">
        <v>7.0999999999985501</v>
      </c>
      <c r="AW64">
        <v>4.5</v>
      </c>
      <c r="AX64">
        <v>3.1999999999970901</v>
      </c>
      <c r="AY64">
        <v>5</v>
      </c>
      <c r="AZ64">
        <v>1.1999999999989099</v>
      </c>
      <c r="BA64">
        <v>0.19999999999981799</v>
      </c>
      <c r="BD64">
        <v>0.100000000000023</v>
      </c>
      <c r="BG64">
        <v>0.89999999999963598</v>
      </c>
      <c r="BH64">
        <v>5.8000000000029104</v>
      </c>
      <c r="BI64">
        <v>0.1</v>
      </c>
      <c r="BK64">
        <v>8</v>
      </c>
      <c r="BL64">
        <v>0.1</v>
      </c>
      <c r="BM64">
        <v>0.100000000000023</v>
      </c>
      <c r="BQ64">
        <v>4</v>
      </c>
      <c r="BR64">
        <v>0.1</v>
      </c>
      <c r="BT64">
        <v>0</v>
      </c>
      <c r="BW64">
        <v>0.1</v>
      </c>
      <c r="BX64">
        <v>2.2999999999999998</v>
      </c>
      <c r="BZ64">
        <v>12.5</v>
      </c>
      <c r="CA64">
        <v>20.5</v>
      </c>
      <c r="CB64">
        <v>0.2</v>
      </c>
      <c r="CC64">
        <v>0.2</v>
      </c>
      <c r="CD64">
        <v>3.6</v>
      </c>
      <c r="CE64">
        <v>5.5</v>
      </c>
      <c r="CG64">
        <v>4.5999999999999996</v>
      </c>
      <c r="CH64">
        <v>0.4</v>
      </c>
      <c r="CJ64">
        <v>0.2</v>
      </c>
      <c r="CN64">
        <v>0.7</v>
      </c>
      <c r="CR64">
        <v>12.8</v>
      </c>
      <c r="CS64">
        <v>3.8</v>
      </c>
      <c r="CT64">
        <v>0.1</v>
      </c>
      <c r="CU64">
        <v>2.9</v>
      </c>
      <c r="CW64">
        <v>0.8</v>
      </c>
      <c r="CY64">
        <v>0.3</v>
      </c>
      <c r="CZ64">
        <v>3.8</v>
      </c>
      <c r="DB64">
        <v>0.9</v>
      </c>
      <c r="DC64">
        <v>7.6</v>
      </c>
      <c r="DD64" s="5">
        <v>3</v>
      </c>
      <c r="DJ64" s="1">
        <v>40971</v>
      </c>
      <c r="DK64" s="2">
        <f t="shared" si="1"/>
        <v>3.7049999999998477</v>
      </c>
      <c r="DL64" s="2">
        <f t="shared" si="2"/>
        <v>2.1794117647057929</v>
      </c>
      <c r="DM64" s="2">
        <f t="shared" si="3"/>
        <v>25</v>
      </c>
      <c r="DN64" s="3">
        <f t="shared" si="4"/>
        <v>0.58823529411764708</v>
      </c>
      <c r="DV64" s="2">
        <v>305</v>
      </c>
      <c r="DW64">
        <v>0</v>
      </c>
      <c r="DX64">
        <f t="shared" si="5"/>
        <v>14794</v>
      </c>
      <c r="DY64">
        <f t="shared" si="0"/>
        <v>1</v>
      </c>
    </row>
    <row r="65" spans="1:129">
      <c r="A65" s="1">
        <v>40972</v>
      </c>
      <c r="B65" s="1"/>
      <c r="C65" s="1"/>
      <c r="E65">
        <v>6</v>
      </c>
      <c r="G65">
        <v>0.6</v>
      </c>
      <c r="H65">
        <v>0.1</v>
      </c>
      <c r="I65">
        <v>0.4</v>
      </c>
      <c r="K65">
        <v>4.2</v>
      </c>
      <c r="X65">
        <v>4.4000000000000004</v>
      </c>
      <c r="Z65">
        <v>5.29999999999563</v>
      </c>
      <c r="AA65">
        <v>1.5399999999990499</v>
      </c>
      <c r="AE65">
        <v>0.69999999999981799</v>
      </c>
      <c r="AH65">
        <v>1</v>
      </c>
      <c r="AI65">
        <v>2.6</v>
      </c>
      <c r="AJ65">
        <v>9.9999999999908995E-2</v>
      </c>
      <c r="AK65">
        <v>28.699999999982499</v>
      </c>
      <c r="AL65">
        <v>2.3999999999978199</v>
      </c>
      <c r="AM65">
        <v>11.5</v>
      </c>
      <c r="AN65">
        <v>1.89999999999964</v>
      </c>
      <c r="AP65">
        <v>12</v>
      </c>
      <c r="AU65">
        <v>8.1999999999970896</v>
      </c>
      <c r="AW65">
        <v>0.39999999999963598</v>
      </c>
      <c r="AY65">
        <v>1.5999999999985499</v>
      </c>
      <c r="AZ65">
        <v>12.5</v>
      </c>
      <c r="BA65">
        <v>1.5999999999985499</v>
      </c>
      <c r="BC65">
        <v>8.3999999999941792</v>
      </c>
      <c r="BF65">
        <v>0.60000000000036402</v>
      </c>
      <c r="BG65">
        <v>3.2000000000007298</v>
      </c>
      <c r="BH65">
        <v>0.30000000000018201</v>
      </c>
      <c r="BK65">
        <v>0</v>
      </c>
      <c r="BL65">
        <v>0.3</v>
      </c>
      <c r="BM65">
        <v>0.4</v>
      </c>
      <c r="BP65">
        <v>0.60000000000036402</v>
      </c>
      <c r="BQ65">
        <v>1.70000000000073</v>
      </c>
      <c r="BR65">
        <v>0.6</v>
      </c>
      <c r="BT65">
        <v>26.700000000011599</v>
      </c>
      <c r="BU65">
        <v>0.5</v>
      </c>
      <c r="BW65">
        <v>1</v>
      </c>
      <c r="BX65">
        <v>1.5</v>
      </c>
      <c r="BY65">
        <v>0</v>
      </c>
      <c r="BZ65">
        <v>1.1000000000000001</v>
      </c>
      <c r="CA65">
        <v>20.6</v>
      </c>
      <c r="CC65">
        <v>5.2</v>
      </c>
      <c r="CD65">
        <v>0.6</v>
      </c>
      <c r="CE65">
        <v>2</v>
      </c>
      <c r="CK65">
        <v>0</v>
      </c>
      <c r="CQ65">
        <v>3.1</v>
      </c>
      <c r="CR65">
        <v>19.7</v>
      </c>
      <c r="CU65">
        <v>5.7</v>
      </c>
      <c r="CX65">
        <v>8.3000000000000007</v>
      </c>
      <c r="DB65">
        <v>0.8</v>
      </c>
      <c r="DD65" s="5">
        <v>4.7</v>
      </c>
      <c r="DJ65" s="1">
        <v>40972</v>
      </c>
      <c r="DK65" s="2">
        <f t="shared" si="1"/>
        <v>4.5987755102035974</v>
      </c>
      <c r="DL65" s="2">
        <f t="shared" si="2"/>
        <v>2.2092156862742773</v>
      </c>
      <c r="DM65" s="2">
        <f t="shared" si="3"/>
        <v>28.699999999982499</v>
      </c>
      <c r="DN65" s="3">
        <f t="shared" si="4"/>
        <v>0.48039215686274511</v>
      </c>
      <c r="DV65" s="2">
        <v>310</v>
      </c>
      <c r="DW65">
        <v>0</v>
      </c>
      <c r="DX65">
        <f t="shared" si="5"/>
        <v>14794</v>
      </c>
      <c r="DY65">
        <f t="shared" si="0"/>
        <v>1</v>
      </c>
    </row>
    <row r="66" spans="1:129">
      <c r="A66" s="1">
        <v>40973</v>
      </c>
      <c r="B66" s="1"/>
      <c r="C66" s="1"/>
      <c r="D66">
        <v>2.2000000000000002</v>
      </c>
      <c r="F66">
        <v>0.7</v>
      </c>
      <c r="G66">
        <v>5.3</v>
      </c>
      <c r="Q66">
        <v>2.8</v>
      </c>
      <c r="U66">
        <v>4</v>
      </c>
      <c r="W66">
        <v>15.5</v>
      </c>
      <c r="X66">
        <v>1.3</v>
      </c>
      <c r="Z66">
        <v>7.79999999999563</v>
      </c>
      <c r="AA66">
        <v>6.1</v>
      </c>
      <c r="AE66">
        <v>0</v>
      </c>
      <c r="AI66">
        <v>0.4</v>
      </c>
      <c r="AK66">
        <v>0</v>
      </c>
      <c r="AL66">
        <v>19.199999999982499</v>
      </c>
      <c r="AN66">
        <v>8.0999999999912706</v>
      </c>
      <c r="AO66">
        <v>3</v>
      </c>
      <c r="AP66">
        <v>43.599999999976703</v>
      </c>
      <c r="AR66">
        <v>0.6</v>
      </c>
      <c r="AS66">
        <v>6.79999999999563</v>
      </c>
      <c r="AU66">
        <v>11</v>
      </c>
      <c r="AV66">
        <v>7.5</v>
      </c>
      <c r="AX66">
        <v>0.19999999999981799</v>
      </c>
      <c r="AZ66">
        <v>2.8999999999978199</v>
      </c>
      <c r="BA66">
        <v>0.79999999999927196</v>
      </c>
      <c r="BC66">
        <v>4.3999999999941801</v>
      </c>
      <c r="BD66">
        <v>2</v>
      </c>
      <c r="BG66">
        <v>2.9000000000014601</v>
      </c>
      <c r="BI66">
        <v>1.3</v>
      </c>
      <c r="BK66">
        <v>0.5</v>
      </c>
      <c r="BL66">
        <v>0.8</v>
      </c>
      <c r="BP66">
        <v>4.6999999999970896</v>
      </c>
      <c r="BQ66">
        <v>0.89999999999963598</v>
      </c>
      <c r="BS66">
        <v>0</v>
      </c>
      <c r="BT66">
        <v>0.30000000000018201</v>
      </c>
      <c r="BU66">
        <v>24.100000000005799</v>
      </c>
      <c r="BW66">
        <v>3.6</v>
      </c>
      <c r="BX66">
        <v>0.2</v>
      </c>
      <c r="BZ66">
        <v>2.6</v>
      </c>
      <c r="CA66">
        <v>15.3</v>
      </c>
      <c r="CC66">
        <v>5.0999999999999996</v>
      </c>
      <c r="CG66">
        <v>2.9</v>
      </c>
      <c r="CJ66">
        <v>0.8</v>
      </c>
      <c r="CN66">
        <v>13.5</v>
      </c>
      <c r="CQ66">
        <v>13.3</v>
      </c>
      <c r="CR66">
        <v>4.8</v>
      </c>
      <c r="CS66">
        <v>9.8000000000000007</v>
      </c>
      <c r="CU66">
        <v>0.4</v>
      </c>
      <c r="CW66">
        <v>0.1</v>
      </c>
      <c r="CX66">
        <v>3.1</v>
      </c>
      <c r="DB66">
        <v>3.8</v>
      </c>
      <c r="DD66" s="5"/>
      <c r="DJ66" s="1">
        <v>40973</v>
      </c>
      <c r="DK66" s="2">
        <f t="shared" si="1"/>
        <v>5.5306122448966741</v>
      </c>
      <c r="DL66" s="2">
        <f t="shared" si="2"/>
        <v>2.6568627450974218</v>
      </c>
      <c r="DM66" s="2">
        <f t="shared" si="3"/>
        <v>43.599999999976703</v>
      </c>
      <c r="DN66" s="3">
        <f t="shared" si="4"/>
        <v>0.48039215686274511</v>
      </c>
      <c r="DV66" s="2">
        <v>315</v>
      </c>
      <c r="DW66">
        <v>0</v>
      </c>
      <c r="DX66">
        <f t="shared" si="5"/>
        <v>14794</v>
      </c>
      <c r="DY66">
        <f t="shared" ref="DY66:DY129" si="6">DX66/(SUM(DW$1:DW$38))</f>
        <v>1</v>
      </c>
    </row>
    <row r="67" spans="1:129">
      <c r="A67" s="1">
        <v>40974</v>
      </c>
      <c r="B67" s="1"/>
      <c r="C67" s="1"/>
      <c r="D67">
        <v>2.2000000000000002</v>
      </c>
      <c r="F67">
        <v>10.9</v>
      </c>
      <c r="G67">
        <v>1.5</v>
      </c>
      <c r="O67">
        <v>1.3</v>
      </c>
      <c r="Q67">
        <v>0.8</v>
      </c>
      <c r="R67">
        <v>0.5</v>
      </c>
      <c r="U67">
        <v>0</v>
      </c>
      <c r="X67">
        <v>1.3</v>
      </c>
      <c r="Z67">
        <v>0.19999999999981799</v>
      </c>
      <c r="AA67">
        <v>0</v>
      </c>
      <c r="AE67">
        <v>0</v>
      </c>
      <c r="AF67">
        <v>22.699999999982499</v>
      </c>
      <c r="AG67">
        <v>4</v>
      </c>
      <c r="AH67">
        <v>0.39999999999963598</v>
      </c>
      <c r="AK67">
        <v>0.29999999999972699</v>
      </c>
      <c r="AL67">
        <v>3.7999999999992702</v>
      </c>
      <c r="AN67">
        <v>1</v>
      </c>
      <c r="AP67">
        <v>4.1999999999970896</v>
      </c>
      <c r="AR67">
        <v>3.6</v>
      </c>
      <c r="AS67">
        <v>1</v>
      </c>
      <c r="AV67">
        <v>22.399999999994201</v>
      </c>
      <c r="AZ67">
        <v>6.2</v>
      </c>
      <c r="BA67">
        <v>3.5999999999985399</v>
      </c>
      <c r="BD67">
        <v>0</v>
      </c>
      <c r="BG67">
        <v>7.0999999999985501</v>
      </c>
      <c r="BI67">
        <v>4.5</v>
      </c>
      <c r="BJ67">
        <v>0</v>
      </c>
      <c r="BK67">
        <v>2.2999999999992702</v>
      </c>
      <c r="BL67">
        <v>0</v>
      </c>
      <c r="BM67">
        <v>9.4</v>
      </c>
      <c r="BN67">
        <v>0.100000000000023</v>
      </c>
      <c r="BP67">
        <v>6</v>
      </c>
      <c r="BS67">
        <v>3.5</v>
      </c>
      <c r="BU67">
        <v>0.100000000000023</v>
      </c>
      <c r="BV67">
        <v>0</v>
      </c>
      <c r="BX67">
        <v>10.9</v>
      </c>
      <c r="CA67">
        <v>0.4</v>
      </c>
      <c r="CC67">
        <v>2</v>
      </c>
      <c r="CE67">
        <v>5.4</v>
      </c>
      <c r="CF67">
        <v>1.2</v>
      </c>
      <c r="CG67">
        <v>21.5</v>
      </c>
      <c r="CH67">
        <v>0.1</v>
      </c>
      <c r="CI67">
        <v>0.5</v>
      </c>
      <c r="CJ67">
        <v>0.6</v>
      </c>
      <c r="CL67">
        <v>5.5</v>
      </c>
      <c r="CN67">
        <v>8.1999999999999993</v>
      </c>
      <c r="CO67">
        <v>11.4</v>
      </c>
      <c r="CQ67">
        <v>1.9</v>
      </c>
      <c r="CR67">
        <v>0.1</v>
      </c>
      <c r="CS67">
        <v>2.4</v>
      </c>
      <c r="CT67">
        <v>1.5</v>
      </c>
      <c r="CW67">
        <v>4.9000000000000004</v>
      </c>
      <c r="CX67">
        <v>5</v>
      </c>
      <c r="CY67">
        <v>1.7</v>
      </c>
      <c r="DC67">
        <v>0.2</v>
      </c>
      <c r="DD67" s="5"/>
      <c r="DJ67" s="1">
        <v>40974</v>
      </c>
      <c r="DK67" s="2">
        <f t="shared" ref="DK67:DK130" si="7">AVERAGE(D67:DD67)</f>
        <v>3.8236363636357935</v>
      </c>
      <c r="DL67" s="2">
        <f t="shared" ref="DL67:DL130" si="8">SUM(D67:DD67)/(COUNTA(D67:DA67)+COUNTBLANK(D67:DA67))</f>
        <v>2.0617647058820454</v>
      </c>
      <c r="DM67" s="2">
        <f t="shared" ref="DM67:DM130" si="9">MAX(D67:DD67)</f>
        <v>22.699999999982499</v>
      </c>
      <c r="DN67" s="3">
        <f t="shared" ref="DN67:DN130" si="10">(COUNTA(D67:DD67)/(COUNTA(D67:DA67)+COUNTBLANK(D67:DA67)))</f>
        <v>0.53921568627450978</v>
      </c>
      <c r="DV67" s="2">
        <v>320</v>
      </c>
      <c r="DW67">
        <v>0</v>
      </c>
      <c r="DX67">
        <f t="shared" ref="DX67:DX130" si="11">DX66+DW67</f>
        <v>14794</v>
      </c>
      <c r="DY67">
        <f t="shared" si="6"/>
        <v>1</v>
      </c>
    </row>
    <row r="68" spans="1:129">
      <c r="A68" s="1">
        <v>40975</v>
      </c>
      <c r="B68" s="1"/>
      <c r="C68" s="1"/>
      <c r="F68">
        <v>0.2</v>
      </c>
      <c r="G68">
        <v>15.1</v>
      </c>
      <c r="J68">
        <v>0.7</v>
      </c>
      <c r="O68">
        <v>7.7</v>
      </c>
      <c r="Q68">
        <v>0.2</v>
      </c>
      <c r="R68">
        <v>8.3000000000000007</v>
      </c>
      <c r="U68">
        <v>43.8</v>
      </c>
      <c r="W68">
        <v>0</v>
      </c>
      <c r="Y68">
        <v>0</v>
      </c>
      <c r="AB68">
        <v>1.29999999999927</v>
      </c>
      <c r="AE68">
        <v>0</v>
      </c>
      <c r="AF68">
        <v>39.299999999999997</v>
      </c>
      <c r="AJ68">
        <v>1.5</v>
      </c>
      <c r="AK68">
        <v>13.599999999991301</v>
      </c>
      <c r="AO68">
        <v>3.3999999999978199</v>
      </c>
      <c r="AP68">
        <v>0.29999999999972699</v>
      </c>
      <c r="AQ68">
        <v>0.59999999999945397</v>
      </c>
      <c r="AR68">
        <v>7.1</v>
      </c>
      <c r="AV68">
        <v>2.1999999999970901</v>
      </c>
      <c r="AW68">
        <v>0.39999999999963598</v>
      </c>
      <c r="AZ68">
        <v>7.3</v>
      </c>
      <c r="BB68">
        <v>30.599999999976699</v>
      </c>
      <c r="BD68">
        <v>5.0999999999985501</v>
      </c>
      <c r="BG68">
        <v>1.29999999999927</v>
      </c>
      <c r="BI68">
        <v>2.2000000000000002</v>
      </c>
      <c r="BJ68">
        <v>0.200000000000045</v>
      </c>
      <c r="BL68">
        <v>0.1</v>
      </c>
      <c r="BM68">
        <v>0.8</v>
      </c>
      <c r="BN68">
        <v>4.6999999999970896</v>
      </c>
      <c r="BP68">
        <v>1.10000000000036</v>
      </c>
      <c r="BQ68">
        <v>0</v>
      </c>
      <c r="BR68">
        <v>2.2000000000000002</v>
      </c>
      <c r="BS68">
        <v>0.400000000000091</v>
      </c>
      <c r="BT68">
        <v>0.30000000000018201</v>
      </c>
      <c r="BV68">
        <v>0</v>
      </c>
      <c r="BW68">
        <v>0.4</v>
      </c>
      <c r="BX68">
        <v>5.3</v>
      </c>
      <c r="BZ68">
        <v>0</v>
      </c>
      <c r="CA68">
        <v>22.8</v>
      </c>
      <c r="CB68">
        <v>1.8</v>
      </c>
      <c r="CC68">
        <v>1.4</v>
      </c>
      <c r="CE68">
        <v>1</v>
      </c>
      <c r="CF68">
        <v>0.5</v>
      </c>
      <c r="CG68">
        <v>5</v>
      </c>
      <c r="CI68">
        <v>6.5</v>
      </c>
      <c r="CJ68">
        <v>0.2</v>
      </c>
      <c r="CQ68">
        <v>0.5</v>
      </c>
      <c r="CS68">
        <v>3.1</v>
      </c>
      <c r="CT68">
        <v>29.1</v>
      </c>
      <c r="CW68">
        <v>11.3</v>
      </c>
      <c r="CX68">
        <v>4.5</v>
      </c>
      <c r="CY68">
        <v>2</v>
      </c>
      <c r="DB68">
        <v>0.9</v>
      </c>
      <c r="DC68">
        <v>0.1</v>
      </c>
      <c r="DD68" s="5"/>
      <c r="DJ68" s="1">
        <v>40975</v>
      </c>
      <c r="DK68" s="2">
        <f t="shared" si="7"/>
        <v>5.5259259259251223</v>
      </c>
      <c r="DL68" s="2">
        <f t="shared" si="8"/>
        <v>2.9254901960780058</v>
      </c>
      <c r="DM68" s="2">
        <f t="shared" si="9"/>
        <v>43.8</v>
      </c>
      <c r="DN68" s="3">
        <f t="shared" si="10"/>
        <v>0.52941176470588236</v>
      </c>
      <c r="DV68" s="2">
        <v>325</v>
      </c>
      <c r="DW68">
        <v>0</v>
      </c>
      <c r="DX68">
        <f t="shared" si="11"/>
        <v>14794</v>
      </c>
      <c r="DY68">
        <f t="shared" si="6"/>
        <v>1</v>
      </c>
    </row>
    <row r="69" spans="1:129">
      <c r="A69" s="1">
        <v>40976</v>
      </c>
      <c r="B69" s="1"/>
      <c r="C69" s="1"/>
      <c r="G69">
        <v>2.5</v>
      </c>
      <c r="K69">
        <v>3.8</v>
      </c>
      <c r="M69">
        <v>2.6</v>
      </c>
      <c r="R69">
        <v>11.3</v>
      </c>
      <c r="U69">
        <v>0</v>
      </c>
      <c r="X69">
        <v>7.5</v>
      </c>
      <c r="Y69">
        <v>0.8</v>
      </c>
      <c r="AA69">
        <v>4.79999999999563</v>
      </c>
      <c r="AD69">
        <v>1</v>
      </c>
      <c r="AE69">
        <v>14.5</v>
      </c>
      <c r="AF69">
        <v>4.5</v>
      </c>
      <c r="AH69">
        <v>1.5</v>
      </c>
      <c r="AK69">
        <v>5.1999999999970896</v>
      </c>
      <c r="AM69">
        <v>0.79999999999927196</v>
      </c>
      <c r="AO69">
        <v>13.599999999991301</v>
      </c>
      <c r="AQ69">
        <v>2.0999999999985399</v>
      </c>
      <c r="AR69">
        <v>11.6</v>
      </c>
      <c r="AW69">
        <v>12.599999999991301</v>
      </c>
      <c r="AY69">
        <v>9.9999999999908995E-2</v>
      </c>
      <c r="AZ69">
        <v>0</v>
      </c>
      <c r="BB69">
        <v>20</v>
      </c>
      <c r="BD69">
        <v>4.6999999999970896</v>
      </c>
      <c r="BF69">
        <v>0.400000000000091</v>
      </c>
      <c r="BH69">
        <v>0.400000000000091</v>
      </c>
      <c r="BJ69">
        <v>1.39999999999964</v>
      </c>
      <c r="BK69">
        <v>16.200000000011599</v>
      </c>
      <c r="BN69">
        <v>5.8000000000029104</v>
      </c>
      <c r="BP69">
        <v>1</v>
      </c>
      <c r="BQ69">
        <v>2.7999999999992702</v>
      </c>
      <c r="BR69">
        <v>1.7</v>
      </c>
      <c r="BS69">
        <v>0.200000000000045</v>
      </c>
      <c r="BT69">
        <v>0.89999999999963598</v>
      </c>
      <c r="BU69">
        <v>0</v>
      </c>
      <c r="BV69">
        <v>1</v>
      </c>
      <c r="BX69">
        <v>0.3</v>
      </c>
      <c r="BZ69">
        <v>1</v>
      </c>
      <c r="CA69">
        <v>6</v>
      </c>
      <c r="CB69">
        <v>0.8</v>
      </c>
      <c r="CF69">
        <v>0.2</v>
      </c>
      <c r="CI69">
        <v>3.6</v>
      </c>
      <c r="CJ69">
        <v>0.3</v>
      </c>
      <c r="CK69">
        <v>0</v>
      </c>
      <c r="CM69">
        <v>8.6999999999999993</v>
      </c>
      <c r="CS69">
        <v>5.8</v>
      </c>
      <c r="CT69">
        <v>17</v>
      </c>
      <c r="CU69">
        <v>0.2</v>
      </c>
      <c r="CW69">
        <v>1.7</v>
      </c>
      <c r="CX69">
        <v>2.7</v>
      </c>
      <c r="CY69">
        <v>8.5</v>
      </c>
      <c r="CZ69">
        <v>0.3</v>
      </c>
      <c r="DA69">
        <v>1.2</v>
      </c>
      <c r="DB69">
        <v>14.8</v>
      </c>
      <c r="DD69" s="5"/>
      <c r="DJ69" s="1">
        <v>40976</v>
      </c>
      <c r="DK69" s="2">
        <f t="shared" si="7"/>
        <v>4.4307692307689113</v>
      </c>
      <c r="DL69" s="2">
        <f t="shared" si="8"/>
        <v>2.2588235294116021</v>
      </c>
      <c r="DM69" s="2">
        <f t="shared" si="9"/>
        <v>20</v>
      </c>
      <c r="DN69" s="3">
        <f t="shared" si="10"/>
        <v>0.50980392156862742</v>
      </c>
      <c r="DV69" s="2">
        <v>330</v>
      </c>
      <c r="DW69">
        <v>0</v>
      </c>
      <c r="DX69">
        <f t="shared" si="11"/>
        <v>14794</v>
      </c>
      <c r="DY69">
        <f t="shared" si="6"/>
        <v>1</v>
      </c>
    </row>
    <row r="70" spans="1:129">
      <c r="A70" s="1">
        <v>40977</v>
      </c>
      <c r="B70" s="1"/>
      <c r="C70" s="1"/>
      <c r="D70">
        <v>3.7</v>
      </c>
      <c r="H70">
        <v>1.1000000000000001</v>
      </c>
      <c r="J70">
        <v>1.9</v>
      </c>
      <c r="M70">
        <v>6.1</v>
      </c>
      <c r="O70">
        <v>0.5</v>
      </c>
      <c r="R70">
        <v>1</v>
      </c>
      <c r="U70">
        <v>0</v>
      </c>
      <c r="Y70">
        <v>0</v>
      </c>
      <c r="Z70">
        <v>0</v>
      </c>
      <c r="AA70">
        <v>7.3999999999941801</v>
      </c>
      <c r="AE70">
        <v>7.29999999999563</v>
      </c>
      <c r="AF70">
        <v>0</v>
      </c>
      <c r="AH70">
        <v>0.19999999999981799</v>
      </c>
      <c r="AJ70">
        <v>3.2999999999992702</v>
      </c>
      <c r="AK70">
        <v>1.5</v>
      </c>
      <c r="AL70">
        <v>2.5999999999985399</v>
      </c>
      <c r="AM70">
        <v>2.6999999999970901</v>
      </c>
      <c r="AO70">
        <v>1.1999999999989099</v>
      </c>
      <c r="AP70">
        <v>6.5999999999985501</v>
      </c>
      <c r="AR70">
        <v>5.8</v>
      </c>
      <c r="AT70">
        <v>3.5</v>
      </c>
      <c r="AU70">
        <v>26.399999999994201</v>
      </c>
      <c r="AV70">
        <v>7</v>
      </c>
      <c r="AW70">
        <v>4</v>
      </c>
      <c r="AX70">
        <v>9.5999999999912706</v>
      </c>
      <c r="AY70">
        <v>1.5999999999985499</v>
      </c>
      <c r="AZ70">
        <v>0.69999999999981799</v>
      </c>
      <c r="BB70">
        <v>11</v>
      </c>
      <c r="BD70">
        <v>0.100000000000023</v>
      </c>
      <c r="BE70">
        <v>11.899999999994201</v>
      </c>
      <c r="BJ70">
        <v>0.60000000000036402</v>
      </c>
      <c r="BK70">
        <v>8.3999999999941792</v>
      </c>
      <c r="BL70">
        <v>0.3</v>
      </c>
      <c r="BM70">
        <v>0.2</v>
      </c>
      <c r="BN70">
        <v>13</v>
      </c>
      <c r="BP70">
        <v>0.100000000000023</v>
      </c>
      <c r="BR70">
        <v>0.1</v>
      </c>
      <c r="BS70">
        <v>0.100000000000023</v>
      </c>
      <c r="BT70">
        <v>17.600000000005799</v>
      </c>
      <c r="BU70">
        <v>0</v>
      </c>
      <c r="BV70">
        <v>0.80000000000018201</v>
      </c>
      <c r="BX70">
        <v>18.100000000000001</v>
      </c>
      <c r="BZ70">
        <v>0.3</v>
      </c>
      <c r="CA70">
        <v>2.8</v>
      </c>
      <c r="CB70">
        <v>7.7</v>
      </c>
      <c r="CF70">
        <v>0.2</v>
      </c>
      <c r="CG70">
        <v>0</v>
      </c>
      <c r="CI70">
        <v>1.1000000000000001</v>
      </c>
      <c r="CJ70">
        <v>8.1</v>
      </c>
      <c r="CL70">
        <v>9</v>
      </c>
      <c r="CR70">
        <v>8.4</v>
      </c>
      <c r="CU70">
        <v>0.2</v>
      </c>
      <c r="CW70">
        <v>0.3</v>
      </c>
      <c r="CX70">
        <v>5.3</v>
      </c>
      <c r="CY70">
        <v>5.5</v>
      </c>
      <c r="DA70">
        <v>1.2</v>
      </c>
      <c r="DB70">
        <v>6.7</v>
      </c>
      <c r="DC70">
        <v>1</v>
      </c>
      <c r="DD70" s="5">
        <v>0.2</v>
      </c>
      <c r="DJ70" s="1">
        <v>40977</v>
      </c>
      <c r="DK70" s="2">
        <f t="shared" si="7"/>
        <v>4.1694915254230605</v>
      </c>
      <c r="DL70" s="2">
        <f t="shared" si="8"/>
        <v>2.4117647058819665</v>
      </c>
      <c r="DM70" s="2">
        <f t="shared" si="9"/>
        <v>26.399999999994201</v>
      </c>
      <c r="DN70" s="3">
        <f t="shared" si="10"/>
        <v>0.57843137254901966</v>
      </c>
      <c r="DV70" s="2">
        <v>335</v>
      </c>
      <c r="DW70">
        <v>0</v>
      </c>
      <c r="DX70">
        <f t="shared" si="11"/>
        <v>14794</v>
      </c>
      <c r="DY70">
        <f t="shared" si="6"/>
        <v>1</v>
      </c>
    </row>
    <row r="71" spans="1:129">
      <c r="A71" s="1">
        <v>40978</v>
      </c>
      <c r="B71" s="1"/>
      <c r="C71" s="1"/>
      <c r="E71">
        <v>0</v>
      </c>
      <c r="G71">
        <v>1.5</v>
      </c>
      <c r="H71">
        <v>4.5</v>
      </c>
      <c r="I71">
        <v>9.4</v>
      </c>
      <c r="M71">
        <v>4.3</v>
      </c>
      <c r="O71">
        <v>2.2999999999999998</v>
      </c>
      <c r="Q71">
        <v>6.8</v>
      </c>
      <c r="S71">
        <v>2.7</v>
      </c>
      <c r="V71">
        <v>33.5</v>
      </c>
      <c r="X71">
        <v>0</v>
      </c>
      <c r="AA71">
        <v>0.5</v>
      </c>
      <c r="AC71">
        <v>1.79999999999927</v>
      </c>
      <c r="AE71">
        <v>3.7999999999992702</v>
      </c>
      <c r="AG71">
        <v>0.5</v>
      </c>
      <c r="AJ71">
        <v>8.2999999999883602</v>
      </c>
      <c r="AK71">
        <v>0.59999999999945397</v>
      </c>
      <c r="AL71">
        <v>9.9999999999908995E-2</v>
      </c>
      <c r="AM71">
        <v>13.5</v>
      </c>
      <c r="AQ71">
        <v>21.199999999982499</v>
      </c>
      <c r="AS71">
        <v>12.399999999994201</v>
      </c>
      <c r="AT71">
        <v>0.19999999999981799</v>
      </c>
      <c r="AU71">
        <v>4.5</v>
      </c>
      <c r="AV71">
        <v>12.3</v>
      </c>
      <c r="AW71">
        <v>0.39999999999963598</v>
      </c>
      <c r="AX71">
        <v>8.8999999999941792</v>
      </c>
      <c r="AZ71">
        <v>0.89999999999963598</v>
      </c>
      <c r="BD71">
        <v>0</v>
      </c>
      <c r="BE71">
        <v>8.3000000000029104</v>
      </c>
      <c r="BF71">
        <v>1.39999999999964</v>
      </c>
      <c r="BG71">
        <v>0.69999999999981799</v>
      </c>
      <c r="BJ71">
        <v>0.60000000000036402</v>
      </c>
      <c r="BK71">
        <v>16.399999999994201</v>
      </c>
      <c r="BL71">
        <v>0</v>
      </c>
      <c r="BM71">
        <v>7.7</v>
      </c>
      <c r="BO71">
        <v>6.5</v>
      </c>
      <c r="BQ71">
        <v>0.100000000000023</v>
      </c>
      <c r="BT71">
        <v>12.3000000000029</v>
      </c>
      <c r="BU71">
        <v>0</v>
      </c>
      <c r="BV71">
        <v>0.69999999999981799</v>
      </c>
      <c r="BX71">
        <v>9.9</v>
      </c>
      <c r="BZ71">
        <v>0.1</v>
      </c>
      <c r="CA71">
        <v>17</v>
      </c>
      <c r="CB71">
        <v>3.2</v>
      </c>
      <c r="CD71">
        <v>1.8</v>
      </c>
      <c r="CG71">
        <v>1</v>
      </c>
      <c r="CI71">
        <v>0</v>
      </c>
      <c r="CJ71">
        <v>8.1999999999999993</v>
      </c>
      <c r="CK71">
        <v>5.5</v>
      </c>
      <c r="CL71">
        <v>22.5</v>
      </c>
      <c r="CN71">
        <v>9.8000000000000007</v>
      </c>
      <c r="CO71">
        <v>0.2</v>
      </c>
      <c r="CP71">
        <v>0.2</v>
      </c>
      <c r="CR71">
        <v>3.8</v>
      </c>
      <c r="CS71">
        <v>2.1</v>
      </c>
      <c r="CU71">
        <v>0.2</v>
      </c>
      <c r="CW71">
        <v>16.3</v>
      </c>
      <c r="CX71">
        <v>0.1</v>
      </c>
      <c r="CY71">
        <v>0.7</v>
      </c>
      <c r="DA71">
        <v>0.2</v>
      </c>
      <c r="DB71">
        <v>27.1</v>
      </c>
      <c r="DC71">
        <v>2.2000000000000002</v>
      </c>
      <c r="DD71" s="5">
        <v>1.7</v>
      </c>
      <c r="DJ71" s="1">
        <v>40978</v>
      </c>
      <c r="DK71" s="2">
        <f t="shared" si="7"/>
        <v>5.5387096774186437</v>
      </c>
      <c r="DL71" s="2">
        <f t="shared" si="8"/>
        <v>3.3666666666662346</v>
      </c>
      <c r="DM71" s="2">
        <f t="shared" si="9"/>
        <v>33.5</v>
      </c>
      <c r="DN71" s="3">
        <f t="shared" si="10"/>
        <v>0.60784313725490191</v>
      </c>
      <c r="DV71" s="2">
        <v>340</v>
      </c>
      <c r="DW71">
        <v>0</v>
      </c>
      <c r="DX71">
        <f t="shared" si="11"/>
        <v>14794</v>
      </c>
      <c r="DY71">
        <f t="shared" si="6"/>
        <v>1</v>
      </c>
    </row>
    <row r="72" spans="1:129">
      <c r="A72" s="1">
        <v>40979</v>
      </c>
      <c r="B72" s="1"/>
      <c r="C72" s="1"/>
      <c r="G72">
        <v>16.5</v>
      </c>
      <c r="H72">
        <v>0.2</v>
      </c>
      <c r="I72">
        <v>1</v>
      </c>
      <c r="K72">
        <v>2.5</v>
      </c>
      <c r="O72">
        <v>3.6</v>
      </c>
      <c r="P72">
        <v>6.2</v>
      </c>
      <c r="Q72">
        <v>13</v>
      </c>
      <c r="R72">
        <v>8.9</v>
      </c>
      <c r="T72">
        <v>1.7</v>
      </c>
      <c r="Y72">
        <v>1.6</v>
      </c>
      <c r="AC72">
        <v>0.29999999999972699</v>
      </c>
      <c r="AD72">
        <v>7.0999999999985501</v>
      </c>
      <c r="AE72">
        <v>19.199999999982499</v>
      </c>
      <c r="AF72">
        <v>0</v>
      </c>
      <c r="AK72">
        <v>1.6999999999989099</v>
      </c>
      <c r="AL72">
        <v>2</v>
      </c>
      <c r="AN72">
        <v>0.29999999999972699</v>
      </c>
      <c r="AO72">
        <v>2</v>
      </c>
      <c r="AP72">
        <v>2.1999999999970901</v>
      </c>
      <c r="AS72">
        <v>26.199999999982499</v>
      </c>
      <c r="AU72">
        <v>15.399999999994201</v>
      </c>
      <c r="AV72">
        <v>13</v>
      </c>
      <c r="AW72">
        <v>2.2999999999992702</v>
      </c>
      <c r="AX72">
        <v>0.19999999999981799</v>
      </c>
      <c r="AY72">
        <v>0.59999999999945397</v>
      </c>
      <c r="BC72">
        <v>8.3999999999941792</v>
      </c>
      <c r="BE72">
        <v>0.60000000000036402</v>
      </c>
      <c r="BF72">
        <v>7.3000000000029104</v>
      </c>
      <c r="BH72">
        <v>27.600000000005799</v>
      </c>
      <c r="BJ72">
        <v>0.69999999999981799</v>
      </c>
      <c r="BK72">
        <v>0.200000000000045</v>
      </c>
      <c r="BL72">
        <v>9.6</v>
      </c>
      <c r="BM72">
        <v>13.2</v>
      </c>
      <c r="BN72">
        <v>0.100000000000023</v>
      </c>
      <c r="BO72">
        <v>6.5999999999985501</v>
      </c>
      <c r="BR72">
        <v>0.3</v>
      </c>
      <c r="BS72">
        <v>0.100000000000023</v>
      </c>
      <c r="BT72">
        <v>1</v>
      </c>
      <c r="BU72">
        <v>0.30000000000018201</v>
      </c>
      <c r="BV72">
        <v>0</v>
      </c>
      <c r="BX72">
        <v>2.6</v>
      </c>
      <c r="BZ72">
        <v>0</v>
      </c>
      <c r="CA72">
        <v>6.6</v>
      </c>
      <c r="CF72">
        <v>0.2</v>
      </c>
      <c r="CH72">
        <v>0.5</v>
      </c>
      <c r="CJ72">
        <v>1.7</v>
      </c>
      <c r="CL72">
        <v>22</v>
      </c>
      <c r="CN72">
        <v>0</v>
      </c>
      <c r="CP72">
        <v>1.2</v>
      </c>
      <c r="CR72">
        <v>2.8</v>
      </c>
      <c r="CS72">
        <v>0.9</v>
      </c>
      <c r="CT72">
        <v>8.5</v>
      </c>
      <c r="CU72">
        <v>0.5</v>
      </c>
      <c r="CZ72">
        <v>14.3</v>
      </c>
      <c r="DA72">
        <v>1.3</v>
      </c>
      <c r="DB72">
        <v>4.8</v>
      </c>
      <c r="DC72">
        <v>0.1</v>
      </c>
      <c r="DD72" s="5"/>
      <c r="DJ72" s="1">
        <v>40979</v>
      </c>
      <c r="DK72" s="2">
        <f t="shared" si="7"/>
        <v>5.1175438596483085</v>
      </c>
      <c r="DL72" s="2">
        <f t="shared" si="8"/>
        <v>2.8598039215681728</v>
      </c>
      <c r="DM72" s="2">
        <f t="shared" si="9"/>
        <v>27.600000000005799</v>
      </c>
      <c r="DN72" s="3">
        <f t="shared" si="10"/>
        <v>0.55882352941176472</v>
      </c>
      <c r="DV72" s="2">
        <v>345</v>
      </c>
      <c r="DW72">
        <v>0</v>
      </c>
      <c r="DX72">
        <f t="shared" si="11"/>
        <v>14794</v>
      </c>
      <c r="DY72">
        <f t="shared" si="6"/>
        <v>1</v>
      </c>
    </row>
    <row r="73" spans="1:129">
      <c r="A73" s="1">
        <v>40980</v>
      </c>
      <c r="B73" s="1"/>
      <c r="C73" s="1"/>
      <c r="G73">
        <v>5.4</v>
      </c>
      <c r="H73">
        <v>0.2</v>
      </c>
      <c r="L73">
        <v>0.9</v>
      </c>
      <c r="P73">
        <v>1.2</v>
      </c>
      <c r="Q73">
        <v>0.3</v>
      </c>
      <c r="T73">
        <v>2.7</v>
      </c>
      <c r="V73">
        <v>5.3</v>
      </c>
      <c r="Y73">
        <v>0</v>
      </c>
      <c r="AD73">
        <v>24.5</v>
      </c>
      <c r="AE73">
        <v>31</v>
      </c>
      <c r="AG73">
        <v>1.79999999999927</v>
      </c>
      <c r="AJ73">
        <v>3.5999999999985399</v>
      </c>
      <c r="AL73">
        <v>3.1999999999970901</v>
      </c>
      <c r="AM73">
        <v>5.1999999999970896</v>
      </c>
      <c r="AO73">
        <v>5</v>
      </c>
      <c r="AP73">
        <v>1.79999999999927</v>
      </c>
      <c r="AS73">
        <v>1.0999999999985499</v>
      </c>
      <c r="AU73">
        <v>4.79999999999563</v>
      </c>
      <c r="AV73">
        <v>20.399999999999999</v>
      </c>
      <c r="AW73">
        <v>0.29999999999972699</v>
      </c>
      <c r="AX73">
        <v>2</v>
      </c>
      <c r="AY73">
        <v>10</v>
      </c>
      <c r="BB73">
        <v>0.59999999999945397</v>
      </c>
      <c r="BG73">
        <v>2.2999999999992702</v>
      </c>
      <c r="BH73">
        <v>21.9</v>
      </c>
      <c r="BJ73">
        <v>0.200000000000045</v>
      </c>
      <c r="BK73">
        <v>14</v>
      </c>
      <c r="BL73">
        <v>4</v>
      </c>
      <c r="BM73">
        <v>0.8</v>
      </c>
      <c r="BN73">
        <v>8.8000000000029104</v>
      </c>
      <c r="BP73">
        <v>2</v>
      </c>
      <c r="BT73">
        <v>0.60000000000036402</v>
      </c>
      <c r="BU73">
        <v>4.4000000000014596</v>
      </c>
      <c r="BV73">
        <v>1.20000000000073</v>
      </c>
      <c r="BW73">
        <v>2.6</v>
      </c>
      <c r="BX73">
        <v>0</v>
      </c>
      <c r="BZ73">
        <v>0.1</v>
      </c>
      <c r="CA73">
        <v>10.8</v>
      </c>
      <c r="CE73">
        <v>3.8</v>
      </c>
      <c r="CF73">
        <v>0.5</v>
      </c>
      <c r="CI73">
        <v>0.5</v>
      </c>
      <c r="CL73">
        <v>3.5</v>
      </c>
      <c r="CP73">
        <v>0.1</v>
      </c>
      <c r="CT73">
        <v>0.3</v>
      </c>
      <c r="CU73">
        <v>0.5</v>
      </c>
      <c r="CW73">
        <v>25.8</v>
      </c>
      <c r="CX73">
        <v>0.5</v>
      </c>
      <c r="CZ73">
        <v>10.1</v>
      </c>
      <c r="DA73">
        <v>0.1</v>
      </c>
      <c r="DB73">
        <v>0.1</v>
      </c>
      <c r="DD73" s="5">
        <v>0.8</v>
      </c>
      <c r="DJ73" s="1">
        <v>40980</v>
      </c>
      <c r="DK73" s="2">
        <f t="shared" si="7"/>
        <v>4.9333333333331266</v>
      </c>
      <c r="DL73" s="2">
        <f t="shared" si="8"/>
        <v>2.4666666666665633</v>
      </c>
      <c r="DM73" s="2">
        <f t="shared" si="9"/>
        <v>31</v>
      </c>
      <c r="DN73" s="3">
        <f t="shared" si="10"/>
        <v>0.5</v>
      </c>
      <c r="DV73" s="2">
        <v>350</v>
      </c>
      <c r="DW73">
        <v>0</v>
      </c>
      <c r="DX73">
        <f t="shared" si="11"/>
        <v>14794</v>
      </c>
      <c r="DY73">
        <f t="shared" si="6"/>
        <v>1</v>
      </c>
    </row>
    <row r="74" spans="1:129">
      <c r="A74" s="1">
        <v>40981</v>
      </c>
      <c r="B74" s="1"/>
      <c r="C74" s="1"/>
      <c r="E74">
        <v>1.5</v>
      </c>
      <c r="L74">
        <v>0.5</v>
      </c>
      <c r="P74">
        <v>7.6</v>
      </c>
      <c r="Q74">
        <v>5</v>
      </c>
      <c r="T74">
        <v>3.8</v>
      </c>
      <c r="V74">
        <v>12.3</v>
      </c>
      <c r="Y74">
        <v>0</v>
      </c>
      <c r="AD74">
        <v>3.5</v>
      </c>
      <c r="AE74">
        <v>9.9999999999908995E-2</v>
      </c>
      <c r="AG74">
        <v>8.1</v>
      </c>
      <c r="AH74">
        <v>5.0999999999985501</v>
      </c>
      <c r="AI74">
        <v>5.5999999999985501</v>
      </c>
      <c r="AM74">
        <v>1.0999999999985499</v>
      </c>
      <c r="AN74">
        <v>0.79999999999927196</v>
      </c>
      <c r="AS74">
        <v>1.5</v>
      </c>
      <c r="AV74">
        <v>4</v>
      </c>
      <c r="AX74">
        <v>4.79999999999563</v>
      </c>
      <c r="AY74">
        <v>9.9999999999908995E-2</v>
      </c>
      <c r="BA74">
        <v>7.79999999999563</v>
      </c>
      <c r="BB74">
        <v>3.5999999999985399</v>
      </c>
      <c r="BC74">
        <v>5.6999999999970896</v>
      </c>
      <c r="BH74">
        <v>0.3</v>
      </c>
      <c r="BJ74">
        <v>8</v>
      </c>
      <c r="BK74">
        <v>2</v>
      </c>
      <c r="BL74">
        <v>1</v>
      </c>
      <c r="BM74">
        <v>0.7</v>
      </c>
      <c r="BN74">
        <v>2.4000000000014601</v>
      </c>
      <c r="BP74">
        <v>3</v>
      </c>
      <c r="BR74">
        <v>0.8</v>
      </c>
      <c r="BT74">
        <v>0.100000000000023</v>
      </c>
      <c r="BU74">
        <v>13.8000000000029</v>
      </c>
      <c r="BV74">
        <v>2.7999999999992702</v>
      </c>
      <c r="BW74">
        <v>1.6</v>
      </c>
      <c r="BX74">
        <v>11.5</v>
      </c>
      <c r="BY74">
        <v>0</v>
      </c>
      <c r="BZ74">
        <v>0</v>
      </c>
      <c r="CA74">
        <v>0.8</v>
      </c>
      <c r="CC74">
        <v>0.8</v>
      </c>
      <c r="CD74">
        <v>1.5</v>
      </c>
      <c r="CE74">
        <v>0.2</v>
      </c>
      <c r="CI74">
        <v>1.2</v>
      </c>
      <c r="CQ74">
        <v>11.3</v>
      </c>
      <c r="CS74">
        <v>4.5999999999999996</v>
      </c>
      <c r="CT74">
        <v>8.4</v>
      </c>
      <c r="CU74">
        <v>10.3</v>
      </c>
      <c r="CV74">
        <v>16.899999999999999</v>
      </c>
      <c r="CW74">
        <v>1.2</v>
      </c>
      <c r="CZ74">
        <v>0.2</v>
      </c>
      <c r="DB74">
        <v>0.1</v>
      </c>
      <c r="DC74">
        <v>3</v>
      </c>
      <c r="DD74" s="5">
        <v>5.5</v>
      </c>
      <c r="DJ74" s="1">
        <v>40981</v>
      </c>
      <c r="DK74" s="2">
        <f t="shared" si="7"/>
        <v>3.8529411764702997</v>
      </c>
      <c r="DL74" s="2">
        <f t="shared" si="8"/>
        <v>1.9264705882351498</v>
      </c>
      <c r="DM74" s="2">
        <f t="shared" si="9"/>
        <v>16.899999999999999</v>
      </c>
      <c r="DN74" s="3">
        <f t="shared" si="10"/>
        <v>0.5</v>
      </c>
      <c r="DV74" s="2">
        <v>355</v>
      </c>
      <c r="DW74">
        <v>0</v>
      </c>
      <c r="DX74">
        <f t="shared" si="11"/>
        <v>14794</v>
      </c>
      <c r="DY74">
        <f t="shared" si="6"/>
        <v>1</v>
      </c>
    </row>
    <row r="75" spans="1:129">
      <c r="A75" s="1">
        <v>40982</v>
      </c>
      <c r="B75" s="1"/>
      <c r="C75" s="1"/>
      <c r="D75">
        <v>6.3</v>
      </c>
      <c r="I75">
        <v>1.2</v>
      </c>
      <c r="K75">
        <v>0.1</v>
      </c>
      <c r="O75">
        <v>0.8</v>
      </c>
      <c r="Q75">
        <v>1.5</v>
      </c>
      <c r="R75">
        <v>0.3</v>
      </c>
      <c r="T75">
        <v>0.8</v>
      </c>
      <c r="X75">
        <v>1.5</v>
      </c>
      <c r="Y75">
        <v>0</v>
      </c>
      <c r="AA75">
        <v>0.69999999999981799</v>
      </c>
      <c r="AB75">
        <v>1.6999999999989099</v>
      </c>
      <c r="AD75">
        <v>3</v>
      </c>
      <c r="AE75">
        <v>4.79999999999563</v>
      </c>
      <c r="AF75">
        <v>0.39999999999963598</v>
      </c>
      <c r="AG75">
        <v>1.6</v>
      </c>
      <c r="AI75">
        <v>0.79999999999927196</v>
      </c>
      <c r="AJ75">
        <v>0.5</v>
      </c>
      <c r="AN75">
        <v>2.5999999999985399</v>
      </c>
      <c r="AR75">
        <v>16.3</v>
      </c>
      <c r="AS75">
        <v>2.5</v>
      </c>
      <c r="AV75">
        <v>5</v>
      </c>
      <c r="AX75">
        <v>2.6999999999970901</v>
      </c>
      <c r="AY75">
        <v>4.2999999999956398</v>
      </c>
      <c r="AZ75">
        <v>1</v>
      </c>
      <c r="BA75">
        <v>0.5</v>
      </c>
      <c r="BC75">
        <v>5.0999999999985501</v>
      </c>
      <c r="BF75">
        <v>21.399999999994201</v>
      </c>
      <c r="BG75">
        <v>1.60000000000036</v>
      </c>
      <c r="BJ75">
        <v>0.60000000000036402</v>
      </c>
      <c r="BM75">
        <v>14.7</v>
      </c>
      <c r="BN75">
        <v>2.2000000000007298</v>
      </c>
      <c r="BQ75">
        <v>0.400000000000091</v>
      </c>
      <c r="BU75">
        <v>11.5</v>
      </c>
      <c r="BV75">
        <v>10.100000000005799</v>
      </c>
      <c r="BW75">
        <v>0.2</v>
      </c>
      <c r="BX75">
        <v>2.9</v>
      </c>
      <c r="BY75">
        <v>0.5</v>
      </c>
      <c r="BZ75">
        <v>0.1</v>
      </c>
      <c r="CA75">
        <v>0.2</v>
      </c>
      <c r="CH75">
        <v>0.2</v>
      </c>
      <c r="CI75">
        <v>9.6</v>
      </c>
      <c r="CM75">
        <v>0.2</v>
      </c>
      <c r="CO75">
        <v>2.5</v>
      </c>
      <c r="CQ75">
        <v>3.6</v>
      </c>
      <c r="CS75">
        <v>2.4</v>
      </c>
      <c r="CT75">
        <v>11.3</v>
      </c>
      <c r="CU75">
        <v>7</v>
      </c>
      <c r="CW75">
        <v>10.5</v>
      </c>
      <c r="CZ75">
        <v>0.1</v>
      </c>
      <c r="DA75">
        <v>6.8</v>
      </c>
      <c r="DC75">
        <v>6.2</v>
      </c>
      <c r="DD75" s="5">
        <v>2.7</v>
      </c>
      <c r="DJ75" s="1">
        <v>40982</v>
      </c>
      <c r="DK75" s="2">
        <f t="shared" si="7"/>
        <v>3.7596153846150884</v>
      </c>
      <c r="DL75" s="2">
        <f t="shared" si="8"/>
        <v>1.9166666666665158</v>
      </c>
      <c r="DM75" s="2">
        <f t="shared" si="9"/>
        <v>21.399999999994201</v>
      </c>
      <c r="DN75" s="3">
        <f t="shared" si="10"/>
        <v>0.50980392156862742</v>
      </c>
      <c r="DV75" s="2">
        <v>360</v>
      </c>
      <c r="DW75">
        <v>0</v>
      </c>
      <c r="DX75">
        <f t="shared" si="11"/>
        <v>14794</v>
      </c>
      <c r="DY75">
        <f t="shared" si="6"/>
        <v>1</v>
      </c>
    </row>
    <row r="76" spans="1:129">
      <c r="A76" s="1">
        <v>40983</v>
      </c>
      <c r="B76" s="1"/>
      <c r="C76" s="1"/>
      <c r="D76">
        <v>7.2</v>
      </c>
      <c r="I76">
        <v>0.3</v>
      </c>
      <c r="J76">
        <v>0.4</v>
      </c>
      <c r="N76">
        <v>0.7</v>
      </c>
      <c r="Q76">
        <v>1</v>
      </c>
      <c r="S76">
        <v>6.5</v>
      </c>
      <c r="T76">
        <v>0.1</v>
      </c>
      <c r="AA76">
        <v>0.8</v>
      </c>
      <c r="AD76">
        <v>1.79999999999927</v>
      </c>
      <c r="AE76">
        <v>1.79999999999927</v>
      </c>
      <c r="AF76">
        <v>12.099999999991301</v>
      </c>
      <c r="AG76">
        <v>1.0999999999985499</v>
      </c>
      <c r="AI76">
        <v>1</v>
      </c>
      <c r="AJ76">
        <v>4.79999999999563</v>
      </c>
      <c r="AM76">
        <v>12.099999999991301</v>
      </c>
      <c r="AN76">
        <v>1</v>
      </c>
      <c r="AR76">
        <v>17.8</v>
      </c>
      <c r="AS76">
        <v>3.1999999999970901</v>
      </c>
      <c r="AU76">
        <v>0.19999999999981799</v>
      </c>
      <c r="AV76">
        <v>7.6</v>
      </c>
      <c r="AX76">
        <v>13.6999999999971</v>
      </c>
      <c r="AY76">
        <v>13.599999999991301</v>
      </c>
      <c r="BA76">
        <v>3.2999999999992702</v>
      </c>
      <c r="BB76">
        <v>10.6999999999971</v>
      </c>
      <c r="BC76">
        <v>7.3999999999941801</v>
      </c>
      <c r="BF76">
        <v>39.299999999988401</v>
      </c>
      <c r="BG76">
        <v>20.899999999994201</v>
      </c>
      <c r="BI76">
        <v>0.1</v>
      </c>
      <c r="BK76">
        <v>0.69999999999981799</v>
      </c>
      <c r="BM76">
        <v>0.4</v>
      </c>
      <c r="BN76">
        <v>17.5</v>
      </c>
      <c r="BP76">
        <v>2.0999999999985399</v>
      </c>
      <c r="BQ76">
        <v>4.3000000000029104</v>
      </c>
      <c r="BV76">
        <v>7</v>
      </c>
      <c r="BW76">
        <v>0.6</v>
      </c>
      <c r="BX76">
        <v>1.9</v>
      </c>
      <c r="BY76">
        <v>3.5</v>
      </c>
      <c r="BZ76">
        <v>0.5</v>
      </c>
      <c r="CA76">
        <v>0.2</v>
      </c>
      <c r="CI76">
        <v>0.9</v>
      </c>
      <c r="CL76">
        <v>0.1</v>
      </c>
      <c r="CQ76">
        <v>0.6</v>
      </c>
      <c r="CU76">
        <v>0.1</v>
      </c>
      <c r="CW76">
        <v>0.1</v>
      </c>
      <c r="CZ76">
        <v>3.4</v>
      </c>
      <c r="DA76">
        <v>13.7</v>
      </c>
      <c r="DC76">
        <v>1.6</v>
      </c>
      <c r="DD76" s="5">
        <v>3.7</v>
      </c>
      <c r="DJ76" s="1">
        <v>40983</v>
      </c>
      <c r="DK76" s="2">
        <f t="shared" si="7"/>
        <v>5.2791666666653123</v>
      </c>
      <c r="DL76" s="2">
        <f t="shared" si="8"/>
        <v>2.4843137254895589</v>
      </c>
      <c r="DM76" s="2">
        <f t="shared" si="9"/>
        <v>39.299999999988401</v>
      </c>
      <c r="DN76" s="3">
        <f t="shared" si="10"/>
        <v>0.47058823529411764</v>
      </c>
      <c r="DV76" s="2">
        <v>365</v>
      </c>
      <c r="DW76">
        <v>0</v>
      </c>
      <c r="DX76">
        <f t="shared" si="11"/>
        <v>14794</v>
      </c>
      <c r="DY76">
        <f t="shared" si="6"/>
        <v>1</v>
      </c>
    </row>
    <row r="77" spans="1:129">
      <c r="A77" s="1">
        <v>40984</v>
      </c>
      <c r="B77" s="1"/>
      <c r="C77" s="1"/>
      <c r="I77">
        <v>32.1</v>
      </c>
      <c r="J77">
        <v>0.7</v>
      </c>
      <c r="K77">
        <v>2.7</v>
      </c>
      <c r="N77">
        <v>5.4</v>
      </c>
      <c r="O77">
        <v>0.1</v>
      </c>
      <c r="Q77">
        <v>0.2</v>
      </c>
      <c r="R77">
        <v>1</v>
      </c>
      <c r="S77">
        <v>1.6</v>
      </c>
      <c r="T77">
        <v>0.1</v>
      </c>
      <c r="U77">
        <v>1.5</v>
      </c>
      <c r="W77">
        <v>0</v>
      </c>
      <c r="AA77">
        <v>0.2</v>
      </c>
      <c r="AD77">
        <v>0</v>
      </c>
      <c r="AE77">
        <v>20</v>
      </c>
      <c r="AF77">
        <v>37</v>
      </c>
      <c r="AH77">
        <v>0</v>
      </c>
      <c r="AI77">
        <v>0.29999999999972699</v>
      </c>
      <c r="AJ77">
        <v>4</v>
      </c>
      <c r="AL77">
        <v>1.5</v>
      </c>
      <c r="AM77">
        <v>7.5999999999985501</v>
      </c>
      <c r="AO77">
        <v>2.5999999999985399</v>
      </c>
      <c r="AQ77">
        <v>6.1999999999970896</v>
      </c>
      <c r="AR77">
        <v>2</v>
      </c>
      <c r="AS77">
        <v>4.1999999999970896</v>
      </c>
      <c r="AT77">
        <v>4.1999999999970896</v>
      </c>
      <c r="AU77">
        <v>0.29999999999972699</v>
      </c>
      <c r="AY77">
        <v>9.0999999999912706</v>
      </c>
      <c r="BB77">
        <v>5.3999999999941801</v>
      </c>
      <c r="BC77">
        <v>0.19999999999981799</v>
      </c>
      <c r="BD77">
        <v>2.5</v>
      </c>
      <c r="BF77">
        <v>14.899999999994201</v>
      </c>
      <c r="BG77">
        <v>2.5</v>
      </c>
      <c r="BH77">
        <v>0.30000000000018201</v>
      </c>
      <c r="BI77">
        <v>0.2</v>
      </c>
      <c r="BJ77">
        <v>11</v>
      </c>
      <c r="BK77">
        <v>1.60000000000036</v>
      </c>
      <c r="BM77">
        <v>2.7</v>
      </c>
      <c r="BN77">
        <v>2.5</v>
      </c>
      <c r="BO77">
        <v>4</v>
      </c>
      <c r="BP77">
        <v>0.100000000000023</v>
      </c>
      <c r="BQ77">
        <v>5.5</v>
      </c>
      <c r="BR77">
        <v>3.7</v>
      </c>
      <c r="BU77">
        <v>1.39999999999964</v>
      </c>
      <c r="BV77">
        <v>7.4000000000014596</v>
      </c>
      <c r="BZ77">
        <v>1.6</v>
      </c>
      <c r="CE77">
        <v>7.5</v>
      </c>
      <c r="CF77">
        <v>20.2</v>
      </c>
      <c r="CJ77">
        <v>5.6</v>
      </c>
      <c r="CL77">
        <v>6</v>
      </c>
      <c r="CM77">
        <v>0.5</v>
      </c>
      <c r="CN77">
        <v>39.5</v>
      </c>
      <c r="CQ77">
        <v>3.1</v>
      </c>
      <c r="CT77">
        <v>2.6</v>
      </c>
      <c r="CU77">
        <v>0.2</v>
      </c>
      <c r="DA77">
        <v>13.2</v>
      </c>
      <c r="DB77">
        <v>3.5</v>
      </c>
      <c r="DD77" s="5"/>
      <c r="DJ77" s="1">
        <v>40984</v>
      </c>
      <c r="DK77" s="2">
        <f t="shared" si="7"/>
        <v>5.6071428571423025</v>
      </c>
      <c r="DL77" s="2">
        <f t="shared" si="8"/>
        <v>3.0784313725487151</v>
      </c>
      <c r="DM77" s="2">
        <f t="shared" si="9"/>
        <v>39.5</v>
      </c>
      <c r="DN77" s="3">
        <f t="shared" si="10"/>
        <v>0.5490196078431373</v>
      </c>
      <c r="DV77" s="2">
        <v>370</v>
      </c>
      <c r="DW77">
        <v>0</v>
      </c>
      <c r="DX77">
        <f t="shared" si="11"/>
        <v>14794</v>
      </c>
      <c r="DY77">
        <f t="shared" si="6"/>
        <v>1</v>
      </c>
    </row>
    <row r="78" spans="1:129">
      <c r="A78" s="1">
        <v>40985</v>
      </c>
      <c r="B78" s="1"/>
      <c r="C78" s="1"/>
      <c r="I78">
        <v>2.2000000000000002</v>
      </c>
      <c r="K78">
        <v>2</v>
      </c>
      <c r="N78">
        <v>18.600000000000001</v>
      </c>
      <c r="Q78">
        <v>23.5</v>
      </c>
      <c r="R78">
        <v>3.3</v>
      </c>
      <c r="T78">
        <v>0.7</v>
      </c>
      <c r="U78">
        <v>0</v>
      </c>
      <c r="W78">
        <v>2.4</v>
      </c>
      <c r="AB78">
        <v>0.39999999999963598</v>
      </c>
      <c r="AE78">
        <v>13.5</v>
      </c>
      <c r="AF78">
        <v>16.5</v>
      </c>
      <c r="AG78">
        <v>3.3999999999978199</v>
      </c>
      <c r="AI78">
        <v>3.3999999999978199</v>
      </c>
      <c r="AJ78">
        <v>13</v>
      </c>
      <c r="AK78">
        <v>5.1999999999970896</v>
      </c>
      <c r="AL78">
        <v>1.5</v>
      </c>
      <c r="AN78">
        <v>14</v>
      </c>
      <c r="AO78">
        <v>1.1999999999989099</v>
      </c>
      <c r="AS78">
        <v>8.8999999999941792</v>
      </c>
      <c r="AT78">
        <v>0.19999999999981799</v>
      </c>
      <c r="AV78">
        <v>5</v>
      </c>
      <c r="AW78">
        <v>1</v>
      </c>
      <c r="AX78">
        <v>5.29999999999563</v>
      </c>
      <c r="AY78">
        <v>2.3999999999978199</v>
      </c>
      <c r="BA78">
        <v>5.5</v>
      </c>
      <c r="BC78">
        <v>3.1999999999970901</v>
      </c>
      <c r="BD78">
        <v>4</v>
      </c>
      <c r="BF78">
        <v>4</v>
      </c>
      <c r="BI78">
        <v>1.1000000000000001</v>
      </c>
      <c r="BJ78">
        <v>14.5</v>
      </c>
      <c r="BK78">
        <v>10.600000000005799</v>
      </c>
      <c r="BM78">
        <v>2</v>
      </c>
      <c r="BN78">
        <v>2.2999999999992702</v>
      </c>
      <c r="BO78">
        <v>1.60000000000036</v>
      </c>
      <c r="BQ78">
        <v>17.100000000005799</v>
      </c>
      <c r="BT78">
        <v>0.200000000000045</v>
      </c>
      <c r="BV78">
        <v>3.7000000000007298</v>
      </c>
      <c r="BX78">
        <v>0.1</v>
      </c>
      <c r="BZ78">
        <v>0.5</v>
      </c>
      <c r="CA78">
        <v>3</v>
      </c>
      <c r="CB78">
        <v>2.8</v>
      </c>
      <c r="CE78">
        <v>6.5</v>
      </c>
      <c r="CF78">
        <v>41.3</v>
      </c>
      <c r="CJ78">
        <v>20.6</v>
      </c>
      <c r="CK78">
        <v>7.6</v>
      </c>
      <c r="CL78">
        <v>3</v>
      </c>
      <c r="CM78">
        <v>9.5</v>
      </c>
      <c r="CN78">
        <v>4.5</v>
      </c>
      <c r="CQ78">
        <v>1.3</v>
      </c>
      <c r="CR78">
        <v>0.9</v>
      </c>
      <c r="CV78">
        <v>3.4</v>
      </c>
      <c r="CW78">
        <v>0.6</v>
      </c>
      <c r="CX78">
        <v>1.5</v>
      </c>
      <c r="CY78">
        <v>1</v>
      </c>
      <c r="DA78">
        <v>1.3</v>
      </c>
      <c r="DD78" s="5">
        <v>0.2</v>
      </c>
      <c r="DJ78" s="1">
        <v>40985</v>
      </c>
      <c r="DK78" s="2">
        <f t="shared" si="7"/>
        <v>5.8392857142854968</v>
      </c>
      <c r="DL78" s="2">
        <f t="shared" si="8"/>
        <v>3.2058823529410572</v>
      </c>
      <c r="DM78" s="2">
        <f t="shared" si="9"/>
        <v>41.3</v>
      </c>
      <c r="DN78" s="3">
        <f t="shared" si="10"/>
        <v>0.5490196078431373</v>
      </c>
      <c r="DV78" s="2">
        <v>375</v>
      </c>
      <c r="DW78">
        <v>0</v>
      </c>
      <c r="DX78">
        <f t="shared" si="11"/>
        <v>14794</v>
      </c>
      <c r="DY78">
        <f t="shared" si="6"/>
        <v>1</v>
      </c>
    </row>
    <row r="79" spans="1:129">
      <c r="A79" s="1">
        <v>40986</v>
      </c>
      <c r="B79" s="1"/>
      <c r="C79" s="1"/>
      <c r="F79">
        <v>5.6</v>
      </c>
      <c r="H79">
        <v>2.2000000000000002</v>
      </c>
      <c r="K79">
        <v>4.5</v>
      </c>
      <c r="N79">
        <v>0.6</v>
      </c>
      <c r="O79">
        <v>0.9</v>
      </c>
      <c r="Q79">
        <v>12.2</v>
      </c>
      <c r="W79">
        <v>2.5</v>
      </c>
      <c r="AB79">
        <v>16.5</v>
      </c>
      <c r="AF79">
        <v>1.79999999999927</v>
      </c>
      <c r="AG79">
        <v>5.8</v>
      </c>
      <c r="AI79">
        <v>0.69999999999981799</v>
      </c>
      <c r="AJ79">
        <v>0.5</v>
      </c>
      <c r="AK79">
        <v>1.0999999999985499</v>
      </c>
      <c r="AL79">
        <v>0.59999999999945397</v>
      </c>
      <c r="AO79">
        <v>12.5</v>
      </c>
      <c r="AS79">
        <v>10</v>
      </c>
      <c r="AV79">
        <v>2</v>
      </c>
      <c r="AX79">
        <v>53</v>
      </c>
      <c r="AY79">
        <v>4.5999999999985501</v>
      </c>
      <c r="AZ79">
        <v>1.5</v>
      </c>
      <c r="BB79">
        <v>4.5</v>
      </c>
      <c r="BC79">
        <v>0</v>
      </c>
      <c r="BD79">
        <v>0.100000000000023</v>
      </c>
      <c r="BF79">
        <v>0.30000000000018201</v>
      </c>
      <c r="BI79">
        <v>0.2</v>
      </c>
      <c r="BJ79">
        <v>0.30000000000018201</v>
      </c>
      <c r="BK79">
        <v>3</v>
      </c>
      <c r="BM79">
        <v>2.5</v>
      </c>
      <c r="BN79">
        <v>0.200000000000045</v>
      </c>
      <c r="BO79">
        <v>0.100000000000023</v>
      </c>
      <c r="BQ79">
        <v>7.3000000000029104</v>
      </c>
      <c r="BT79">
        <v>0.1</v>
      </c>
      <c r="BW79">
        <v>0.3</v>
      </c>
      <c r="BZ79">
        <v>0.2</v>
      </c>
      <c r="CA79">
        <v>3.9</v>
      </c>
      <c r="CB79">
        <v>0.8</v>
      </c>
      <c r="CE79">
        <v>6.2</v>
      </c>
      <c r="CF79">
        <v>11.8</v>
      </c>
      <c r="CG79">
        <v>0</v>
      </c>
      <c r="CH79">
        <v>0.4</v>
      </c>
      <c r="CJ79">
        <v>1</v>
      </c>
      <c r="CL79">
        <v>7.5</v>
      </c>
      <c r="CM79">
        <v>13</v>
      </c>
      <c r="CN79">
        <v>4</v>
      </c>
      <c r="CT79">
        <v>0.1</v>
      </c>
      <c r="CV79">
        <v>5.6</v>
      </c>
      <c r="CW79">
        <v>6.5</v>
      </c>
      <c r="CY79">
        <v>8.6999999999999993</v>
      </c>
      <c r="DA79">
        <v>0.4</v>
      </c>
      <c r="DD79" s="5">
        <v>0.5</v>
      </c>
      <c r="DJ79" s="1">
        <v>40986</v>
      </c>
      <c r="DK79" s="2">
        <f t="shared" si="7"/>
        <v>4.5719999999999796</v>
      </c>
      <c r="DL79" s="2">
        <f t="shared" si="8"/>
        <v>2.2411764705882256</v>
      </c>
      <c r="DM79" s="2">
        <f t="shared" si="9"/>
        <v>53</v>
      </c>
      <c r="DN79" s="3">
        <f t="shared" si="10"/>
        <v>0.49019607843137253</v>
      </c>
      <c r="DV79" s="2">
        <v>380</v>
      </c>
      <c r="DW79">
        <v>0</v>
      </c>
      <c r="DX79">
        <f t="shared" si="11"/>
        <v>14794</v>
      </c>
      <c r="DY79">
        <f t="shared" si="6"/>
        <v>1</v>
      </c>
    </row>
    <row r="80" spans="1:129">
      <c r="A80" s="1">
        <v>40987</v>
      </c>
      <c r="B80" s="1"/>
      <c r="C80" s="1"/>
      <c r="F80">
        <v>2.4</v>
      </c>
      <c r="H80">
        <v>0.5</v>
      </c>
      <c r="K80">
        <v>1.5</v>
      </c>
      <c r="O80">
        <v>0.2</v>
      </c>
      <c r="Q80">
        <v>3</v>
      </c>
      <c r="T80">
        <v>3</v>
      </c>
      <c r="W80">
        <v>0</v>
      </c>
      <c r="Y80">
        <v>2.1</v>
      </c>
      <c r="Z80">
        <v>6.8999999999941801</v>
      </c>
      <c r="AB80">
        <v>0.5</v>
      </c>
      <c r="AF80">
        <v>0</v>
      </c>
      <c r="AI80">
        <v>0.29999999999972699</v>
      </c>
      <c r="AJ80">
        <v>1.79999999999927</v>
      </c>
      <c r="AL80">
        <v>1.5</v>
      </c>
      <c r="AN80">
        <v>5.6999999999970896</v>
      </c>
      <c r="AO80">
        <v>1.79999999999927</v>
      </c>
      <c r="AP80">
        <v>1.79999999999927</v>
      </c>
      <c r="AQ80">
        <v>0.5</v>
      </c>
      <c r="AS80">
        <v>1.5</v>
      </c>
      <c r="AV80">
        <v>4.1999999999970896</v>
      </c>
      <c r="AX80">
        <v>19.799999999988401</v>
      </c>
      <c r="AY80">
        <v>1.5</v>
      </c>
      <c r="AZ80">
        <v>0.19999999999981799</v>
      </c>
      <c r="BB80">
        <v>15.1999999999971</v>
      </c>
      <c r="BD80">
        <v>0.89999999999963598</v>
      </c>
      <c r="BF80">
        <v>8.5</v>
      </c>
      <c r="BH80">
        <v>1.70000000000073</v>
      </c>
      <c r="BI80">
        <v>4.3</v>
      </c>
      <c r="BK80">
        <v>0.100000000000023</v>
      </c>
      <c r="BM80">
        <v>1.6</v>
      </c>
      <c r="BO80">
        <v>0.100000000000023</v>
      </c>
      <c r="BQ80">
        <v>4.5</v>
      </c>
      <c r="BR80">
        <v>1</v>
      </c>
      <c r="BS80">
        <v>0.60000000000036402</v>
      </c>
      <c r="BT80">
        <v>0.1</v>
      </c>
      <c r="BU80">
        <v>0.30000000000018201</v>
      </c>
      <c r="BW80">
        <v>0</v>
      </c>
      <c r="BX80">
        <v>8.9</v>
      </c>
      <c r="BY80">
        <v>6.2</v>
      </c>
      <c r="BZ80">
        <v>0</v>
      </c>
      <c r="CC80">
        <v>0.1</v>
      </c>
      <c r="CF80">
        <v>0.5</v>
      </c>
      <c r="CG80">
        <v>0.2</v>
      </c>
      <c r="CL80">
        <v>0.5</v>
      </c>
      <c r="CM80">
        <v>10.3</v>
      </c>
      <c r="CN80">
        <v>4</v>
      </c>
      <c r="CQ80">
        <v>0.2</v>
      </c>
      <c r="CS80">
        <v>0.5</v>
      </c>
      <c r="CV80">
        <v>25.2</v>
      </c>
      <c r="CW80">
        <v>7.6</v>
      </c>
      <c r="CY80">
        <v>3</v>
      </c>
      <c r="DA80">
        <v>0.2</v>
      </c>
      <c r="DB80">
        <v>13.9</v>
      </c>
      <c r="DC80">
        <v>0.1</v>
      </c>
      <c r="DD80" s="5">
        <v>0.7</v>
      </c>
      <c r="DJ80" s="1">
        <v>40987</v>
      </c>
      <c r="DK80" s="2">
        <f t="shared" si="7"/>
        <v>3.3036363636358566</v>
      </c>
      <c r="DL80" s="2">
        <f t="shared" si="8"/>
        <v>1.7813725490193344</v>
      </c>
      <c r="DM80" s="2">
        <f t="shared" si="9"/>
        <v>25.2</v>
      </c>
      <c r="DN80" s="3">
        <f t="shared" si="10"/>
        <v>0.53921568627450978</v>
      </c>
      <c r="DV80" s="2">
        <v>385</v>
      </c>
      <c r="DW80">
        <v>0</v>
      </c>
      <c r="DX80">
        <f t="shared" si="11"/>
        <v>14794</v>
      </c>
      <c r="DY80">
        <f t="shared" si="6"/>
        <v>1</v>
      </c>
    </row>
    <row r="81" spans="1:129">
      <c r="A81" s="1">
        <v>40988</v>
      </c>
      <c r="B81" s="1"/>
      <c r="C81" s="1"/>
      <c r="F81">
        <v>0.2</v>
      </c>
      <c r="K81">
        <v>1.7</v>
      </c>
      <c r="L81">
        <v>10.4</v>
      </c>
      <c r="O81">
        <v>0.1</v>
      </c>
      <c r="Q81">
        <v>6.7</v>
      </c>
      <c r="R81">
        <v>0.1</v>
      </c>
      <c r="T81">
        <v>0.9</v>
      </c>
      <c r="U81">
        <v>0</v>
      </c>
      <c r="Y81">
        <v>0.4</v>
      </c>
      <c r="AH81">
        <v>4.8999999999941801</v>
      </c>
      <c r="AI81">
        <v>0.79999999999927196</v>
      </c>
      <c r="AL81">
        <v>9.9999999999908995E-2</v>
      </c>
      <c r="AO81">
        <v>0.29999999999972699</v>
      </c>
      <c r="AP81">
        <v>6.5</v>
      </c>
      <c r="AQ81">
        <v>7.3999999999941801</v>
      </c>
      <c r="AR81">
        <v>0</v>
      </c>
      <c r="AS81">
        <v>0.19999999999981799</v>
      </c>
      <c r="AT81">
        <v>0.19999999999981799</v>
      </c>
      <c r="AV81">
        <v>0.59999999999945397</v>
      </c>
      <c r="AX81">
        <v>3</v>
      </c>
      <c r="AY81">
        <v>0.5</v>
      </c>
      <c r="AZ81">
        <v>9.3999999999941792</v>
      </c>
      <c r="BE81">
        <v>0.80000000000018201</v>
      </c>
      <c r="BF81">
        <v>0.89999999999963598</v>
      </c>
      <c r="BI81">
        <v>13.5</v>
      </c>
      <c r="BJ81">
        <v>9</v>
      </c>
      <c r="BM81">
        <v>3</v>
      </c>
      <c r="BO81">
        <v>6</v>
      </c>
      <c r="BS81">
        <v>5</v>
      </c>
      <c r="BU81">
        <v>0.89999999999963598</v>
      </c>
      <c r="BV81">
        <v>4.5999999999985501</v>
      </c>
      <c r="BW81">
        <v>1.1000000000000001</v>
      </c>
      <c r="BX81">
        <v>0.1</v>
      </c>
      <c r="BY81">
        <v>0.1</v>
      </c>
      <c r="CF81">
        <v>22.3</v>
      </c>
      <c r="CG81">
        <v>0.1</v>
      </c>
      <c r="CK81">
        <v>25.2</v>
      </c>
      <c r="CL81">
        <v>1</v>
      </c>
      <c r="CM81">
        <v>0.9</v>
      </c>
      <c r="CN81">
        <v>2</v>
      </c>
      <c r="CP81">
        <v>9.8000000000000007</v>
      </c>
      <c r="CQ81">
        <v>2</v>
      </c>
      <c r="CV81">
        <v>16.5</v>
      </c>
      <c r="CY81">
        <v>3.7</v>
      </c>
      <c r="DA81">
        <v>0.2</v>
      </c>
      <c r="DB81">
        <v>1.5</v>
      </c>
      <c r="DC81">
        <v>7.1</v>
      </c>
      <c r="DD81" s="5"/>
      <c r="DJ81" s="1">
        <v>40988</v>
      </c>
      <c r="DK81" s="2">
        <f t="shared" si="7"/>
        <v>4.0787234042548617</v>
      </c>
      <c r="DL81" s="2">
        <f t="shared" si="8"/>
        <v>1.8794117647056716</v>
      </c>
      <c r="DM81" s="2">
        <f t="shared" si="9"/>
        <v>25.2</v>
      </c>
      <c r="DN81" s="3">
        <f t="shared" si="10"/>
        <v>0.46078431372549017</v>
      </c>
      <c r="DV81" s="2">
        <v>390</v>
      </c>
      <c r="DW81">
        <v>0</v>
      </c>
      <c r="DX81">
        <f t="shared" si="11"/>
        <v>14794</v>
      </c>
      <c r="DY81">
        <f t="shared" si="6"/>
        <v>1</v>
      </c>
    </row>
    <row r="82" spans="1:129">
      <c r="A82" s="1">
        <v>40989</v>
      </c>
      <c r="B82" s="1"/>
      <c r="C82" s="1"/>
      <c r="D82">
        <v>1.2</v>
      </c>
      <c r="G82">
        <v>15</v>
      </c>
      <c r="L82">
        <v>1.4</v>
      </c>
      <c r="R82">
        <v>11.7</v>
      </c>
      <c r="X82">
        <v>1.5</v>
      </c>
      <c r="AE82">
        <v>0.29999999999972699</v>
      </c>
      <c r="AF82">
        <v>0</v>
      </c>
      <c r="AH82">
        <v>2.5</v>
      </c>
      <c r="AK82">
        <v>3.5999999999985399</v>
      </c>
      <c r="AO82">
        <v>3.7999999999992702</v>
      </c>
      <c r="AP82">
        <v>2.3999999999978199</v>
      </c>
      <c r="AQ82">
        <v>8</v>
      </c>
      <c r="AS82">
        <v>10</v>
      </c>
      <c r="AT82">
        <v>7.8999999999941801</v>
      </c>
      <c r="AV82">
        <v>0.39999999999963598</v>
      </c>
      <c r="AX82">
        <v>4</v>
      </c>
      <c r="AZ82">
        <v>12.399999999994201</v>
      </c>
      <c r="BE82">
        <v>4.5</v>
      </c>
      <c r="BF82">
        <v>0</v>
      </c>
      <c r="BI82">
        <v>8.1999999999999993</v>
      </c>
      <c r="BJ82">
        <v>4.3000000000029104</v>
      </c>
      <c r="BL82">
        <v>0</v>
      </c>
      <c r="BM82">
        <v>0.5</v>
      </c>
      <c r="BO82">
        <v>18.5</v>
      </c>
      <c r="BP82">
        <v>0.100000000000023</v>
      </c>
      <c r="BQ82">
        <v>0</v>
      </c>
      <c r="BR82">
        <v>6.5</v>
      </c>
      <c r="BS82">
        <v>0.200000000000045</v>
      </c>
      <c r="BT82">
        <v>0.100000000000023</v>
      </c>
      <c r="BW82">
        <v>0.3</v>
      </c>
      <c r="CF82">
        <v>14.3</v>
      </c>
      <c r="CI82">
        <v>7.2</v>
      </c>
      <c r="CK82">
        <v>25</v>
      </c>
      <c r="CL82">
        <v>1.8</v>
      </c>
      <c r="CP82">
        <v>1.1000000000000001</v>
      </c>
      <c r="CQ82">
        <v>3.1</v>
      </c>
      <c r="CU82">
        <v>0.1</v>
      </c>
      <c r="CV82">
        <v>0.6</v>
      </c>
      <c r="CW82">
        <v>4.7</v>
      </c>
      <c r="CY82">
        <v>0.6</v>
      </c>
      <c r="DA82">
        <v>0.8</v>
      </c>
      <c r="DC82">
        <v>5.4</v>
      </c>
      <c r="DD82" s="5">
        <v>0.2</v>
      </c>
      <c r="DJ82" s="1">
        <v>40989</v>
      </c>
      <c r="DK82" s="2">
        <f t="shared" si="7"/>
        <v>4.5162790697671245</v>
      </c>
      <c r="DL82" s="2">
        <f t="shared" si="8"/>
        <v>1.9039215686273172</v>
      </c>
      <c r="DM82" s="2">
        <f t="shared" si="9"/>
        <v>25</v>
      </c>
      <c r="DN82" s="3">
        <f t="shared" si="10"/>
        <v>0.42156862745098039</v>
      </c>
      <c r="DV82" s="2">
        <v>395</v>
      </c>
      <c r="DW82">
        <v>0</v>
      </c>
      <c r="DX82">
        <f t="shared" si="11"/>
        <v>14794</v>
      </c>
      <c r="DY82">
        <f t="shared" si="6"/>
        <v>1</v>
      </c>
    </row>
    <row r="83" spans="1:129">
      <c r="A83" s="1">
        <v>40990</v>
      </c>
      <c r="B83" s="1"/>
      <c r="C83" s="1"/>
      <c r="D83">
        <v>2.6</v>
      </c>
      <c r="F83">
        <v>1.9</v>
      </c>
      <c r="G83">
        <v>0.5</v>
      </c>
      <c r="H83">
        <v>5.4</v>
      </c>
      <c r="L83">
        <v>2.7</v>
      </c>
      <c r="Q83">
        <v>0.3</v>
      </c>
      <c r="R83">
        <v>3.8</v>
      </c>
      <c r="X83">
        <v>2.5</v>
      </c>
      <c r="Y83">
        <v>11.5</v>
      </c>
      <c r="AE83">
        <v>6.1999999999970896</v>
      </c>
      <c r="AH83">
        <v>0.2</v>
      </c>
      <c r="AJ83">
        <v>5.79999999999563</v>
      </c>
      <c r="AO83">
        <v>11.5</v>
      </c>
      <c r="AQ83">
        <v>4.3999999999941801</v>
      </c>
      <c r="AS83">
        <v>3.3999999999978199</v>
      </c>
      <c r="AT83">
        <v>6.79999999999563</v>
      </c>
      <c r="AV83">
        <v>1.5999999999985499</v>
      </c>
      <c r="AX83">
        <v>31</v>
      </c>
      <c r="AZ83">
        <v>1.6999999999989099</v>
      </c>
      <c r="BA83">
        <v>1.5</v>
      </c>
      <c r="BC83">
        <v>15.599999999991301</v>
      </c>
      <c r="BE83">
        <v>5.5</v>
      </c>
      <c r="BI83">
        <v>1.6</v>
      </c>
      <c r="BJ83">
        <v>0.100000000000023</v>
      </c>
      <c r="BM83">
        <v>0.1</v>
      </c>
      <c r="BN83">
        <v>0.100000000000023</v>
      </c>
      <c r="BO83">
        <v>5</v>
      </c>
      <c r="BP83">
        <v>3.2000000000007298</v>
      </c>
      <c r="BQ83">
        <v>0.100000000000023</v>
      </c>
      <c r="BR83">
        <v>22.7</v>
      </c>
      <c r="BT83">
        <v>0.100000000000023</v>
      </c>
      <c r="BX83">
        <v>4.5</v>
      </c>
      <c r="BY83">
        <v>0.6</v>
      </c>
      <c r="CC83">
        <v>0.1</v>
      </c>
      <c r="CH83">
        <v>1.5</v>
      </c>
      <c r="CI83">
        <v>9.1999999999999993</v>
      </c>
      <c r="CJ83">
        <v>1.9</v>
      </c>
      <c r="CK83">
        <v>2.8</v>
      </c>
      <c r="CL83">
        <v>12.4</v>
      </c>
      <c r="CO83">
        <v>4.0999999999999996</v>
      </c>
      <c r="CP83">
        <v>4.9000000000000004</v>
      </c>
      <c r="CU83">
        <v>7</v>
      </c>
      <c r="CW83">
        <v>10.199999999999999</v>
      </c>
      <c r="DA83">
        <v>9.8000000000000007</v>
      </c>
      <c r="DD83" s="5">
        <v>0.1</v>
      </c>
      <c r="DJ83" s="1">
        <v>40990</v>
      </c>
      <c r="DK83" s="2">
        <f t="shared" si="7"/>
        <v>5.0777777777771087</v>
      </c>
      <c r="DL83" s="2">
        <f t="shared" si="8"/>
        <v>2.2401960784310773</v>
      </c>
      <c r="DM83" s="2">
        <f t="shared" si="9"/>
        <v>31</v>
      </c>
      <c r="DN83" s="3">
        <f t="shared" si="10"/>
        <v>0.44117647058823528</v>
      </c>
      <c r="DV83" s="2">
        <v>400</v>
      </c>
      <c r="DW83">
        <v>0</v>
      </c>
      <c r="DX83">
        <f t="shared" si="11"/>
        <v>14794</v>
      </c>
      <c r="DY83">
        <f t="shared" si="6"/>
        <v>1</v>
      </c>
    </row>
    <row r="84" spans="1:129">
      <c r="A84" s="1">
        <v>40991</v>
      </c>
      <c r="B84" s="1"/>
      <c r="C84" s="1"/>
      <c r="F84">
        <v>0.6</v>
      </c>
      <c r="L84">
        <v>11.2</v>
      </c>
      <c r="Q84">
        <v>0.2</v>
      </c>
      <c r="X84">
        <v>5.9</v>
      </c>
      <c r="Y84">
        <v>2</v>
      </c>
      <c r="AE84">
        <v>15.099999999991301</v>
      </c>
      <c r="AH84">
        <v>0</v>
      </c>
      <c r="AI84">
        <v>0</v>
      </c>
      <c r="AJ84">
        <v>8.5</v>
      </c>
      <c r="AO84">
        <v>7</v>
      </c>
      <c r="AQ84">
        <v>2.6999999999970901</v>
      </c>
      <c r="AT84">
        <v>5</v>
      </c>
      <c r="AX84">
        <v>10.5</v>
      </c>
      <c r="AZ84">
        <v>2.7999999999992702</v>
      </c>
      <c r="BA84">
        <v>27.699999999982499</v>
      </c>
      <c r="BB84">
        <v>5.8999999999941801</v>
      </c>
      <c r="BC84">
        <v>17.699999999982499</v>
      </c>
      <c r="BD84">
        <v>8.8999999999941792</v>
      </c>
      <c r="BH84">
        <v>1.5</v>
      </c>
      <c r="BI84">
        <v>0</v>
      </c>
      <c r="BJ84">
        <v>0.100000000000023</v>
      </c>
      <c r="BK84">
        <v>1.10000000000036</v>
      </c>
      <c r="BL84">
        <v>0</v>
      </c>
      <c r="BM84">
        <v>0.1</v>
      </c>
      <c r="BN84">
        <v>0.200000000000045</v>
      </c>
      <c r="BO84">
        <v>19</v>
      </c>
      <c r="BR84">
        <v>0.8</v>
      </c>
      <c r="BT84">
        <v>0.100000000000023</v>
      </c>
      <c r="BU84">
        <v>0</v>
      </c>
      <c r="BV84">
        <v>0</v>
      </c>
      <c r="BX84">
        <v>2</v>
      </c>
      <c r="BY84">
        <v>12.1</v>
      </c>
      <c r="BZ84">
        <v>0</v>
      </c>
      <c r="CA84">
        <v>16.3</v>
      </c>
      <c r="CB84">
        <v>0.8</v>
      </c>
      <c r="CC84">
        <v>3.3</v>
      </c>
      <c r="CI84">
        <v>9.3000000000000007</v>
      </c>
      <c r="CJ84">
        <v>0.7</v>
      </c>
      <c r="CL84">
        <v>9</v>
      </c>
      <c r="CO84">
        <v>8.4</v>
      </c>
      <c r="CP84">
        <v>8.1</v>
      </c>
      <c r="CQ84">
        <v>1</v>
      </c>
      <c r="CT84">
        <v>5</v>
      </c>
      <c r="CU84">
        <v>5.9</v>
      </c>
      <c r="CW84">
        <v>0.8</v>
      </c>
      <c r="DA84">
        <v>0.3</v>
      </c>
      <c r="DC84">
        <v>0.3</v>
      </c>
      <c r="DD84" s="5"/>
      <c r="DJ84" s="1">
        <v>40991</v>
      </c>
      <c r="DK84" s="2">
        <f t="shared" si="7"/>
        <v>5.0617021276583305</v>
      </c>
      <c r="DL84" s="2">
        <f t="shared" si="8"/>
        <v>2.3323529411758974</v>
      </c>
      <c r="DM84" s="2">
        <f t="shared" si="9"/>
        <v>27.699999999982499</v>
      </c>
      <c r="DN84" s="3">
        <f t="shared" si="10"/>
        <v>0.46078431372549017</v>
      </c>
      <c r="DV84" s="2">
        <v>405</v>
      </c>
      <c r="DW84">
        <v>0</v>
      </c>
      <c r="DX84">
        <f t="shared" si="11"/>
        <v>14794</v>
      </c>
      <c r="DY84">
        <f t="shared" si="6"/>
        <v>1</v>
      </c>
    </row>
    <row r="85" spans="1:129">
      <c r="A85" s="1">
        <v>40992</v>
      </c>
      <c r="B85" s="1"/>
      <c r="C85" s="1"/>
      <c r="D85">
        <v>2.8</v>
      </c>
      <c r="J85">
        <v>1.4</v>
      </c>
      <c r="L85">
        <v>1.1000000000000001</v>
      </c>
      <c r="Q85">
        <v>1.3</v>
      </c>
      <c r="R85">
        <v>1</v>
      </c>
      <c r="U85">
        <v>2.5</v>
      </c>
      <c r="X85">
        <v>0</v>
      </c>
      <c r="Y85">
        <v>0.8</v>
      </c>
      <c r="AE85">
        <v>1.79999999999927</v>
      </c>
      <c r="AF85">
        <v>0.5</v>
      </c>
      <c r="AG85">
        <v>0.59999999999945397</v>
      </c>
      <c r="AH85">
        <v>2.2000000000000002</v>
      </c>
      <c r="AI85">
        <v>2.8999999999978199</v>
      </c>
      <c r="AJ85">
        <v>17</v>
      </c>
      <c r="AK85">
        <v>0.89999999999963598</v>
      </c>
      <c r="AN85">
        <v>1.1999999999989099</v>
      </c>
      <c r="AO85">
        <v>1.1999999999989099</v>
      </c>
      <c r="AP85">
        <v>1.29999999999927</v>
      </c>
      <c r="AV85">
        <v>0</v>
      </c>
      <c r="BA85">
        <v>0.5</v>
      </c>
      <c r="BC85">
        <v>7.3999999999941801</v>
      </c>
      <c r="BF85">
        <v>1.79999999999927</v>
      </c>
      <c r="BG85">
        <v>7.8000000000029104</v>
      </c>
      <c r="BH85">
        <v>1.60000000000036</v>
      </c>
      <c r="BI85">
        <v>8.6999999999999993</v>
      </c>
      <c r="BK85">
        <v>21.700000000011599</v>
      </c>
      <c r="BL85">
        <v>3.8</v>
      </c>
      <c r="BO85">
        <v>13</v>
      </c>
      <c r="BT85">
        <v>0.100000000000023</v>
      </c>
      <c r="BV85">
        <v>0.100000000000023</v>
      </c>
      <c r="BX85">
        <v>0.9</v>
      </c>
      <c r="BY85">
        <v>0.5</v>
      </c>
      <c r="CA85">
        <v>13.7</v>
      </c>
      <c r="CB85">
        <v>2.6</v>
      </c>
      <c r="CC85">
        <v>6.5</v>
      </c>
      <c r="CE85">
        <v>0.3</v>
      </c>
      <c r="CI85">
        <v>1.6</v>
      </c>
      <c r="CJ85">
        <v>1</v>
      </c>
      <c r="CK85">
        <v>2.8</v>
      </c>
      <c r="CM85">
        <v>3</v>
      </c>
      <c r="CP85">
        <v>5</v>
      </c>
      <c r="CQ85">
        <v>2.2000000000000002</v>
      </c>
      <c r="CT85">
        <v>2.5</v>
      </c>
      <c r="CU85">
        <v>1</v>
      </c>
      <c r="CX85">
        <v>0.4</v>
      </c>
      <c r="CY85">
        <v>0.1</v>
      </c>
      <c r="DD85" s="5">
        <v>20.2</v>
      </c>
      <c r="DJ85" s="1">
        <v>40992</v>
      </c>
      <c r="DK85" s="2">
        <f t="shared" si="7"/>
        <v>3.6446808510638644</v>
      </c>
      <c r="DL85" s="2">
        <f t="shared" si="8"/>
        <v>1.6794117647058984</v>
      </c>
      <c r="DM85" s="2">
        <f t="shared" si="9"/>
        <v>21.700000000011599</v>
      </c>
      <c r="DN85" s="3">
        <f t="shared" si="10"/>
        <v>0.46078431372549017</v>
      </c>
      <c r="DV85" s="2">
        <v>410</v>
      </c>
      <c r="DW85">
        <v>0</v>
      </c>
      <c r="DX85">
        <f t="shared" si="11"/>
        <v>14794</v>
      </c>
      <c r="DY85">
        <f t="shared" si="6"/>
        <v>1</v>
      </c>
    </row>
    <row r="86" spans="1:129">
      <c r="A86" s="1">
        <v>40993</v>
      </c>
      <c r="B86" s="1"/>
      <c r="C86" s="1"/>
      <c r="D86">
        <v>4</v>
      </c>
      <c r="L86">
        <v>0.8</v>
      </c>
      <c r="R86">
        <v>1</v>
      </c>
      <c r="X86">
        <v>8.5</v>
      </c>
      <c r="Y86">
        <v>1.6</v>
      </c>
      <c r="AG86">
        <v>0.89999999999963598</v>
      </c>
      <c r="AI86">
        <v>0</v>
      </c>
      <c r="AJ86">
        <v>0.79999999999927196</v>
      </c>
      <c r="AK86">
        <v>4</v>
      </c>
      <c r="AL86">
        <v>0</v>
      </c>
      <c r="AP86">
        <v>19.599999999976699</v>
      </c>
      <c r="AR86">
        <v>1.1000000000000001</v>
      </c>
      <c r="AS86">
        <v>9.9999999999908995E-2</v>
      </c>
      <c r="AT86">
        <v>1.79999999999927</v>
      </c>
      <c r="AX86">
        <v>3.5</v>
      </c>
      <c r="BE86">
        <v>2</v>
      </c>
      <c r="BF86">
        <v>0.100000000000023</v>
      </c>
      <c r="BG86">
        <v>2</v>
      </c>
      <c r="BH86">
        <v>0.69999999999981799</v>
      </c>
      <c r="BI86">
        <v>0.1</v>
      </c>
      <c r="BK86">
        <v>26</v>
      </c>
      <c r="BL86">
        <v>0.1</v>
      </c>
      <c r="BO86">
        <v>8.8999999999941792</v>
      </c>
      <c r="BR86">
        <v>18</v>
      </c>
      <c r="BT86">
        <v>2.5</v>
      </c>
      <c r="BU86">
        <v>0</v>
      </c>
      <c r="BV86">
        <v>0</v>
      </c>
      <c r="BX86">
        <v>0.1</v>
      </c>
      <c r="BY86">
        <v>1.2</v>
      </c>
      <c r="CB86">
        <v>1</v>
      </c>
      <c r="CC86">
        <v>0.2</v>
      </c>
      <c r="CE86">
        <v>0.1</v>
      </c>
      <c r="CP86">
        <v>13.8</v>
      </c>
      <c r="CT86">
        <v>0.5</v>
      </c>
      <c r="CV86">
        <v>4.9000000000000004</v>
      </c>
      <c r="CW86">
        <v>14.2</v>
      </c>
      <c r="DB86">
        <v>1.5</v>
      </c>
      <c r="DD86" s="5">
        <v>15.4</v>
      </c>
      <c r="DJ86" s="1">
        <v>40993</v>
      </c>
      <c r="DK86" s="2">
        <f t="shared" si="7"/>
        <v>4.2368421052623368</v>
      </c>
      <c r="DL86" s="2">
        <f t="shared" si="8"/>
        <v>1.5784313725487136</v>
      </c>
      <c r="DM86" s="2">
        <f t="shared" si="9"/>
        <v>26</v>
      </c>
      <c r="DN86" s="3">
        <f t="shared" si="10"/>
        <v>0.37254901960784315</v>
      </c>
      <c r="DV86" s="2">
        <v>415</v>
      </c>
      <c r="DW86">
        <v>0</v>
      </c>
      <c r="DX86">
        <f t="shared" si="11"/>
        <v>14794</v>
      </c>
      <c r="DY86">
        <f t="shared" si="6"/>
        <v>1</v>
      </c>
    </row>
    <row r="87" spans="1:129">
      <c r="A87" s="1">
        <v>40994</v>
      </c>
      <c r="B87" s="1"/>
      <c r="C87" s="1"/>
      <c r="D87">
        <v>4.4000000000000004</v>
      </c>
      <c r="E87">
        <v>1</v>
      </c>
      <c r="R87">
        <v>3.5</v>
      </c>
      <c r="W87">
        <v>3.1</v>
      </c>
      <c r="Y87">
        <v>0.7</v>
      </c>
      <c r="AC87">
        <v>0.29999999999972699</v>
      </c>
      <c r="AE87">
        <v>4.1999999999970896</v>
      </c>
      <c r="AH87">
        <v>9.9999999999908995E-2</v>
      </c>
      <c r="AJ87">
        <v>2</v>
      </c>
      <c r="AL87">
        <v>0.39999999999963598</v>
      </c>
      <c r="AN87">
        <v>2.6999999999970901</v>
      </c>
      <c r="AP87">
        <v>1</v>
      </c>
      <c r="AQ87">
        <v>0.29999999999972699</v>
      </c>
      <c r="AR87">
        <v>0.3</v>
      </c>
      <c r="AT87">
        <v>7.3999999999941801</v>
      </c>
      <c r="AU87">
        <v>0.2</v>
      </c>
      <c r="AX87">
        <v>0.29999999999972699</v>
      </c>
      <c r="BB87">
        <v>15.099999999991301</v>
      </c>
      <c r="BE87">
        <v>1</v>
      </c>
      <c r="BF87">
        <v>9</v>
      </c>
      <c r="BG87">
        <v>1.5</v>
      </c>
      <c r="BH87">
        <v>0.69999999999981799</v>
      </c>
      <c r="BI87">
        <v>8.4</v>
      </c>
      <c r="BK87">
        <v>1.20000000000073</v>
      </c>
      <c r="BN87">
        <v>0.100000000000023</v>
      </c>
      <c r="BO87">
        <v>1.10000000000036</v>
      </c>
      <c r="BP87">
        <v>1.29999999999927</v>
      </c>
      <c r="BR87">
        <v>1.5</v>
      </c>
      <c r="BT87">
        <v>2.7999999999992702</v>
      </c>
      <c r="BU87">
        <v>0.100000000000023</v>
      </c>
      <c r="BV87">
        <v>0.100000000000023</v>
      </c>
      <c r="BW87">
        <v>1.2</v>
      </c>
      <c r="BY87">
        <v>0</v>
      </c>
      <c r="CE87">
        <v>0</v>
      </c>
      <c r="CJ87">
        <v>0.5</v>
      </c>
      <c r="CL87">
        <v>12</v>
      </c>
      <c r="CP87">
        <v>9</v>
      </c>
      <c r="CW87">
        <v>4.0999999999999996</v>
      </c>
      <c r="CZ87">
        <v>0.2</v>
      </c>
      <c r="DA87">
        <v>7</v>
      </c>
      <c r="DB87">
        <v>9.3000000000000007</v>
      </c>
      <c r="DC87">
        <v>2.4</v>
      </c>
      <c r="DD87" s="5">
        <v>0.1</v>
      </c>
      <c r="DJ87" s="1">
        <v>40994</v>
      </c>
      <c r="DK87" s="2">
        <f t="shared" si="7"/>
        <v>2.8279069767436722</v>
      </c>
      <c r="DL87" s="2">
        <f t="shared" si="8"/>
        <v>1.1921568627448815</v>
      </c>
      <c r="DM87" s="2">
        <f t="shared" si="9"/>
        <v>15.099999999991301</v>
      </c>
      <c r="DN87" s="3">
        <f t="shared" si="10"/>
        <v>0.42156862745098039</v>
      </c>
      <c r="DV87" s="2">
        <v>420</v>
      </c>
      <c r="DW87">
        <v>0</v>
      </c>
      <c r="DX87">
        <f t="shared" si="11"/>
        <v>14794</v>
      </c>
      <c r="DY87">
        <f t="shared" si="6"/>
        <v>1</v>
      </c>
    </row>
    <row r="88" spans="1:129">
      <c r="A88" s="1">
        <v>40995</v>
      </c>
      <c r="B88" s="1"/>
      <c r="C88" s="1"/>
      <c r="D88">
        <v>0.4</v>
      </c>
      <c r="F88">
        <v>14.4</v>
      </c>
      <c r="H88">
        <v>6.3</v>
      </c>
      <c r="J88">
        <v>7.6</v>
      </c>
      <c r="P88">
        <v>0.3</v>
      </c>
      <c r="Q88">
        <v>0.2</v>
      </c>
      <c r="V88">
        <v>2.9</v>
      </c>
      <c r="W88">
        <v>11.9</v>
      </c>
      <c r="AD88">
        <v>14</v>
      </c>
      <c r="AE88">
        <v>0</v>
      </c>
      <c r="AJ88">
        <v>46.399999999965097</v>
      </c>
      <c r="AL88">
        <v>9.9999999999908995E-2</v>
      </c>
      <c r="AN88">
        <v>5.5999999999985501</v>
      </c>
      <c r="AO88">
        <v>0.59999999999945397</v>
      </c>
      <c r="AQ88">
        <v>2.1999999999970901</v>
      </c>
      <c r="AU88">
        <v>0</v>
      </c>
      <c r="AX88">
        <v>2</v>
      </c>
      <c r="BB88">
        <v>0.79999999999927196</v>
      </c>
      <c r="BE88">
        <v>10.100000000005799</v>
      </c>
      <c r="BF88">
        <v>3.9000000000014601</v>
      </c>
      <c r="BI88">
        <v>0.4</v>
      </c>
      <c r="BP88">
        <v>0.5</v>
      </c>
      <c r="BT88">
        <v>47.5</v>
      </c>
      <c r="BV88">
        <v>1.20000000000073</v>
      </c>
      <c r="BW88">
        <v>0</v>
      </c>
      <c r="BX88">
        <v>5.4</v>
      </c>
      <c r="BY88">
        <v>2.2000000000000002</v>
      </c>
      <c r="CB88">
        <v>15.2</v>
      </c>
      <c r="CF88">
        <v>6.5</v>
      </c>
      <c r="CJ88">
        <v>0.8</v>
      </c>
      <c r="CL88">
        <v>16</v>
      </c>
      <c r="CN88">
        <v>0.1</v>
      </c>
      <c r="CP88">
        <v>4.4000000000000004</v>
      </c>
      <c r="CR88">
        <v>0.3</v>
      </c>
      <c r="CS88">
        <v>0.4</v>
      </c>
      <c r="CV88">
        <v>0.1</v>
      </c>
      <c r="CY88">
        <v>5.2</v>
      </c>
      <c r="DA88">
        <v>10.7</v>
      </c>
      <c r="DC88">
        <v>3.3</v>
      </c>
      <c r="DD88" s="5"/>
      <c r="DJ88" s="1">
        <v>40995</v>
      </c>
      <c r="DK88" s="2">
        <f t="shared" si="7"/>
        <v>6.4076923076914705</v>
      </c>
      <c r="DL88" s="2">
        <f t="shared" si="8"/>
        <v>2.44999999999968</v>
      </c>
      <c r="DM88" s="2">
        <f t="shared" si="9"/>
        <v>47.5</v>
      </c>
      <c r="DN88" s="3">
        <f t="shared" si="10"/>
        <v>0.38235294117647056</v>
      </c>
      <c r="DV88" s="2">
        <v>425</v>
      </c>
      <c r="DW88">
        <v>0</v>
      </c>
      <c r="DX88">
        <f t="shared" si="11"/>
        <v>14794</v>
      </c>
      <c r="DY88">
        <f t="shared" si="6"/>
        <v>1</v>
      </c>
    </row>
    <row r="89" spans="1:129">
      <c r="A89" s="1">
        <v>40996</v>
      </c>
      <c r="B89" s="1"/>
      <c r="C89" s="1"/>
      <c r="D89">
        <v>0.3</v>
      </c>
      <c r="E89">
        <v>1.8</v>
      </c>
      <c r="F89">
        <v>6.3</v>
      </c>
      <c r="H89">
        <v>2.5</v>
      </c>
      <c r="J89">
        <v>23.2</v>
      </c>
      <c r="M89">
        <v>4.8</v>
      </c>
      <c r="P89">
        <v>1.1000000000000001</v>
      </c>
      <c r="T89">
        <v>1.4</v>
      </c>
      <c r="V89">
        <v>20.5</v>
      </c>
      <c r="W89">
        <v>17.8</v>
      </c>
      <c r="X89">
        <v>7.4</v>
      </c>
      <c r="Z89">
        <v>1.5999999999985499</v>
      </c>
      <c r="AA89">
        <v>1</v>
      </c>
      <c r="AB89">
        <v>0.69999999999981799</v>
      </c>
      <c r="AD89">
        <v>20.399999999994201</v>
      </c>
      <c r="AE89">
        <v>0.59999999999945397</v>
      </c>
      <c r="AH89">
        <v>0.19999999999981799</v>
      </c>
      <c r="AJ89">
        <v>6.6999999999970896</v>
      </c>
      <c r="AL89">
        <v>1.6999999999989099</v>
      </c>
      <c r="AM89">
        <v>3</v>
      </c>
      <c r="AN89">
        <v>4.6999999999970896</v>
      </c>
      <c r="AP89">
        <v>0.39999999999963598</v>
      </c>
      <c r="AS89">
        <v>1.0999999999985499</v>
      </c>
      <c r="AU89">
        <v>0.89999999999963598</v>
      </c>
      <c r="AV89">
        <v>0.5</v>
      </c>
      <c r="BA89">
        <v>0.69999999999981799</v>
      </c>
      <c r="BB89">
        <v>0.59999999999945397</v>
      </c>
      <c r="BC89">
        <v>1.1999999999989099</v>
      </c>
      <c r="BE89">
        <v>16.700000000011599</v>
      </c>
      <c r="BI89">
        <v>2.9</v>
      </c>
      <c r="BK89">
        <v>0.60000000000036402</v>
      </c>
      <c r="BS89">
        <v>4</v>
      </c>
      <c r="BT89">
        <v>10.8000000000029</v>
      </c>
      <c r="BU89">
        <v>0</v>
      </c>
      <c r="BW89">
        <v>0</v>
      </c>
      <c r="CB89">
        <v>9.9</v>
      </c>
      <c r="CE89">
        <v>0.4</v>
      </c>
      <c r="CF89">
        <v>3.7</v>
      </c>
      <c r="CG89">
        <v>0.1</v>
      </c>
      <c r="CH89">
        <v>25</v>
      </c>
      <c r="CJ89">
        <v>17</v>
      </c>
      <c r="CL89">
        <v>3.8</v>
      </c>
      <c r="CM89">
        <v>9.4</v>
      </c>
      <c r="CO89">
        <v>2.5</v>
      </c>
      <c r="CP89">
        <v>5.6</v>
      </c>
      <c r="CR89">
        <v>17.399999999999999</v>
      </c>
      <c r="CS89">
        <v>0.4</v>
      </c>
      <c r="CU89">
        <v>0.1</v>
      </c>
      <c r="CX89">
        <v>14.4</v>
      </c>
      <c r="DA89">
        <v>0.1</v>
      </c>
      <c r="DB89">
        <v>4.2</v>
      </c>
      <c r="DC89">
        <v>5.3</v>
      </c>
      <c r="DD89" s="5"/>
      <c r="DJ89" s="1">
        <v>40996</v>
      </c>
      <c r="DK89" s="2">
        <f t="shared" si="7"/>
        <v>5.526923076922996</v>
      </c>
      <c r="DL89" s="2">
        <f t="shared" si="8"/>
        <v>2.8176470588234879</v>
      </c>
      <c r="DM89" s="2">
        <f t="shared" si="9"/>
        <v>25</v>
      </c>
      <c r="DN89" s="3">
        <f t="shared" si="10"/>
        <v>0.50980392156862742</v>
      </c>
      <c r="DV89" s="2">
        <v>430</v>
      </c>
      <c r="DW89">
        <v>0</v>
      </c>
      <c r="DX89">
        <f t="shared" si="11"/>
        <v>14794</v>
      </c>
      <c r="DY89">
        <f t="shared" si="6"/>
        <v>1</v>
      </c>
    </row>
    <row r="90" spans="1:129">
      <c r="A90" s="1">
        <v>40997</v>
      </c>
      <c r="B90" s="1"/>
      <c r="C90" s="1"/>
      <c r="E90">
        <v>2</v>
      </c>
      <c r="F90">
        <v>4.7</v>
      </c>
      <c r="G90">
        <v>0.2</v>
      </c>
      <c r="H90">
        <v>0.1</v>
      </c>
      <c r="J90">
        <v>27.3</v>
      </c>
      <c r="L90">
        <v>4.8</v>
      </c>
      <c r="N90">
        <v>5.6</v>
      </c>
      <c r="P90">
        <v>2.5</v>
      </c>
      <c r="T90">
        <v>3.5</v>
      </c>
      <c r="V90">
        <v>1.4</v>
      </c>
      <c r="W90">
        <v>5.5</v>
      </c>
      <c r="X90">
        <v>0</v>
      </c>
      <c r="Y90">
        <v>0.8</v>
      </c>
      <c r="AB90">
        <v>0.19999999999981799</v>
      </c>
      <c r="AD90">
        <v>0</v>
      </c>
      <c r="AE90">
        <v>2.7999999999992702</v>
      </c>
      <c r="AH90">
        <v>2.5</v>
      </c>
      <c r="AJ90">
        <v>0</v>
      </c>
      <c r="AN90">
        <v>10.9</v>
      </c>
      <c r="AT90">
        <v>0.79999999999927196</v>
      </c>
      <c r="AU90">
        <v>2.0999999999985399</v>
      </c>
      <c r="AV90">
        <v>2</v>
      </c>
      <c r="BA90">
        <v>0.29999999999972699</v>
      </c>
      <c r="BB90">
        <v>9.1999999999970896</v>
      </c>
      <c r="BC90">
        <v>16.099999999976699</v>
      </c>
      <c r="BE90">
        <v>4.4000000000014596</v>
      </c>
      <c r="BI90">
        <v>8.6</v>
      </c>
      <c r="BJ90">
        <v>18.600000000005799</v>
      </c>
      <c r="BM90">
        <v>1.7</v>
      </c>
      <c r="BW90">
        <v>0</v>
      </c>
      <c r="BZ90">
        <v>0</v>
      </c>
      <c r="CB90">
        <v>0.8</v>
      </c>
      <c r="CE90">
        <v>1</v>
      </c>
      <c r="CF90">
        <v>5</v>
      </c>
      <c r="CG90">
        <v>3.5</v>
      </c>
      <c r="CH90">
        <v>1.8</v>
      </c>
      <c r="CI90">
        <v>19.5</v>
      </c>
      <c r="CJ90">
        <v>18.5</v>
      </c>
      <c r="CK90">
        <v>0.1</v>
      </c>
      <c r="CL90">
        <v>7</v>
      </c>
      <c r="CM90">
        <v>9</v>
      </c>
      <c r="CP90">
        <v>3.8</v>
      </c>
      <c r="CR90">
        <v>0.4</v>
      </c>
      <c r="CS90">
        <v>0.2</v>
      </c>
      <c r="CW90">
        <v>0.1</v>
      </c>
      <c r="CX90">
        <v>9.5</v>
      </c>
      <c r="CY90">
        <v>5.6</v>
      </c>
      <c r="DA90">
        <v>1</v>
      </c>
      <c r="DB90">
        <v>1</v>
      </c>
      <c r="DC90">
        <v>0.6</v>
      </c>
      <c r="DD90" s="5"/>
      <c r="DJ90" s="1">
        <v>40997</v>
      </c>
      <c r="DK90" s="2">
        <f t="shared" si="7"/>
        <v>4.5399999999995533</v>
      </c>
      <c r="DL90" s="2">
        <f t="shared" si="8"/>
        <v>2.2254901960782125</v>
      </c>
      <c r="DM90" s="2">
        <f t="shared" si="9"/>
        <v>27.3</v>
      </c>
      <c r="DN90" s="3">
        <f t="shared" si="10"/>
        <v>0.49019607843137253</v>
      </c>
      <c r="DV90" s="2">
        <v>435</v>
      </c>
      <c r="DW90">
        <v>0</v>
      </c>
      <c r="DX90">
        <f t="shared" si="11"/>
        <v>14794</v>
      </c>
      <c r="DY90">
        <f t="shared" si="6"/>
        <v>1</v>
      </c>
    </row>
    <row r="91" spans="1:129">
      <c r="A91" s="1">
        <v>40998</v>
      </c>
      <c r="B91" s="1"/>
      <c r="C91" s="1"/>
      <c r="D91">
        <v>5.5</v>
      </c>
      <c r="H91">
        <v>0.2</v>
      </c>
      <c r="K91">
        <v>7.2</v>
      </c>
      <c r="L91">
        <v>8.6</v>
      </c>
      <c r="M91">
        <v>0.2</v>
      </c>
      <c r="P91">
        <v>0.3</v>
      </c>
      <c r="Q91">
        <v>3.7</v>
      </c>
      <c r="T91">
        <v>4.5999999999999996</v>
      </c>
      <c r="V91">
        <v>0.8</v>
      </c>
      <c r="W91">
        <v>0</v>
      </c>
      <c r="AB91">
        <v>2.3999999999978199</v>
      </c>
      <c r="AD91">
        <v>0</v>
      </c>
      <c r="AF91">
        <v>10.899999999994201</v>
      </c>
      <c r="AH91">
        <v>4.5</v>
      </c>
      <c r="AO91">
        <v>0.59999999999945397</v>
      </c>
      <c r="AT91">
        <v>5</v>
      </c>
      <c r="AV91">
        <v>0.29999999999972699</v>
      </c>
      <c r="BE91">
        <v>10.899999999994201</v>
      </c>
      <c r="BF91">
        <v>8</v>
      </c>
      <c r="BJ91">
        <v>4.6999999999970896</v>
      </c>
      <c r="BK91">
        <v>16.799999999988401</v>
      </c>
      <c r="BR91">
        <v>2</v>
      </c>
      <c r="BW91">
        <v>0</v>
      </c>
      <c r="BY91">
        <v>3.8</v>
      </c>
      <c r="BZ91">
        <v>0.1</v>
      </c>
      <c r="CE91">
        <v>0.1</v>
      </c>
      <c r="CF91">
        <v>0.2</v>
      </c>
      <c r="CG91" t="s">
        <v>1</v>
      </c>
      <c r="CI91">
        <v>14.6</v>
      </c>
      <c r="CJ91">
        <v>2.2999999999999998</v>
      </c>
      <c r="CK91">
        <v>4.5</v>
      </c>
      <c r="CL91">
        <v>1.5</v>
      </c>
      <c r="CM91">
        <v>1</v>
      </c>
      <c r="CP91">
        <v>2.2000000000000002</v>
      </c>
      <c r="CT91">
        <v>11</v>
      </c>
      <c r="CU91">
        <v>0.3</v>
      </c>
      <c r="CV91">
        <v>0.3</v>
      </c>
      <c r="CZ91">
        <v>15.5</v>
      </c>
      <c r="DB91">
        <v>0.2</v>
      </c>
      <c r="DC91">
        <v>0.7</v>
      </c>
      <c r="DD91" s="5"/>
      <c r="DJ91" s="1">
        <v>40998</v>
      </c>
      <c r="DK91" s="2">
        <f t="shared" si="7"/>
        <v>3.9871794871787407</v>
      </c>
      <c r="DL91" s="2">
        <f t="shared" si="8"/>
        <v>1.5245098039212832</v>
      </c>
      <c r="DM91" s="2">
        <f t="shared" si="9"/>
        <v>16.799999999988401</v>
      </c>
      <c r="DN91" s="3">
        <f t="shared" si="10"/>
        <v>0.39215686274509803</v>
      </c>
      <c r="DV91" s="2">
        <v>440</v>
      </c>
      <c r="DW91">
        <v>0</v>
      </c>
      <c r="DX91">
        <f t="shared" si="11"/>
        <v>14794</v>
      </c>
      <c r="DY91">
        <f t="shared" si="6"/>
        <v>1</v>
      </c>
    </row>
    <row r="92" spans="1:129">
      <c r="A92" s="1">
        <v>40999</v>
      </c>
      <c r="B92" s="1"/>
      <c r="C92" s="1"/>
      <c r="F92">
        <v>0.7</v>
      </c>
      <c r="P92">
        <v>1.4</v>
      </c>
      <c r="Q92">
        <v>14.2</v>
      </c>
      <c r="U92">
        <v>0</v>
      </c>
      <c r="V92">
        <v>1.8</v>
      </c>
      <c r="W92">
        <v>0.6</v>
      </c>
      <c r="Z92">
        <v>0.3</v>
      </c>
      <c r="AA92">
        <v>3.0999999999985399</v>
      </c>
      <c r="AD92">
        <v>0</v>
      </c>
      <c r="AH92">
        <v>7.5999999999985501</v>
      </c>
      <c r="AJ92">
        <v>0.1</v>
      </c>
      <c r="AO92">
        <v>2.1999999999970901</v>
      </c>
      <c r="AX92">
        <v>10</v>
      </c>
      <c r="BC92">
        <v>0.89999999999963598</v>
      </c>
      <c r="BE92">
        <v>4.6999999999970896</v>
      </c>
      <c r="BF92">
        <v>8.8000000000029104</v>
      </c>
      <c r="BK92">
        <v>0.89999999999963598</v>
      </c>
      <c r="BM92">
        <v>0.1</v>
      </c>
      <c r="BR92">
        <v>0.2</v>
      </c>
      <c r="BT92">
        <v>0.100000000000023</v>
      </c>
      <c r="BU92">
        <v>0.100000000000023</v>
      </c>
      <c r="BW92">
        <v>1.4</v>
      </c>
      <c r="BX92">
        <v>2.6</v>
      </c>
      <c r="BY92">
        <v>8</v>
      </c>
      <c r="CE92">
        <v>1.3</v>
      </c>
      <c r="CG92">
        <v>1.5</v>
      </c>
      <c r="CI92">
        <v>1.8</v>
      </c>
      <c r="CJ92">
        <v>9.1999999999999993</v>
      </c>
      <c r="CK92">
        <v>1</v>
      </c>
      <c r="CM92">
        <v>6.5</v>
      </c>
      <c r="CP92">
        <v>0.5</v>
      </c>
      <c r="CU92">
        <v>7.6</v>
      </c>
      <c r="CV92">
        <v>0.1</v>
      </c>
      <c r="CY92">
        <v>0.5</v>
      </c>
      <c r="DC92">
        <v>2.6</v>
      </c>
      <c r="DD92" s="5"/>
      <c r="DJ92" s="1">
        <v>40999</v>
      </c>
      <c r="DK92" s="2">
        <f t="shared" si="7"/>
        <v>2.9257142857140996</v>
      </c>
      <c r="DL92" s="2">
        <f t="shared" si="8"/>
        <v>1.003921568627387</v>
      </c>
      <c r="DM92" s="2">
        <f t="shared" si="9"/>
        <v>14.2</v>
      </c>
      <c r="DN92" s="3">
        <f t="shared" si="10"/>
        <v>0.34313725490196079</v>
      </c>
      <c r="DV92" s="2">
        <v>445</v>
      </c>
      <c r="DW92">
        <v>0</v>
      </c>
      <c r="DX92">
        <f t="shared" si="11"/>
        <v>14794</v>
      </c>
      <c r="DY92">
        <f t="shared" si="6"/>
        <v>1</v>
      </c>
    </row>
    <row r="93" spans="1:129">
      <c r="A93" s="1">
        <v>41000</v>
      </c>
      <c r="B93" s="1"/>
      <c r="C93" s="1"/>
      <c r="F93">
        <v>1.4</v>
      </c>
      <c r="G93">
        <v>1</v>
      </c>
      <c r="H93">
        <v>0.2</v>
      </c>
      <c r="Q93">
        <v>4.2</v>
      </c>
      <c r="U93">
        <v>1.5</v>
      </c>
      <c r="W93">
        <v>6.8</v>
      </c>
      <c r="Z93">
        <v>12.5</v>
      </c>
      <c r="AA93">
        <v>1.29999999999927</v>
      </c>
      <c r="AD93">
        <v>9.9999999999908995E-2</v>
      </c>
      <c r="AF93">
        <v>9.1999999999970896</v>
      </c>
      <c r="AH93">
        <v>1.1999999999989099</v>
      </c>
      <c r="AJ93">
        <v>15.799999999988399</v>
      </c>
      <c r="AX93">
        <v>14.799999999988399</v>
      </c>
      <c r="BB93">
        <v>9.5</v>
      </c>
      <c r="BC93">
        <v>0.5</v>
      </c>
      <c r="BE93">
        <v>8.4</v>
      </c>
      <c r="BG93">
        <v>11.1999999999971</v>
      </c>
      <c r="BK93">
        <v>0.100000000000023</v>
      </c>
      <c r="BN93">
        <v>7.9000000000014596</v>
      </c>
      <c r="BS93">
        <v>0.400000000000091</v>
      </c>
      <c r="BT93">
        <v>0</v>
      </c>
      <c r="BV93">
        <v>6.0999999999985501</v>
      </c>
      <c r="BW93">
        <v>1.4</v>
      </c>
      <c r="BY93">
        <v>0.1</v>
      </c>
      <c r="CE93">
        <v>7.4</v>
      </c>
      <c r="CG93">
        <v>4.8</v>
      </c>
      <c r="CJ93">
        <v>0.3</v>
      </c>
      <c r="CK93">
        <v>13</v>
      </c>
      <c r="CM93">
        <v>1</v>
      </c>
      <c r="CO93">
        <v>1.4</v>
      </c>
      <c r="CP93">
        <v>1.4</v>
      </c>
      <c r="CQ93">
        <v>8.1</v>
      </c>
      <c r="CS93">
        <v>0.1</v>
      </c>
      <c r="CU93">
        <v>0.1</v>
      </c>
      <c r="CV93">
        <v>0.1</v>
      </c>
      <c r="CX93">
        <v>0.5</v>
      </c>
      <c r="CY93">
        <v>4.5999999999999996</v>
      </c>
      <c r="CZ93">
        <v>21.8</v>
      </c>
      <c r="DC93">
        <v>19.100000000000001</v>
      </c>
      <c r="DD93" s="5"/>
      <c r="DJ93" s="1">
        <v>41000</v>
      </c>
      <c r="DK93" s="2">
        <f t="shared" si="7"/>
        <v>5.1102564102556203</v>
      </c>
      <c r="DL93" s="2">
        <f t="shared" si="8"/>
        <v>1.9539215686271489</v>
      </c>
      <c r="DM93" s="2">
        <f t="shared" si="9"/>
        <v>21.8</v>
      </c>
      <c r="DN93" s="3">
        <f t="shared" si="10"/>
        <v>0.38235294117647056</v>
      </c>
      <c r="DV93" s="2">
        <v>450</v>
      </c>
      <c r="DW93">
        <v>0</v>
      </c>
      <c r="DX93">
        <f t="shared" si="11"/>
        <v>14794</v>
      </c>
      <c r="DY93">
        <f t="shared" si="6"/>
        <v>1</v>
      </c>
    </row>
    <row r="94" spans="1:129">
      <c r="A94" s="1">
        <v>41001</v>
      </c>
      <c r="B94" s="1"/>
      <c r="C94" s="1"/>
      <c r="G94">
        <v>0.7</v>
      </c>
      <c r="L94">
        <v>6.2</v>
      </c>
      <c r="O94">
        <v>7</v>
      </c>
      <c r="S94">
        <v>7</v>
      </c>
      <c r="T94">
        <v>0.2</v>
      </c>
      <c r="AC94">
        <v>3.0999999999985399</v>
      </c>
      <c r="AF94">
        <v>1.5999999999985499</v>
      </c>
      <c r="AI94">
        <v>20.599999999976699</v>
      </c>
      <c r="AJ94">
        <v>3.0999999999985399</v>
      </c>
      <c r="AY94">
        <v>9</v>
      </c>
      <c r="AZ94">
        <v>2.5999999999985399</v>
      </c>
      <c r="BB94">
        <v>1</v>
      </c>
      <c r="BC94">
        <v>7</v>
      </c>
      <c r="BE94">
        <v>0</v>
      </c>
      <c r="BG94">
        <v>0.30000000000018201</v>
      </c>
      <c r="BK94">
        <v>4.5</v>
      </c>
      <c r="BL94">
        <v>11.399999999994201</v>
      </c>
      <c r="BM94">
        <v>0.100000000000023</v>
      </c>
      <c r="BN94">
        <v>2.0999999999985399</v>
      </c>
      <c r="BR94">
        <v>3.4000000000014601</v>
      </c>
      <c r="BS94">
        <v>3.4000000000014601</v>
      </c>
      <c r="BT94">
        <v>0.200000000000045</v>
      </c>
      <c r="BV94">
        <v>3.4000000000014601</v>
      </c>
      <c r="BW94">
        <v>0.2</v>
      </c>
      <c r="CA94">
        <v>0.2</v>
      </c>
      <c r="CE94">
        <v>16.5</v>
      </c>
      <c r="CF94">
        <v>3.8</v>
      </c>
      <c r="CG94">
        <v>0.1</v>
      </c>
      <c r="CI94">
        <v>0.1</v>
      </c>
      <c r="CK94">
        <v>1.8</v>
      </c>
      <c r="CO94">
        <v>1</v>
      </c>
      <c r="CP94">
        <v>0</v>
      </c>
      <c r="CQ94">
        <v>8.9</v>
      </c>
      <c r="CR94">
        <v>0.1</v>
      </c>
      <c r="CS94">
        <v>3.1</v>
      </c>
      <c r="CW94">
        <v>0.2</v>
      </c>
      <c r="CX94">
        <v>4</v>
      </c>
      <c r="CY94">
        <v>23.2</v>
      </c>
      <c r="DA94">
        <v>0.1</v>
      </c>
      <c r="DD94" s="5"/>
      <c r="DJ94" s="1">
        <v>41001</v>
      </c>
      <c r="DK94" s="2">
        <f t="shared" si="7"/>
        <v>4.1333333333325175</v>
      </c>
      <c r="DL94" s="2">
        <f t="shared" si="8"/>
        <v>1.5803921568624333</v>
      </c>
      <c r="DM94" s="2">
        <f t="shared" si="9"/>
        <v>23.2</v>
      </c>
      <c r="DN94" s="3">
        <f t="shared" si="10"/>
        <v>0.38235294117647056</v>
      </c>
      <c r="DV94" s="2">
        <v>455</v>
      </c>
      <c r="DW94">
        <v>0</v>
      </c>
      <c r="DX94">
        <f t="shared" si="11"/>
        <v>14794</v>
      </c>
      <c r="DY94">
        <f t="shared" si="6"/>
        <v>1</v>
      </c>
    </row>
    <row r="95" spans="1:129">
      <c r="A95" s="1">
        <v>41002</v>
      </c>
      <c r="B95" s="1"/>
      <c r="C95" s="1"/>
      <c r="D95">
        <v>1</v>
      </c>
      <c r="M95">
        <v>5.9</v>
      </c>
      <c r="N95">
        <v>4.9000000000000004</v>
      </c>
      <c r="R95">
        <v>4.5999999999999996</v>
      </c>
      <c r="S95">
        <v>6.8</v>
      </c>
      <c r="T95">
        <v>0.6</v>
      </c>
      <c r="AF95">
        <v>3.5999999999985399</v>
      </c>
      <c r="AH95">
        <v>0.19999999999981799</v>
      </c>
      <c r="AI95">
        <v>5</v>
      </c>
      <c r="AP95">
        <v>2.1999999999970901</v>
      </c>
      <c r="AT95">
        <v>0.5</v>
      </c>
      <c r="AU95">
        <v>7.1999999999970896</v>
      </c>
      <c r="AV95">
        <v>0.79999999999927196</v>
      </c>
      <c r="AY95">
        <v>6.0999999999985501</v>
      </c>
      <c r="AZ95">
        <v>4.2999999999956398</v>
      </c>
      <c r="BC95">
        <v>12.1999999999971</v>
      </c>
      <c r="BE95">
        <v>0.200000000000045</v>
      </c>
      <c r="BH95">
        <v>0.100000000000023</v>
      </c>
      <c r="BJ95">
        <v>10.100000000005799</v>
      </c>
      <c r="BK95">
        <v>3</v>
      </c>
      <c r="BM95">
        <v>0.100000000000023</v>
      </c>
      <c r="BN95">
        <v>0.5</v>
      </c>
      <c r="BS95">
        <v>2.9000000000014601</v>
      </c>
      <c r="BT95">
        <v>0.100000000000023</v>
      </c>
      <c r="BU95">
        <v>3.0999999999985399</v>
      </c>
      <c r="BV95">
        <v>1.29999999999927</v>
      </c>
      <c r="CE95">
        <v>0.7</v>
      </c>
      <c r="CI95">
        <v>2.5</v>
      </c>
      <c r="CK95">
        <v>0.3</v>
      </c>
      <c r="CY95">
        <v>2.2999999999999998</v>
      </c>
      <c r="DA95">
        <v>9.6</v>
      </c>
      <c r="DC95">
        <v>3.5</v>
      </c>
      <c r="DD95" s="5"/>
      <c r="DJ95" s="1">
        <v>41002</v>
      </c>
      <c r="DK95" s="2">
        <f t="shared" si="7"/>
        <v>3.3187499999996342</v>
      </c>
      <c r="DL95" s="2">
        <f t="shared" si="8"/>
        <v>1.0411764705881206</v>
      </c>
      <c r="DM95" s="2">
        <f t="shared" si="9"/>
        <v>12.1999999999971</v>
      </c>
      <c r="DN95" s="3">
        <f t="shared" si="10"/>
        <v>0.31372549019607843</v>
      </c>
      <c r="DV95" s="2">
        <v>460</v>
      </c>
      <c r="DW95">
        <v>0</v>
      </c>
      <c r="DX95">
        <f t="shared" si="11"/>
        <v>14794</v>
      </c>
      <c r="DY95">
        <f t="shared" si="6"/>
        <v>1</v>
      </c>
    </row>
    <row r="96" spans="1:129">
      <c r="A96" s="1">
        <v>41003</v>
      </c>
      <c r="B96" s="1"/>
      <c r="C96" s="1"/>
      <c r="D96">
        <v>3</v>
      </c>
      <c r="M96">
        <v>8.6</v>
      </c>
      <c r="P96">
        <v>18.399999999999999</v>
      </c>
      <c r="R96">
        <v>4.4000000000000004</v>
      </c>
      <c r="S96">
        <v>7.1</v>
      </c>
      <c r="T96">
        <v>5.6</v>
      </c>
      <c r="U96">
        <v>3.5</v>
      </c>
      <c r="V96">
        <v>0</v>
      </c>
      <c r="Y96">
        <v>3.2</v>
      </c>
      <c r="Z96">
        <v>2.6999999999970901</v>
      </c>
      <c r="AD96">
        <v>4.79999999999563</v>
      </c>
      <c r="AI96">
        <v>1.1999999999989099</v>
      </c>
      <c r="AO96">
        <v>1.89999999999964</v>
      </c>
      <c r="AP96">
        <v>0.79999999999927196</v>
      </c>
      <c r="AQ96">
        <v>1</v>
      </c>
      <c r="AR96">
        <v>0.5</v>
      </c>
      <c r="AS96">
        <v>0.29999999999972699</v>
      </c>
      <c r="AU96">
        <v>0.79999999999927196</v>
      </c>
      <c r="AZ96">
        <v>2.5999999999985399</v>
      </c>
      <c r="BF96">
        <v>0.400000000000091</v>
      </c>
      <c r="BJ96">
        <v>2</v>
      </c>
      <c r="BK96">
        <v>0.100000000000023</v>
      </c>
      <c r="BM96">
        <v>0.100000000000023</v>
      </c>
      <c r="BP96">
        <v>0.100000000000023</v>
      </c>
      <c r="BR96">
        <v>7.0999999999985501</v>
      </c>
      <c r="BS96">
        <v>1.29999999999927</v>
      </c>
      <c r="BT96">
        <v>6</v>
      </c>
      <c r="BU96">
        <v>0.80000000000018201</v>
      </c>
      <c r="BV96">
        <v>3</v>
      </c>
      <c r="BW96">
        <v>0.1</v>
      </c>
      <c r="BZ96">
        <v>0</v>
      </c>
      <c r="CK96">
        <v>1.5</v>
      </c>
      <c r="CM96">
        <v>0.5</v>
      </c>
      <c r="CP96">
        <v>2.2999999999999998</v>
      </c>
      <c r="CU96">
        <v>0.4</v>
      </c>
      <c r="CY96">
        <v>1.2</v>
      </c>
      <c r="DD96" s="5"/>
      <c r="DJ96" s="1">
        <v>41003</v>
      </c>
      <c r="DK96" s="2">
        <f t="shared" si="7"/>
        <v>2.7027777777773956</v>
      </c>
      <c r="DL96" s="2">
        <f t="shared" si="8"/>
        <v>0.95392156862731614</v>
      </c>
      <c r="DM96" s="2">
        <f t="shared" si="9"/>
        <v>18.399999999999999</v>
      </c>
      <c r="DN96" s="3">
        <f t="shared" si="10"/>
        <v>0.35294117647058826</v>
      </c>
      <c r="DV96" s="2">
        <v>465</v>
      </c>
      <c r="DW96">
        <v>0</v>
      </c>
      <c r="DX96">
        <f t="shared" si="11"/>
        <v>14794</v>
      </c>
      <c r="DY96">
        <f t="shared" si="6"/>
        <v>1</v>
      </c>
    </row>
    <row r="97" spans="1:129">
      <c r="A97" s="1">
        <v>41004</v>
      </c>
      <c r="B97" s="1"/>
      <c r="C97" s="1"/>
      <c r="F97">
        <v>4.5</v>
      </c>
      <c r="G97">
        <v>6.3</v>
      </c>
      <c r="L97">
        <v>2.9</v>
      </c>
      <c r="M97">
        <v>1.5</v>
      </c>
      <c r="N97">
        <v>1.5</v>
      </c>
      <c r="P97">
        <v>3.6</v>
      </c>
      <c r="S97">
        <v>4</v>
      </c>
      <c r="U97">
        <v>14.1</v>
      </c>
      <c r="W97">
        <v>0.2</v>
      </c>
      <c r="Y97">
        <v>2.5</v>
      </c>
      <c r="Z97">
        <v>1</v>
      </c>
      <c r="AB97">
        <v>4.1999999999970896</v>
      </c>
      <c r="AC97">
        <v>27.299999999988401</v>
      </c>
      <c r="AD97">
        <v>8.5999999999912706</v>
      </c>
      <c r="AF97">
        <v>0</v>
      </c>
      <c r="AH97">
        <v>0.19999999999981799</v>
      </c>
      <c r="AI97">
        <v>0</v>
      </c>
      <c r="AP97">
        <v>0.2</v>
      </c>
      <c r="AQ97">
        <v>0.59999999999945397</v>
      </c>
      <c r="AT97">
        <v>0.59999999999945397</v>
      </c>
      <c r="AU97">
        <v>5.5</v>
      </c>
      <c r="BE97">
        <v>2.2999999999992702</v>
      </c>
      <c r="BF97">
        <v>5.1999999999970896</v>
      </c>
      <c r="BJ97">
        <v>0.89999999999963598</v>
      </c>
      <c r="BN97">
        <v>0.30000000000018201</v>
      </c>
      <c r="BR97">
        <v>1.5</v>
      </c>
      <c r="BT97">
        <v>0.200000000000045</v>
      </c>
      <c r="BV97">
        <v>0.200000000000045</v>
      </c>
      <c r="BW97">
        <v>18</v>
      </c>
      <c r="BX97">
        <v>0</v>
      </c>
      <c r="BZ97">
        <v>0</v>
      </c>
      <c r="CB97">
        <v>0.1</v>
      </c>
      <c r="CH97">
        <v>0.3</v>
      </c>
      <c r="CI97">
        <v>2</v>
      </c>
      <c r="CJ97">
        <v>13.4</v>
      </c>
      <c r="CK97">
        <v>30.9</v>
      </c>
      <c r="CP97">
        <v>24.2</v>
      </c>
      <c r="CQ97">
        <v>8.6</v>
      </c>
      <c r="CU97">
        <v>2.4</v>
      </c>
      <c r="CV97">
        <v>0.5</v>
      </c>
      <c r="CW97">
        <v>0.9</v>
      </c>
      <c r="CY97">
        <v>1.2</v>
      </c>
      <c r="DD97" s="5"/>
      <c r="DJ97" s="1">
        <v>41004</v>
      </c>
      <c r="DK97" s="2">
        <f t="shared" si="7"/>
        <v>4.8190476190469465</v>
      </c>
      <c r="DL97" s="2">
        <f t="shared" si="8"/>
        <v>1.9843137254899192</v>
      </c>
      <c r="DM97" s="2">
        <f t="shared" si="9"/>
        <v>30.9</v>
      </c>
      <c r="DN97" s="3">
        <f t="shared" si="10"/>
        <v>0.41176470588235292</v>
      </c>
      <c r="DV97" s="2">
        <v>470</v>
      </c>
      <c r="DW97">
        <v>0</v>
      </c>
      <c r="DX97">
        <f t="shared" si="11"/>
        <v>14794</v>
      </c>
      <c r="DY97">
        <f t="shared" si="6"/>
        <v>1</v>
      </c>
    </row>
    <row r="98" spans="1:129">
      <c r="A98" s="1">
        <v>41005</v>
      </c>
      <c r="B98" s="1"/>
      <c r="C98" s="1"/>
      <c r="F98">
        <v>1</v>
      </c>
      <c r="G98">
        <v>17.100000000000001</v>
      </c>
      <c r="H98">
        <v>0.2</v>
      </c>
      <c r="N98">
        <v>16.100000000000001</v>
      </c>
      <c r="O98">
        <v>4.9000000000000004</v>
      </c>
      <c r="V98">
        <v>0</v>
      </c>
      <c r="AB98">
        <v>1.79999999999927</v>
      </c>
      <c r="AC98">
        <v>3.7999999999992702</v>
      </c>
      <c r="AD98">
        <v>12.299999999988399</v>
      </c>
      <c r="AF98">
        <v>2.5</v>
      </c>
      <c r="AP98">
        <v>9.0999999999912706</v>
      </c>
      <c r="AQ98">
        <v>0.5</v>
      </c>
      <c r="AU98">
        <v>7</v>
      </c>
      <c r="AV98">
        <v>4.5</v>
      </c>
      <c r="AX98">
        <v>0.19999999999981799</v>
      </c>
      <c r="AZ98">
        <v>5.5</v>
      </c>
      <c r="BB98">
        <v>1.39999999999964</v>
      </c>
      <c r="BE98">
        <v>0.400000000000091</v>
      </c>
      <c r="BF98">
        <v>1.70000000000073</v>
      </c>
      <c r="BJ98">
        <v>6.9000000000014596</v>
      </c>
      <c r="BK98">
        <v>0.100000000000023</v>
      </c>
      <c r="BM98">
        <v>8.6000000000058208</v>
      </c>
      <c r="BR98">
        <v>5.1999999999970896</v>
      </c>
      <c r="BT98">
        <v>14.3000000000029</v>
      </c>
      <c r="BV98">
        <v>0</v>
      </c>
      <c r="BW98">
        <v>5</v>
      </c>
      <c r="BX98">
        <v>0.59999999999945397</v>
      </c>
      <c r="BZ98">
        <v>0</v>
      </c>
      <c r="CH98">
        <v>0.8</v>
      </c>
      <c r="CI98">
        <v>0.8</v>
      </c>
      <c r="CJ98">
        <v>9.1</v>
      </c>
      <c r="CK98">
        <v>2.5</v>
      </c>
      <c r="CN98">
        <v>0.6</v>
      </c>
      <c r="CP98">
        <v>0.3</v>
      </c>
      <c r="CQ98">
        <v>0</v>
      </c>
      <c r="CU98">
        <v>0.2</v>
      </c>
      <c r="CV98">
        <v>4.9000000000000004</v>
      </c>
      <c r="CW98">
        <v>1</v>
      </c>
      <c r="CX98">
        <v>13.6</v>
      </c>
      <c r="CY98">
        <v>0.2</v>
      </c>
      <c r="DC98">
        <v>24.5</v>
      </c>
      <c r="DD98" s="5"/>
      <c r="DJ98" s="1">
        <v>41005</v>
      </c>
      <c r="DK98" s="2">
        <f t="shared" si="7"/>
        <v>4.6146341463411034</v>
      </c>
      <c r="DL98" s="2">
        <f t="shared" si="8"/>
        <v>1.854901960784169</v>
      </c>
      <c r="DM98" s="2">
        <f t="shared" si="9"/>
        <v>24.5</v>
      </c>
      <c r="DN98" s="3">
        <f t="shared" si="10"/>
        <v>0.40196078431372551</v>
      </c>
      <c r="DV98" s="2">
        <v>475</v>
      </c>
      <c r="DW98">
        <v>0</v>
      </c>
      <c r="DX98">
        <f t="shared" si="11"/>
        <v>14794</v>
      </c>
      <c r="DY98">
        <f t="shared" si="6"/>
        <v>1</v>
      </c>
    </row>
    <row r="99" spans="1:129">
      <c r="A99" s="1">
        <v>41006</v>
      </c>
      <c r="B99" s="1"/>
      <c r="C99" s="1"/>
      <c r="E99">
        <v>23.2</v>
      </c>
      <c r="F99">
        <v>6.3</v>
      </c>
      <c r="N99">
        <v>16.2</v>
      </c>
      <c r="P99">
        <v>1.1000000000000001</v>
      </c>
      <c r="S99">
        <v>0.2</v>
      </c>
      <c r="T99">
        <v>6.6</v>
      </c>
      <c r="Y99">
        <v>2.1</v>
      </c>
      <c r="AF99">
        <v>21.099999999976699</v>
      </c>
      <c r="AG99">
        <v>0.19999999999981799</v>
      </c>
      <c r="AK99">
        <v>12</v>
      </c>
      <c r="AQ99">
        <v>8.7999999999883602</v>
      </c>
      <c r="AS99">
        <v>0.19999999999981799</v>
      </c>
      <c r="AU99">
        <v>3.5</v>
      </c>
      <c r="AV99">
        <v>2.2999999999992702</v>
      </c>
      <c r="AX99">
        <v>0.5</v>
      </c>
      <c r="AZ99">
        <v>11.899999999994201</v>
      </c>
      <c r="BB99">
        <v>8.5</v>
      </c>
      <c r="BF99">
        <v>0.400000000000091</v>
      </c>
      <c r="BK99">
        <v>0</v>
      </c>
      <c r="BL99">
        <v>0.89999999999963598</v>
      </c>
      <c r="BM99">
        <v>5.9000000000014596</v>
      </c>
      <c r="BR99">
        <v>4.3000000000029104</v>
      </c>
      <c r="BS99">
        <v>0.89999999999963598</v>
      </c>
      <c r="BT99">
        <v>0.30000000000018201</v>
      </c>
      <c r="BV99">
        <v>0</v>
      </c>
      <c r="BW99">
        <v>0.1</v>
      </c>
      <c r="BX99">
        <v>12.099999999991301</v>
      </c>
      <c r="BY99">
        <v>2</v>
      </c>
      <c r="BZ99">
        <v>0</v>
      </c>
      <c r="CA99">
        <v>0.8</v>
      </c>
      <c r="CD99">
        <v>2.2999999999999998</v>
      </c>
      <c r="CE99">
        <v>4.2</v>
      </c>
      <c r="CF99">
        <v>7.8</v>
      </c>
      <c r="CG99">
        <v>12</v>
      </c>
      <c r="CH99">
        <v>0.7</v>
      </c>
      <c r="CJ99">
        <v>5.5</v>
      </c>
      <c r="CK99">
        <v>12.5</v>
      </c>
      <c r="CP99">
        <v>4.0999999999999996</v>
      </c>
      <c r="CQ99">
        <v>14.5</v>
      </c>
      <c r="CV99">
        <v>2</v>
      </c>
      <c r="CW99">
        <v>0.3</v>
      </c>
      <c r="CX99">
        <v>2.7</v>
      </c>
      <c r="CZ99">
        <v>0.2</v>
      </c>
      <c r="DA99">
        <v>11</v>
      </c>
      <c r="DB99">
        <v>0.2</v>
      </c>
      <c r="DC99">
        <v>2.8</v>
      </c>
      <c r="DD99" s="5"/>
      <c r="DJ99" s="1">
        <v>41006</v>
      </c>
      <c r="DK99" s="2">
        <f t="shared" si="7"/>
        <v>5.1130434782598559</v>
      </c>
      <c r="DL99" s="2">
        <f t="shared" si="8"/>
        <v>2.3058823529407193</v>
      </c>
      <c r="DM99" s="2">
        <f t="shared" si="9"/>
        <v>23.2</v>
      </c>
      <c r="DN99" s="3">
        <f t="shared" si="10"/>
        <v>0.45098039215686275</v>
      </c>
      <c r="DV99" s="2">
        <v>480</v>
      </c>
      <c r="DW99">
        <v>0</v>
      </c>
      <c r="DX99">
        <f t="shared" si="11"/>
        <v>14794</v>
      </c>
      <c r="DY99">
        <f t="shared" si="6"/>
        <v>1</v>
      </c>
    </row>
    <row r="100" spans="1:129">
      <c r="A100" s="1">
        <v>41007</v>
      </c>
      <c r="B100" s="1"/>
      <c r="C100" s="1"/>
      <c r="F100">
        <v>0.1</v>
      </c>
      <c r="L100">
        <v>15.3</v>
      </c>
      <c r="N100">
        <v>0.2</v>
      </c>
      <c r="O100">
        <v>5.0999999999999996</v>
      </c>
      <c r="T100">
        <v>0.2</v>
      </c>
      <c r="U100">
        <v>23</v>
      </c>
      <c r="W100">
        <v>11.7</v>
      </c>
      <c r="X100">
        <v>0.5</v>
      </c>
      <c r="AA100">
        <v>0.1</v>
      </c>
      <c r="AB100">
        <v>1.79999999999927</v>
      </c>
      <c r="AF100">
        <v>4.8999999999941801</v>
      </c>
      <c r="AI100">
        <v>3</v>
      </c>
      <c r="AR100">
        <v>0.6</v>
      </c>
      <c r="AU100">
        <v>1.5</v>
      </c>
      <c r="AV100">
        <v>12.599999999991301</v>
      </c>
      <c r="AX100">
        <v>2.5</v>
      </c>
      <c r="AZ100">
        <v>2</v>
      </c>
      <c r="BB100">
        <v>0.79999999999927196</v>
      </c>
      <c r="BC100">
        <v>0.19999999999981799</v>
      </c>
      <c r="BD100">
        <v>5.6999999999970896</v>
      </c>
      <c r="BH100" t="s">
        <v>0</v>
      </c>
      <c r="BI100">
        <v>0.100000000000023</v>
      </c>
      <c r="BK100">
        <v>0.69999999999981799</v>
      </c>
      <c r="BN100">
        <v>0</v>
      </c>
      <c r="BP100">
        <v>0.400000000000091</v>
      </c>
      <c r="BR100">
        <v>3.5999999999985399</v>
      </c>
      <c r="BS100">
        <v>15.3000000000029</v>
      </c>
      <c r="BU100">
        <v>0.200000000000045</v>
      </c>
      <c r="BY100">
        <v>0.2</v>
      </c>
      <c r="BZ100">
        <v>0</v>
      </c>
      <c r="CD100">
        <v>1.8</v>
      </c>
      <c r="CE100">
        <v>13.8</v>
      </c>
      <c r="CF100">
        <v>1.8</v>
      </c>
      <c r="CG100">
        <v>2.4</v>
      </c>
      <c r="CH100">
        <v>1.6</v>
      </c>
      <c r="CI100">
        <v>6.9</v>
      </c>
      <c r="CJ100">
        <v>4.0999999999999996</v>
      </c>
      <c r="CK100">
        <v>6</v>
      </c>
      <c r="CQ100">
        <v>0.5</v>
      </c>
      <c r="CT100">
        <v>10.6</v>
      </c>
      <c r="CY100">
        <v>1.1000000000000001</v>
      </c>
      <c r="CZ100">
        <v>11.2</v>
      </c>
      <c r="DA100">
        <v>2.5</v>
      </c>
      <c r="DD100" s="5"/>
      <c r="DJ100" s="1">
        <v>41007</v>
      </c>
      <c r="DK100" s="2">
        <f t="shared" si="7"/>
        <v>4.2047619047614839</v>
      </c>
      <c r="DL100" s="2">
        <f t="shared" si="8"/>
        <v>1.7313725490194345</v>
      </c>
      <c r="DM100" s="2">
        <f t="shared" si="9"/>
        <v>23</v>
      </c>
      <c r="DN100" s="3">
        <f t="shared" si="10"/>
        <v>0.42156862745098039</v>
      </c>
      <c r="DV100" s="2">
        <v>485</v>
      </c>
      <c r="DW100">
        <v>0</v>
      </c>
      <c r="DX100">
        <f t="shared" si="11"/>
        <v>14794</v>
      </c>
      <c r="DY100">
        <f t="shared" si="6"/>
        <v>1</v>
      </c>
    </row>
    <row r="101" spans="1:129">
      <c r="A101" s="1">
        <v>41008</v>
      </c>
      <c r="B101" s="1"/>
      <c r="C101" s="1"/>
      <c r="J101">
        <v>0.3</v>
      </c>
      <c r="L101">
        <v>0.2</v>
      </c>
      <c r="M101">
        <v>0.4</v>
      </c>
      <c r="P101">
        <v>0.8</v>
      </c>
      <c r="Q101">
        <v>3.4</v>
      </c>
      <c r="U101">
        <v>1.9</v>
      </c>
      <c r="V101">
        <v>4</v>
      </c>
      <c r="W101">
        <v>16</v>
      </c>
      <c r="X101">
        <v>0.5</v>
      </c>
      <c r="Y101">
        <v>6.5</v>
      </c>
      <c r="AA101">
        <v>5.0999999999999996</v>
      </c>
      <c r="AB101">
        <v>0.79999999999927196</v>
      </c>
      <c r="AC101">
        <v>0.59999999999945397</v>
      </c>
      <c r="AD101">
        <v>5.5</v>
      </c>
      <c r="AF101">
        <v>27.099999999976699</v>
      </c>
      <c r="AG101">
        <v>5.0999999999985501</v>
      </c>
      <c r="AH101">
        <v>4.3999999999941801</v>
      </c>
      <c r="AI101">
        <v>22</v>
      </c>
      <c r="AK101">
        <v>3.1999999999970901</v>
      </c>
      <c r="AO101">
        <v>22</v>
      </c>
      <c r="AP101">
        <v>1.79999999999927</v>
      </c>
      <c r="AR101">
        <v>1.1000000000000001</v>
      </c>
      <c r="AV101">
        <v>1.6999999999989099</v>
      </c>
      <c r="AX101">
        <v>4.79999999999563</v>
      </c>
      <c r="BD101">
        <v>14.1999999999971</v>
      </c>
      <c r="BE101">
        <v>0.30000000000018201</v>
      </c>
      <c r="BH101">
        <v>10.8000000000029</v>
      </c>
      <c r="BI101">
        <v>0</v>
      </c>
      <c r="BK101">
        <v>0.100000000000023</v>
      </c>
      <c r="BP101">
        <v>3</v>
      </c>
      <c r="BR101">
        <v>3.2999999999992702</v>
      </c>
      <c r="BS101">
        <v>3</v>
      </c>
      <c r="BT101">
        <v>0.100000000000023</v>
      </c>
      <c r="BX101">
        <v>0</v>
      </c>
      <c r="CD101">
        <v>0.1</v>
      </c>
      <c r="CE101">
        <v>45</v>
      </c>
      <c r="CH101">
        <v>9.9</v>
      </c>
      <c r="CI101">
        <v>14.8</v>
      </c>
      <c r="CJ101">
        <v>3</v>
      </c>
      <c r="CK101">
        <v>0</v>
      </c>
      <c r="CT101">
        <v>0.3</v>
      </c>
      <c r="CV101">
        <v>0.3</v>
      </c>
      <c r="CW101">
        <v>9.8000000000000007</v>
      </c>
      <c r="CY101">
        <v>1.4</v>
      </c>
      <c r="CZ101">
        <v>11</v>
      </c>
      <c r="DA101">
        <v>0.5</v>
      </c>
      <c r="DC101">
        <v>11</v>
      </c>
      <c r="DD101" s="5">
        <v>3</v>
      </c>
      <c r="DJ101" s="1">
        <v>41008</v>
      </c>
      <c r="DK101" s="2">
        <f t="shared" si="7"/>
        <v>5.918749999999136</v>
      </c>
      <c r="DL101" s="2">
        <f t="shared" si="8"/>
        <v>2.7852941176466524</v>
      </c>
      <c r="DM101" s="2">
        <f t="shared" si="9"/>
        <v>45</v>
      </c>
      <c r="DN101" s="3">
        <f t="shared" si="10"/>
        <v>0.47058823529411764</v>
      </c>
      <c r="DV101" s="2">
        <v>490</v>
      </c>
      <c r="DW101">
        <v>0</v>
      </c>
      <c r="DX101">
        <f t="shared" si="11"/>
        <v>14794</v>
      </c>
      <c r="DY101">
        <f t="shared" si="6"/>
        <v>1</v>
      </c>
    </row>
    <row r="102" spans="1:129">
      <c r="A102" s="1">
        <v>41009</v>
      </c>
      <c r="B102" s="1"/>
      <c r="C102" s="1"/>
      <c r="D102">
        <v>5.2</v>
      </c>
      <c r="F102">
        <v>6.7</v>
      </c>
      <c r="G102">
        <v>0.5</v>
      </c>
      <c r="K102">
        <v>0.2</v>
      </c>
      <c r="M102">
        <v>1.8</v>
      </c>
      <c r="N102">
        <v>1.3</v>
      </c>
      <c r="O102">
        <v>0.1</v>
      </c>
      <c r="P102">
        <v>1.7</v>
      </c>
      <c r="Q102">
        <v>0.9</v>
      </c>
      <c r="R102">
        <v>17.5</v>
      </c>
      <c r="V102">
        <v>7.5</v>
      </c>
      <c r="W102">
        <v>0.6</v>
      </c>
      <c r="AG102">
        <v>8.5999999999912706</v>
      </c>
      <c r="AH102">
        <v>1.6999999999989099</v>
      </c>
      <c r="AI102">
        <v>14.5</v>
      </c>
      <c r="AJ102">
        <v>0.59999999999945397</v>
      </c>
      <c r="AK102">
        <v>3.3999999999978199</v>
      </c>
      <c r="AN102">
        <v>13</v>
      </c>
      <c r="AO102">
        <v>9.6999999999970896</v>
      </c>
      <c r="AU102">
        <v>0.29999999999972699</v>
      </c>
      <c r="BE102">
        <v>2.4000000000014601</v>
      </c>
      <c r="BF102">
        <v>1.79999999999927</v>
      </c>
      <c r="BH102">
        <v>0.80000000000018201</v>
      </c>
      <c r="BK102">
        <v>0</v>
      </c>
      <c r="BL102">
        <v>0.100000000000023</v>
      </c>
      <c r="BN102">
        <v>0.89999999999963598</v>
      </c>
      <c r="BP102">
        <v>0.89999999999963598</v>
      </c>
      <c r="BQ102">
        <v>4.4000000000014596</v>
      </c>
      <c r="BS102">
        <v>3.7999999999992702</v>
      </c>
      <c r="CC102">
        <v>0.4</v>
      </c>
      <c r="CD102">
        <v>11.5</v>
      </c>
      <c r="CE102">
        <v>5</v>
      </c>
      <c r="CI102">
        <v>10.8</v>
      </c>
      <c r="CN102">
        <v>0.1</v>
      </c>
      <c r="CP102">
        <v>0.2</v>
      </c>
      <c r="CY102">
        <v>0.2</v>
      </c>
      <c r="CZ102">
        <v>6.5</v>
      </c>
      <c r="DA102">
        <v>0.2</v>
      </c>
      <c r="DB102">
        <v>17.8</v>
      </c>
      <c r="DD102" s="5"/>
      <c r="DJ102" s="1">
        <v>41009</v>
      </c>
      <c r="DK102" s="2">
        <f t="shared" si="7"/>
        <v>4.1948717948714149</v>
      </c>
      <c r="DL102" s="2">
        <f t="shared" si="8"/>
        <v>1.6039215686273058</v>
      </c>
      <c r="DM102" s="2">
        <f t="shared" si="9"/>
        <v>17.8</v>
      </c>
      <c r="DN102" s="3">
        <f t="shared" si="10"/>
        <v>0.38235294117647056</v>
      </c>
      <c r="DV102" s="2">
        <v>495</v>
      </c>
      <c r="DW102">
        <v>0</v>
      </c>
      <c r="DX102">
        <f t="shared" si="11"/>
        <v>14794</v>
      </c>
      <c r="DY102">
        <f t="shared" si="6"/>
        <v>1</v>
      </c>
    </row>
    <row r="103" spans="1:129">
      <c r="A103" s="1">
        <v>41010</v>
      </c>
      <c r="B103" s="1"/>
      <c r="C103" s="1"/>
      <c r="D103">
        <v>15.2</v>
      </c>
      <c r="F103">
        <v>11.6</v>
      </c>
      <c r="G103">
        <v>5.7</v>
      </c>
      <c r="K103">
        <v>1</v>
      </c>
      <c r="M103">
        <v>6.4</v>
      </c>
      <c r="O103">
        <v>0.1</v>
      </c>
      <c r="Y103">
        <v>0.2</v>
      </c>
      <c r="AB103">
        <v>3.1</v>
      </c>
      <c r="AD103">
        <v>0.5</v>
      </c>
      <c r="AE103">
        <v>0.89999999999963598</v>
      </c>
      <c r="AG103">
        <v>10.5</v>
      </c>
      <c r="AH103">
        <v>4.0999999999985501</v>
      </c>
      <c r="AJ103">
        <v>1.79999999999927</v>
      </c>
      <c r="AN103">
        <v>2.5</v>
      </c>
      <c r="AS103">
        <v>0.29999999999972699</v>
      </c>
      <c r="AX103">
        <v>0.19999999999981799</v>
      </c>
      <c r="BA103">
        <v>0.5</v>
      </c>
      <c r="BE103">
        <v>14.399999999994201</v>
      </c>
      <c r="BF103">
        <v>0.69999999999981799</v>
      </c>
      <c r="BI103">
        <v>1.39999999999964</v>
      </c>
      <c r="BK103">
        <v>0.69999999999981799</v>
      </c>
      <c r="BN103">
        <v>0.5</v>
      </c>
      <c r="BP103">
        <v>15.6999999999971</v>
      </c>
      <c r="BQ103">
        <v>30.600000000005799</v>
      </c>
      <c r="BS103">
        <v>2.0999999999985399</v>
      </c>
      <c r="BT103" t="s">
        <v>0</v>
      </c>
      <c r="BW103">
        <v>0</v>
      </c>
      <c r="BX103">
        <v>0</v>
      </c>
      <c r="BY103">
        <v>0.1</v>
      </c>
      <c r="CA103">
        <v>24</v>
      </c>
      <c r="CD103">
        <v>6.1</v>
      </c>
      <c r="CE103">
        <v>0.1</v>
      </c>
      <c r="CF103">
        <v>1</v>
      </c>
      <c r="CG103">
        <v>0.1</v>
      </c>
      <c r="CI103">
        <v>0.2</v>
      </c>
      <c r="CM103">
        <v>0.1</v>
      </c>
      <c r="CN103">
        <v>1.5</v>
      </c>
      <c r="CO103">
        <v>3.5</v>
      </c>
      <c r="CT103">
        <v>0</v>
      </c>
      <c r="CU103">
        <v>5.8</v>
      </c>
      <c r="CY103">
        <v>1.8</v>
      </c>
      <c r="CZ103">
        <v>0.3</v>
      </c>
      <c r="DA103">
        <v>0.5</v>
      </c>
      <c r="DB103">
        <v>2.9</v>
      </c>
      <c r="DD103" s="5"/>
      <c r="DJ103" s="1">
        <v>41010</v>
      </c>
      <c r="DK103" s="2">
        <f t="shared" si="7"/>
        <v>4.1558139534881846</v>
      </c>
      <c r="DL103" s="2">
        <f t="shared" si="8"/>
        <v>1.7519607843136464</v>
      </c>
      <c r="DM103" s="2">
        <f t="shared" si="9"/>
        <v>30.600000000005799</v>
      </c>
      <c r="DN103" s="3">
        <f t="shared" si="10"/>
        <v>0.43137254901960786</v>
      </c>
      <c r="DV103" s="2">
        <v>500</v>
      </c>
      <c r="DW103">
        <v>0</v>
      </c>
      <c r="DX103">
        <f t="shared" si="11"/>
        <v>14794</v>
      </c>
      <c r="DY103">
        <f t="shared" si="6"/>
        <v>1</v>
      </c>
    </row>
    <row r="104" spans="1:129">
      <c r="A104" s="1">
        <v>41011</v>
      </c>
      <c r="B104" s="1"/>
      <c r="C104" s="1"/>
      <c r="E104">
        <v>0.6</v>
      </c>
      <c r="G104">
        <v>3.3</v>
      </c>
      <c r="M104">
        <v>1.9</v>
      </c>
      <c r="N104">
        <v>4.2</v>
      </c>
      <c r="P104">
        <v>13.2</v>
      </c>
      <c r="V104">
        <v>8</v>
      </c>
      <c r="W104">
        <v>0</v>
      </c>
      <c r="Y104">
        <v>3.3</v>
      </c>
      <c r="AB104">
        <v>0.29999999999972699</v>
      </c>
      <c r="AD104">
        <v>6.79999999999563</v>
      </c>
      <c r="AG104">
        <v>6.0999999999985501</v>
      </c>
      <c r="AI104">
        <v>0.69999999999981799</v>
      </c>
      <c r="AL104">
        <v>13</v>
      </c>
      <c r="AM104">
        <v>24.799999999988401</v>
      </c>
      <c r="AN104">
        <v>1.79999999999927</v>
      </c>
      <c r="AS104">
        <v>16.5</v>
      </c>
      <c r="AU104">
        <v>16.699999999982499</v>
      </c>
      <c r="AY104">
        <v>1</v>
      </c>
      <c r="BB104">
        <v>1.29999999999927</v>
      </c>
      <c r="BE104">
        <v>1</v>
      </c>
      <c r="BF104">
        <v>2.4000000000014601</v>
      </c>
      <c r="BH104">
        <v>0.30000000000018201</v>
      </c>
      <c r="BI104">
        <v>2.4000000000014601</v>
      </c>
      <c r="BK104">
        <v>0.30000000000018201</v>
      </c>
      <c r="BM104">
        <v>8</v>
      </c>
      <c r="BN104">
        <v>0.89999999999963598</v>
      </c>
      <c r="BP104">
        <v>2.2000000000007298</v>
      </c>
      <c r="BQ104" t="s">
        <v>0</v>
      </c>
      <c r="BS104">
        <v>3</v>
      </c>
      <c r="BT104">
        <v>0.100000000000023</v>
      </c>
      <c r="BU104">
        <v>0.100000000000023</v>
      </c>
      <c r="BX104">
        <v>5.0999999999985501</v>
      </c>
      <c r="BY104">
        <v>0.3</v>
      </c>
      <c r="CA104">
        <v>3.1</v>
      </c>
      <c r="CD104">
        <v>0.3</v>
      </c>
      <c r="CF104">
        <v>0.8</v>
      </c>
      <c r="CG104">
        <v>0.1</v>
      </c>
      <c r="CK104">
        <v>13.5</v>
      </c>
      <c r="CP104">
        <v>1</v>
      </c>
      <c r="CT104">
        <v>0.1</v>
      </c>
      <c r="DB104">
        <v>0.5</v>
      </c>
      <c r="DD104" s="5"/>
      <c r="DJ104" s="1">
        <v>41011</v>
      </c>
      <c r="DK104" s="2">
        <f t="shared" si="7"/>
        <v>4.2249999999991354</v>
      </c>
      <c r="DL104" s="2">
        <f t="shared" si="8"/>
        <v>1.6568627450977</v>
      </c>
      <c r="DM104" s="2">
        <f t="shared" si="9"/>
        <v>24.799999999988401</v>
      </c>
      <c r="DN104" s="3">
        <f t="shared" si="10"/>
        <v>0.40196078431372551</v>
      </c>
      <c r="DV104" s="2">
        <v>505</v>
      </c>
      <c r="DW104">
        <v>0</v>
      </c>
      <c r="DX104">
        <f t="shared" si="11"/>
        <v>14794</v>
      </c>
      <c r="DY104">
        <f t="shared" si="6"/>
        <v>1</v>
      </c>
    </row>
    <row r="105" spans="1:129">
      <c r="A105" s="1">
        <v>41012</v>
      </c>
      <c r="B105" s="1"/>
      <c r="C105" s="1"/>
      <c r="D105">
        <v>0.7</v>
      </c>
      <c r="G105">
        <v>9.5</v>
      </c>
      <c r="K105">
        <v>0.3</v>
      </c>
      <c r="N105">
        <v>2.2000000000000002</v>
      </c>
      <c r="Y105">
        <v>5.6</v>
      </c>
      <c r="AD105">
        <v>10.799999999988399</v>
      </c>
      <c r="AF105">
        <v>0</v>
      </c>
      <c r="AI105">
        <v>1.89999999999964</v>
      </c>
      <c r="AK105">
        <v>0.5</v>
      </c>
      <c r="AM105">
        <v>4.5</v>
      </c>
      <c r="AN105">
        <v>18.5</v>
      </c>
      <c r="AO105">
        <v>19</v>
      </c>
      <c r="AS105">
        <v>14.899999999994201</v>
      </c>
      <c r="AT105">
        <v>6</v>
      </c>
      <c r="AU105">
        <v>2</v>
      </c>
      <c r="AX105">
        <v>1.29999999999927</v>
      </c>
      <c r="AZ105">
        <v>0.5</v>
      </c>
      <c r="BB105">
        <v>9.7999999999883602</v>
      </c>
      <c r="BE105">
        <v>4.3000000000029104</v>
      </c>
      <c r="BH105">
        <v>7</v>
      </c>
      <c r="BM105">
        <v>2.7999999999992702</v>
      </c>
      <c r="BN105">
        <v>0.100000000000023</v>
      </c>
      <c r="BP105">
        <v>0.100000000000023</v>
      </c>
      <c r="BS105">
        <v>1.10000000000036</v>
      </c>
      <c r="BT105">
        <v>1</v>
      </c>
      <c r="BU105">
        <v>0.100000000000023</v>
      </c>
      <c r="BX105">
        <v>5.0999999999985501</v>
      </c>
      <c r="BY105">
        <v>5</v>
      </c>
      <c r="BZ105">
        <v>1.5</v>
      </c>
      <c r="CA105">
        <v>0.2</v>
      </c>
      <c r="CD105">
        <v>0.1</v>
      </c>
      <c r="CK105">
        <v>8.5</v>
      </c>
      <c r="CN105">
        <v>1</v>
      </c>
      <c r="CO105">
        <v>16.5</v>
      </c>
      <c r="CP105">
        <v>0.8</v>
      </c>
      <c r="CQ105">
        <v>18.100000000000001</v>
      </c>
      <c r="CR105">
        <v>0.1</v>
      </c>
      <c r="CS105">
        <v>0.4</v>
      </c>
      <c r="CU105">
        <v>0.2</v>
      </c>
      <c r="CW105">
        <v>0.1</v>
      </c>
      <c r="CZ105">
        <v>2</v>
      </c>
      <c r="DA105">
        <v>0.7</v>
      </c>
      <c r="DD105" s="5"/>
      <c r="DJ105" s="1">
        <v>41012</v>
      </c>
      <c r="DK105" s="2">
        <f t="shared" si="7"/>
        <v>4.3999999999993094</v>
      </c>
      <c r="DL105" s="2">
        <f t="shared" si="8"/>
        <v>1.8117647058820685</v>
      </c>
      <c r="DM105" s="2">
        <f t="shared" si="9"/>
        <v>19</v>
      </c>
      <c r="DN105" s="3">
        <f t="shared" si="10"/>
        <v>0.41176470588235292</v>
      </c>
      <c r="DV105" s="2">
        <v>510</v>
      </c>
      <c r="DW105">
        <v>0</v>
      </c>
      <c r="DX105">
        <f t="shared" si="11"/>
        <v>14794</v>
      </c>
      <c r="DY105">
        <f t="shared" si="6"/>
        <v>1</v>
      </c>
    </row>
    <row r="106" spans="1:129">
      <c r="A106" s="1">
        <v>41013</v>
      </c>
      <c r="B106" s="1"/>
      <c r="C106" s="1"/>
      <c r="G106">
        <v>3.6</v>
      </c>
      <c r="H106">
        <v>0.3</v>
      </c>
      <c r="P106">
        <v>0.7</v>
      </c>
      <c r="S106">
        <v>2.8</v>
      </c>
      <c r="T106">
        <v>1.3</v>
      </c>
      <c r="V106">
        <v>5.0999999999999996</v>
      </c>
      <c r="W106">
        <v>1.4</v>
      </c>
      <c r="AA106">
        <v>4.79999999999563</v>
      </c>
      <c r="AF106">
        <v>18.699999999982499</v>
      </c>
      <c r="AI106">
        <v>0.29999999999972699</v>
      </c>
      <c r="AN106">
        <v>2.2999999999992702</v>
      </c>
      <c r="AO106">
        <v>2.0999999999985399</v>
      </c>
      <c r="AQ106">
        <v>0.59999999999945397</v>
      </c>
      <c r="AZ106">
        <v>2</v>
      </c>
      <c r="BB106">
        <v>0.89999999999963598</v>
      </c>
      <c r="BE106">
        <v>1.39999999999964</v>
      </c>
      <c r="BF106">
        <v>1.5</v>
      </c>
      <c r="BH106">
        <v>0.100000000000023</v>
      </c>
      <c r="BI106">
        <v>1.10000000000036</v>
      </c>
      <c r="BM106">
        <v>0.100000000000023</v>
      </c>
      <c r="BN106">
        <v>0.100000000000023</v>
      </c>
      <c r="BR106">
        <v>3</v>
      </c>
      <c r="BS106">
        <v>1.29999999999927</v>
      </c>
      <c r="BW106">
        <v>0</v>
      </c>
      <c r="BX106">
        <v>1.79999999999927</v>
      </c>
      <c r="BZ106">
        <v>19.8</v>
      </c>
      <c r="CA106">
        <v>0.1</v>
      </c>
      <c r="CB106">
        <v>8</v>
      </c>
      <c r="CC106">
        <v>9.5</v>
      </c>
      <c r="CE106">
        <v>1.5</v>
      </c>
      <c r="CK106">
        <v>4</v>
      </c>
      <c r="CM106">
        <v>7.5</v>
      </c>
      <c r="CO106">
        <v>0.2</v>
      </c>
      <c r="CP106">
        <v>0.7</v>
      </c>
      <c r="CR106">
        <v>2.5</v>
      </c>
      <c r="CT106">
        <v>1.4</v>
      </c>
      <c r="CW106">
        <v>0.1</v>
      </c>
      <c r="CY106">
        <v>10.199999999999999</v>
      </c>
      <c r="CZ106">
        <v>36.5</v>
      </c>
      <c r="DC106">
        <v>1.2</v>
      </c>
      <c r="DD106" s="5"/>
      <c r="DJ106" s="1">
        <v>41013</v>
      </c>
      <c r="DK106" s="2">
        <f t="shared" si="7"/>
        <v>4.012499999999334</v>
      </c>
      <c r="DL106" s="2">
        <f t="shared" si="8"/>
        <v>1.5735294117644447</v>
      </c>
      <c r="DM106" s="2">
        <f t="shared" si="9"/>
        <v>36.5</v>
      </c>
      <c r="DN106" s="3">
        <f t="shared" si="10"/>
        <v>0.39215686274509803</v>
      </c>
      <c r="DV106" s="2">
        <v>515</v>
      </c>
      <c r="DW106">
        <v>0</v>
      </c>
      <c r="DX106">
        <f t="shared" si="11"/>
        <v>14794</v>
      </c>
      <c r="DY106">
        <f t="shared" si="6"/>
        <v>1</v>
      </c>
    </row>
    <row r="107" spans="1:129">
      <c r="A107" s="1">
        <v>41014</v>
      </c>
      <c r="B107" s="1"/>
      <c r="C107" s="1"/>
      <c r="D107">
        <v>4.0999999999999996</v>
      </c>
      <c r="E107">
        <v>10.3</v>
      </c>
      <c r="H107">
        <v>8.5</v>
      </c>
      <c r="M107">
        <v>0.4</v>
      </c>
      <c r="N107">
        <v>5.3</v>
      </c>
      <c r="O107">
        <v>0.1</v>
      </c>
      <c r="Q107">
        <v>0.2</v>
      </c>
      <c r="W107">
        <v>19.2</v>
      </c>
      <c r="X107">
        <v>0</v>
      </c>
      <c r="AA107">
        <v>6.5</v>
      </c>
      <c r="AF107">
        <v>1.5</v>
      </c>
      <c r="AH107">
        <v>0.69999999999981799</v>
      </c>
      <c r="AI107">
        <v>0.39999999999963598</v>
      </c>
      <c r="AK107">
        <v>14.5</v>
      </c>
      <c r="AN107">
        <v>0.5</v>
      </c>
      <c r="AO107">
        <v>1.29999999999927</v>
      </c>
      <c r="AQ107">
        <v>0.69999999999981799</v>
      </c>
      <c r="AS107">
        <v>0.79999999999927196</v>
      </c>
      <c r="AU107">
        <v>4.5999999999985501</v>
      </c>
      <c r="AW107">
        <v>0.59999999999945397</v>
      </c>
      <c r="AX107">
        <v>15.599999999991301</v>
      </c>
      <c r="AZ107">
        <v>0.5</v>
      </c>
      <c r="BB107">
        <v>4.79999999999563</v>
      </c>
      <c r="BC107">
        <v>0.19999999999981799</v>
      </c>
      <c r="BE107">
        <v>0.5</v>
      </c>
      <c r="BF107">
        <v>4.1999999999970896</v>
      </c>
      <c r="BG107">
        <v>0.30000000000018201</v>
      </c>
      <c r="BI107">
        <v>15.100000000005799</v>
      </c>
      <c r="BJ107">
        <v>1.20000000000073</v>
      </c>
      <c r="BK107">
        <v>0.100000000000023</v>
      </c>
      <c r="BL107">
        <v>0.100000000000023</v>
      </c>
      <c r="BM107">
        <v>8</v>
      </c>
      <c r="BN107">
        <v>23</v>
      </c>
      <c r="BP107">
        <v>0.5</v>
      </c>
      <c r="BQ107">
        <v>0.400000000000091</v>
      </c>
      <c r="BR107">
        <v>0.100000000000023</v>
      </c>
      <c r="BT107">
        <v>0.30000000000018201</v>
      </c>
      <c r="BW107">
        <v>0</v>
      </c>
      <c r="BX107">
        <v>1.6999999999989099</v>
      </c>
      <c r="CA107">
        <v>0.5</v>
      </c>
      <c r="CB107">
        <v>4.8</v>
      </c>
      <c r="CC107">
        <v>1.5</v>
      </c>
      <c r="CE107">
        <v>0.6</v>
      </c>
      <c r="CJ107">
        <v>11.6</v>
      </c>
      <c r="CO107">
        <v>16.5</v>
      </c>
      <c r="CP107">
        <v>1.5</v>
      </c>
      <c r="CQ107">
        <v>0.2</v>
      </c>
      <c r="CR107">
        <v>7.6</v>
      </c>
      <c r="CS107">
        <v>0.3</v>
      </c>
      <c r="CZ107">
        <v>0.5</v>
      </c>
      <c r="DA107">
        <v>5</v>
      </c>
      <c r="DD107" s="5"/>
      <c r="DJ107" s="1">
        <v>41014</v>
      </c>
      <c r="DK107" s="2">
        <f t="shared" si="7"/>
        <v>4.066666666666384</v>
      </c>
      <c r="DL107" s="2">
        <f t="shared" si="8"/>
        <v>2.033333333333192</v>
      </c>
      <c r="DM107" s="2">
        <f t="shared" si="9"/>
        <v>23</v>
      </c>
      <c r="DN107" s="3">
        <f t="shared" si="10"/>
        <v>0.5</v>
      </c>
      <c r="DV107" s="2">
        <v>520</v>
      </c>
      <c r="DW107">
        <v>0</v>
      </c>
      <c r="DX107">
        <f t="shared" si="11"/>
        <v>14794</v>
      </c>
      <c r="DY107">
        <f t="shared" si="6"/>
        <v>1</v>
      </c>
    </row>
    <row r="108" spans="1:129">
      <c r="A108" s="1">
        <v>41015</v>
      </c>
      <c r="B108" s="1"/>
      <c r="C108" s="1"/>
      <c r="D108">
        <v>0.7</v>
      </c>
      <c r="E108">
        <v>2.6</v>
      </c>
      <c r="H108">
        <v>3.8</v>
      </c>
      <c r="J108">
        <v>3.3</v>
      </c>
      <c r="M108">
        <v>0.4</v>
      </c>
      <c r="N108">
        <v>0.1</v>
      </c>
      <c r="S108">
        <v>0.2</v>
      </c>
      <c r="X108">
        <v>13</v>
      </c>
      <c r="AA108">
        <v>0.19999999999981799</v>
      </c>
      <c r="AC108">
        <v>9</v>
      </c>
      <c r="AD108">
        <v>8.3999999999941792</v>
      </c>
      <c r="AG108">
        <v>0.89999999999963598</v>
      </c>
      <c r="AO108">
        <v>1.6999999999989099</v>
      </c>
      <c r="AQ108">
        <v>13</v>
      </c>
      <c r="AU108">
        <v>5.29999999999563</v>
      </c>
      <c r="AW108">
        <v>21</v>
      </c>
      <c r="AX108">
        <v>3.7999999999992702</v>
      </c>
      <c r="AZ108">
        <v>13.299999999988399</v>
      </c>
      <c r="BB108">
        <v>5</v>
      </c>
      <c r="BC108">
        <v>0.79999999999927196</v>
      </c>
      <c r="BE108">
        <v>24.399999999994201</v>
      </c>
      <c r="BG108">
        <v>0.200000000000045</v>
      </c>
      <c r="BH108">
        <v>22</v>
      </c>
      <c r="BI108">
        <v>2.5999999999985399</v>
      </c>
      <c r="BJ108">
        <v>40.799999999988401</v>
      </c>
      <c r="BK108">
        <v>0.200000000000045</v>
      </c>
      <c r="BL108">
        <v>1</v>
      </c>
      <c r="BM108">
        <v>0.100000000000023</v>
      </c>
      <c r="BN108">
        <v>5.3000000000029104</v>
      </c>
      <c r="BO108">
        <v>1.29999999999927</v>
      </c>
      <c r="BP108">
        <v>1.5</v>
      </c>
      <c r="BQ108">
        <v>11</v>
      </c>
      <c r="BR108">
        <v>3.2000000000007298</v>
      </c>
      <c r="BV108">
        <v>7.5</v>
      </c>
      <c r="BW108">
        <v>7.7</v>
      </c>
      <c r="CA108">
        <v>0</v>
      </c>
      <c r="CB108">
        <v>4.5</v>
      </c>
      <c r="CC108">
        <v>0</v>
      </c>
      <c r="CD108">
        <v>0.1</v>
      </c>
      <c r="CE108">
        <v>1.2</v>
      </c>
      <c r="CI108">
        <v>5.0999999999999996</v>
      </c>
      <c r="CK108">
        <v>7.3</v>
      </c>
      <c r="CP108">
        <v>4.3</v>
      </c>
      <c r="CU108">
        <v>0.3</v>
      </c>
      <c r="CV108">
        <v>0.2</v>
      </c>
      <c r="CW108">
        <v>2.7</v>
      </c>
      <c r="CX108">
        <v>0.1</v>
      </c>
      <c r="DA108">
        <v>2.6</v>
      </c>
      <c r="DD108" s="5"/>
      <c r="DJ108" s="1">
        <v>41015</v>
      </c>
      <c r="DK108" s="2">
        <f t="shared" si="7"/>
        <v>5.4937499999991521</v>
      </c>
      <c r="DL108" s="2">
        <f t="shared" si="8"/>
        <v>2.5852941176466597</v>
      </c>
      <c r="DM108" s="2">
        <f t="shared" si="9"/>
        <v>40.799999999988401</v>
      </c>
      <c r="DN108" s="3">
        <f t="shared" si="10"/>
        <v>0.47058823529411764</v>
      </c>
      <c r="DV108" s="2">
        <v>525</v>
      </c>
      <c r="DW108">
        <v>0</v>
      </c>
      <c r="DX108">
        <f t="shared" si="11"/>
        <v>14794</v>
      </c>
      <c r="DY108">
        <f t="shared" si="6"/>
        <v>1</v>
      </c>
    </row>
    <row r="109" spans="1:129">
      <c r="A109" s="1">
        <v>41016</v>
      </c>
      <c r="B109" s="1"/>
      <c r="C109" s="1"/>
      <c r="D109">
        <v>0.1</v>
      </c>
      <c r="H109">
        <v>10</v>
      </c>
      <c r="N109">
        <v>0.2</v>
      </c>
      <c r="O109">
        <v>0.2</v>
      </c>
      <c r="Q109">
        <v>3.8</v>
      </c>
      <c r="S109">
        <v>5.5</v>
      </c>
      <c r="U109">
        <v>14</v>
      </c>
      <c r="V109">
        <v>11.9</v>
      </c>
      <c r="Y109">
        <v>0.2</v>
      </c>
      <c r="AA109">
        <v>0.59999999999945397</v>
      </c>
      <c r="AC109">
        <v>4.6999999999970896</v>
      </c>
      <c r="AD109">
        <v>7.5</v>
      </c>
      <c r="AG109">
        <v>0</v>
      </c>
      <c r="AO109">
        <v>0</v>
      </c>
      <c r="AS109">
        <v>3.1999999999970901</v>
      </c>
      <c r="AZ109">
        <v>1.5</v>
      </c>
      <c r="BE109">
        <v>18.799999999988401</v>
      </c>
      <c r="BG109">
        <v>0.200000000000045</v>
      </c>
      <c r="BH109">
        <v>0.30000000000018201</v>
      </c>
      <c r="BJ109">
        <v>37</v>
      </c>
      <c r="BK109">
        <v>0.100000000000023</v>
      </c>
      <c r="BL109">
        <v>1.29999999999927</v>
      </c>
      <c r="BM109">
        <v>5.5</v>
      </c>
      <c r="BN109">
        <v>1.39999999999964</v>
      </c>
      <c r="BO109">
        <v>4.3000000000029104</v>
      </c>
      <c r="BP109">
        <v>1.20000000000073</v>
      </c>
      <c r="BQ109">
        <v>0.400000000000091</v>
      </c>
      <c r="BR109">
        <v>2.7999999999992702</v>
      </c>
      <c r="BS109">
        <v>1.29999999999927</v>
      </c>
      <c r="BT109">
        <v>0.69999999999981799</v>
      </c>
      <c r="BV109">
        <v>16.100000000005799</v>
      </c>
      <c r="BW109">
        <v>1.7</v>
      </c>
      <c r="CB109">
        <v>1.6</v>
      </c>
      <c r="CD109">
        <v>2.2999999999999998</v>
      </c>
      <c r="CG109">
        <v>1.6</v>
      </c>
      <c r="CI109">
        <v>1.8</v>
      </c>
      <c r="CJ109">
        <v>2.5</v>
      </c>
      <c r="CK109">
        <v>0.8</v>
      </c>
      <c r="CO109">
        <v>2</v>
      </c>
      <c r="CQ109">
        <v>0.1</v>
      </c>
      <c r="CR109">
        <v>0.5</v>
      </c>
      <c r="CX109">
        <v>1.7</v>
      </c>
      <c r="CY109">
        <v>12.2</v>
      </c>
      <c r="DA109">
        <v>0.2</v>
      </c>
      <c r="DD109" s="5"/>
      <c r="DJ109" s="1">
        <v>41016</v>
      </c>
      <c r="DK109" s="2">
        <f t="shared" si="7"/>
        <v>4.1772727272724781</v>
      </c>
      <c r="DL109" s="2">
        <f t="shared" si="8"/>
        <v>1.8019607843136181</v>
      </c>
      <c r="DM109" s="2">
        <f t="shared" si="9"/>
        <v>37</v>
      </c>
      <c r="DN109" s="3">
        <f t="shared" si="10"/>
        <v>0.43137254901960786</v>
      </c>
      <c r="DV109" s="2">
        <v>530</v>
      </c>
      <c r="DW109">
        <v>0</v>
      </c>
      <c r="DX109">
        <f t="shared" si="11"/>
        <v>14794</v>
      </c>
      <c r="DY109">
        <f t="shared" si="6"/>
        <v>1</v>
      </c>
    </row>
    <row r="110" spans="1:129">
      <c r="A110" s="1">
        <v>41017</v>
      </c>
      <c r="B110" s="1"/>
      <c r="C110" s="1"/>
      <c r="H110">
        <v>0.6</v>
      </c>
      <c r="J110">
        <v>0.5</v>
      </c>
      <c r="M110">
        <v>0.2</v>
      </c>
      <c r="Q110">
        <v>3.2</v>
      </c>
      <c r="R110">
        <v>4</v>
      </c>
      <c r="S110">
        <v>7.2</v>
      </c>
      <c r="U110">
        <v>1.1000000000000001</v>
      </c>
      <c r="X110">
        <v>0.1</v>
      </c>
      <c r="Y110">
        <v>0.2</v>
      </c>
      <c r="AA110">
        <v>15.5</v>
      </c>
      <c r="AB110">
        <v>0.59999999999945397</v>
      </c>
      <c r="AO110">
        <v>40.5</v>
      </c>
      <c r="AS110">
        <v>7.79999999999563</v>
      </c>
      <c r="AT110">
        <v>3.7999999999992702</v>
      </c>
      <c r="AU110">
        <v>4.5999999999985501</v>
      </c>
      <c r="AX110">
        <v>6.5999999999985501</v>
      </c>
      <c r="AZ110">
        <v>1.79999999999927</v>
      </c>
      <c r="BI110">
        <v>26.700000000011599</v>
      </c>
      <c r="BJ110">
        <v>3.7999999999992702</v>
      </c>
      <c r="BM110">
        <v>1.29999999999927</v>
      </c>
      <c r="BN110">
        <v>0.80000000000018201</v>
      </c>
      <c r="BO110">
        <v>0.89999999999963598</v>
      </c>
      <c r="BR110">
        <v>1</v>
      </c>
      <c r="BS110">
        <v>8.6000000000058208</v>
      </c>
      <c r="BU110">
        <v>1</v>
      </c>
      <c r="BV110">
        <v>1.20000000000073</v>
      </c>
      <c r="BW110">
        <v>0.2</v>
      </c>
      <c r="BX110">
        <v>0</v>
      </c>
      <c r="CA110">
        <v>0.3</v>
      </c>
      <c r="CB110">
        <v>21.8</v>
      </c>
      <c r="CJ110">
        <v>10</v>
      </c>
      <c r="CN110">
        <v>0.5</v>
      </c>
      <c r="CO110">
        <v>12.5</v>
      </c>
      <c r="CQ110">
        <v>10.4</v>
      </c>
      <c r="CR110">
        <v>1.2</v>
      </c>
      <c r="CU110">
        <v>0.4</v>
      </c>
      <c r="CX110">
        <v>0.1</v>
      </c>
      <c r="CY110">
        <v>14.6</v>
      </c>
      <c r="CZ110">
        <v>14.6</v>
      </c>
      <c r="DB110">
        <v>2.7</v>
      </c>
      <c r="DC110">
        <v>0.1</v>
      </c>
      <c r="DD110" s="5"/>
      <c r="DJ110" s="1">
        <v>41017</v>
      </c>
      <c r="DK110" s="2">
        <f t="shared" si="7"/>
        <v>5.6829268292684683</v>
      </c>
      <c r="DL110" s="2">
        <f t="shared" si="8"/>
        <v>2.2843137254902666</v>
      </c>
      <c r="DM110" s="2">
        <f t="shared" si="9"/>
        <v>40.5</v>
      </c>
      <c r="DN110" s="3">
        <f t="shared" si="10"/>
        <v>0.40196078431372551</v>
      </c>
      <c r="DV110" s="2">
        <v>535</v>
      </c>
      <c r="DW110">
        <v>0</v>
      </c>
      <c r="DX110">
        <f t="shared" si="11"/>
        <v>14794</v>
      </c>
      <c r="DY110">
        <f t="shared" si="6"/>
        <v>1</v>
      </c>
    </row>
    <row r="111" spans="1:129">
      <c r="A111" s="1">
        <v>41018</v>
      </c>
      <c r="B111" s="1"/>
      <c r="C111" s="1"/>
      <c r="F111">
        <v>0.1</v>
      </c>
      <c r="H111">
        <v>5.9</v>
      </c>
      <c r="I111">
        <v>2.1</v>
      </c>
      <c r="K111">
        <v>1.4</v>
      </c>
      <c r="Q111">
        <v>1.5</v>
      </c>
      <c r="Y111">
        <v>5.5</v>
      </c>
      <c r="AA111">
        <v>0.29999999999972699</v>
      </c>
      <c r="AD111">
        <v>0.19999999999981799</v>
      </c>
      <c r="AH111">
        <v>0</v>
      </c>
      <c r="AK111">
        <v>4.5</v>
      </c>
      <c r="AL111">
        <v>0</v>
      </c>
      <c r="AO111">
        <v>4.5999999999985501</v>
      </c>
      <c r="AS111">
        <v>6.3999999999941801</v>
      </c>
      <c r="AT111">
        <v>5.5999999999985501</v>
      </c>
      <c r="AU111">
        <v>1.5</v>
      </c>
      <c r="AW111">
        <v>1.79999999999927</v>
      </c>
      <c r="AY111">
        <v>0.19999999999981799</v>
      </c>
      <c r="BE111">
        <v>0.200000000000045</v>
      </c>
      <c r="BG111">
        <v>11.8000000000029</v>
      </c>
      <c r="BI111">
        <v>10.3000000000029</v>
      </c>
      <c r="BJ111">
        <v>0.30000000000018201</v>
      </c>
      <c r="BM111">
        <v>0.400000000000091</v>
      </c>
      <c r="BN111">
        <v>0.100000000000023</v>
      </c>
      <c r="BO111">
        <v>3.4000000000014601</v>
      </c>
      <c r="BP111">
        <v>0</v>
      </c>
      <c r="BR111">
        <v>41.200000000011599</v>
      </c>
      <c r="BS111">
        <v>20.299999999988401</v>
      </c>
      <c r="BU111">
        <v>14.600000000005799</v>
      </c>
      <c r="BV111">
        <v>0.200000000000045</v>
      </c>
      <c r="BW111">
        <v>0</v>
      </c>
      <c r="BX111">
        <v>3.3</v>
      </c>
      <c r="CA111">
        <v>0.1</v>
      </c>
      <c r="CB111">
        <v>6.2</v>
      </c>
      <c r="CF111">
        <v>8.8000000000000007</v>
      </c>
      <c r="CJ111">
        <v>8.1</v>
      </c>
      <c r="CK111">
        <v>7</v>
      </c>
      <c r="CL111">
        <v>5.5</v>
      </c>
      <c r="CN111">
        <v>7</v>
      </c>
      <c r="CP111">
        <v>1.9</v>
      </c>
      <c r="CQ111">
        <v>15</v>
      </c>
      <c r="CR111">
        <v>0.6</v>
      </c>
      <c r="CU111">
        <v>0.4</v>
      </c>
      <c r="CV111">
        <v>0.1</v>
      </c>
      <c r="CX111">
        <v>10.4</v>
      </c>
      <c r="CY111">
        <v>1.1000000000000001</v>
      </c>
      <c r="CZ111">
        <v>0.5</v>
      </c>
      <c r="DC111">
        <v>1.1000000000000001</v>
      </c>
      <c r="DD111" s="5"/>
      <c r="DJ111" s="1">
        <v>41018</v>
      </c>
      <c r="DK111" s="2">
        <f t="shared" si="7"/>
        <v>4.7127659574468801</v>
      </c>
      <c r="DL111" s="2">
        <f t="shared" si="8"/>
        <v>2.1715686274510131</v>
      </c>
      <c r="DM111" s="2">
        <f t="shared" si="9"/>
        <v>41.200000000011599</v>
      </c>
      <c r="DN111" s="3">
        <f t="shared" si="10"/>
        <v>0.46078431372549017</v>
      </c>
      <c r="DV111" s="2">
        <v>540</v>
      </c>
      <c r="DW111">
        <v>0</v>
      </c>
      <c r="DX111">
        <f t="shared" si="11"/>
        <v>14794</v>
      </c>
      <c r="DY111">
        <f t="shared" si="6"/>
        <v>1</v>
      </c>
    </row>
    <row r="112" spans="1:129">
      <c r="A112" s="1">
        <v>41019</v>
      </c>
      <c r="B112" s="1"/>
      <c r="C112" s="1"/>
      <c r="D112">
        <v>0.7</v>
      </c>
      <c r="E112">
        <v>0.3</v>
      </c>
      <c r="I112">
        <v>6</v>
      </c>
      <c r="J112">
        <v>3.2</v>
      </c>
      <c r="K112">
        <v>1.8</v>
      </c>
      <c r="M112">
        <v>0.1</v>
      </c>
      <c r="V112">
        <v>0.4</v>
      </c>
      <c r="X112">
        <v>22.1</v>
      </c>
      <c r="AC112">
        <v>0.8</v>
      </c>
      <c r="AD112">
        <v>1</v>
      </c>
      <c r="AE112">
        <v>2.5999999999985399</v>
      </c>
      <c r="AK112">
        <v>15.299999999988399</v>
      </c>
      <c r="AN112">
        <v>0.29999999999972699</v>
      </c>
      <c r="AS112">
        <v>15.5</v>
      </c>
      <c r="AU112">
        <v>2.5</v>
      </c>
      <c r="AY112">
        <v>2.8999999999978199</v>
      </c>
      <c r="AZ112">
        <v>4.1999999999970896</v>
      </c>
      <c r="BE112">
        <v>1.10000000000036</v>
      </c>
      <c r="BG112">
        <v>0.5</v>
      </c>
      <c r="BH112">
        <v>5.1999999999970896</v>
      </c>
      <c r="BJ112">
        <v>0.200000000000045</v>
      </c>
      <c r="BK112">
        <v>0.60000000000036402</v>
      </c>
      <c r="BL112">
        <v>2</v>
      </c>
      <c r="BM112">
        <v>0.60000000000036402</v>
      </c>
      <c r="BN112">
        <v>0.200000000000045</v>
      </c>
      <c r="BO112">
        <v>0.100000000000023</v>
      </c>
      <c r="BT112">
        <v>9.8000000000029104</v>
      </c>
      <c r="BV112">
        <v>20.299999999988401</v>
      </c>
      <c r="BW112">
        <v>0.4</v>
      </c>
      <c r="BX112">
        <v>2</v>
      </c>
      <c r="BZ112">
        <v>11</v>
      </c>
      <c r="CB112">
        <v>2.6</v>
      </c>
      <c r="CD112">
        <v>0.8</v>
      </c>
      <c r="CF112">
        <v>4.5</v>
      </c>
      <c r="CH112">
        <v>4.7</v>
      </c>
      <c r="CJ112">
        <v>2.6</v>
      </c>
      <c r="CL112">
        <v>0.5</v>
      </c>
      <c r="CN112">
        <v>19</v>
      </c>
      <c r="CP112">
        <v>0.5</v>
      </c>
      <c r="CQ112">
        <v>3</v>
      </c>
      <c r="CY112">
        <v>4.9000000000000004</v>
      </c>
      <c r="DA112">
        <v>0.4</v>
      </c>
      <c r="DC112">
        <v>0.1</v>
      </c>
      <c r="DD112" s="5">
        <v>2.6</v>
      </c>
      <c r="DJ112" s="1">
        <v>41019</v>
      </c>
      <c r="DK112" s="2">
        <f t="shared" si="7"/>
        <v>4.0886363636357084</v>
      </c>
      <c r="DL112" s="2">
        <f t="shared" si="8"/>
        <v>1.7637254901957957</v>
      </c>
      <c r="DM112" s="2">
        <f t="shared" si="9"/>
        <v>22.1</v>
      </c>
      <c r="DN112" s="3">
        <f t="shared" si="10"/>
        <v>0.43137254901960786</v>
      </c>
      <c r="DV112" s="2">
        <v>545</v>
      </c>
      <c r="DW112">
        <v>0</v>
      </c>
      <c r="DX112">
        <f t="shared" si="11"/>
        <v>14794</v>
      </c>
      <c r="DY112">
        <f t="shared" si="6"/>
        <v>1</v>
      </c>
    </row>
    <row r="113" spans="1:129">
      <c r="A113" s="1">
        <v>41020</v>
      </c>
      <c r="B113" s="1"/>
      <c r="C113" s="1"/>
      <c r="D113">
        <v>42.5</v>
      </c>
      <c r="E113">
        <v>0.4</v>
      </c>
      <c r="I113">
        <v>6.1</v>
      </c>
      <c r="K113">
        <v>1.8</v>
      </c>
      <c r="M113">
        <v>0.7</v>
      </c>
      <c r="X113">
        <v>23.2</v>
      </c>
      <c r="AC113">
        <v>12.5</v>
      </c>
      <c r="AD113">
        <v>5.5</v>
      </c>
      <c r="AO113">
        <v>3.1999999999970901</v>
      </c>
      <c r="AQ113">
        <v>0.19999999999981799</v>
      </c>
      <c r="AT113">
        <v>0.79999999999927196</v>
      </c>
      <c r="AV113">
        <v>0.29999999999972699</v>
      </c>
      <c r="AW113">
        <v>1.1999999999989099</v>
      </c>
      <c r="AY113">
        <v>0.5</v>
      </c>
      <c r="AZ113">
        <v>7.1999999999970896</v>
      </c>
      <c r="BA113">
        <v>0.39999999999963598</v>
      </c>
      <c r="BC113">
        <v>2.2999999999992702</v>
      </c>
      <c r="BE113">
        <v>0.200000000000045</v>
      </c>
      <c r="BH113">
        <v>1</v>
      </c>
      <c r="BK113">
        <v>7.6999999999970896</v>
      </c>
      <c r="BL113">
        <v>6.9000000000014596</v>
      </c>
      <c r="BQ113">
        <v>0.200000000000045</v>
      </c>
      <c r="BT113">
        <v>0.100000000000023</v>
      </c>
      <c r="BV113">
        <v>20.299999999988401</v>
      </c>
      <c r="BW113">
        <v>0.1</v>
      </c>
      <c r="BX113">
        <v>0</v>
      </c>
      <c r="BY113">
        <v>0.3</v>
      </c>
      <c r="BZ113">
        <v>1</v>
      </c>
      <c r="CB113">
        <v>10.5</v>
      </c>
      <c r="CF113">
        <v>14.1</v>
      </c>
      <c r="CJ113">
        <v>0.2</v>
      </c>
      <c r="CL113">
        <v>1</v>
      </c>
      <c r="CN113">
        <v>1</v>
      </c>
      <c r="CO113">
        <v>0.8</v>
      </c>
      <c r="CR113">
        <v>1.4</v>
      </c>
      <c r="CX113">
        <v>1.2</v>
      </c>
      <c r="CZ113">
        <v>5.9</v>
      </c>
      <c r="DA113">
        <v>1</v>
      </c>
      <c r="DC113">
        <v>1.3</v>
      </c>
      <c r="DD113" s="5"/>
      <c r="DJ113" s="1">
        <v>41020</v>
      </c>
      <c r="DK113" s="2">
        <f t="shared" si="7"/>
        <v>4.743589743589177</v>
      </c>
      <c r="DL113" s="2">
        <f t="shared" si="8"/>
        <v>1.8137254901958617</v>
      </c>
      <c r="DM113" s="2">
        <f t="shared" si="9"/>
        <v>42.5</v>
      </c>
      <c r="DN113" s="3">
        <f t="shared" si="10"/>
        <v>0.38235294117647056</v>
      </c>
      <c r="DV113" s="2">
        <v>550</v>
      </c>
      <c r="DW113">
        <v>0</v>
      </c>
      <c r="DX113">
        <f t="shared" si="11"/>
        <v>14794</v>
      </c>
      <c r="DY113">
        <f t="shared" si="6"/>
        <v>1</v>
      </c>
    </row>
    <row r="114" spans="1:129">
      <c r="A114" s="1">
        <v>41021</v>
      </c>
      <c r="B114" s="1"/>
      <c r="C114" s="1"/>
      <c r="D114">
        <v>28.8</v>
      </c>
      <c r="I114">
        <v>1.7</v>
      </c>
      <c r="J114">
        <v>5</v>
      </c>
      <c r="K114">
        <v>1.4</v>
      </c>
      <c r="S114">
        <v>1.4</v>
      </c>
      <c r="AB114">
        <v>0.29999999999972699</v>
      </c>
      <c r="AC114">
        <v>0.29999999999972699</v>
      </c>
      <c r="AD114">
        <v>2.0999999999985399</v>
      </c>
      <c r="AW114">
        <v>8.7999999999883602</v>
      </c>
      <c r="BA114">
        <v>0.39999999999963598</v>
      </c>
      <c r="BC114">
        <v>0.79999999999927196</v>
      </c>
      <c r="BE114">
        <v>35.400000000023297</v>
      </c>
      <c r="BG114">
        <v>5</v>
      </c>
      <c r="BK114">
        <v>0.100000000000023</v>
      </c>
      <c r="BL114">
        <v>7.4000000000014596</v>
      </c>
      <c r="BN114">
        <v>0.200000000000045</v>
      </c>
      <c r="BQ114">
        <v>0.5</v>
      </c>
      <c r="BT114">
        <v>10</v>
      </c>
      <c r="BV114">
        <v>1.60000000000036</v>
      </c>
      <c r="BX114">
        <v>1.4</v>
      </c>
      <c r="BY114">
        <v>0.8</v>
      </c>
      <c r="CA114">
        <v>5.5</v>
      </c>
      <c r="CB114">
        <v>0.2</v>
      </c>
      <c r="CE114">
        <v>7.2</v>
      </c>
      <c r="CH114">
        <v>13.9</v>
      </c>
      <c r="CJ114">
        <v>1.1000000000000001</v>
      </c>
      <c r="CL114">
        <v>7</v>
      </c>
      <c r="CN114">
        <v>0.5</v>
      </c>
      <c r="CO114">
        <v>0.7</v>
      </c>
      <c r="CS114">
        <v>4.3</v>
      </c>
      <c r="CW114">
        <v>7.7</v>
      </c>
      <c r="DA114">
        <v>0.2</v>
      </c>
      <c r="DC114">
        <v>5.3</v>
      </c>
      <c r="DD114" s="5"/>
      <c r="DJ114" s="1">
        <v>41021</v>
      </c>
      <c r="DK114" s="2">
        <f t="shared" si="7"/>
        <v>5.0606060606063767</v>
      </c>
      <c r="DL114" s="2">
        <f t="shared" si="8"/>
        <v>1.6372549019608866</v>
      </c>
      <c r="DM114" s="2">
        <f t="shared" si="9"/>
        <v>35.400000000023297</v>
      </c>
      <c r="DN114" s="3">
        <f t="shared" si="10"/>
        <v>0.3235294117647059</v>
      </c>
      <c r="DV114" s="2">
        <v>555</v>
      </c>
      <c r="DW114">
        <v>0</v>
      </c>
      <c r="DX114">
        <f t="shared" si="11"/>
        <v>14794</v>
      </c>
      <c r="DY114">
        <f t="shared" si="6"/>
        <v>1</v>
      </c>
    </row>
    <row r="115" spans="1:129">
      <c r="A115" s="1">
        <v>41022</v>
      </c>
      <c r="B115" s="1"/>
      <c r="C115" s="1"/>
      <c r="D115">
        <v>2.2000000000000002</v>
      </c>
      <c r="I115">
        <v>4</v>
      </c>
      <c r="V115">
        <v>0.2</v>
      </c>
      <c r="Y115">
        <v>2.2000000000000002</v>
      </c>
      <c r="Z115">
        <v>0.19999999999981799</v>
      </c>
      <c r="AC115">
        <v>0.39999999999963598</v>
      </c>
      <c r="AE115">
        <v>0.29999999999972699</v>
      </c>
      <c r="AF115">
        <v>0.19999999999981799</v>
      </c>
      <c r="AH115">
        <v>0</v>
      </c>
      <c r="AK115">
        <v>13</v>
      </c>
      <c r="AL115">
        <v>9.9999999999908995E-2</v>
      </c>
      <c r="AO115">
        <v>3.8999999999978199</v>
      </c>
      <c r="AQ115">
        <v>12.299999999988399</v>
      </c>
      <c r="AT115">
        <v>3</v>
      </c>
      <c r="AW115">
        <v>0.19999999999981799</v>
      </c>
      <c r="AX115">
        <v>0.19999999999981799</v>
      </c>
      <c r="AY115">
        <v>0.29999999999972699</v>
      </c>
      <c r="BE115">
        <v>9</v>
      </c>
      <c r="BG115">
        <v>15.6999999999971</v>
      </c>
      <c r="BH115">
        <v>0.30000000000018201</v>
      </c>
      <c r="BJ115">
        <v>0</v>
      </c>
      <c r="BM115">
        <v>1.20000000000073</v>
      </c>
      <c r="BN115">
        <v>5.1999999999970896</v>
      </c>
      <c r="BS115">
        <v>0.100000000000023</v>
      </c>
      <c r="BT115">
        <v>0.100000000000023</v>
      </c>
      <c r="BX115">
        <v>9.9999999999908995E-2</v>
      </c>
      <c r="CA115">
        <v>3.3</v>
      </c>
      <c r="CB115">
        <v>0.1</v>
      </c>
      <c r="CE115">
        <v>1.2</v>
      </c>
      <c r="CL115">
        <v>4.5</v>
      </c>
      <c r="CN115">
        <v>9</v>
      </c>
      <c r="CO115">
        <v>5.5</v>
      </c>
      <c r="CS115">
        <v>0.3</v>
      </c>
      <c r="DC115">
        <v>0.6</v>
      </c>
      <c r="DD115" s="5"/>
      <c r="DJ115" s="1">
        <v>41022</v>
      </c>
      <c r="DK115" s="2">
        <f t="shared" si="7"/>
        <v>2.9088235294111624</v>
      </c>
      <c r="DL115" s="2">
        <f t="shared" si="8"/>
        <v>0.96960784313705417</v>
      </c>
      <c r="DM115" s="2">
        <f t="shared" si="9"/>
        <v>15.6999999999971</v>
      </c>
      <c r="DN115" s="3">
        <f t="shared" si="10"/>
        <v>0.33333333333333331</v>
      </c>
      <c r="DV115" s="2">
        <v>560</v>
      </c>
      <c r="DW115">
        <v>0</v>
      </c>
      <c r="DX115">
        <f t="shared" si="11"/>
        <v>14794</v>
      </c>
      <c r="DY115">
        <f t="shared" si="6"/>
        <v>1</v>
      </c>
    </row>
    <row r="116" spans="1:129">
      <c r="A116" s="1">
        <v>41023</v>
      </c>
      <c r="B116" s="1"/>
      <c r="C116" s="1"/>
      <c r="I116">
        <v>1.3</v>
      </c>
      <c r="K116">
        <v>4.7</v>
      </c>
      <c r="L116">
        <v>3.4</v>
      </c>
      <c r="M116">
        <v>1.2</v>
      </c>
      <c r="N116">
        <v>12.2</v>
      </c>
      <c r="T116">
        <v>1</v>
      </c>
      <c r="V116">
        <v>0</v>
      </c>
      <c r="X116">
        <v>2</v>
      </c>
      <c r="Y116">
        <v>8.8000000000000007</v>
      </c>
      <c r="AB116">
        <v>11.599999999991301</v>
      </c>
      <c r="AE116">
        <v>0.19999999999981799</v>
      </c>
      <c r="AH116">
        <v>0.29999999999972699</v>
      </c>
      <c r="AL116">
        <v>1.1999999999989099</v>
      </c>
      <c r="AN116">
        <v>1.39999999999964</v>
      </c>
      <c r="AO116">
        <v>0.79999999999927196</v>
      </c>
      <c r="AQ116">
        <v>5.3999999999941801</v>
      </c>
      <c r="AT116">
        <v>8.2999999999883602</v>
      </c>
      <c r="AV116">
        <v>1.39999999999964</v>
      </c>
      <c r="BA116">
        <v>6.6999999999970896</v>
      </c>
      <c r="BF116">
        <v>0.5</v>
      </c>
      <c r="BI116">
        <v>0.200000000000045</v>
      </c>
      <c r="BJ116">
        <v>0.100000000000023</v>
      </c>
      <c r="BM116">
        <v>9</v>
      </c>
      <c r="BP116">
        <v>0.200000000000045</v>
      </c>
      <c r="BT116">
        <v>0.200000000000045</v>
      </c>
      <c r="BX116">
        <v>7.0999999999985501</v>
      </c>
      <c r="CD116">
        <v>0.1</v>
      </c>
      <c r="CF116">
        <v>12.6</v>
      </c>
      <c r="CK116">
        <v>0</v>
      </c>
      <c r="CN116">
        <v>0.2</v>
      </c>
      <c r="CQ116">
        <v>0.1</v>
      </c>
      <c r="DB116">
        <v>2</v>
      </c>
      <c r="DD116" s="5">
        <v>6.4</v>
      </c>
      <c r="DJ116" s="1">
        <v>41023</v>
      </c>
      <c r="DK116" s="2">
        <f t="shared" si="7"/>
        <v>3.3515151515141404</v>
      </c>
      <c r="DL116" s="2">
        <f t="shared" si="8"/>
        <v>1.0843137254898689</v>
      </c>
      <c r="DM116" s="2">
        <f t="shared" si="9"/>
        <v>12.6</v>
      </c>
      <c r="DN116" s="3">
        <f t="shared" si="10"/>
        <v>0.3235294117647059</v>
      </c>
      <c r="DV116" s="2">
        <v>565</v>
      </c>
      <c r="DW116">
        <v>0</v>
      </c>
      <c r="DX116">
        <f t="shared" si="11"/>
        <v>14794</v>
      </c>
      <c r="DY116">
        <f t="shared" si="6"/>
        <v>1</v>
      </c>
    </row>
    <row r="117" spans="1:129">
      <c r="A117" s="1">
        <v>41024</v>
      </c>
      <c r="B117" s="1"/>
      <c r="C117" s="1"/>
      <c r="M117">
        <v>4.3</v>
      </c>
      <c r="N117">
        <v>1.1000000000000001</v>
      </c>
      <c r="P117">
        <v>0.6</v>
      </c>
      <c r="U117">
        <v>4.9000000000000004</v>
      </c>
      <c r="Y117">
        <v>4</v>
      </c>
      <c r="AB117">
        <v>1.39999999999964</v>
      </c>
      <c r="AC117">
        <v>2.0999999999985399</v>
      </c>
      <c r="AH117">
        <v>0</v>
      </c>
      <c r="AK117">
        <v>2.5</v>
      </c>
      <c r="AP117">
        <v>3.2999999999992702</v>
      </c>
      <c r="AQ117">
        <v>1.0999999999985499</v>
      </c>
      <c r="AS117">
        <v>0.69999999999981799</v>
      </c>
      <c r="AT117">
        <v>0.59999999999945397</v>
      </c>
      <c r="AV117">
        <v>1.79999999999927</v>
      </c>
      <c r="AW117">
        <v>0.29999999999972699</v>
      </c>
      <c r="AX117">
        <v>1.5</v>
      </c>
      <c r="BA117">
        <v>9.1999999999970896</v>
      </c>
      <c r="BC117">
        <v>1.6999999999989099</v>
      </c>
      <c r="BI117">
        <v>12.3000000000029</v>
      </c>
      <c r="BJ117">
        <v>0.100000000000023</v>
      </c>
      <c r="BM117">
        <v>0.100000000000023</v>
      </c>
      <c r="BN117">
        <v>0.89999999999963598</v>
      </c>
      <c r="BQ117">
        <v>16.700000000011599</v>
      </c>
      <c r="BX117">
        <v>2.5</v>
      </c>
      <c r="BY117">
        <v>0.2</v>
      </c>
      <c r="CD117">
        <v>2.8</v>
      </c>
      <c r="CE117">
        <v>1.3</v>
      </c>
      <c r="CL117">
        <v>15.7</v>
      </c>
      <c r="CM117">
        <v>0.5</v>
      </c>
      <c r="CN117">
        <v>16.5</v>
      </c>
      <c r="CQ117">
        <v>0.5</v>
      </c>
      <c r="CV117">
        <v>4.2</v>
      </c>
      <c r="DA117">
        <v>0.1</v>
      </c>
      <c r="DB117">
        <v>0.7</v>
      </c>
      <c r="DC117">
        <v>0.9</v>
      </c>
      <c r="DD117" s="5">
        <v>0.3</v>
      </c>
      <c r="DJ117" s="1">
        <v>41024</v>
      </c>
      <c r="DK117" s="2">
        <f t="shared" si="7"/>
        <v>3.261111111111235</v>
      </c>
      <c r="DL117" s="2">
        <f t="shared" si="8"/>
        <v>1.1509803921569064</v>
      </c>
      <c r="DM117" s="2">
        <f t="shared" si="9"/>
        <v>16.700000000011599</v>
      </c>
      <c r="DN117" s="3">
        <f t="shared" si="10"/>
        <v>0.35294117647058826</v>
      </c>
      <c r="DV117" s="2">
        <v>570</v>
      </c>
      <c r="DW117">
        <v>0</v>
      </c>
      <c r="DX117">
        <f t="shared" si="11"/>
        <v>14794</v>
      </c>
      <c r="DY117">
        <f t="shared" si="6"/>
        <v>1</v>
      </c>
    </row>
    <row r="118" spans="1:129">
      <c r="A118" s="1">
        <v>41025</v>
      </c>
      <c r="B118" s="1"/>
      <c r="C118" s="1"/>
      <c r="G118">
        <v>0.9</v>
      </c>
      <c r="H118">
        <v>1.3</v>
      </c>
      <c r="I118">
        <v>4.2</v>
      </c>
      <c r="K118">
        <v>0.4</v>
      </c>
      <c r="M118">
        <v>4.9000000000000004</v>
      </c>
      <c r="N118">
        <v>9.4</v>
      </c>
      <c r="S118">
        <v>16.7</v>
      </c>
      <c r="T118">
        <v>2</v>
      </c>
      <c r="V118">
        <v>0.8</v>
      </c>
      <c r="X118">
        <v>1.2</v>
      </c>
      <c r="Y118">
        <v>5.6</v>
      </c>
      <c r="AC118">
        <v>2.0999999999985399</v>
      </c>
      <c r="AD118">
        <v>1.0999999999985499</v>
      </c>
      <c r="AE118">
        <v>0</v>
      </c>
      <c r="AG118">
        <v>0</v>
      </c>
      <c r="AJ118">
        <v>1.0999999999985499</v>
      </c>
      <c r="AL118">
        <v>0.29999999999972699</v>
      </c>
      <c r="AN118">
        <v>16.5</v>
      </c>
      <c r="AP118">
        <v>1.1999999999989099</v>
      </c>
      <c r="AW118">
        <v>15.599999999991301</v>
      </c>
      <c r="BC118">
        <v>12</v>
      </c>
      <c r="BD118">
        <v>8.1999999999970896</v>
      </c>
      <c r="BE118">
        <v>13.5</v>
      </c>
      <c r="BF118">
        <v>1.29999999999927</v>
      </c>
      <c r="BI118">
        <v>16.600000000005799</v>
      </c>
      <c r="BJ118">
        <v>0.100000000000023</v>
      </c>
      <c r="BL118">
        <v>4.8000000000029104</v>
      </c>
      <c r="BM118">
        <v>4.8000000000029104</v>
      </c>
      <c r="BN118">
        <v>0.400000000000091</v>
      </c>
      <c r="BO118">
        <v>1.60000000000036</v>
      </c>
      <c r="BP118">
        <v>0.100000000000023</v>
      </c>
      <c r="BQ118">
        <v>0.200000000000045</v>
      </c>
      <c r="BR118">
        <v>8</v>
      </c>
      <c r="BY118">
        <v>0.4</v>
      </c>
      <c r="CD118">
        <v>7.4</v>
      </c>
      <c r="CL118">
        <v>6</v>
      </c>
      <c r="CM118">
        <v>0.5</v>
      </c>
      <c r="CN118">
        <v>4.5</v>
      </c>
      <c r="CR118">
        <v>1.7</v>
      </c>
      <c r="CS118">
        <v>2</v>
      </c>
      <c r="CV118">
        <v>4.5</v>
      </c>
      <c r="CW118">
        <v>0.8</v>
      </c>
      <c r="DB118">
        <v>0.2</v>
      </c>
      <c r="DC118">
        <v>0.3</v>
      </c>
      <c r="DD118" s="5">
        <v>7.6</v>
      </c>
      <c r="DJ118" s="1">
        <v>41025</v>
      </c>
      <c r="DK118" s="2">
        <f t="shared" si="7"/>
        <v>4.284444444444313</v>
      </c>
      <c r="DL118" s="2">
        <f t="shared" si="8"/>
        <v>1.8901960784313148</v>
      </c>
      <c r="DM118" s="2">
        <f t="shared" si="9"/>
        <v>16.7</v>
      </c>
      <c r="DN118" s="3">
        <f t="shared" si="10"/>
        <v>0.44117647058823528</v>
      </c>
      <c r="DV118" s="2">
        <v>575</v>
      </c>
      <c r="DW118">
        <v>0</v>
      </c>
      <c r="DX118">
        <f t="shared" si="11"/>
        <v>14794</v>
      </c>
      <c r="DY118">
        <f t="shared" si="6"/>
        <v>1</v>
      </c>
    </row>
    <row r="119" spans="1:129">
      <c r="A119" s="1">
        <v>41026</v>
      </c>
      <c r="B119" s="1"/>
      <c r="C119" s="1"/>
      <c r="F119">
        <v>6.7</v>
      </c>
      <c r="G119">
        <v>0.3</v>
      </c>
      <c r="H119">
        <v>0.2</v>
      </c>
      <c r="I119">
        <v>6.9</v>
      </c>
      <c r="M119">
        <v>5.7</v>
      </c>
      <c r="N119">
        <v>1.3</v>
      </c>
      <c r="AB119">
        <v>0.79999999999927196</v>
      </c>
      <c r="AD119">
        <v>0.29999999999972699</v>
      </c>
      <c r="AH119">
        <v>0</v>
      </c>
      <c r="AJ119">
        <v>1.79999999999927</v>
      </c>
      <c r="AL119">
        <v>2.5999999999985399</v>
      </c>
      <c r="AN119">
        <v>5.0999999999985501</v>
      </c>
      <c r="AS119">
        <v>1.1999999999989099</v>
      </c>
      <c r="BA119">
        <v>5.1999999999970896</v>
      </c>
      <c r="BC119">
        <v>0.19999999999981799</v>
      </c>
      <c r="BD119">
        <v>6</v>
      </c>
      <c r="BE119">
        <v>21</v>
      </c>
      <c r="BG119">
        <v>0.200000000000045</v>
      </c>
      <c r="BI119">
        <v>11.899999999994201</v>
      </c>
      <c r="BL119">
        <v>1.79999999999927</v>
      </c>
      <c r="BM119">
        <v>0.30000000000018201</v>
      </c>
      <c r="BO119">
        <v>1.79999999999927</v>
      </c>
      <c r="BU119">
        <v>0.200000000000045</v>
      </c>
      <c r="BX119">
        <v>5.5999999999985501</v>
      </c>
      <c r="BY119">
        <v>6.1</v>
      </c>
      <c r="CD119">
        <v>0.6</v>
      </c>
      <c r="CN119">
        <v>8.5</v>
      </c>
      <c r="CR119">
        <v>6.2</v>
      </c>
      <c r="CV119">
        <v>1.5</v>
      </c>
      <c r="CW119">
        <v>1.7</v>
      </c>
      <c r="CY119">
        <v>11.5</v>
      </c>
      <c r="CZ119">
        <v>1.9</v>
      </c>
      <c r="DB119">
        <v>5.3</v>
      </c>
      <c r="DD119" s="5"/>
      <c r="DJ119" s="1">
        <v>41026</v>
      </c>
      <c r="DK119" s="2">
        <f t="shared" si="7"/>
        <v>3.951515151514629</v>
      </c>
      <c r="DL119" s="2">
        <f t="shared" si="8"/>
        <v>1.2784313725488505</v>
      </c>
      <c r="DM119" s="2">
        <f t="shared" si="9"/>
        <v>21</v>
      </c>
      <c r="DN119" s="3">
        <f t="shared" si="10"/>
        <v>0.3235294117647059</v>
      </c>
      <c r="DV119" s="2">
        <v>580</v>
      </c>
      <c r="DW119">
        <v>0</v>
      </c>
      <c r="DX119">
        <f t="shared" si="11"/>
        <v>14794</v>
      </c>
      <c r="DY119">
        <f t="shared" si="6"/>
        <v>1</v>
      </c>
    </row>
    <row r="120" spans="1:129">
      <c r="A120" s="1">
        <v>41027</v>
      </c>
      <c r="B120" s="1"/>
      <c r="C120" s="1"/>
      <c r="G120">
        <v>4.5</v>
      </c>
      <c r="H120">
        <v>0.2</v>
      </c>
      <c r="I120">
        <v>1.5</v>
      </c>
      <c r="Q120">
        <v>1.5</v>
      </c>
      <c r="V120">
        <v>0.9</v>
      </c>
      <c r="AH120">
        <v>0</v>
      </c>
      <c r="AJ120">
        <v>3.3999999999978199</v>
      </c>
      <c r="AN120">
        <v>2.6999999999970901</v>
      </c>
      <c r="AR120">
        <v>1.2</v>
      </c>
      <c r="AS120">
        <v>1.39999999999964</v>
      </c>
      <c r="AV120">
        <v>0.29999999999972699</v>
      </c>
      <c r="AW120">
        <v>9.9999999999908995E-2</v>
      </c>
      <c r="BA120">
        <v>6.79999999999563</v>
      </c>
      <c r="BC120">
        <v>0.39999999999963598</v>
      </c>
      <c r="BD120">
        <v>2.7000000000007298</v>
      </c>
      <c r="BF120">
        <v>3.5</v>
      </c>
      <c r="BI120">
        <v>0.5</v>
      </c>
      <c r="BK120">
        <v>0.200000000000045</v>
      </c>
      <c r="BO120">
        <v>0.400000000000091</v>
      </c>
      <c r="BV120">
        <v>0.30000000000018201</v>
      </c>
      <c r="BX120">
        <v>7.6</v>
      </c>
      <c r="CA120">
        <v>0.1</v>
      </c>
      <c r="CC120">
        <v>0.1</v>
      </c>
      <c r="CD120">
        <v>5.9</v>
      </c>
      <c r="CE120">
        <v>4.3</v>
      </c>
      <c r="CJ120">
        <v>0.8</v>
      </c>
      <c r="CM120">
        <v>2</v>
      </c>
      <c r="CN120">
        <v>2</v>
      </c>
      <c r="CP120">
        <v>2.4</v>
      </c>
      <c r="CR120">
        <v>0.1</v>
      </c>
      <c r="CS120">
        <v>4.5999999999999996</v>
      </c>
      <c r="CV120">
        <v>0.8</v>
      </c>
      <c r="DB120">
        <v>12.8</v>
      </c>
      <c r="DD120" s="5"/>
      <c r="DJ120" s="1">
        <v>41027</v>
      </c>
      <c r="DK120" s="2">
        <f t="shared" si="7"/>
        <v>2.303030303030015</v>
      </c>
      <c r="DL120" s="2">
        <f t="shared" si="8"/>
        <v>0.74509803921559303</v>
      </c>
      <c r="DM120" s="2">
        <f t="shared" si="9"/>
        <v>12.8</v>
      </c>
      <c r="DN120" s="3">
        <f t="shared" si="10"/>
        <v>0.3235294117647059</v>
      </c>
      <c r="DV120" s="2">
        <v>585</v>
      </c>
      <c r="DW120">
        <v>0</v>
      </c>
      <c r="DX120">
        <f t="shared" si="11"/>
        <v>14794</v>
      </c>
      <c r="DY120">
        <f t="shared" si="6"/>
        <v>1</v>
      </c>
    </row>
    <row r="121" spans="1:129">
      <c r="A121" s="1">
        <v>41028</v>
      </c>
      <c r="B121" s="1"/>
      <c r="C121" s="1"/>
      <c r="D121">
        <v>1.3</v>
      </c>
      <c r="W121">
        <v>5.7</v>
      </c>
      <c r="Y121">
        <v>3.6</v>
      </c>
      <c r="AE121">
        <v>0.5</v>
      </c>
      <c r="AG121">
        <v>2.1999999999970901</v>
      </c>
      <c r="AJ121">
        <v>4.5999999999985501</v>
      </c>
      <c r="AK121">
        <v>3</v>
      </c>
      <c r="AR121">
        <v>2.2999999999999998</v>
      </c>
      <c r="AX121">
        <v>0.39999999999963598</v>
      </c>
      <c r="BB121">
        <v>2.8999999999978199</v>
      </c>
      <c r="BF121">
        <v>17.200000000011599</v>
      </c>
      <c r="BG121">
        <v>4.0999999999985501</v>
      </c>
      <c r="BI121">
        <v>1.20000000000073</v>
      </c>
      <c r="BL121">
        <v>2.7000000000007298</v>
      </c>
      <c r="BN121">
        <v>0.30000000000018201</v>
      </c>
      <c r="BO121">
        <v>10.899999999994201</v>
      </c>
      <c r="BR121">
        <v>7.9000000000014596</v>
      </c>
      <c r="BU121">
        <v>3.9000000000014601</v>
      </c>
      <c r="BV121">
        <v>2.7999999999992702</v>
      </c>
      <c r="BY121">
        <v>7.5</v>
      </c>
      <c r="CA121">
        <v>2.8</v>
      </c>
      <c r="CC121">
        <v>0.1</v>
      </c>
      <c r="CD121">
        <v>1.1000000000000001</v>
      </c>
      <c r="CE121">
        <v>14</v>
      </c>
      <c r="CL121">
        <v>0.2</v>
      </c>
      <c r="CN121">
        <v>6.5</v>
      </c>
      <c r="CS121">
        <v>7.8</v>
      </c>
      <c r="CT121">
        <v>6.3</v>
      </c>
      <c r="CW121">
        <v>1.7</v>
      </c>
      <c r="CY121">
        <v>0.1</v>
      </c>
      <c r="DB121">
        <v>0.1</v>
      </c>
      <c r="DC121">
        <v>8.9</v>
      </c>
      <c r="DD121" s="5"/>
      <c r="DJ121" s="1">
        <v>41028</v>
      </c>
      <c r="DK121" s="2">
        <f t="shared" si="7"/>
        <v>4.2062500000000389</v>
      </c>
      <c r="DL121" s="2">
        <f t="shared" si="8"/>
        <v>1.3196078431372671</v>
      </c>
      <c r="DM121" s="2">
        <f t="shared" si="9"/>
        <v>17.200000000011599</v>
      </c>
      <c r="DN121" s="3">
        <f t="shared" si="10"/>
        <v>0.31372549019607843</v>
      </c>
      <c r="DV121" s="2">
        <v>590</v>
      </c>
      <c r="DW121">
        <v>0</v>
      </c>
      <c r="DX121">
        <f t="shared" si="11"/>
        <v>14794</v>
      </c>
      <c r="DY121">
        <f t="shared" si="6"/>
        <v>1</v>
      </c>
    </row>
    <row r="122" spans="1:129">
      <c r="A122" s="1">
        <v>41029</v>
      </c>
      <c r="B122" s="1"/>
      <c r="C122" s="1"/>
      <c r="O122">
        <v>0.1</v>
      </c>
      <c r="P122">
        <v>0.1</v>
      </c>
      <c r="AE122">
        <v>0</v>
      </c>
      <c r="AF122">
        <v>3.5</v>
      </c>
      <c r="AI122">
        <v>10.1999999999971</v>
      </c>
      <c r="AJ122">
        <v>1.5</v>
      </c>
      <c r="AL122">
        <v>9.9999999999908995E-2</v>
      </c>
      <c r="AM122">
        <v>2.8999999999978199</v>
      </c>
      <c r="AP122">
        <v>1.39999999999964</v>
      </c>
      <c r="AS122">
        <v>0.29999999999972699</v>
      </c>
      <c r="AU122">
        <v>3</v>
      </c>
      <c r="AX122">
        <v>5</v>
      </c>
      <c r="BB122">
        <v>0.29999999999972699</v>
      </c>
      <c r="BE122">
        <v>2.0999999999985399</v>
      </c>
      <c r="BG122">
        <v>0.60000000000036402</v>
      </c>
      <c r="BI122">
        <v>0</v>
      </c>
      <c r="BL122">
        <v>10.5</v>
      </c>
      <c r="BM122">
        <v>0.400000000000091</v>
      </c>
      <c r="BN122">
        <v>5.5999999999985501</v>
      </c>
      <c r="BO122">
        <v>6.8000000000029104</v>
      </c>
      <c r="BP122">
        <v>0</v>
      </c>
      <c r="BQ122">
        <v>0.100000000000023</v>
      </c>
      <c r="BU122">
        <v>1.10000000000036</v>
      </c>
      <c r="BV122">
        <v>0.30000000000018201</v>
      </c>
      <c r="BY122">
        <v>2.8</v>
      </c>
      <c r="BZ122">
        <v>4.8</v>
      </c>
      <c r="CA122">
        <v>4.4000000000000004</v>
      </c>
      <c r="CD122">
        <v>0.2</v>
      </c>
      <c r="CE122">
        <v>8.1999999999999993</v>
      </c>
      <c r="CG122">
        <v>5.9</v>
      </c>
      <c r="CS122">
        <v>3.4</v>
      </c>
      <c r="DB122">
        <v>1.3</v>
      </c>
      <c r="DD122" s="5"/>
      <c r="DJ122" s="1">
        <v>41029</v>
      </c>
      <c r="DK122" s="2">
        <f t="shared" si="7"/>
        <v>2.7156249999998425</v>
      </c>
      <c r="DL122" s="2">
        <f t="shared" si="8"/>
        <v>0.85196078431367606</v>
      </c>
      <c r="DM122" s="2">
        <f t="shared" si="9"/>
        <v>10.5</v>
      </c>
      <c r="DN122" s="3">
        <f t="shared" si="10"/>
        <v>0.31372549019607843</v>
      </c>
      <c r="DV122" s="2">
        <v>595</v>
      </c>
      <c r="DW122">
        <v>0</v>
      </c>
      <c r="DX122">
        <f t="shared" si="11"/>
        <v>14794</v>
      </c>
      <c r="DY122">
        <f t="shared" si="6"/>
        <v>1</v>
      </c>
    </row>
    <row r="123" spans="1:129">
      <c r="A123" s="1">
        <v>41030</v>
      </c>
      <c r="B123" s="1"/>
      <c r="C123" s="1"/>
      <c r="D123">
        <v>1.4</v>
      </c>
      <c r="E123">
        <v>1.3</v>
      </c>
      <c r="H123">
        <v>1.2</v>
      </c>
      <c r="K123">
        <v>15</v>
      </c>
      <c r="O123">
        <v>0.1</v>
      </c>
      <c r="P123">
        <v>44.7</v>
      </c>
      <c r="AA123">
        <v>1</v>
      </c>
      <c r="AD123">
        <v>0.69999999999981799</v>
      </c>
      <c r="AE123">
        <v>2.5</v>
      </c>
      <c r="AI123">
        <v>0.4</v>
      </c>
      <c r="AJ123">
        <v>8.8999999999941792</v>
      </c>
      <c r="AL123">
        <v>0.29999999999972699</v>
      </c>
      <c r="AN123">
        <v>8.2999999999883602</v>
      </c>
      <c r="AP123">
        <v>9.2999999999883602</v>
      </c>
      <c r="AU123">
        <v>1</v>
      </c>
      <c r="AV123">
        <v>1.29999999999927</v>
      </c>
      <c r="AX123">
        <v>8.5</v>
      </c>
      <c r="BB123">
        <v>2.6999999999970901</v>
      </c>
      <c r="BG123">
        <v>0.69999999999981799</v>
      </c>
      <c r="BL123">
        <v>5.1999999999970896</v>
      </c>
      <c r="BM123">
        <v>0.100000000000023</v>
      </c>
      <c r="BN123">
        <v>4.6999999999970896</v>
      </c>
      <c r="BO123">
        <v>15.100000000005799</v>
      </c>
      <c r="BQ123">
        <v>0.200000000000045</v>
      </c>
      <c r="BT123">
        <v>3.5999999999985399</v>
      </c>
      <c r="BX123">
        <v>5.8999999999941801</v>
      </c>
      <c r="CA123">
        <v>0.5</v>
      </c>
      <c r="CC123">
        <v>0.9</v>
      </c>
      <c r="CD123">
        <v>25.7</v>
      </c>
      <c r="CE123">
        <v>0.5</v>
      </c>
      <c r="CG123">
        <v>6.5</v>
      </c>
      <c r="CH123">
        <v>3.9</v>
      </c>
      <c r="CS123">
        <v>0.1</v>
      </c>
      <c r="CU123">
        <v>5.9</v>
      </c>
      <c r="CW123">
        <v>8.5</v>
      </c>
      <c r="CY123">
        <v>2.5</v>
      </c>
      <c r="DB123">
        <v>1.1000000000000001</v>
      </c>
      <c r="DD123" s="5"/>
      <c r="DJ123" s="1">
        <v>41030</v>
      </c>
      <c r="DK123" s="2">
        <f t="shared" si="7"/>
        <v>5.4108108108097133</v>
      </c>
      <c r="DL123" s="2">
        <f t="shared" si="8"/>
        <v>1.9627450980388177</v>
      </c>
      <c r="DM123" s="2">
        <f t="shared" si="9"/>
        <v>44.7</v>
      </c>
      <c r="DN123" s="3">
        <f t="shared" si="10"/>
        <v>0.36274509803921567</v>
      </c>
      <c r="DV123" s="2">
        <v>600</v>
      </c>
      <c r="DW123">
        <v>0</v>
      </c>
      <c r="DX123">
        <f t="shared" si="11"/>
        <v>14794</v>
      </c>
      <c r="DY123">
        <f t="shared" si="6"/>
        <v>1</v>
      </c>
    </row>
    <row r="124" spans="1:129">
      <c r="A124" s="1">
        <v>41031</v>
      </c>
      <c r="B124" s="1"/>
      <c r="C124" s="1"/>
      <c r="D124">
        <v>1.3</v>
      </c>
      <c r="E124">
        <v>0.3</v>
      </c>
      <c r="O124">
        <v>1.4</v>
      </c>
      <c r="P124">
        <v>3.7</v>
      </c>
      <c r="T124">
        <v>1</v>
      </c>
      <c r="V124">
        <v>0</v>
      </c>
      <c r="AA124">
        <v>43.199999999953398</v>
      </c>
      <c r="AD124">
        <v>14.899999999994201</v>
      </c>
      <c r="AI124">
        <v>9.9999999999908995E-2</v>
      </c>
      <c r="AJ124">
        <v>1.6999999999989099</v>
      </c>
      <c r="AL124">
        <v>1.29999999999927</v>
      </c>
      <c r="AP124">
        <v>3.5</v>
      </c>
      <c r="AS124">
        <v>0.39999999999963598</v>
      </c>
      <c r="AU124">
        <v>0.39999999999963598</v>
      </c>
      <c r="AV124">
        <v>0.59999999999945397</v>
      </c>
      <c r="BA124">
        <v>11</v>
      </c>
      <c r="BB124">
        <v>2.5</v>
      </c>
      <c r="BD124">
        <v>12.899999999994201</v>
      </c>
      <c r="BE124">
        <v>1.60000000000036</v>
      </c>
      <c r="BI124">
        <v>0.200000000000045</v>
      </c>
      <c r="BL124">
        <v>1.70000000000073</v>
      </c>
      <c r="BM124">
        <v>0.200000000000045</v>
      </c>
      <c r="BN124">
        <v>2.7999999999992702</v>
      </c>
      <c r="BO124">
        <v>1.39999999999964</v>
      </c>
      <c r="BQ124">
        <v>0</v>
      </c>
      <c r="BR124">
        <v>0</v>
      </c>
      <c r="BT124">
        <v>4</v>
      </c>
      <c r="BU124">
        <v>8.6999999999970896</v>
      </c>
      <c r="BW124">
        <v>3.2</v>
      </c>
      <c r="BX124">
        <v>0.89999999999963598</v>
      </c>
      <c r="CC124">
        <v>0.3</v>
      </c>
      <c r="CD124">
        <v>9.1999999999999993</v>
      </c>
      <c r="CG124">
        <v>0.3</v>
      </c>
      <c r="CH124">
        <v>0.4</v>
      </c>
      <c r="CI124">
        <v>0.1</v>
      </c>
      <c r="CJ124">
        <v>0</v>
      </c>
      <c r="CN124">
        <v>9.5</v>
      </c>
      <c r="CU124">
        <v>13.3</v>
      </c>
      <c r="CV124">
        <v>10.5</v>
      </c>
      <c r="CW124">
        <v>1.3</v>
      </c>
      <c r="DC124">
        <v>3</v>
      </c>
      <c r="DD124" s="5">
        <v>1.5</v>
      </c>
      <c r="DJ124" s="1">
        <v>41031</v>
      </c>
      <c r="DK124" s="2">
        <f t="shared" si="7"/>
        <v>4.1499999999984638</v>
      </c>
      <c r="DL124" s="2">
        <f t="shared" si="8"/>
        <v>1.708823529411132</v>
      </c>
      <c r="DM124" s="2">
        <f t="shared" si="9"/>
        <v>43.199999999953398</v>
      </c>
      <c r="DN124" s="3">
        <f t="shared" si="10"/>
        <v>0.41176470588235292</v>
      </c>
      <c r="DV124" s="2">
        <v>605</v>
      </c>
      <c r="DW124">
        <v>0</v>
      </c>
      <c r="DX124">
        <f t="shared" si="11"/>
        <v>14794</v>
      </c>
      <c r="DY124">
        <f t="shared" si="6"/>
        <v>1</v>
      </c>
    </row>
    <row r="125" spans="1:129">
      <c r="A125" s="1">
        <v>41032</v>
      </c>
      <c r="B125" s="1"/>
      <c r="C125" s="1"/>
      <c r="F125">
        <v>4.3</v>
      </c>
      <c r="G125">
        <v>0.3</v>
      </c>
      <c r="H125">
        <v>1.4</v>
      </c>
      <c r="I125">
        <v>1.2</v>
      </c>
      <c r="O125">
        <v>13.9</v>
      </c>
      <c r="S125">
        <v>0.1</v>
      </c>
      <c r="T125">
        <v>8.1999999999999993</v>
      </c>
      <c r="V125">
        <v>3.7</v>
      </c>
      <c r="AA125">
        <v>0.59999999999945397</v>
      </c>
      <c r="AB125">
        <v>14</v>
      </c>
      <c r="AD125">
        <v>23.299999999988401</v>
      </c>
      <c r="AF125">
        <v>1.39999999999964</v>
      </c>
      <c r="AG125">
        <v>0.19999999999981799</v>
      </c>
      <c r="AK125">
        <v>0.5</v>
      </c>
      <c r="AW125">
        <v>0.39999999999963598</v>
      </c>
      <c r="BD125">
        <v>1.20000000000073</v>
      </c>
      <c r="BE125">
        <v>0.5</v>
      </c>
      <c r="BI125">
        <v>0.200000000000045</v>
      </c>
      <c r="BJ125">
        <v>7.4000000000014596</v>
      </c>
      <c r="BN125">
        <v>3.4000000000014601</v>
      </c>
      <c r="BO125">
        <v>1.79999999999927</v>
      </c>
      <c r="BP125">
        <v>2.7999999999992702</v>
      </c>
      <c r="BU125">
        <v>0.200000000000045</v>
      </c>
      <c r="CA125">
        <v>0.4</v>
      </c>
      <c r="CC125">
        <v>4.7</v>
      </c>
      <c r="CD125">
        <v>3.6</v>
      </c>
      <c r="CG125">
        <v>0.2</v>
      </c>
      <c r="CK125">
        <v>0.3</v>
      </c>
      <c r="CL125">
        <v>0.1</v>
      </c>
      <c r="CN125">
        <v>0.3</v>
      </c>
      <c r="CS125">
        <v>0.1</v>
      </c>
      <c r="CV125">
        <v>0.1</v>
      </c>
      <c r="CW125">
        <v>0.2</v>
      </c>
      <c r="CY125">
        <v>9.9</v>
      </c>
      <c r="DB125">
        <v>0.6</v>
      </c>
      <c r="DC125">
        <v>6.6</v>
      </c>
      <c r="DD125" s="5">
        <v>2.7</v>
      </c>
      <c r="DJ125" s="1">
        <v>41032</v>
      </c>
      <c r="DK125" s="2">
        <f t="shared" si="7"/>
        <v>3.2648648648645731</v>
      </c>
      <c r="DL125" s="2">
        <f t="shared" si="8"/>
        <v>1.1843137254900904</v>
      </c>
      <c r="DM125" s="2">
        <f t="shared" si="9"/>
        <v>23.299999999988401</v>
      </c>
      <c r="DN125" s="3">
        <f t="shared" si="10"/>
        <v>0.36274509803921567</v>
      </c>
      <c r="DV125" s="2">
        <v>610</v>
      </c>
      <c r="DW125">
        <v>0</v>
      </c>
      <c r="DX125">
        <f t="shared" si="11"/>
        <v>14794</v>
      </c>
      <c r="DY125">
        <f t="shared" si="6"/>
        <v>1</v>
      </c>
    </row>
    <row r="126" spans="1:129">
      <c r="A126" s="1">
        <v>41033</v>
      </c>
      <c r="B126" s="1"/>
      <c r="C126" s="1"/>
      <c r="D126">
        <v>0.2</v>
      </c>
      <c r="I126">
        <v>0.3</v>
      </c>
      <c r="K126">
        <v>13.5</v>
      </c>
      <c r="O126">
        <v>4.2</v>
      </c>
      <c r="Q126">
        <v>2.2000000000000002</v>
      </c>
      <c r="T126">
        <v>9.1999999999999993</v>
      </c>
      <c r="V126">
        <v>7.1</v>
      </c>
      <c r="X126">
        <v>0</v>
      </c>
      <c r="AA126">
        <v>0.29999999999972699</v>
      </c>
      <c r="AB126">
        <v>7</v>
      </c>
      <c r="AD126">
        <v>5.5</v>
      </c>
      <c r="AE126">
        <v>0</v>
      </c>
      <c r="AF126">
        <v>7.3999999999941801</v>
      </c>
      <c r="AH126">
        <v>1</v>
      </c>
      <c r="AI126">
        <v>0.29999999999972699</v>
      </c>
      <c r="AL126">
        <v>2.5</v>
      </c>
      <c r="AP126">
        <v>9.2999999999883602</v>
      </c>
      <c r="AV126">
        <v>0.19999999999981799</v>
      </c>
      <c r="AW126">
        <v>14</v>
      </c>
      <c r="BG126">
        <v>10.100000000005799</v>
      </c>
      <c r="BI126">
        <v>0.100000000000023</v>
      </c>
      <c r="BJ126">
        <v>0.200000000000045</v>
      </c>
      <c r="BL126">
        <v>7</v>
      </c>
      <c r="BM126">
        <v>0</v>
      </c>
      <c r="BP126">
        <v>0.30000000000018201</v>
      </c>
      <c r="BY126">
        <v>1.1000000000000001</v>
      </c>
      <c r="CD126">
        <v>2.6</v>
      </c>
      <c r="CI126">
        <v>0</v>
      </c>
      <c r="CL126">
        <v>0.5</v>
      </c>
      <c r="CV126">
        <v>3.3</v>
      </c>
      <c r="CY126">
        <v>8.1999999999999993</v>
      </c>
      <c r="DB126">
        <v>4.9000000000000004</v>
      </c>
      <c r="DD126" s="5">
        <v>6.6</v>
      </c>
      <c r="DJ126" s="1">
        <v>41033</v>
      </c>
      <c r="DK126" s="2">
        <f t="shared" si="7"/>
        <v>3.9121212121208444</v>
      </c>
      <c r="DL126" s="2">
        <f t="shared" si="8"/>
        <v>1.2656862745096848</v>
      </c>
      <c r="DM126" s="2">
        <f t="shared" si="9"/>
        <v>14</v>
      </c>
      <c r="DN126" s="3">
        <f t="shared" si="10"/>
        <v>0.3235294117647059</v>
      </c>
      <c r="DV126" s="2">
        <v>615</v>
      </c>
      <c r="DW126">
        <v>0</v>
      </c>
      <c r="DX126">
        <f t="shared" si="11"/>
        <v>14794</v>
      </c>
      <c r="DY126">
        <f t="shared" si="6"/>
        <v>1</v>
      </c>
    </row>
    <row r="127" spans="1:129">
      <c r="A127" s="1">
        <v>41034</v>
      </c>
      <c r="B127" s="1"/>
      <c r="C127" s="1"/>
      <c r="E127">
        <v>11.6</v>
      </c>
      <c r="G127">
        <v>1.5</v>
      </c>
      <c r="K127">
        <v>3.6</v>
      </c>
      <c r="N127">
        <v>4.8</v>
      </c>
      <c r="Q127">
        <v>2.4</v>
      </c>
      <c r="V127">
        <v>2.2000000000000002</v>
      </c>
      <c r="AC127">
        <v>11.099999999991301</v>
      </c>
      <c r="AD127">
        <v>1.29999999999927</v>
      </c>
      <c r="AE127">
        <v>2.7999999999992702</v>
      </c>
      <c r="AG127">
        <v>0.59999999999945397</v>
      </c>
      <c r="AJ127">
        <v>0.69999999999981799</v>
      </c>
      <c r="AS127">
        <v>5.0999999999985501</v>
      </c>
      <c r="AU127">
        <v>0.79999999999927196</v>
      </c>
      <c r="AY127">
        <v>22</v>
      </c>
      <c r="BL127">
        <v>2.2000000000007298</v>
      </c>
      <c r="BO127">
        <v>0.100000000000023</v>
      </c>
      <c r="BQ127">
        <v>0.400000000000091</v>
      </c>
      <c r="BU127">
        <v>18.5</v>
      </c>
      <c r="BY127">
        <v>0</v>
      </c>
      <c r="CD127">
        <v>1.6</v>
      </c>
      <c r="CE127">
        <v>6.8</v>
      </c>
      <c r="CG127">
        <v>0.1</v>
      </c>
      <c r="CM127">
        <v>0.3</v>
      </c>
      <c r="CO127">
        <v>1.6</v>
      </c>
      <c r="CR127">
        <v>12.8</v>
      </c>
      <c r="CS127">
        <v>0</v>
      </c>
      <c r="CY127">
        <v>0.1</v>
      </c>
      <c r="DB127">
        <v>0.5</v>
      </c>
      <c r="DD127" s="5">
        <v>1.4</v>
      </c>
      <c r="DJ127" s="1">
        <v>41034</v>
      </c>
      <c r="DK127" s="2">
        <f t="shared" si="7"/>
        <v>4.0310344827581988</v>
      </c>
      <c r="DL127" s="2">
        <f t="shared" si="8"/>
        <v>1.146078431372429</v>
      </c>
      <c r="DM127" s="2">
        <f t="shared" si="9"/>
        <v>22</v>
      </c>
      <c r="DN127" s="3">
        <f t="shared" si="10"/>
        <v>0.28431372549019607</v>
      </c>
      <c r="DV127" s="2">
        <v>620</v>
      </c>
      <c r="DW127">
        <v>0</v>
      </c>
      <c r="DX127">
        <f t="shared" si="11"/>
        <v>14794</v>
      </c>
      <c r="DY127">
        <f t="shared" si="6"/>
        <v>1</v>
      </c>
    </row>
    <row r="128" spans="1:129">
      <c r="A128" s="1">
        <v>41035</v>
      </c>
      <c r="B128" s="1"/>
      <c r="C128" s="1"/>
      <c r="J128">
        <v>0.3</v>
      </c>
      <c r="N128">
        <v>10.6</v>
      </c>
      <c r="Y128">
        <v>12</v>
      </c>
      <c r="AC128">
        <v>9.7999999999883602</v>
      </c>
      <c r="AD128">
        <v>0.39999999999963598</v>
      </c>
      <c r="AF128">
        <v>0</v>
      </c>
      <c r="AG128">
        <v>41.399999999965097</v>
      </c>
      <c r="AN128">
        <v>1.6999999999989099</v>
      </c>
      <c r="AP128">
        <v>2.7999999999992702</v>
      </c>
      <c r="AQ128">
        <v>1</v>
      </c>
      <c r="AS128">
        <v>1.29999999999927</v>
      </c>
      <c r="AY128">
        <v>14.5</v>
      </c>
      <c r="BD128">
        <v>8.1000000000058208</v>
      </c>
      <c r="BE128">
        <v>2.4000000000014601</v>
      </c>
      <c r="BK128">
        <v>3.4000000000014601</v>
      </c>
      <c r="BM128">
        <v>0</v>
      </c>
      <c r="BN128">
        <v>0</v>
      </c>
      <c r="BU128">
        <v>1.39999999999964</v>
      </c>
      <c r="BX128">
        <v>0.29999999999972699</v>
      </c>
      <c r="BY128">
        <v>0.1</v>
      </c>
      <c r="CA128">
        <v>0.1</v>
      </c>
      <c r="CB128">
        <v>0.7</v>
      </c>
      <c r="CC128">
        <v>0.5</v>
      </c>
      <c r="CL128">
        <v>8</v>
      </c>
      <c r="CM128">
        <v>2.2999999999999998</v>
      </c>
      <c r="CO128">
        <v>18.5</v>
      </c>
      <c r="CV128">
        <v>0.2</v>
      </c>
      <c r="CY128">
        <v>1</v>
      </c>
      <c r="DB128">
        <v>0.1</v>
      </c>
      <c r="DD128" s="5"/>
      <c r="DJ128" s="1">
        <v>41035</v>
      </c>
      <c r="DK128" s="2">
        <f t="shared" si="7"/>
        <v>4.9275862068951248</v>
      </c>
      <c r="DL128" s="2">
        <f t="shared" si="8"/>
        <v>1.4009803921564572</v>
      </c>
      <c r="DM128" s="2">
        <f t="shared" si="9"/>
        <v>41.399999999965097</v>
      </c>
      <c r="DN128" s="3">
        <f t="shared" si="10"/>
        <v>0.28431372549019607</v>
      </c>
      <c r="DV128" s="2">
        <v>625</v>
      </c>
      <c r="DW128">
        <v>0</v>
      </c>
      <c r="DX128">
        <f t="shared" si="11"/>
        <v>14794</v>
      </c>
      <c r="DY128">
        <f t="shared" si="6"/>
        <v>1</v>
      </c>
    </row>
    <row r="129" spans="1:129">
      <c r="A129" s="1">
        <v>41036</v>
      </c>
      <c r="B129" s="1"/>
      <c r="C129" s="1"/>
      <c r="F129">
        <v>0.2</v>
      </c>
      <c r="H129">
        <v>2.1</v>
      </c>
      <c r="J129">
        <v>0.3</v>
      </c>
      <c r="M129">
        <v>0.4</v>
      </c>
      <c r="R129">
        <v>0.5</v>
      </c>
      <c r="AB129">
        <v>2.3999999999978199</v>
      </c>
      <c r="AC129">
        <v>1.29999999999927</v>
      </c>
      <c r="AG129">
        <v>1</v>
      </c>
      <c r="AL129">
        <v>0.79999999999927196</v>
      </c>
      <c r="AN129">
        <v>6.29999999999563</v>
      </c>
      <c r="AP129">
        <v>1.5999999999985499</v>
      </c>
      <c r="AS129">
        <v>2.0999999999985399</v>
      </c>
      <c r="AT129">
        <v>9.9999999999908995E-2</v>
      </c>
      <c r="AW129">
        <v>5</v>
      </c>
      <c r="AY129">
        <v>23.699999999982499</v>
      </c>
      <c r="BD129">
        <v>0.200000000000045</v>
      </c>
      <c r="BK129">
        <v>1.60000000000036</v>
      </c>
      <c r="BN129">
        <v>2.2000000000007298</v>
      </c>
      <c r="BU129">
        <v>27.799999999988401</v>
      </c>
      <c r="BW129">
        <v>4.2</v>
      </c>
      <c r="CB129">
        <v>0.1</v>
      </c>
      <c r="CC129">
        <v>14.7</v>
      </c>
      <c r="CH129">
        <v>16.7</v>
      </c>
      <c r="CI129">
        <v>0.8</v>
      </c>
      <c r="CM129">
        <v>1</v>
      </c>
      <c r="CO129">
        <v>0.5</v>
      </c>
      <c r="CS129">
        <v>1.8</v>
      </c>
      <c r="CU129">
        <v>0.2</v>
      </c>
      <c r="CY129">
        <v>0.1</v>
      </c>
      <c r="DC129">
        <v>47.8</v>
      </c>
      <c r="DD129" s="5"/>
      <c r="DJ129" s="1">
        <v>41036</v>
      </c>
      <c r="DK129" s="2">
        <f t="shared" si="7"/>
        <v>5.5833333333320336</v>
      </c>
      <c r="DL129" s="2">
        <f t="shared" si="8"/>
        <v>1.6421568627447158</v>
      </c>
      <c r="DM129" s="2">
        <f t="shared" si="9"/>
        <v>47.8</v>
      </c>
      <c r="DN129" s="3">
        <f t="shared" si="10"/>
        <v>0.29411764705882354</v>
      </c>
      <c r="DV129" s="2">
        <v>630</v>
      </c>
      <c r="DW129">
        <v>0</v>
      </c>
      <c r="DX129">
        <f t="shared" si="11"/>
        <v>14794</v>
      </c>
      <c r="DY129">
        <f t="shared" si="6"/>
        <v>1</v>
      </c>
    </row>
    <row r="130" spans="1:129">
      <c r="A130" s="1">
        <v>41037</v>
      </c>
      <c r="B130" s="1"/>
      <c r="C130" s="1"/>
      <c r="E130">
        <v>9.6</v>
      </c>
      <c r="H130">
        <v>0.2</v>
      </c>
      <c r="R130">
        <v>0.5</v>
      </c>
      <c r="Y130">
        <v>0.1</v>
      </c>
      <c r="AB130">
        <v>2.0999999999985399</v>
      </c>
      <c r="AG130">
        <v>0.39999999999963598</v>
      </c>
      <c r="AI130">
        <v>1.89999999999964</v>
      </c>
      <c r="AM130">
        <v>5.29999999999563</v>
      </c>
      <c r="AN130">
        <v>3.5</v>
      </c>
      <c r="AR130">
        <v>1.0999999999985499</v>
      </c>
      <c r="AS130">
        <v>4.79999999999563</v>
      </c>
      <c r="AT130">
        <v>0.79999999999927196</v>
      </c>
      <c r="AW130">
        <v>7</v>
      </c>
      <c r="BD130">
        <v>18.899999999994201</v>
      </c>
      <c r="BE130">
        <v>3.5</v>
      </c>
      <c r="BJ130">
        <v>0.100000000000023</v>
      </c>
      <c r="BK130">
        <v>1.5</v>
      </c>
      <c r="BN130">
        <v>0.100000000000023</v>
      </c>
      <c r="BR130">
        <v>1.20000000000073</v>
      </c>
      <c r="BU130">
        <v>11.5</v>
      </c>
      <c r="CA130">
        <v>0.8</v>
      </c>
      <c r="CC130">
        <v>5.8</v>
      </c>
      <c r="CG130">
        <v>11.6</v>
      </c>
      <c r="CH130">
        <v>4.4000000000000004</v>
      </c>
      <c r="CI130">
        <v>5.5</v>
      </c>
      <c r="CT130">
        <v>7.8</v>
      </c>
      <c r="CX130">
        <v>0.1</v>
      </c>
      <c r="DB130">
        <v>3.2</v>
      </c>
      <c r="DC130">
        <v>10.8</v>
      </c>
      <c r="DD130" s="5"/>
      <c r="DJ130" s="1">
        <v>41037</v>
      </c>
      <c r="DK130" s="2">
        <f t="shared" si="7"/>
        <v>4.2793103448269605</v>
      </c>
      <c r="DL130" s="2">
        <f t="shared" si="8"/>
        <v>1.2166666666664887</v>
      </c>
      <c r="DM130" s="2">
        <f t="shared" si="9"/>
        <v>18.899999999994201</v>
      </c>
      <c r="DN130" s="3">
        <f t="shared" si="10"/>
        <v>0.28431372549019607</v>
      </c>
      <c r="DV130" s="2">
        <v>635</v>
      </c>
      <c r="DW130">
        <v>0</v>
      </c>
      <c r="DX130">
        <f t="shared" si="11"/>
        <v>14794</v>
      </c>
      <c r="DY130">
        <f t="shared" ref="DY130:DY193" si="12">DX130/(SUM(DW$1:DW$38))</f>
        <v>1</v>
      </c>
    </row>
    <row r="131" spans="1:129">
      <c r="A131" s="1">
        <v>41038</v>
      </c>
      <c r="B131" s="1"/>
      <c r="C131" s="1"/>
      <c r="D131">
        <v>0.4</v>
      </c>
      <c r="E131">
        <v>1.9</v>
      </c>
      <c r="G131">
        <v>2.8</v>
      </c>
      <c r="N131">
        <v>0.1</v>
      </c>
      <c r="W131">
        <v>3.1</v>
      </c>
      <c r="Y131">
        <v>0.5</v>
      </c>
      <c r="AG131">
        <v>1.0999999999985499</v>
      </c>
      <c r="AM131">
        <v>7.8999999999941801</v>
      </c>
      <c r="AO131">
        <v>2.1999999999970901</v>
      </c>
      <c r="AS131">
        <v>11.399999999994201</v>
      </c>
      <c r="AZ131">
        <v>5.29999999999563</v>
      </c>
      <c r="BA131">
        <v>3.2999999999992702</v>
      </c>
      <c r="BD131">
        <v>2.5999999999985399</v>
      </c>
      <c r="BE131">
        <v>3.7000000000007298</v>
      </c>
      <c r="BF131">
        <v>4</v>
      </c>
      <c r="BJ131">
        <v>0.100000000000023</v>
      </c>
      <c r="BK131">
        <v>4.4000000000014596</v>
      </c>
      <c r="BM131">
        <v>0</v>
      </c>
      <c r="BN131">
        <v>1.39999999999964</v>
      </c>
      <c r="BQ131">
        <v>0.100000000000023</v>
      </c>
      <c r="BT131">
        <v>0.200000000000045</v>
      </c>
      <c r="BU131">
        <v>0.80000000000018201</v>
      </c>
      <c r="BY131">
        <v>1.7</v>
      </c>
      <c r="BZ131">
        <v>0</v>
      </c>
      <c r="CA131">
        <v>1.3</v>
      </c>
      <c r="CC131">
        <v>5</v>
      </c>
      <c r="CG131">
        <v>7.5</v>
      </c>
      <c r="CH131">
        <v>0.2</v>
      </c>
      <c r="CI131">
        <v>0.1</v>
      </c>
      <c r="CL131">
        <v>2.7</v>
      </c>
      <c r="CO131">
        <v>0.1</v>
      </c>
      <c r="CT131">
        <v>0.2</v>
      </c>
      <c r="CV131">
        <v>0.3</v>
      </c>
      <c r="DA131">
        <v>0.1</v>
      </c>
      <c r="DB131">
        <v>23.7</v>
      </c>
      <c r="DD131" s="5"/>
      <c r="DJ131" s="1">
        <v>41038</v>
      </c>
      <c r="DK131" s="2">
        <f t="shared" ref="DK131:DK183" si="13">AVERAGE(D131:DD131)</f>
        <v>2.8628571428565586</v>
      </c>
      <c r="DL131" s="2">
        <f t="shared" ref="DL131:DL183" si="14">SUM(D131:DD131)/(COUNTA(D131:DA131)+COUNTBLANK(D131:DA131))</f>
        <v>0.98235294117627014</v>
      </c>
      <c r="DM131" s="2">
        <f t="shared" ref="DM131:DM183" si="15">MAX(D131:DD131)</f>
        <v>23.7</v>
      </c>
      <c r="DN131" s="3">
        <f t="shared" ref="DN131:DN183" si="16">(COUNTA(D131:DD131)/(COUNTA(D131:DA131)+COUNTBLANK(D131:DA131)))</f>
        <v>0.34313725490196079</v>
      </c>
      <c r="DV131" s="2">
        <v>640</v>
      </c>
      <c r="DW131">
        <v>0</v>
      </c>
      <c r="DX131">
        <f t="shared" ref="DX131:DX194" si="17">DX130+DW131</f>
        <v>14794</v>
      </c>
      <c r="DY131">
        <f t="shared" si="12"/>
        <v>1</v>
      </c>
    </row>
    <row r="132" spans="1:129">
      <c r="A132" s="1">
        <v>41039</v>
      </c>
      <c r="B132" s="1"/>
      <c r="C132" s="1"/>
      <c r="L132">
        <v>0.2</v>
      </c>
      <c r="M132">
        <v>3.7</v>
      </c>
      <c r="V132">
        <v>0.9</v>
      </c>
      <c r="Y132">
        <v>26</v>
      </c>
      <c r="AE132">
        <v>0.2</v>
      </c>
      <c r="AF132">
        <v>9.9999999999908995E-2</v>
      </c>
      <c r="AG132">
        <v>0.29999999999972699</v>
      </c>
      <c r="AL132">
        <v>0</v>
      </c>
      <c r="AM132">
        <v>5.79999999999563</v>
      </c>
      <c r="AO132">
        <v>0.79999999999927196</v>
      </c>
      <c r="AS132">
        <v>0.59999999999945397</v>
      </c>
      <c r="AT132">
        <v>0.3</v>
      </c>
      <c r="AZ132">
        <v>0.19999999999981799</v>
      </c>
      <c r="BF132">
        <v>1.29999999999927</v>
      </c>
      <c r="BK132">
        <v>2.7000000000007298</v>
      </c>
      <c r="BN132">
        <v>36.400000000023297</v>
      </c>
      <c r="BP132">
        <v>2</v>
      </c>
      <c r="BR132">
        <v>0.100000000000023</v>
      </c>
      <c r="BU132">
        <v>0</v>
      </c>
      <c r="BW132">
        <v>6.1</v>
      </c>
      <c r="BY132">
        <v>0.2</v>
      </c>
      <c r="BZ132">
        <v>0</v>
      </c>
      <c r="CB132">
        <v>0.1</v>
      </c>
      <c r="CG132">
        <v>0.2</v>
      </c>
      <c r="CH132">
        <v>6.6</v>
      </c>
      <c r="CL132">
        <v>0.5</v>
      </c>
      <c r="CR132">
        <v>4.8</v>
      </c>
      <c r="CT132">
        <v>0.5</v>
      </c>
      <c r="CV132">
        <v>0.1</v>
      </c>
      <c r="CZ132">
        <v>0.1</v>
      </c>
      <c r="DB132">
        <v>6.6</v>
      </c>
      <c r="DD132" s="5"/>
      <c r="DJ132" s="1">
        <v>41039</v>
      </c>
      <c r="DK132" s="2">
        <f t="shared" si="13"/>
        <v>3.4645161290328099</v>
      </c>
      <c r="DL132" s="2">
        <f t="shared" si="14"/>
        <v>1.0529411764707559</v>
      </c>
      <c r="DM132" s="2">
        <f t="shared" si="15"/>
        <v>36.400000000023297</v>
      </c>
      <c r="DN132" s="3">
        <f t="shared" si="16"/>
        <v>0.30392156862745096</v>
      </c>
      <c r="DV132" s="2">
        <v>645</v>
      </c>
      <c r="DW132">
        <v>0</v>
      </c>
      <c r="DX132">
        <f t="shared" si="17"/>
        <v>14794</v>
      </c>
      <c r="DY132">
        <f t="shared" si="12"/>
        <v>1</v>
      </c>
    </row>
    <row r="133" spans="1:129">
      <c r="A133" s="1">
        <v>41040</v>
      </c>
      <c r="B133" s="1"/>
      <c r="C133" s="1"/>
      <c r="D133">
        <v>1.3</v>
      </c>
      <c r="E133">
        <v>0.8</v>
      </c>
      <c r="G133">
        <v>2.9</v>
      </c>
      <c r="H133">
        <v>0.3</v>
      </c>
      <c r="L133">
        <v>2.7</v>
      </c>
      <c r="M133">
        <v>0.1</v>
      </c>
      <c r="S133">
        <v>1.7</v>
      </c>
      <c r="V133">
        <v>0</v>
      </c>
      <c r="X133">
        <v>5.5</v>
      </c>
      <c r="AB133">
        <v>0.69999999999981799</v>
      </c>
      <c r="AI133">
        <v>0.5</v>
      </c>
      <c r="AM133">
        <v>0.59999999999945397</v>
      </c>
      <c r="AN133">
        <v>5</v>
      </c>
      <c r="AT133">
        <v>2.8999999999978199</v>
      </c>
      <c r="AZ133">
        <v>2.2999999999992702</v>
      </c>
      <c r="BE133">
        <v>4.3000000000029104</v>
      </c>
      <c r="BK133">
        <v>0.100000000000023</v>
      </c>
      <c r="BL133">
        <v>0</v>
      </c>
      <c r="BN133">
        <v>84</v>
      </c>
      <c r="BO133">
        <v>0.100000000000023</v>
      </c>
      <c r="BP133">
        <v>2.7000000000007298</v>
      </c>
      <c r="BQ133">
        <v>2.7000000000007298</v>
      </c>
      <c r="BR133">
        <v>5.5</v>
      </c>
      <c r="BS133">
        <v>0.200000000000045</v>
      </c>
      <c r="BT133">
        <v>22</v>
      </c>
      <c r="BW133">
        <v>2</v>
      </c>
      <c r="BX133">
        <v>5.5</v>
      </c>
      <c r="BY133">
        <v>1.5</v>
      </c>
      <c r="CE133">
        <v>0.4</v>
      </c>
      <c r="CG133">
        <v>0.8</v>
      </c>
      <c r="CH133">
        <v>9.3000000000000007</v>
      </c>
      <c r="CJ133">
        <v>0.2</v>
      </c>
      <c r="CL133">
        <v>18</v>
      </c>
      <c r="CZ133">
        <v>0.2</v>
      </c>
      <c r="DB133">
        <v>0.1</v>
      </c>
      <c r="DD133" s="5"/>
      <c r="DJ133" s="1">
        <v>41040</v>
      </c>
      <c r="DK133" s="2">
        <f t="shared" si="13"/>
        <v>5.3400000000000238</v>
      </c>
      <c r="DL133" s="2">
        <f t="shared" si="14"/>
        <v>1.8323529411764787</v>
      </c>
      <c r="DM133" s="2">
        <f t="shared" si="15"/>
        <v>84</v>
      </c>
      <c r="DN133" s="3">
        <f t="shared" si="16"/>
        <v>0.34313725490196079</v>
      </c>
      <c r="DV133" s="2">
        <v>650</v>
      </c>
      <c r="DW133">
        <v>0</v>
      </c>
      <c r="DX133">
        <f t="shared" si="17"/>
        <v>14794</v>
      </c>
      <c r="DY133">
        <f t="shared" si="12"/>
        <v>1</v>
      </c>
    </row>
    <row r="134" spans="1:129">
      <c r="A134" s="1">
        <v>41041</v>
      </c>
      <c r="B134" s="1"/>
      <c r="C134" s="1"/>
      <c r="G134">
        <v>0.5</v>
      </c>
      <c r="H134">
        <v>9.6</v>
      </c>
      <c r="I134">
        <v>1.6</v>
      </c>
      <c r="L134">
        <v>15.8</v>
      </c>
      <c r="S134">
        <v>4.9000000000000004</v>
      </c>
      <c r="U134">
        <v>0</v>
      </c>
      <c r="W134">
        <v>14.3</v>
      </c>
      <c r="X134">
        <v>1.6</v>
      </c>
      <c r="AB134">
        <v>1.39999999999964</v>
      </c>
      <c r="AD134">
        <v>1.5</v>
      </c>
      <c r="AI134">
        <v>0.39999999999963598</v>
      </c>
      <c r="AN134">
        <v>0.69999999999981799</v>
      </c>
      <c r="AT134">
        <v>7.29999999999563</v>
      </c>
      <c r="AV134">
        <v>10.5</v>
      </c>
      <c r="AZ134">
        <v>1.0999999999985499</v>
      </c>
      <c r="BA134">
        <v>12.6999999999971</v>
      </c>
      <c r="BG134">
        <v>0.200000000000045</v>
      </c>
      <c r="BI134">
        <v>0</v>
      </c>
      <c r="BK134">
        <v>0.100000000000023</v>
      </c>
      <c r="BL134">
        <v>5.1999999999970896</v>
      </c>
      <c r="BN134">
        <v>4.0999999999985501</v>
      </c>
      <c r="BP134">
        <v>0.100000000000023</v>
      </c>
      <c r="BQ134">
        <v>3.5</v>
      </c>
      <c r="BR134">
        <v>6.8000000000029104</v>
      </c>
      <c r="BS134">
        <v>2.2000000000007298</v>
      </c>
      <c r="BT134">
        <v>6.8000000000029104</v>
      </c>
      <c r="BZ134">
        <v>0.1</v>
      </c>
      <c r="CE134">
        <v>0.1</v>
      </c>
      <c r="CG134">
        <v>0.2</v>
      </c>
      <c r="CL134">
        <v>12.5</v>
      </c>
      <c r="CT134">
        <v>0.4</v>
      </c>
      <c r="CY134">
        <v>0.5</v>
      </c>
      <c r="CZ134">
        <v>0.1</v>
      </c>
      <c r="DA134">
        <v>1.5</v>
      </c>
      <c r="DD134" s="5">
        <v>1.9</v>
      </c>
      <c r="DJ134" s="1">
        <v>41041</v>
      </c>
      <c r="DK134" s="2">
        <f t="shared" si="13"/>
        <v>3.7199999999997901</v>
      </c>
      <c r="DL134" s="2">
        <f t="shared" si="14"/>
        <v>1.2764705882352221</v>
      </c>
      <c r="DM134" s="2">
        <f t="shared" si="15"/>
        <v>15.8</v>
      </c>
      <c r="DN134" s="3">
        <f t="shared" si="16"/>
        <v>0.34313725490196079</v>
      </c>
      <c r="DV134" s="2">
        <v>655</v>
      </c>
      <c r="DW134">
        <v>0</v>
      </c>
      <c r="DX134">
        <f t="shared" si="17"/>
        <v>14794</v>
      </c>
      <c r="DY134">
        <f t="shared" si="12"/>
        <v>1</v>
      </c>
    </row>
    <row r="135" spans="1:129">
      <c r="A135" s="1">
        <v>41042</v>
      </c>
      <c r="B135" s="1"/>
      <c r="C135" s="1"/>
      <c r="E135">
        <v>0.9</v>
      </c>
      <c r="G135">
        <v>1.3</v>
      </c>
      <c r="H135">
        <v>0.2</v>
      </c>
      <c r="I135">
        <v>1.9</v>
      </c>
      <c r="L135">
        <v>6.4</v>
      </c>
      <c r="Q135">
        <v>3.4</v>
      </c>
      <c r="V135">
        <v>14.2</v>
      </c>
      <c r="Y135">
        <v>0.2</v>
      </c>
      <c r="AB135">
        <v>0.29999999999972699</v>
      </c>
      <c r="AD135">
        <v>2.5999999999985399</v>
      </c>
      <c r="AE135">
        <v>2.5</v>
      </c>
      <c r="AF135">
        <v>0.19999999999981799</v>
      </c>
      <c r="AG135">
        <v>10.799999999988399</v>
      </c>
      <c r="AI135">
        <v>5.29999999999563</v>
      </c>
      <c r="AJ135">
        <v>0.29999999999972699</v>
      </c>
      <c r="AQ135">
        <v>9.2999999999883602</v>
      </c>
      <c r="AR135">
        <v>0.19999999999981799</v>
      </c>
      <c r="AZ135">
        <v>0.89999999999963598</v>
      </c>
      <c r="BA135">
        <v>9.1999999999970896</v>
      </c>
      <c r="BD135">
        <v>2.7999999999992702</v>
      </c>
      <c r="BE135">
        <v>7</v>
      </c>
      <c r="BF135" t="s">
        <v>0</v>
      </c>
      <c r="BI135">
        <v>15.5</v>
      </c>
      <c r="BN135">
        <v>1.20000000000073</v>
      </c>
      <c r="BO135">
        <v>3</v>
      </c>
      <c r="BP135">
        <v>0.100000000000023</v>
      </c>
      <c r="BS135">
        <v>1.79999999999927</v>
      </c>
      <c r="BU135">
        <v>2.7999999999992702</v>
      </c>
      <c r="BX135">
        <v>8.1999999999970896</v>
      </c>
      <c r="CF135">
        <v>1.5</v>
      </c>
      <c r="CG135">
        <v>8</v>
      </c>
      <c r="CL135">
        <v>5.5</v>
      </c>
      <c r="CM135">
        <v>4.2</v>
      </c>
      <c r="CP135">
        <v>2.4</v>
      </c>
      <c r="CR135">
        <v>0.1</v>
      </c>
      <c r="CX135">
        <v>0.2</v>
      </c>
      <c r="CZ135">
        <v>0.1</v>
      </c>
      <c r="DA135">
        <v>2.7</v>
      </c>
      <c r="DD135" s="5"/>
      <c r="DJ135" s="1">
        <v>41042</v>
      </c>
      <c r="DK135" s="2">
        <f t="shared" si="13"/>
        <v>3.7081081081070906</v>
      </c>
      <c r="DL135" s="2">
        <f t="shared" si="14"/>
        <v>1.3450980392153173</v>
      </c>
      <c r="DM135" s="2">
        <f t="shared" si="15"/>
        <v>15.5</v>
      </c>
      <c r="DN135" s="3">
        <f t="shared" si="16"/>
        <v>0.37254901960784315</v>
      </c>
      <c r="DV135" s="2">
        <v>660</v>
      </c>
      <c r="DW135">
        <v>0</v>
      </c>
      <c r="DX135">
        <f t="shared" si="17"/>
        <v>14794</v>
      </c>
      <c r="DY135">
        <f t="shared" si="12"/>
        <v>1</v>
      </c>
    </row>
    <row r="136" spans="1:129">
      <c r="A136" s="1">
        <v>41043</v>
      </c>
      <c r="B136" s="1"/>
      <c r="C136" s="1"/>
      <c r="D136">
        <v>0.2</v>
      </c>
      <c r="I136">
        <v>5.2</v>
      </c>
      <c r="M136">
        <v>0.1</v>
      </c>
      <c r="T136">
        <v>3.9</v>
      </c>
      <c r="U136">
        <v>0.4</v>
      </c>
      <c r="Y136">
        <v>3.8</v>
      </c>
      <c r="AA136">
        <v>2</v>
      </c>
      <c r="AB136">
        <v>0.19999999999981799</v>
      </c>
      <c r="AD136">
        <v>1</v>
      </c>
      <c r="AG136">
        <v>19.299999999988401</v>
      </c>
      <c r="AI136">
        <v>0.29999999999972699</v>
      </c>
      <c r="AQ136">
        <v>7.0999999999985501</v>
      </c>
      <c r="AR136">
        <v>0</v>
      </c>
      <c r="AT136">
        <v>5.29999999999563</v>
      </c>
      <c r="BA136">
        <v>22</v>
      </c>
      <c r="BE136">
        <v>2.7999999999992702</v>
      </c>
      <c r="BF136">
        <v>0.400000000000091</v>
      </c>
      <c r="BI136">
        <v>0.200000000000045</v>
      </c>
      <c r="BJ136">
        <v>0.30000000000018201</v>
      </c>
      <c r="BM136">
        <v>0</v>
      </c>
      <c r="BO136">
        <v>16.600000000005799</v>
      </c>
      <c r="BR136">
        <v>4</v>
      </c>
      <c r="BS136">
        <v>3.5</v>
      </c>
      <c r="BU136">
        <v>2.4000000000014601</v>
      </c>
      <c r="BW136">
        <v>0</v>
      </c>
      <c r="CE136">
        <v>0.6</v>
      </c>
      <c r="CF136">
        <v>0.3</v>
      </c>
      <c r="CG136">
        <v>6</v>
      </c>
      <c r="CJ136">
        <v>25.2</v>
      </c>
      <c r="CL136">
        <v>1</v>
      </c>
      <c r="CO136">
        <v>0.5</v>
      </c>
      <c r="CR136">
        <v>0</v>
      </c>
      <c r="CV136">
        <v>0.2</v>
      </c>
      <c r="CZ136">
        <v>0.1</v>
      </c>
      <c r="DA136">
        <v>20.2</v>
      </c>
      <c r="DD136" s="5"/>
      <c r="DJ136" s="1">
        <v>41043</v>
      </c>
      <c r="DK136" s="2">
        <f t="shared" si="13"/>
        <v>4.4314285714282553</v>
      </c>
      <c r="DL136" s="2">
        <f t="shared" si="14"/>
        <v>1.5205882352940092</v>
      </c>
      <c r="DM136" s="2">
        <f t="shared" si="15"/>
        <v>25.2</v>
      </c>
      <c r="DN136" s="3">
        <f t="shared" si="16"/>
        <v>0.34313725490196079</v>
      </c>
      <c r="DV136" s="2">
        <v>665</v>
      </c>
      <c r="DW136">
        <v>0</v>
      </c>
      <c r="DX136">
        <f t="shared" si="17"/>
        <v>14794</v>
      </c>
      <c r="DY136">
        <f t="shared" si="12"/>
        <v>1</v>
      </c>
    </row>
    <row r="137" spans="1:129">
      <c r="A137" s="1">
        <v>41044</v>
      </c>
      <c r="B137" s="1"/>
      <c r="C137" s="1"/>
      <c r="H137">
        <v>0.4</v>
      </c>
      <c r="I137">
        <v>2</v>
      </c>
      <c r="K137">
        <v>13.4</v>
      </c>
      <c r="M137">
        <v>0.2</v>
      </c>
      <c r="U137">
        <v>0</v>
      </c>
      <c r="V137">
        <v>5.5</v>
      </c>
      <c r="AA137">
        <v>1.29999999999927</v>
      </c>
      <c r="AB137">
        <v>10.5</v>
      </c>
      <c r="AG137">
        <v>17.099999999976699</v>
      </c>
      <c r="AI137">
        <v>0.69999999999981799</v>
      </c>
      <c r="AO137">
        <v>0.79999999999927196</v>
      </c>
      <c r="AQ137">
        <v>1.1999999999989099</v>
      </c>
      <c r="AR137">
        <v>0.89999999999963598</v>
      </c>
      <c r="AS137">
        <v>1.39999999999964</v>
      </c>
      <c r="AT137">
        <v>3.2999999999992702</v>
      </c>
      <c r="AW137">
        <v>1.5999999999985499</v>
      </c>
      <c r="BA137">
        <v>1.29999999999927</v>
      </c>
      <c r="BH137">
        <v>0.69999999999981799</v>
      </c>
      <c r="BO137">
        <v>19.399999999994201</v>
      </c>
      <c r="BQ137">
        <v>1.70000000000073</v>
      </c>
      <c r="BR137">
        <v>3.5</v>
      </c>
      <c r="BT137">
        <v>0.80000000000018201</v>
      </c>
      <c r="BU137">
        <v>1.20000000000073</v>
      </c>
      <c r="BV137">
        <v>2.2999999999992702</v>
      </c>
      <c r="CE137">
        <v>15.1</v>
      </c>
      <c r="CG137">
        <v>0.7</v>
      </c>
      <c r="CI137">
        <v>0.9</v>
      </c>
      <c r="CJ137">
        <v>4.8</v>
      </c>
      <c r="CX137">
        <v>0.1</v>
      </c>
      <c r="CZ137">
        <v>6.4</v>
      </c>
      <c r="DD137" s="5">
        <v>1.7</v>
      </c>
      <c r="DJ137" s="1">
        <v>41044</v>
      </c>
      <c r="DK137" s="2">
        <f t="shared" si="13"/>
        <v>3.8999999999988804</v>
      </c>
      <c r="DL137" s="2">
        <f t="shared" si="14"/>
        <v>1.1852941176467184</v>
      </c>
      <c r="DM137" s="2">
        <f t="shared" si="15"/>
        <v>19.399999999994201</v>
      </c>
      <c r="DN137" s="3">
        <f t="shared" si="16"/>
        <v>0.30392156862745096</v>
      </c>
      <c r="DV137" s="2">
        <v>670</v>
      </c>
      <c r="DW137">
        <v>0</v>
      </c>
      <c r="DX137">
        <f t="shared" si="17"/>
        <v>14794</v>
      </c>
      <c r="DY137">
        <f t="shared" si="12"/>
        <v>1</v>
      </c>
    </row>
    <row r="138" spans="1:129">
      <c r="A138" s="1">
        <v>41045</v>
      </c>
      <c r="B138" s="1"/>
      <c r="C138" s="1"/>
      <c r="F138">
        <v>1.6</v>
      </c>
      <c r="I138">
        <v>1.4</v>
      </c>
      <c r="K138">
        <v>0.6</v>
      </c>
      <c r="L138">
        <v>1.6</v>
      </c>
      <c r="N138">
        <v>0.1</v>
      </c>
      <c r="Q138">
        <v>2.7</v>
      </c>
      <c r="V138">
        <v>2.5</v>
      </c>
      <c r="Y138">
        <v>27</v>
      </c>
      <c r="AF138">
        <v>2.6999999999970901</v>
      </c>
      <c r="AM138">
        <v>0.89999999999963598</v>
      </c>
      <c r="AR138">
        <v>1.79999999999927</v>
      </c>
      <c r="AV138">
        <v>1.6999999999989099</v>
      </c>
      <c r="AW138">
        <v>0.29999999999972699</v>
      </c>
      <c r="BH138">
        <v>4</v>
      </c>
      <c r="BN138">
        <v>7</v>
      </c>
      <c r="BO138">
        <v>0.30000000000018201</v>
      </c>
      <c r="BQ138">
        <v>0.80000000000018201</v>
      </c>
      <c r="BR138">
        <v>3.7000000000007298</v>
      </c>
      <c r="BS138">
        <v>0.100000000000023</v>
      </c>
      <c r="BV138">
        <v>16.399999999994201</v>
      </c>
      <c r="BW138">
        <v>0.1</v>
      </c>
      <c r="CA138">
        <v>0.1</v>
      </c>
      <c r="CE138">
        <v>1.3</v>
      </c>
      <c r="CG138">
        <v>3.8</v>
      </c>
      <c r="CL138">
        <v>3.6</v>
      </c>
      <c r="CM138">
        <v>1.5</v>
      </c>
      <c r="CZ138">
        <v>1.5</v>
      </c>
      <c r="DD138" s="5"/>
      <c r="DJ138" s="1">
        <v>41045</v>
      </c>
      <c r="DK138" s="2">
        <f t="shared" si="13"/>
        <v>3.2999999999996272</v>
      </c>
      <c r="DL138" s="2">
        <f t="shared" si="14"/>
        <v>0.87352941176460719</v>
      </c>
      <c r="DM138" s="2">
        <f t="shared" si="15"/>
        <v>27</v>
      </c>
      <c r="DN138" s="3">
        <f t="shared" si="16"/>
        <v>0.26470588235294118</v>
      </c>
      <c r="DV138" s="2">
        <v>675</v>
      </c>
      <c r="DW138">
        <v>0</v>
      </c>
      <c r="DX138">
        <f t="shared" si="17"/>
        <v>14794</v>
      </c>
      <c r="DY138">
        <f t="shared" si="12"/>
        <v>1</v>
      </c>
    </row>
    <row r="139" spans="1:129">
      <c r="A139" s="1">
        <v>41046</v>
      </c>
      <c r="B139" s="1"/>
      <c r="C139" s="1"/>
      <c r="F139">
        <v>0.8</v>
      </c>
      <c r="H139">
        <v>6.9</v>
      </c>
      <c r="I139">
        <v>0.8</v>
      </c>
      <c r="K139">
        <v>15.5</v>
      </c>
      <c r="M139">
        <v>0.2</v>
      </c>
      <c r="U139">
        <v>0.6</v>
      </c>
      <c r="X139">
        <v>24</v>
      </c>
      <c r="Y139">
        <v>5</v>
      </c>
      <c r="AF139">
        <v>6.79999999999563</v>
      </c>
      <c r="AI139">
        <v>22.699999999982499</v>
      </c>
      <c r="AQ139">
        <v>16.299999999988401</v>
      </c>
      <c r="AR139">
        <v>13.899999999994201</v>
      </c>
      <c r="AS139">
        <v>2.0999999999985399</v>
      </c>
      <c r="BC139">
        <v>0.19999999999981799</v>
      </c>
      <c r="BF139">
        <v>1.29999999999927</v>
      </c>
      <c r="BJ139">
        <v>0</v>
      </c>
      <c r="BK139">
        <v>0.100000000000023</v>
      </c>
      <c r="BM139">
        <v>2.7999999999992702</v>
      </c>
      <c r="BN139">
        <v>0.200000000000045</v>
      </c>
      <c r="BO139">
        <v>0.100000000000023</v>
      </c>
      <c r="BS139">
        <v>0.100000000000023</v>
      </c>
      <c r="BV139">
        <v>16.600000000005799</v>
      </c>
      <c r="BW139">
        <v>0.9</v>
      </c>
      <c r="BY139">
        <v>0.3</v>
      </c>
      <c r="CE139">
        <v>0.2</v>
      </c>
      <c r="CL139">
        <v>1.5</v>
      </c>
      <c r="CU139">
        <v>0.5</v>
      </c>
      <c r="CX139">
        <v>1</v>
      </c>
      <c r="DA139">
        <v>0.7</v>
      </c>
      <c r="DD139" s="5">
        <v>0.7</v>
      </c>
      <c r="DJ139" s="1">
        <v>41046</v>
      </c>
      <c r="DK139" s="2">
        <f t="shared" si="13"/>
        <v>4.7599999999987839</v>
      </c>
      <c r="DL139" s="2">
        <f t="shared" si="14"/>
        <v>1.3999999999996424</v>
      </c>
      <c r="DM139" s="2">
        <f t="shared" si="15"/>
        <v>24</v>
      </c>
      <c r="DN139" s="3">
        <f t="shared" si="16"/>
        <v>0.29411764705882354</v>
      </c>
      <c r="DV139" s="2">
        <v>680</v>
      </c>
      <c r="DW139">
        <v>0</v>
      </c>
      <c r="DX139">
        <f t="shared" si="17"/>
        <v>14794</v>
      </c>
      <c r="DY139">
        <f t="shared" si="12"/>
        <v>1</v>
      </c>
    </row>
    <row r="140" spans="1:129">
      <c r="A140" s="1">
        <v>41047</v>
      </c>
      <c r="B140" s="1"/>
      <c r="C140" s="1"/>
      <c r="F140">
        <v>0.1</v>
      </c>
      <c r="J140">
        <v>0.4</v>
      </c>
      <c r="K140">
        <v>11.4</v>
      </c>
      <c r="M140">
        <v>1.5</v>
      </c>
      <c r="Q140">
        <v>0.5</v>
      </c>
      <c r="U140">
        <v>3.2</v>
      </c>
      <c r="V140">
        <v>0.3</v>
      </c>
      <c r="X140">
        <v>0.3</v>
      </c>
      <c r="Z140">
        <v>0.19999999999981799</v>
      </c>
      <c r="AF140">
        <v>1.1999999999989099</v>
      </c>
      <c r="AG140">
        <v>0</v>
      </c>
      <c r="AM140">
        <v>1.6999999999989099</v>
      </c>
      <c r="AP140">
        <v>1.29999999999927</v>
      </c>
      <c r="AQ140">
        <v>2</v>
      </c>
      <c r="AR140">
        <v>7.5999999999985501</v>
      </c>
      <c r="AS140">
        <v>14.299999999988399</v>
      </c>
      <c r="BC140">
        <v>3.3999999999978199</v>
      </c>
      <c r="BF140">
        <v>2.2999999999992702</v>
      </c>
      <c r="BH140">
        <v>7.0999999999985501</v>
      </c>
      <c r="BJ140">
        <v>6.5</v>
      </c>
      <c r="BK140">
        <v>0.100000000000023</v>
      </c>
      <c r="BM140">
        <v>0.60000000000036402</v>
      </c>
      <c r="BO140">
        <v>0.200000000000045</v>
      </c>
      <c r="BS140">
        <v>0.60000000000036402</v>
      </c>
      <c r="BV140">
        <v>8.5</v>
      </c>
      <c r="CE140">
        <v>6.2</v>
      </c>
      <c r="CU140">
        <v>3.9</v>
      </c>
      <c r="CY140">
        <v>0.1</v>
      </c>
      <c r="CZ140">
        <v>24.6</v>
      </c>
      <c r="DD140" s="5"/>
      <c r="DJ140" s="1">
        <v>41047</v>
      </c>
      <c r="DK140" s="2">
        <f t="shared" si="13"/>
        <v>3.7965517241372515</v>
      </c>
      <c r="DL140" s="2">
        <f t="shared" si="14"/>
        <v>1.0794117647056891</v>
      </c>
      <c r="DM140" s="2">
        <f t="shared" si="15"/>
        <v>24.6</v>
      </c>
      <c r="DN140" s="3">
        <f t="shared" si="16"/>
        <v>0.28431372549019607</v>
      </c>
      <c r="DV140" s="2">
        <v>685</v>
      </c>
      <c r="DW140">
        <v>0</v>
      </c>
      <c r="DX140">
        <f t="shared" si="17"/>
        <v>14794</v>
      </c>
      <c r="DY140">
        <f t="shared" si="12"/>
        <v>1</v>
      </c>
    </row>
    <row r="141" spans="1:129">
      <c r="A141" s="1">
        <v>41048</v>
      </c>
      <c r="B141" s="1"/>
      <c r="C141" s="1"/>
      <c r="D141">
        <v>0</v>
      </c>
      <c r="H141">
        <v>0.3</v>
      </c>
      <c r="L141">
        <v>1.2</v>
      </c>
      <c r="Q141">
        <v>18.3</v>
      </c>
      <c r="Y141">
        <v>0.5</v>
      </c>
      <c r="AE141">
        <v>1.89999999999964</v>
      </c>
      <c r="AF141">
        <v>2.5</v>
      </c>
      <c r="AH141">
        <v>1.0999999999985499</v>
      </c>
      <c r="AI141">
        <v>2.5</v>
      </c>
      <c r="AR141">
        <v>1.1999999999989099</v>
      </c>
      <c r="AT141">
        <v>0.29999999999972699</v>
      </c>
      <c r="AW141">
        <v>21.119999999995301</v>
      </c>
      <c r="BC141">
        <v>3.2999999999992702</v>
      </c>
      <c r="BG141">
        <v>0.100000000000023</v>
      </c>
      <c r="BH141">
        <v>0.60000000000036402</v>
      </c>
      <c r="BJ141">
        <v>0.200000000000045</v>
      </c>
      <c r="BK141">
        <v>0.100000000000023</v>
      </c>
      <c r="BS141">
        <v>0.80000000000018201</v>
      </c>
      <c r="BT141">
        <v>0.100000000000023</v>
      </c>
      <c r="BV141">
        <v>0.200000000000045</v>
      </c>
      <c r="BW141">
        <v>0</v>
      </c>
      <c r="BY141">
        <v>1</v>
      </c>
      <c r="CD141">
        <v>1.4</v>
      </c>
      <c r="CE141">
        <v>15.8</v>
      </c>
      <c r="CG141">
        <v>0.5</v>
      </c>
      <c r="CL141">
        <v>8</v>
      </c>
      <c r="CO141">
        <v>9.3000000000000007</v>
      </c>
      <c r="CU141">
        <v>0.9</v>
      </c>
      <c r="CW141">
        <v>0.1</v>
      </c>
      <c r="CX141">
        <v>1</v>
      </c>
      <c r="CY141">
        <v>0.2</v>
      </c>
      <c r="CZ141">
        <v>0.7</v>
      </c>
      <c r="DD141" s="5"/>
      <c r="DJ141" s="1">
        <v>41048</v>
      </c>
      <c r="DK141" s="2">
        <f t="shared" si="13"/>
        <v>2.9756249999997535</v>
      </c>
      <c r="DL141" s="2">
        <f t="shared" si="14"/>
        <v>0.93352941176462856</v>
      </c>
      <c r="DM141" s="2">
        <f t="shared" si="15"/>
        <v>21.119999999995301</v>
      </c>
      <c r="DN141" s="3">
        <f t="shared" si="16"/>
        <v>0.31372549019607843</v>
      </c>
      <c r="DV141" s="2">
        <v>690</v>
      </c>
      <c r="DW141">
        <v>0</v>
      </c>
      <c r="DX141">
        <f t="shared" si="17"/>
        <v>14794</v>
      </c>
      <c r="DY141">
        <f t="shared" si="12"/>
        <v>1</v>
      </c>
    </row>
    <row r="142" spans="1:129">
      <c r="A142" s="1">
        <v>41049</v>
      </c>
      <c r="B142" s="1"/>
      <c r="C142" s="1"/>
      <c r="F142">
        <v>2.1</v>
      </c>
      <c r="G142">
        <v>0.2</v>
      </c>
      <c r="H142">
        <v>0.4</v>
      </c>
      <c r="K142">
        <v>4.8</v>
      </c>
      <c r="N142">
        <v>0.6</v>
      </c>
      <c r="Q142">
        <v>37</v>
      </c>
      <c r="V142">
        <v>3.2</v>
      </c>
      <c r="Y142">
        <v>1</v>
      </c>
      <c r="AF142">
        <v>9.9999999999908995E-2</v>
      </c>
      <c r="AH142">
        <v>1.0999999999985499</v>
      </c>
      <c r="AL142">
        <v>0</v>
      </c>
      <c r="AS142">
        <v>1.5999999999985499</v>
      </c>
      <c r="AT142">
        <v>0.79999999999927196</v>
      </c>
      <c r="BA142">
        <v>1.6999999999989099</v>
      </c>
      <c r="BC142">
        <v>2.2999999999992702</v>
      </c>
      <c r="BG142">
        <v>0.200000000000045</v>
      </c>
      <c r="BN142">
        <v>0</v>
      </c>
      <c r="BO142">
        <v>0.30000000000018201</v>
      </c>
      <c r="BS142">
        <v>0.100000000000023</v>
      </c>
      <c r="BT142">
        <v>0.30000000000018201</v>
      </c>
      <c r="BX142">
        <v>0.1</v>
      </c>
      <c r="CD142">
        <v>5.3</v>
      </c>
      <c r="CG142">
        <v>4.2</v>
      </c>
      <c r="CL142">
        <v>18</v>
      </c>
      <c r="CP142">
        <v>1.4</v>
      </c>
      <c r="CU142">
        <v>7.3</v>
      </c>
      <c r="CX142">
        <v>0.5</v>
      </c>
      <c r="CZ142">
        <v>4.3</v>
      </c>
      <c r="DC142">
        <v>0.3</v>
      </c>
      <c r="DD142" s="5"/>
      <c r="DJ142" s="1">
        <v>41049</v>
      </c>
      <c r="DK142" s="2">
        <f t="shared" si="13"/>
        <v>3.4206896551722381</v>
      </c>
      <c r="DL142" s="2">
        <f t="shared" si="14"/>
        <v>0.97254901960779316</v>
      </c>
      <c r="DM142" s="2">
        <f t="shared" si="15"/>
        <v>37</v>
      </c>
      <c r="DN142" s="3">
        <f t="shared" si="16"/>
        <v>0.28431372549019607</v>
      </c>
      <c r="DV142" s="2">
        <v>695</v>
      </c>
      <c r="DW142">
        <v>0</v>
      </c>
      <c r="DX142">
        <f t="shared" si="17"/>
        <v>14794</v>
      </c>
      <c r="DY142">
        <f t="shared" si="12"/>
        <v>1</v>
      </c>
    </row>
    <row r="143" spans="1:129">
      <c r="A143" s="1">
        <v>41050</v>
      </c>
      <c r="B143" s="1"/>
      <c r="C143" s="1"/>
      <c r="G143">
        <v>3.3</v>
      </c>
      <c r="K143">
        <v>41.5</v>
      </c>
      <c r="M143">
        <v>0.1</v>
      </c>
      <c r="Q143">
        <v>21.7</v>
      </c>
      <c r="U143">
        <v>0.3</v>
      </c>
      <c r="Y143">
        <v>20.100000000000001</v>
      </c>
      <c r="AK143">
        <v>4</v>
      </c>
      <c r="AQ143">
        <v>1</v>
      </c>
      <c r="AS143">
        <v>0.19999999999981799</v>
      </c>
      <c r="AT143">
        <v>7.29999999999563</v>
      </c>
      <c r="AW143">
        <v>0.29999999999972699</v>
      </c>
      <c r="BA143">
        <v>0.19999999999981799</v>
      </c>
      <c r="BG143">
        <v>12.5</v>
      </c>
      <c r="BJ143">
        <v>13.600000000005799</v>
      </c>
      <c r="BN143">
        <v>0.100000000000023</v>
      </c>
      <c r="BO143">
        <v>0.30000000000018201</v>
      </c>
      <c r="BT143">
        <v>13.399999999994201</v>
      </c>
      <c r="CA143">
        <v>2.7</v>
      </c>
      <c r="CC143">
        <v>0.4</v>
      </c>
      <c r="CG143">
        <v>0.8</v>
      </c>
      <c r="CI143">
        <v>0.1</v>
      </c>
      <c r="CL143">
        <v>5.5</v>
      </c>
      <c r="CP143">
        <v>1.5</v>
      </c>
      <c r="CS143">
        <v>8.4</v>
      </c>
      <c r="CU143">
        <v>0.3</v>
      </c>
      <c r="CX143">
        <v>0.2</v>
      </c>
      <c r="DD143" s="5">
        <v>2.7</v>
      </c>
      <c r="DJ143" s="1">
        <v>41050</v>
      </c>
      <c r="DK143" s="2">
        <f t="shared" si="13"/>
        <v>6.0185185185183405</v>
      </c>
      <c r="DL143" s="2">
        <f t="shared" si="14"/>
        <v>1.5931372549019136</v>
      </c>
      <c r="DM143" s="2">
        <f t="shared" si="15"/>
        <v>41.5</v>
      </c>
      <c r="DN143" s="3">
        <f t="shared" si="16"/>
        <v>0.26470588235294118</v>
      </c>
      <c r="DV143" s="2">
        <v>700</v>
      </c>
      <c r="DW143">
        <v>0</v>
      </c>
      <c r="DX143">
        <f t="shared" si="17"/>
        <v>14794</v>
      </c>
      <c r="DY143">
        <f t="shared" si="12"/>
        <v>1</v>
      </c>
    </row>
    <row r="144" spans="1:129">
      <c r="A144" s="1">
        <v>41051</v>
      </c>
      <c r="B144" s="1"/>
      <c r="C144" s="1"/>
      <c r="E144">
        <v>7.7</v>
      </c>
      <c r="F144">
        <v>2.7</v>
      </c>
      <c r="G144">
        <v>2.2999999999999998</v>
      </c>
      <c r="I144">
        <v>2.7</v>
      </c>
      <c r="K144">
        <v>33.4</v>
      </c>
      <c r="N144">
        <v>5.3</v>
      </c>
      <c r="Q144">
        <v>12.7</v>
      </c>
      <c r="AJ144">
        <v>0.69999999999981799</v>
      </c>
      <c r="AN144">
        <v>1</v>
      </c>
      <c r="AO144">
        <v>0.19999999999981799</v>
      </c>
      <c r="AP144">
        <v>9.9999999999908995E-2</v>
      </c>
      <c r="AQ144">
        <v>4.5</v>
      </c>
      <c r="AW144">
        <v>1.79999999999927</v>
      </c>
      <c r="BC144">
        <v>9.9999999999908995E-2</v>
      </c>
      <c r="BG144">
        <v>0.5</v>
      </c>
      <c r="BI144">
        <v>0</v>
      </c>
      <c r="BJ144">
        <v>1.29999999999927</v>
      </c>
      <c r="CA144">
        <v>0.8</v>
      </c>
      <c r="CB144">
        <v>0.2</v>
      </c>
      <c r="CC144">
        <v>1.7</v>
      </c>
      <c r="CI144">
        <v>0.1</v>
      </c>
      <c r="CJ144">
        <v>0.9</v>
      </c>
      <c r="CL144">
        <v>7</v>
      </c>
      <c r="CS144">
        <v>0.9</v>
      </c>
      <c r="CX144">
        <v>22</v>
      </c>
      <c r="DD144" s="5"/>
      <c r="DJ144" s="1">
        <v>41051</v>
      </c>
      <c r="DK144" s="2">
        <f t="shared" si="13"/>
        <v>4.4239999999999204</v>
      </c>
      <c r="DL144" s="2">
        <f t="shared" si="14"/>
        <v>1.0843137254901765</v>
      </c>
      <c r="DM144" s="2">
        <f t="shared" si="15"/>
        <v>33.4</v>
      </c>
      <c r="DN144" s="3">
        <f t="shared" si="16"/>
        <v>0.24509803921568626</v>
      </c>
      <c r="DV144" s="2">
        <v>705</v>
      </c>
      <c r="DW144">
        <v>0</v>
      </c>
      <c r="DX144">
        <f t="shared" si="17"/>
        <v>14794</v>
      </c>
      <c r="DY144">
        <f t="shared" si="12"/>
        <v>1</v>
      </c>
    </row>
    <row r="145" spans="1:129">
      <c r="A145" s="1">
        <v>41052</v>
      </c>
      <c r="B145" s="1"/>
      <c r="C145" s="1"/>
      <c r="F145">
        <v>4.2</v>
      </c>
      <c r="G145">
        <v>1.3</v>
      </c>
      <c r="N145">
        <v>27.6</v>
      </c>
      <c r="O145">
        <v>0.2</v>
      </c>
      <c r="P145">
        <v>0.8</v>
      </c>
      <c r="U145">
        <v>0.3</v>
      </c>
      <c r="AI145">
        <v>0.5</v>
      </c>
      <c r="AJ145">
        <v>24.099999999976699</v>
      </c>
      <c r="AR145">
        <v>1.6999999999989099</v>
      </c>
      <c r="AW145">
        <v>8</v>
      </c>
      <c r="AY145">
        <v>0.29999999999972699</v>
      </c>
      <c r="BA145">
        <v>0.39999999999963598</v>
      </c>
      <c r="BC145">
        <v>1</v>
      </c>
      <c r="BE145">
        <v>1.10000000000036</v>
      </c>
      <c r="BJ145">
        <v>5.4000000000014596</v>
      </c>
      <c r="BK145">
        <v>4.5999999999985501</v>
      </c>
      <c r="BN145">
        <v>5.5999999999985501</v>
      </c>
      <c r="BQ145">
        <v>0</v>
      </c>
      <c r="BR145">
        <v>0.200000000000045</v>
      </c>
      <c r="BY145">
        <v>0</v>
      </c>
      <c r="CB145">
        <v>22.7</v>
      </c>
      <c r="CC145">
        <v>9.3000000000000007</v>
      </c>
      <c r="CF145">
        <v>0.8</v>
      </c>
      <c r="CK145">
        <v>17.8</v>
      </c>
      <c r="CL145">
        <v>3.5</v>
      </c>
      <c r="CN145">
        <v>4.5</v>
      </c>
      <c r="CX145">
        <v>0.1</v>
      </c>
      <c r="CY145">
        <v>0.1</v>
      </c>
      <c r="DA145">
        <v>0.3</v>
      </c>
      <c r="DD145" s="5"/>
      <c r="DJ145" s="1">
        <v>41052</v>
      </c>
      <c r="DK145" s="2">
        <f t="shared" si="13"/>
        <v>5.0482758620680661</v>
      </c>
      <c r="DL145" s="2">
        <f t="shared" si="14"/>
        <v>1.435294117646803</v>
      </c>
      <c r="DM145" s="2">
        <f t="shared" si="15"/>
        <v>27.6</v>
      </c>
      <c r="DN145" s="3">
        <f t="shared" si="16"/>
        <v>0.28431372549019607</v>
      </c>
      <c r="DV145" s="2">
        <v>710</v>
      </c>
      <c r="DW145">
        <v>0</v>
      </c>
      <c r="DX145">
        <f t="shared" si="17"/>
        <v>14794</v>
      </c>
      <c r="DY145">
        <f t="shared" si="12"/>
        <v>1</v>
      </c>
    </row>
    <row r="146" spans="1:129">
      <c r="A146" s="1">
        <v>41053</v>
      </c>
      <c r="B146" s="1"/>
      <c r="C146" s="1"/>
      <c r="N146">
        <v>4.5999999999999996</v>
      </c>
      <c r="S146">
        <v>22.2</v>
      </c>
      <c r="T146">
        <v>5.7</v>
      </c>
      <c r="U146">
        <v>0.6</v>
      </c>
      <c r="W146">
        <v>5.0999999999999996</v>
      </c>
      <c r="X146">
        <v>0.2</v>
      </c>
      <c r="AB146">
        <v>0.69999999999981799</v>
      </c>
      <c r="AC146">
        <v>0</v>
      </c>
      <c r="AD146">
        <v>0.5</v>
      </c>
      <c r="AG146">
        <v>1.5</v>
      </c>
      <c r="AR146">
        <v>2</v>
      </c>
      <c r="AS146">
        <v>0.5</v>
      </c>
      <c r="AZ146">
        <v>1</v>
      </c>
      <c r="BC146">
        <v>2.1999999999970901</v>
      </c>
      <c r="BK146">
        <v>0.100000000000023</v>
      </c>
      <c r="BM146">
        <v>1.39999999999964</v>
      </c>
      <c r="BN146">
        <v>0.100000000000023</v>
      </c>
      <c r="BP146">
        <v>1.89999999999964</v>
      </c>
      <c r="BQ146">
        <v>0</v>
      </c>
      <c r="BT146">
        <v>0.30000000000018201</v>
      </c>
      <c r="BX146">
        <v>0</v>
      </c>
      <c r="BZ146">
        <v>0</v>
      </c>
      <c r="CC146">
        <v>10.8</v>
      </c>
      <c r="CE146">
        <v>0.5</v>
      </c>
      <c r="CK146">
        <v>0.3</v>
      </c>
      <c r="CN146">
        <v>14.5</v>
      </c>
      <c r="CQ146">
        <v>1.2</v>
      </c>
      <c r="CR146">
        <v>10.6</v>
      </c>
      <c r="CZ146">
        <v>0.1</v>
      </c>
      <c r="DD146" s="5">
        <v>0.2</v>
      </c>
      <c r="DJ146" s="1">
        <v>41053</v>
      </c>
      <c r="DK146" s="2">
        <f t="shared" si="13"/>
        <v>2.9599999999998805</v>
      </c>
      <c r="DL146" s="2">
        <f t="shared" si="14"/>
        <v>0.87058823529408247</v>
      </c>
      <c r="DM146" s="2">
        <f t="shared" si="15"/>
        <v>22.2</v>
      </c>
      <c r="DN146" s="3">
        <f t="shared" si="16"/>
        <v>0.29411764705882354</v>
      </c>
      <c r="DV146" s="2">
        <v>715</v>
      </c>
      <c r="DW146">
        <v>0</v>
      </c>
      <c r="DX146">
        <f t="shared" si="17"/>
        <v>14794</v>
      </c>
      <c r="DY146">
        <f t="shared" si="12"/>
        <v>1</v>
      </c>
    </row>
    <row r="147" spans="1:129">
      <c r="A147" s="1">
        <v>41054</v>
      </c>
      <c r="B147" s="1"/>
      <c r="C147" s="1"/>
      <c r="F147">
        <v>0.6</v>
      </c>
      <c r="G147">
        <v>0.2</v>
      </c>
      <c r="N147">
        <v>1.8</v>
      </c>
      <c r="R147">
        <v>0.1</v>
      </c>
      <c r="S147">
        <v>2.2000000000000002</v>
      </c>
      <c r="U147">
        <v>3.1</v>
      </c>
      <c r="W147">
        <v>4.7</v>
      </c>
      <c r="AE147">
        <v>0</v>
      </c>
      <c r="AF147">
        <v>5.3999999999941801</v>
      </c>
      <c r="AG147">
        <v>8</v>
      </c>
      <c r="AL147">
        <v>0.89999999999963598</v>
      </c>
      <c r="AR147">
        <v>0.39999999999963598</v>
      </c>
      <c r="AT147">
        <v>1.5999999999985499</v>
      </c>
      <c r="AV147">
        <v>0.39999999999963598</v>
      </c>
      <c r="AW147">
        <v>6.1999999999970896</v>
      </c>
      <c r="AX147">
        <v>0</v>
      </c>
      <c r="BA147">
        <v>1.5999999999985499</v>
      </c>
      <c r="BC147">
        <v>0.19999999999981799</v>
      </c>
      <c r="BG147">
        <v>1.39999999999964</v>
      </c>
      <c r="BJ147">
        <v>16.100000000005799</v>
      </c>
      <c r="BK147">
        <v>0</v>
      </c>
      <c r="BM147">
        <v>0.5</v>
      </c>
      <c r="BP147">
        <v>1</v>
      </c>
      <c r="CA147">
        <v>0.9</v>
      </c>
      <c r="CB147">
        <v>0.2</v>
      </c>
      <c r="CC147">
        <v>0.2</v>
      </c>
      <c r="CE147">
        <v>6.5</v>
      </c>
      <c r="CK147">
        <v>6.4</v>
      </c>
      <c r="CN147">
        <v>15</v>
      </c>
      <c r="CO147">
        <v>0.5</v>
      </c>
      <c r="CS147">
        <v>0</v>
      </c>
      <c r="CZ147">
        <v>10.9</v>
      </c>
      <c r="DB147">
        <v>0.8</v>
      </c>
      <c r="DD147" s="5">
        <v>2.2999999999999998</v>
      </c>
      <c r="DJ147" s="1">
        <v>41054</v>
      </c>
      <c r="DK147" s="2">
        <f t="shared" si="13"/>
        <v>2.9441176470586043</v>
      </c>
      <c r="DL147" s="2">
        <f t="shared" si="14"/>
        <v>0.98137254901953475</v>
      </c>
      <c r="DM147" s="2">
        <f t="shared" si="15"/>
        <v>16.100000000005799</v>
      </c>
      <c r="DN147" s="3">
        <f t="shared" si="16"/>
        <v>0.33333333333333331</v>
      </c>
      <c r="DV147" s="2">
        <v>720</v>
      </c>
      <c r="DW147">
        <v>0</v>
      </c>
      <c r="DX147">
        <f t="shared" si="17"/>
        <v>14794</v>
      </c>
      <c r="DY147">
        <f t="shared" si="12"/>
        <v>1</v>
      </c>
    </row>
    <row r="148" spans="1:129">
      <c r="A148" s="1">
        <v>41055</v>
      </c>
      <c r="B148" s="1"/>
      <c r="C148" s="1"/>
      <c r="E148">
        <v>4</v>
      </c>
      <c r="F148">
        <v>0.2</v>
      </c>
      <c r="J148">
        <v>0.4</v>
      </c>
      <c r="L148">
        <v>15.1</v>
      </c>
      <c r="N148">
        <v>2</v>
      </c>
      <c r="S148">
        <v>8.3000000000000007</v>
      </c>
      <c r="T148">
        <v>2</v>
      </c>
      <c r="W148">
        <v>0</v>
      </c>
      <c r="AD148">
        <v>0</v>
      </c>
      <c r="AE148">
        <v>6.8999999999941801</v>
      </c>
      <c r="AF148">
        <v>9.9999999999908995E-2</v>
      </c>
      <c r="AI148">
        <v>26.5</v>
      </c>
      <c r="AL148">
        <v>2</v>
      </c>
      <c r="AS148">
        <v>0.19999999999981799</v>
      </c>
      <c r="AT148">
        <v>9.9999999999908995E-2</v>
      </c>
      <c r="AX148">
        <v>3.0999999999985399</v>
      </c>
      <c r="BA148">
        <v>1.5</v>
      </c>
      <c r="BG148">
        <v>2.5999999999985399</v>
      </c>
      <c r="BJ148">
        <v>0.100000000000023</v>
      </c>
      <c r="BK148">
        <v>0</v>
      </c>
      <c r="BM148">
        <v>7</v>
      </c>
      <c r="BN148">
        <v>0.5</v>
      </c>
      <c r="BR148">
        <v>1.70000000000073</v>
      </c>
      <c r="BX148">
        <v>0.6</v>
      </c>
      <c r="BZ148">
        <v>0</v>
      </c>
      <c r="CB148">
        <v>1.7</v>
      </c>
      <c r="CC148">
        <v>3.6</v>
      </c>
      <c r="CE148">
        <v>0.1</v>
      </c>
      <c r="CF148">
        <v>5.6</v>
      </c>
      <c r="CL148">
        <v>7</v>
      </c>
      <c r="CP148">
        <v>2.8</v>
      </c>
      <c r="CS148">
        <v>0.5</v>
      </c>
      <c r="CT148">
        <v>0.9</v>
      </c>
      <c r="CU148">
        <v>0.5</v>
      </c>
      <c r="DD148" s="5">
        <v>2.5</v>
      </c>
      <c r="DJ148" s="1">
        <v>41055</v>
      </c>
      <c r="DK148" s="2">
        <f t="shared" si="13"/>
        <v>3.145714285714047</v>
      </c>
      <c r="DL148" s="2">
        <f t="shared" si="14"/>
        <v>1.0794117647058004</v>
      </c>
      <c r="DM148" s="2">
        <f t="shared" si="15"/>
        <v>26.5</v>
      </c>
      <c r="DN148" s="3">
        <f t="shared" si="16"/>
        <v>0.34313725490196079</v>
      </c>
      <c r="DV148" s="2">
        <v>725</v>
      </c>
      <c r="DW148">
        <v>0</v>
      </c>
      <c r="DX148">
        <f t="shared" si="17"/>
        <v>14794</v>
      </c>
      <c r="DY148">
        <f t="shared" si="12"/>
        <v>1</v>
      </c>
    </row>
    <row r="149" spans="1:129">
      <c r="A149" s="1">
        <v>41056</v>
      </c>
      <c r="B149" s="1"/>
      <c r="C149" s="1"/>
      <c r="E149">
        <v>0.2</v>
      </c>
      <c r="L149">
        <v>0.6</v>
      </c>
      <c r="N149">
        <v>14.9</v>
      </c>
      <c r="T149">
        <v>8</v>
      </c>
      <c r="Y149">
        <v>7.6</v>
      </c>
      <c r="AB149">
        <v>1.0999999999985499</v>
      </c>
      <c r="AE149">
        <v>0.59999999999945397</v>
      </c>
      <c r="AJ149">
        <v>10.1999999999971</v>
      </c>
      <c r="AL149">
        <v>4.79999999999563</v>
      </c>
      <c r="AN149">
        <v>0.29999999999972699</v>
      </c>
      <c r="AT149">
        <v>9.9999999999908995E-2</v>
      </c>
      <c r="AX149">
        <v>0.29999999999972699</v>
      </c>
      <c r="BK149">
        <v>0.200000000000045</v>
      </c>
      <c r="BM149">
        <v>6.6999999999970896</v>
      </c>
      <c r="BV149">
        <v>0.100000000000023</v>
      </c>
      <c r="CC149">
        <v>0.4</v>
      </c>
      <c r="CF149">
        <v>27</v>
      </c>
      <c r="CQ149">
        <v>0.1</v>
      </c>
      <c r="CZ149">
        <v>2.5</v>
      </c>
      <c r="DC149">
        <v>3</v>
      </c>
      <c r="DD149" s="5">
        <v>17.3</v>
      </c>
      <c r="DJ149" s="1">
        <v>41056</v>
      </c>
      <c r="DK149" s="2">
        <f t="shared" si="13"/>
        <v>5.0476190476184408</v>
      </c>
      <c r="DL149" s="2">
        <f t="shared" si="14"/>
        <v>1.0392156862743849</v>
      </c>
      <c r="DM149" s="2">
        <f t="shared" si="15"/>
        <v>27</v>
      </c>
      <c r="DN149" s="3">
        <f t="shared" si="16"/>
        <v>0.20588235294117646</v>
      </c>
      <c r="DV149" s="2">
        <v>730</v>
      </c>
      <c r="DW149">
        <v>0</v>
      </c>
      <c r="DX149">
        <f t="shared" si="17"/>
        <v>14794</v>
      </c>
      <c r="DY149">
        <f t="shared" si="12"/>
        <v>1</v>
      </c>
    </row>
    <row r="150" spans="1:129">
      <c r="A150" s="1">
        <v>41057</v>
      </c>
      <c r="B150" s="1"/>
      <c r="C150" s="1"/>
      <c r="E150">
        <v>0.5</v>
      </c>
      <c r="F150">
        <v>0.2</v>
      </c>
      <c r="Q150">
        <v>1.5</v>
      </c>
      <c r="T150">
        <v>18</v>
      </c>
      <c r="W150">
        <v>24.5</v>
      </c>
      <c r="Y150">
        <v>9.5</v>
      </c>
      <c r="Z150">
        <v>4.8999999999941801</v>
      </c>
      <c r="AF150">
        <v>1.5</v>
      </c>
      <c r="AJ150">
        <v>11.399999999994201</v>
      </c>
      <c r="AL150">
        <v>7.5</v>
      </c>
      <c r="AX150">
        <v>9.9999999999908995E-2</v>
      </c>
      <c r="AY150">
        <v>1.5999999999985499</v>
      </c>
      <c r="AZ150">
        <v>2.5999999999985399</v>
      </c>
      <c r="BH150">
        <v>4.5</v>
      </c>
      <c r="BJ150">
        <v>0.100000000000023</v>
      </c>
      <c r="BK150">
        <v>0.100000000000023</v>
      </c>
      <c r="BM150">
        <v>3.5</v>
      </c>
      <c r="CC150">
        <v>2.2000000000000002</v>
      </c>
      <c r="CE150">
        <v>24</v>
      </c>
      <c r="CF150">
        <v>0.2</v>
      </c>
      <c r="CL150">
        <v>0.2</v>
      </c>
      <c r="CU150">
        <v>2.5</v>
      </c>
      <c r="CX150">
        <v>0.1</v>
      </c>
      <c r="CY150">
        <v>0.9</v>
      </c>
      <c r="CZ150">
        <v>3.2</v>
      </c>
      <c r="DD150" s="5">
        <v>0.1</v>
      </c>
      <c r="DJ150" s="1">
        <v>41057</v>
      </c>
      <c r="DK150" s="2">
        <f t="shared" si="13"/>
        <v>4.8230769230763624</v>
      </c>
      <c r="DL150" s="2">
        <f t="shared" si="14"/>
        <v>1.2294117647057394</v>
      </c>
      <c r="DM150" s="2">
        <f t="shared" si="15"/>
        <v>24.5</v>
      </c>
      <c r="DN150" s="3">
        <f t="shared" si="16"/>
        <v>0.25490196078431371</v>
      </c>
      <c r="DV150" s="2">
        <v>735</v>
      </c>
      <c r="DW150">
        <v>0</v>
      </c>
      <c r="DX150">
        <f t="shared" si="17"/>
        <v>14794</v>
      </c>
      <c r="DY150">
        <f t="shared" si="12"/>
        <v>1</v>
      </c>
    </row>
    <row r="151" spans="1:129">
      <c r="A151" s="1">
        <v>41058</v>
      </c>
      <c r="B151" s="1"/>
      <c r="C151" s="1"/>
      <c r="E151">
        <v>4.9000000000000004</v>
      </c>
      <c r="H151">
        <v>4</v>
      </c>
      <c r="N151">
        <v>0.4</v>
      </c>
      <c r="Q151">
        <v>8.6999999999999993</v>
      </c>
      <c r="T151">
        <v>10.1</v>
      </c>
      <c r="U151">
        <v>0.4</v>
      </c>
      <c r="Y151">
        <v>0.9</v>
      </c>
      <c r="Z151">
        <v>5.8999999999941801</v>
      </c>
      <c r="AE151">
        <v>0.19999999999981799</v>
      </c>
      <c r="AJ151">
        <v>18.699999999982499</v>
      </c>
      <c r="AL151">
        <v>18.399999999994201</v>
      </c>
      <c r="AX151">
        <v>0.5</v>
      </c>
      <c r="AZ151">
        <v>5.3999999999941801</v>
      </c>
      <c r="BA151">
        <v>0.59999999999945397</v>
      </c>
      <c r="BG151">
        <v>4.4000000000014596</v>
      </c>
      <c r="BH151">
        <v>1.20000000000073</v>
      </c>
      <c r="BJ151">
        <v>0</v>
      </c>
      <c r="BK151">
        <v>3</v>
      </c>
      <c r="BL151">
        <v>1.20000000000073</v>
      </c>
      <c r="BM151">
        <v>0.69999999999981799</v>
      </c>
      <c r="BO151">
        <v>0</v>
      </c>
      <c r="BW151">
        <v>4.0999999999999996</v>
      </c>
      <c r="CC151">
        <v>0.1</v>
      </c>
      <c r="CE151">
        <v>8</v>
      </c>
      <c r="CJ151">
        <v>3.5</v>
      </c>
      <c r="CK151">
        <v>1.8</v>
      </c>
      <c r="CO151">
        <v>6</v>
      </c>
      <c r="CP151">
        <v>4.8</v>
      </c>
      <c r="CQ151">
        <v>0</v>
      </c>
      <c r="CR151">
        <v>0</v>
      </c>
      <c r="CZ151">
        <v>0.5</v>
      </c>
      <c r="DB151">
        <v>2.6</v>
      </c>
      <c r="DD151" s="5"/>
      <c r="DJ151" s="1">
        <v>41058</v>
      </c>
      <c r="DK151" s="2">
        <f t="shared" si="13"/>
        <v>3.7812499999989697</v>
      </c>
      <c r="DL151" s="2">
        <f t="shared" si="14"/>
        <v>1.1862745098035983</v>
      </c>
      <c r="DM151" s="2">
        <f t="shared" si="15"/>
        <v>18.699999999982499</v>
      </c>
      <c r="DN151" s="3">
        <f t="shared" si="16"/>
        <v>0.31372549019607843</v>
      </c>
      <c r="DV151" s="2">
        <v>740</v>
      </c>
      <c r="DW151">
        <v>0</v>
      </c>
      <c r="DX151">
        <f t="shared" si="17"/>
        <v>14794</v>
      </c>
      <c r="DY151">
        <f t="shared" si="12"/>
        <v>1</v>
      </c>
    </row>
    <row r="152" spans="1:129">
      <c r="A152" s="1">
        <v>41059</v>
      </c>
      <c r="B152" s="1"/>
      <c r="C152" s="1"/>
      <c r="E152">
        <v>0.6</v>
      </c>
      <c r="F152">
        <v>0.5</v>
      </c>
      <c r="G152">
        <v>1</v>
      </c>
      <c r="H152">
        <v>1.9</v>
      </c>
      <c r="T152">
        <v>6.4</v>
      </c>
      <c r="U152">
        <v>2</v>
      </c>
      <c r="Y152">
        <v>1.5</v>
      </c>
      <c r="Z152">
        <v>0.19999999999981799</v>
      </c>
      <c r="AC152">
        <v>2.0999999999985399</v>
      </c>
      <c r="AI152">
        <v>5.5</v>
      </c>
      <c r="AZ152">
        <v>3.2999999999992702</v>
      </c>
      <c r="BA152">
        <v>4.6999999999970896</v>
      </c>
      <c r="BJ152">
        <v>0.100000000000023</v>
      </c>
      <c r="BK152">
        <v>2.0999999999985399</v>
      </c>
      <c r="BL152">
        <v>1.29999999999927</v>
      </c>
      <c r="BM152">
        <v>0.100000000000023</v>
      </c>
      <c r="BN152">
        <v>0.100000000000023</v>
      </c>
      <c r="BR152">
        <v>0</v>
      </c>
      <c r="BV152">
        <v>0.400000000000091</v>
      </c>
      <c r="BW152">
        <v>0.6</v>
      </c>
      <c r="CA152">
        <v>5.5</v>
      </c>
      <c r="CB152">
        <v>1.5</v>
      </c>
      <c r="CC152">
        <v>0.3</v>
      </c>
      <c r="CD152">
        <v>2.4</v>
      </c>
      <c r="CE152">
        <v>0.2</v>
      </c>
      <c r="CF152">
        <v>0.3</v>
      </c>
      <c r="CJ152">
        <v>3</v>
      </c>
      <c r="CK152">
        <v>1.2</v>
      </c>
      <c r="CO152">
        <v>0.5</v>
      </c>
      <c r="CP152">
        <v>5.7</v>
      </c>
      <c r="CR152">
        <v>1.5</v>
      </c>
      <c r="DB152">
        <v>11.5</v>
      </c>
      <c r="DD152" s="5">
        <v>0.4</v>
      </c>
      <c r="DJ152" s="1">
        <v>41059</v>
      </c>
      <c r="DK152" s="2">
        <f t="shared" si="13"/>
        <v>2.0727272727270516</v>
      </c>
      <c r="DL152" s="2">
        <f t="shared" si="14"/>
        <v>0.6705882352940461</v>
      </c>
      <c r="DM152" s="2">
        <f t="shared" si="15"/>
        <v>11.5</v>
      </c>
      <c r="DN152" s="3">
        <f t="shared" si="16"/>
        <v>0.3235294117647059</v>
      </c>
      <c r="DV152" s="2">
        <v>745</v>
      </c>
      <c r="DW152">
        <v>0</v>
      </c>
      <c r="DX152">
        <f t="shared" si="17"/>
        <v>14794</v>
      </c>
      <c r="DY152">
        <f t="shared" si="12"/>
        <v>1</v>
      </c>
    </row>
    <row r="153" spans="1:129">
      <c r="A153" s="1">
        <v>41060</v>
      </c>
      <c r="B153" s="1"/>
      <c r="C153" s="1"/>
      <c r="F153">
        <v>0.7</v>
      </c>
      <c r="G153">
        <v>0.4</v>
      </c>
      <c r="H153">
        <v>10.1</v>
      </c>
      <c r="K153">
        <v>14</v>
      </c>
      <c r="M153">
        <v>8.9</v>
      </c>
      <c r="N153">
        <v>1.8</v>
      </c>
      <c r="Q153">
        <v>0.7</v>
      </c>
      <c r="Y153">
        <v>0.2</v>
      </c>
      <c r="AI153">
        <v>6.1999999999970896</v>
      </c>
      <c r="AN153">
        <v>9.6999999999970896</v>
      </c>
      <c r="AS153">
        <v>13.1999999999971</v>
      </c>
      <c r="BJ153">
        <v>0</v>
      </c>
      <c r="BK153">
        <v>0</v>
      </c>
      <c r="BM153">
        <v>3.4000000000014601</v>
      </c>
      <c r="BR153">
        <v>0.30000000000018201</v>
      </c>
      <c r="BW153">
        <v>2.7</v>
      </c>
      <c r="BX153">
        <v>0.2</v>
      </c>
      <c r="CA153">
        <v>4.4000000000000004</v>
      </c>
      <c r="CD153">
        <v>15.6</v>
      </c>
      <c r="CH153">
        <v>1.2</v>
      </c>
      <c r="CK153">
        <v>2.4</v>
      </c>
      <c r="CP153">
        <v>0.5</v>
      </c>
      <c r="CR153">
        <v>15.8</v>
      </c>
      <c r="CU153">
        <v>0.2</v>
      </c>
      <c r="DB153">
        <v>0.2</v>
      </c>
      <c r="DD153" s="5"/>
      <c r="DJ153" s="1">
        <v>41060</v>
      </c>
      <c r="DK153" s="2">
        <f t="shared" si="13"/>
        <v>4.5119999999997171</v>
      </c>
      <c r="DL153" s="2">
        <f t="shared" si="14"/>
        <v>1.1058823529411073</v>
      </c>
      <c r="DM153" s="2">
        <f t="shared" si="15"/>
        <v>15.8</v>
      </c>
      <c r="DN153" s="3">
        <f t="shared" si="16"/>
        <v>0.24509803921568626</v>
      </c>
      <c r="DV153" s="2">
        <v>750</v>
      </c>
      <c r="DW153">
        <v>0</v>
      </c>
      <c r="DX153">
        <f t="shared" si="17"/>
        <v>14794</v>
      </c>
      <c r="DY153">
        <f t="shared" si="12"/>
        <v>1</v>
      </c>
    </row>
    <row r="154" spans="1:129">
      <c r="A154" s="1">
        <v>41061</v>
      </c>
      <c r="B154" s="1"/>
      <c r="C154" s="1"/>
      <c r="F154">
        <v>5.9</v>
      </c>
      <c r="G154">
        <v>0.1</v>
      </c>
      <c r="H154">
        <v>0.2</v>
      </c>
      <c r="M154">
        <v>0.1</v>
      </c>
      <c r="V154">
        <v>0</v>
      </c>
      <c r="AE154">
        <v>4.2999999999956398</v>
      </c>
      <c r="AQ154">
        <v>0.59999999999945397</v>
      </c>
      <c r="AS154">
        <v>8.3999999999941792</v>
      </c>
      <c r="AV154">
        <v>2</v>
      </c>
      <c r="AX154">
        <v>0.69999999999981799</v>
      </c>
      <c r="BG154">
        <v>1.29999999999927</v>
      </c>
      <c r="BJ154">
        <v>5.1999999999970896</v>
      </c>
      <c r="BK154">
        <v>0.100000000000023</v>
      </c>
      <c r="BL154">
        <v>0</v>
      </c>
      <c r="BM154">
        <v>0.100000000000023</v>
      </c>
      <c r="BP154">
        <v>9</v>
      </c>
      <c r="BR154">
        <v>0</v>
      </c>
      <c r="BS154">
        <v>0.5</v>
      </c>
      <c r="BT154">
        <v>0.30000000000018201</v>
      </c>
      <c r="BV154">
        <v>0.80000000000018201</v>
      </c>
      <c r="BX154">
        <v>10.6999999999971</v>
      </c>
      <c r="CA154">
        <v>0.2</v>
      </c>
      <c r="CB154">
        <v>0</v>
      </c>
      <c r="CC154">
        <v>3.1</v>
      </c>
      <c r="CD154">
        <v>48</v>
      </c>
      <c r="CF154">
        <v>0.4</v>
      </c>
      <c r="CG154">
        <v>1.6</v>
      </c>
      <c r="CM154">
        <v>4.4000000000000004</v>
      </c>
      <c r="CN154">
        <v>14.5</v>
      </c>
      <c r="CP154">
        <v>1.2</v>
      </c>
      <c r="CR154">
        <v>0.1</v>
      </c>
      <c r="CS154">
        <v>3.7</v>
      </c>
      <c r="DA154">
        <v>1</v>
      </c>
      <c r="DB154">
        <v>2.7</v>
      </c>
      <c r="DD154" s="5"/>
      <c r="DJ154" s="1">
        <v>41061</v>
      </c>
      <c r="DK154" s="2">
        <f t="shared" si="13"/>
        <v>3.8588235294112638</v>
      </c>
      <c r="DL154" s="2">
        <f t="shared" si="14"/>
        <v>1.2862745098037545</v>
      </c>
      <c r="DM154" s="2">
        <f t="shared" si="15"/>
        <v>48</v>
      </c>
      <c r="DN154" s="3">
        <f t="shared" si="16"/>
        <v>0.33333333333333331</v>
      </c>
      <c r="DV154" s="2">
        <v>755</v>
      </c>
      <c r="DW154">
        <v>0</v>
      </c>
      <c r="DX154">
        <f t="shared" si="17"/>
        <v>14794</v>
      </c>
      <c r="DY154">
        <f t="shared" si="12"/>
        <v>1</v>
      </c>
    </row>
    <row r="155" spans="1:129">
      <c r="A155" s="1">
        <v>41062</v>
      </c>
      <c r="B155" s="1"/>
      <c r="C155" s="1"/>
      <c r="F155">
        <v>13.6</v>
      </c>
      <c r="J155">
        <v>5.6</v>
      </c>
      <c r="Q155">
        <v>0.4</v>
      </c>
      <c r="AE155">
        <v>4.1999999999970896</v>
      </c>
      <c r="AN155">
        <v>5.5</v>
      </c>
      <c r="AU155">
        <v>1.39999999999964</v>
      </c>
      <c r="AV155">
        <v>5.1999999999970896</v>
      </c>
      <c r="AW155">
        <v>0.5</v>
      </c>
      <c r="BF155">
        <v>0.30000000000018201</v>
      </c>
      <c r="BG155">
        <v>8.1999999999970896</v>
      </c>
      <c r="BJ155">
        <v>2.2000000000007298</v>
      </c>
      <c r="BK155">
        <v>10.1999999999971</v>
      </c>
      <c r="BT155">
        <v>2.4000000000014601</v>
      </c>
      <c r="BV155">
        <v>0.100000000000023</v>
      </c>
      <c r="BW155">
        <v>12.8</v>
      </c>
      <c r="BX155">
        <v>1.89999999999964</v>
      </c>
      <c r="BY155">
        <v>1.9</v>
      </c>
      <c r="BZ155">
        <v>3.6</v>
      </c>
      <c r="CB155">
        <v>2.2000000000000002</v>
      </c>
      <c r="CC155">
        <v>2.2999999999999998</v>
      </c>
      <c r="CD155">
        <v>5.4</v>
      </c>
      <c r="CM155">
        <v>24</v>
      </c>
      <c r="CN155">
        <v>5.2</v>
      </c>
      <c r="CR155">
        <v>0.1</v>
      </c>
      <c r="DA155">
        <v>2.2999999999999998</v>
      </c>
      <c r="DB155">
        <v>27.8</v>
      </c>
      <c r="DD155" s="5"/>
      <c r="DJ155" s="1">
        <v>41062</v>
      </c>
      <c r="DK155" s="2">
        <f t="shared" si="13"/>
        <v>5.7423076923073086</v>
      </c>
      <c r="DL155" s="2">
        <f t="shared" si="14"/>
        <v>1.4637254901959806</v>
      </c>
      <c r="DM155" s="2">
        <f t="shared" si="15"/>
        <v>27.8</v>
      </c>
      <c r="DN155" s="3">
        <f t="shared" si="16"/>
        <v>0.25490196078431371</v>
      </c>
      <c r="DV155" s="2">
        <v>760</v>
      </c>
      <c r="DW155">
        <v>0</v>
      </c>
      <c r="DX155">
        <f t="shared" si="17"/>
        <v>14794</v>
      </c>
      <c r="DY155">
        <f t="shared" si="12"/>
        <v>1</v>
      </c>
    </row>
    <row r="156" spans="1:129">
      <c r="A156" s="1">
        <v>41063</v>
      </c>
      <c r="B156" s="1"/>
      <c r="C156" s="1"/>
      <c r="H156">
        <v>1.9</v>
      </c>
      <c r="K156">
        <v>10.3</v>
      </c>
      <c r="P156">
        <v>2.6</v>
      </c>
      <c r="T156">
        <v>5.5</v>
      </c>
      <c r="AC156">
        <v>2</v>
      </c>
      <c r="AE156">
        <v>6.1999999999970896</v>
      </c>
      <c r="AI156">
        <v>0.79999999999927196</v>
      </c>
      <c r="AO156">
        <v>9.2999999999883602</v>
      </c>
      <c r="AV156">
        <v>8.3999999999941792</v>
      </c>
      <c r="BA156">
        <v>1.39999999999964</v>
      </c>
      <c r="BF156">
        <v>2.9000000000014601</v>
      </c>
      <c r="BJ156">
        <v>2.0999999999985399</v>
      </c>
      <c r="BK156">
        <v>8.5</v>
      </c>
      <c r="BM156">
        <v>0</v>
      </c>
      <c r="BN156">
        <v>0.100000000000023</v>
      </c>
      <c r="BT156">
        <v>5.1999999999970896</v>
      </c>
      <c r="BV156">
        <v>0</v>
      </c>
      <c r="BW156">
        <v>1.9</v>
      </c>
      <c r="BY156">
        <v>0.3</v>
      </c>
      <c r="BZ156">
        <v>0.2</v>
      </c>
      <c r="CK156">
        <v>11.5</v>
      </c>
      <c r="CN156">
        <v>0.1</v>
      </c>
      <c r="CP156">
        <v>0.9</v>
      </c>
      <c r="DB156">
        <v>1.8</v>
      </c>
      <c r="DD156" s="5">
        <v>1.8</v>
      </c>
      <c r="DJ156" s="1">
        <v>41063</v>
      </c>
      <c r="DK156" s="2">
        <f t="shared" si="13"/>
        <v>3.4279999999990265</v>
      </c>
      <c r="DL156" s="2">
        <f t="shared" si="14"/>
        <v>0.84019607843113386</v>
      </c>
      <c r="DM156" s="2">
        <f t="shared" si="15"/>
        <v>11.5</v>
      </c>
      <c r="DN156" s="3">
        <f t="shared" si="16"/>
        <v>0.24509803921568626</v>
      </c>
      <c r="DV156" s="2">
        <v>765</v>
      </c>
      <c r="DW156">
        <v>0</v>
      </c>
      <c r="DX156">
        <f t="shared" si="17"/>
        <v>14794</v>
      </c>
      <c r="DY156">
        <f t="shared" si="12"/>
        <v>1</v>
      </c>
    </row>
    <row r="157" spans="1:129">
      <c r="A157" s="1">
        <v>41064</v>
      </c>
      <c r="B157" s="1"/>
      <c r="C157" s="1"/>
      <c r="F157">
        <v>2</v>
      </c>
      <c r="K157">
        <v>1.2</v>
      </c>
      <c r="P157">
        <v>2.6</v>
      </c>
      <c r="V157">
        <v>3.7</v>
      </c>
      <c r="AG157">
        <v>13.099999999991301</v>
      </c>
      <c r="AO157">
        <v>5.79999999999563</v>
      </c>
      <c r="AY157">
        <v>2.7999999999992702</v>
      </c>
      <c r="BA157">
        <v>1.1999999999989099</v>
      </c>
      <c r="BF157">
        <v>3.9000000000014601</v>
      </c>
      <c r="BH157">
        <v>1.20000000000073</v>
      </c>
      <c r="BI157">
        <v>0</v>
      </c>
      <c r="BK157">
        <v>0.100000000000023</v>
      </c>
      <c r="BN157">
        <v>1.60000000000036</v>
      </c>
      <c r="BO157">
        <v>0.200000000000045</v>
      </c>
      <c r="BQ157">
        <v>12.8000000000029</v>
      </c>
      <c r="BT157">
        <v>0.69999999999981799</v>
      </c>
      <c r="BZ157">
        <v>9.3000000000000007</v>
      </c>
      <c r="CD157">
        <v>2.2000000000000002</v>
      </c>
      <c r="CE157">
        <v>5.5</v>
      </c>
      <c r="CK157">
        <v>1.5</v>
      </c>
      <c r="CM157">
        <v>8.5</v>
      </c>
      <c r="CO157">
        <v>1.7</v>
      </c>
      <c r="CP157">
        <v>5.0999999999999996</v>
      </c>
      <c r="CR157">
        <v>1</v>
      </c>
      <c r="CW157">
        <v>3.7</v>
      </c>
      <c r="DA157">
        <v>1.6</v>
      </c>
      <c r="DB157">
        <v>13.5</v>
      </c>
      <c r="DD157" s="5">
        <v>9.8000000000000007</v>
      </c>
      <c r="DJ157" s="1">
        <v>41064</v>
      </c>
      <c r="DK157" s="2">
        <f t="shared" si="13"/>
        <v>4.1535714285710865</v>
      </c>
      <c r="DL157" s="2">
        <f t="shared" si="14"/>
        <v>1.1401960784312788</v>
      </c>
      <c r="DM157" s="2">
        <f t="shared" si="15"/>
        <v>13.5</v>
      </c>
      <c r="DN157" s="3">
        <f t="shared" si="16"/>
        <v>0.27450980392156865</v>
      </c>
      <c r="DV157" s="2">
        <v>770</v>
      </c>
      <c r="DW157">
        <v>0</v>
      </c>
      <c r="DX157">
        <f t="shared" si="17"/>
        <v>14794</v>
      </c>
      <c r="DY157">
        <f t="shared" si="12"/>
        <v>1</v>
      </c>
    </row>
    <row r="158" spans="1:129">
      <c r="A158" s="1">
        <v>41065</v>
      </c>
      <c r="B158" s="1"/>
      <c r="C158" s="1"/>
      <c r="G158">
        <v>0.2</v>
      </c>
      <c r="H158">
        <v>1</v>
      </c>
      <c r="K158">
        <v>24.5</v>
      </c>
      <c r="L158">
        <v>0.1</v>
      </c>
      <c r="Q158">
        <v>10.7</v>
      </c>
      <c r="U158">
        <v>0</v>
      </c>
      <c r="V158">
        <v>0</v>
      </c>
      <c r="W158">
        <v>17.100000000000001</v>
      </c>
      <c r="AE158">
        <v>0.29999999999972699</v>
      </c>
      <c r="AF158">
        <v>2.1999999999970901</v>
      </c>
      <c r="AN158">
        <v>5.5999999999985501</v>
      </c>
      <c r="AO158">
        <v>6.79999999999563</v>
      </c>
      <c r="AR158">
        <v>1.39999999999964</v>
      </c>
      <c r="AY158">
        <v>1.79999999999927</v>
      </c>
      <c r="BB158">
        <v>0.89999999999963598</v>
      </c>
      <c r="BM158">
        <v>0.100000000000023</v>
      </c>
      <c r="BO158">
        <v>0.80000000000018201</v>
      </c>
      <c r="BQ158">
        <v>2.5</v>
      </c>
      <c r="BT158">
        <v>0.30000000000018201</v>
      </c>
      <c r="CE158">
        <v>0.4</v>
      </c>
      <c r="CM158">
        <v>0.3</v>
      </c>
      <c r="CP158">
        <v>11.3</v>
      </c>
      <c r="CR158">
        <v>6.1</v>
      </c>
      <c r="CU158">
        <v>2.1</v>
      </c>
      <c r="CW158">
        <v>0.7</v>
      </c>
      <c r="CX158">
        <v>2.2000000000000002</v>
      </c>
      <c r="CZ158">
        <v>0.1</v>
      </c>
      <c r="DB158">
        <v>7.7</v>
      </c>
      <c r="DC158">
        <v>30.4</v>
      </c>
      <c r="DD158" s="5"/>
      <c r="DJ158" s="1">
        <v>41065</v>
      </c>
      <c r="DK158" s="2">
        <f t="shared" si="13"/>
        <v>4.744827586206549</v>
      </c>
      <c r="DL158" s="2">
        <f t="shared" si="14"/>
        <v>1.3490196078430385</v>
      </c>
      <c r="DM158" s="2">
        <f t="shared" si="15"/>
        <v>30.4</v>
      </c>
      <c r="DN158" s="3">
        <f t="shared" si="16"/>
        <v>0.28431372549019607</v>
      </c>
      <c r="DV158" s="2">
        <v>775</v>
      </c>
      <c r="DW158">
        <v>0</v>
      </c>
      <c r="DX158">
        <f t="shared" si="17"/>
        <v>14794</v>
      </c>
      <c r="DY158">
        <f t="shared" si="12"/>
        <v>1</v>
      </c>
    </row>
    <row r="159" spans="1:129">
      <c r="A159" s="1">
        <v>41066</v>
      </c>
      <c r="B159" s="1"/>
      <c r="C159" s="1"/>
      <c r="F159">
        <v>0.2</v>
      </c>
      <c r="G159">
        <v>0.1</v>
      </c>
      <c r="K159">
        <v>0.3</v>
      </c>
      <c r="M159">
        <v>0.1</v>
      </c>
      <c r="Q159">
        <v>5.5</v>
      </c>
      <c r="W159">
        <v>0.5</v>
      </c>
      <c r="AE159">
        <v>3</v>
      </c>
      <c r="AF159">
        <v>29.699999999982499</v>
      </c>
      <c r="AI159">
        <v>2.6999999999970901</v>
      </c>
      <c r="AO159">
        <v>14.599999999991301</v>
      </c>
      <c r="AX159">
        <v>9.1999999999970896</v>
      </c>
      <c r="AY159">
        <v>25.5</v>
      </c>
      <c r="BB159">
        <v>15.899999999994201</v>
      </c>
      <c r="BK159">
        <v>0.100000000000023</v>
      </c>
      <c r="BM159">
        <v>0.100000000000023</v>
      </c>
      <c r="BO159">
        <v>33.5</v>
      </c>
      <c r="BT159">
        <v>6.5999999999985501</v>
      </c>
      <c r="CK159">
        <v>4</v>
      </c>
      <c r="CN159">
        <v>0</v>
      </c>
      <c r="CU159">
        <v>13.5</v>
      </c>
      <c r="CV159">
        <v>5.7</v>
      </c>
      <c r="CX159">
        <v>26.9</v>
      </c>
      <c r="CZ159">
        <v>1.7</v>
      </c>
      <c r="DB159">
        <v>10.5</v>
      </c>
      <c r="DC159">
        <v>7.3</v>
      </c>
      <c r="DD159" s="5">
        <v>2.2999999999999998</v>
      </c>
      <c r="DJ159" s="1">
        <v>41066</v>
      </c>
      <c r="DK159" s="2">
        <f t="shared" si="13"/>
        <v>8.4423076923061835</v>
      </c>
      <c r="DL159" s="2">
        <f t="shared" si="14"/>
        <v>2.1519607843133408</v>
      </c>
      <c r="DM159" s="2">
        <f t="shared" si="15"/>
        <v>33.5</v>
      </c>
      <c r="DN159" s="3">
        <f t="shared" si="16"/>
        <v>0.25490196078431371</v>
      </c>
      <c r="DV159" s="2">
        <v>780</v>
      </c>
      <c r="DW159">
        <v>0</v>
      </c>
      <c r="DX159">
        <f t="shared" si="17"/>
        <v>14794</v>
      </c>
      <c r="DY159">
        <f t="shared" si="12"/>
        <v>1</v>
      </c>
    </row>
    <row r="160" spans="1:129">
      <c r="A160" s="1">
        <v>41067</v>
      </c>
      <c r="B160" s="1"/>
      <c r="C160" s="1"/>
      <c r="F160">
        <v>15.2</v>
      </c>
      <c r="G160">
        <v>0.2</v>
      </c>
      <c r="J160">
        <v>0.6</v>
      </c>
      <c r="M160">
        <v>25.2</v>
      </c>
      <c r="P160">
        <v>0.5</v>
      </c>
      <c r="Q160">
        <v>2.9</v>
      </c>
      <c r="U160">
        <v>0.2</v>
      </c>
      <c r="AB160">
        <v>4.5</v>
      </c>
      <c r="AE160">
        <v>20.299999999988401</v>
      </c>
      <c r="AF160">
        <v>13.599999999991301</v>
      </c>
      <c r="AI160">
        <v>2.7999999999992702</v>
      </c>
      <c r="AJ160">
        <v>0</v>
      </c>
      <c r="AO160">
        <v>6.79999999999563</v>
      </c>
      <c r="AX160">
        <v>8</v>
      </c>
      <c r="BO160">
        <v>2</v>
      </c>
      <c r="BP160">
        <v>8.1999999999970896</v>
      </c>
      <c r="BT160">
        <v>2.4000000000014601</v>
      </c>
      <c r="BW160">
        <v>35</v>
      </c>
      <c r="CH160">
        <v>21</v>
      </c>
      <c r="CK160">
        <v>5.9</v>
      </c>
      <c r="CL160">
        <v>4.5</v>
      </c>
      <c r="CR160">
        <v>1.9</v>
      </c>
      <c r="CU160">
        <v>9.3000000000000007</v>
      </c>
      <c r="CV160">
        <v>0.3</v>
      </c>
      <c r="CX160">
        <v>46</v>
      </c>
      <c r="DB160">
        <v>0.5</v>
      </c>
      <c r="DD160" s="5">
        <v>3.6</v>
      </c>
      <c r="DJ160" s="1">
        <v>41067</v>
      </c>
      <c r="DK160" s="2">
        <f t="shared" si="13"/>
        <v>8.9407407407397468</v>
      </c>
      <c r="DL160" s="2">
        <f t="shared" si="14"/>
        <v>2.3666666666664038</v>
      </c>
      <c r="DM160" s="2">
        <f t="shared" si="15"/>
        <v>46</v>
      </c>
      <c r="DN160" s="3">
        <f t="shared" si="16"/>
        <v>0.26470588235294118</v>
      </c>
      <c r="DV160" s="2">
        <v>785</v>
      </c>
      <c r="DW160">
        <v>0</v>
      </c>
      <c r="DX160">
        <f t="shared" si="17"/>
        <v>14794</v>
      </c>
      <c r="DY160">
        <f t="shared" si="12"/>
        <v>1</v>
      </c>
    </row>
    <row r="161" spans="1:129">
      <c r="A161" s="1">
        <v>41068</v>
      </c>
      <c r="B161" s="1"/>
      <c r="C161" s="1"/>
      <c r="D161">
        <v>0.5</v>
      </c>
      <c r="F161">
        <v>14.5</v>
      </c>
      <c r="J161">
        <v>0.3</v>
      </c>
      <c r="K161">
        <v>31.8</v>
      </c>
      <c r="M161">
        <v>0.1</v>
      </c>
      <c r="O161">
        <v>5.3</v>
      </c>
      <c r="P161">
        <v>2.8</v>
      </c>
      <c r="Q161">
        <v>1.2</v>
      </c>
      <c r="R161">
        <v>2.7</v>
      </c>
      <c r="Y161">
        <v>0.5</v>
      </c>
      <c r="AB161">
        <v>0.69999999999981799</v>
      </c>
      <c r="AE161">
        <v>5.0999999999985501</v>
      </c>
      <c r="AG161">
        <v>0.29999999999972699</v>
      </c>
      <c r="AI161">
        <v>4.3999999999941801</v>
      </c>
      <c r="AM161">
        <v>2.5</v>
      </c>
      <c r="AO161">
        <v>12.799999999988399</v>
      </c>
      <c r="AP161">
        <v>0.39999999999963598</v>
      </c>
      <c r="AV161">
        <v>0.19999999999981799</v>
      </c>
      <c r="BC161">
        <v>0.19999999999981799</v>
      </c>
      <c r="BJ161">
        <v>0.100000000000023</v>
      </c>
      <c r="BK161">
        <v>0</v>
      </c>
      <c r="BM161">
        <v>0.100000000000023</v>
      </c>
      <c r="BN161">
        <v>0.100000000000023</v>
      </c>
      <c r="BO161">
        <v>0.100000000000023</v>
      </c>
      <c r="BP161">
        <v>2.4000000000014601</v>
      </c>
      <c r="BT161">
        <v>0</v>
      </c>
      <c r="BW161">
        <v>2.9</v>
      </c>
      <c r="BZ161">
        <v>4.5999999999999996</v>
      </c>
      <c r="CC161">
        <v>0.6</v>
      </c>
      <c r="CF161">
        <v>0.8</v>
      </c>
      <c r="CH161">
        <v>32.5</v>
      </c>
      <c r="CI161">
        <v>0</v>
      </c>
      <c r="CK161">
        <v>18</v>
      </c>
      <c r="CL161">
        <v>1</v>
      </c>
      <c r="CT161">
        <v>0.2</v>
      </c>
      <c r="CV161">
        <v>0.2</v>
      </c>
      <c r="CX161">
        <v>34.200000000000003</v>
      </c>
      <c r="DC161">
        <v>6.3</v>
      </c>
      <c r="DD161" s="5"/>
      <c r="DJ161" s="1">
        <v>41068</v>
      </c>
      <c r="DK161" s="2">
        <f t="shared" si="13"/>
        <v>5.0105263157889857</v>
      </c>
      <c r="DL161" s="2">
        <f t="shared" si="14"/>
        <v>1.8666666666664848</v>
      </c>
      <c r="DM161" s="2">
        <f t="shared" si="15"/>
        <v>34.200000000000003</v>
      </c>
      <c r="DN161" s="3">
        <f t="shared" si="16"/>
        <v>0.37254901960784315</v>
      </c>
      <c r="DV161" s="2">
        <v>790</v>
      </c>
      <c r="DW161">
        <v>0</v>
      </c>
      <c r="DX161">
        <f t="shared" si="17"/>
        <v>14794</v>
      </c>
      <c r="DY161">
        <f t="shared" si="12"/>
        <v>1</v>
      </c>
    </row>
    <row r="162" spans="1:129">
      <c r="A162" s="1">
        <v>41069</v>
      </c>
      <c r="B162" s="1"/>
      <c r="C162" s="1"/>
      <c r="F162">
        <v>6.8</v>
      </c>
      <c r="I162">
        <v>4</v>
      </c>
      <c r="O162">
        <v>0.3</v>
      </c>
      <c r="Y162">
        <v>3.9</v>
      </c>
      <c r="AB162">
        <v>0.39999999999963598</v>
      </c>
      <c r="AF162">
        <v>5</v>
      </c>
      <c r="AG162">
        <v>2.1999999999970901</v>
      </c>
      <c r="AP162">
        <v>2</v>
      </c>
      <c r="AS162">
        <v>0.19999999999981799</v>
      </c>
      <c r="AX162">
        <v>1.39999999999964</v>
      </c>
      <c r="AY162">
        <v>8.2999999999883602</v>
      </c>
      <c r="BA162">
        <v>3.5</v>
      </c>
      <c r="BJ162">
        <v>0.200000000000045</v>
      </c>
      <c r="BK162">
        <v>4.5</v>
      </c>
      <c r="BL162">
        <v>0.100000000000023</v>
      </c>
      <c r="BO162">
        <v>0</v>
      </c>
      <c r="BP162">
        <v>0.100000000000023</v>
      </c>
      <c r="BV162">
        <v>0.30000000000018201</v>
      </c>
      <c r="CE162">
        <v>2.2000000000000002</v>
      </c>
      <c r="CH162">
        <v>4.5999999999999996</v>
      </c>
      <c r="CI162">
        <v>0.3</v>
      </c>
      <c r="CK162">
        <v>0.8</v>
      </c>
      <c r="CM162">
        <v>0.6</v>
      </c>
      <c r="CT162">
        <v>30.9</v>
      </c>
      <c r="DC162">
        <v>0.1</v>
      </c>
      <c r="DD162" s="5"/>
      <c r="DJ162" s="1">
        <v>41069</v>
      </c>
      <c r="DK162" s="2">
        <f t="shared" si="13"/>
        <v>3.3079999999993923</v>
      </c>
      <c r="DL162" s="2">
        <f t="shared" si="14"/>
        <v>0.81078431372534132</v>
      </c>
      <c r="DM162" s="2">
        <f t="shared" si="15"/>
        <v>30.9</v>
      </c>
      <c r="DN162" s="3">
        <f t="shared" si="16"/>
        <v>0.24509803921568626</v>
      </c>
      <c r="DV162" s="2">
        <v>795</v>
      </c>
      <c r="DW162">
        <v>0</v>
      </c>
      <c r="DX162">
        <f t="shared" si="17"/>
        <v>14794</v>
      </c>
      <c r="DY162">
        <f t="shared" si="12"/>
        <v>1</v>
      </c>
    </row>
    <row r="163" spans="1:129">
      <c r="A163" s="1">
        <v>41070</v>
      </c>
      <c r="B163" s="1"/>
      <c r="C163" s="1"/>
      <c r="F163">
        <v>3.8</v>
      </c>
      <c r="J163">
        <v>0.7</v>
      </c>
      <c r="O163">
        <v>0.3</v>
      </c>
      <c r="P163">
        <v>6.2</v>
      </c>
      <c r="Q163">
        <v>0.5</v>
      </c>
      <c r="R163">
        <v>3.4</v>
      </c>
      <c r="X163">
        <v>49</v>
      </c>
      <c r="AB163">
        <v>6</v>
      </c>
      <c r="AE163">
        <v>0.69999999999981799</v>
      </c>
      <c r="AF163">
        <v>1</v>
      </c>
      <c r="AK163">
        <v>1</v>
      </c>
      <c r="AN163">
        <v>7.29999999999563</v>
      </c>
      <c r="AO163">
        <v>0.59999999999945397</v>
      </c>
      <c r="AP163">
        <v>3.5</v>
      </c>
      <c r="AQ163">
        <v>1.0999999999985499</v>
      </c>
      <c r="AY163">
        <v>9.5</v>
      </c>
      <c r="BB163">
        <v>5.3999999999941801</v>
      </c>
      <c r="BD163">
        <v>0.5</v>
      </c>
      <c r="BJ163">
        <v>0.100000000000023</v>
      </c>
      <c r="BK163">
        <v>7.3000000000029104</v>
      </c>
      <c r="BL163">
        <v>0</v>
      </c>
      <c r="BP163">
        <v>0.200000000000045</v>
      </c>
      <c r="BZ163">
        <v>0.1</v>
      </c>
      <c r="CE163">
        <v>0.2</v>
      </c>
      <c r="CK163">
        <v>3.1</v>
      </c>
      <c r="CM163">
        <v>11.2</v>
      </c>
      <c r="CP163">
        <v>1.3</v>
      </c>
      <c r="CS163">
        <v>5.3</v>
      </c>
      <c r="CU163">
        <v>0.2</v>
      </c>
      <c r="CY163">
        <v>0.1</v>
      </c>
      <c r="DC163">
        <v>0.1</v>
      </c>
      <c r="DD163" s="5"/>
      <c r="DJ163" s="1">
        <v>41070</v>
      </c>
      <c r="DK163" s="2">
        <f t="shared" si="13"/>
        <v>4.1838709677416315</v>
      </c>
      <c r="DL163" s="2">
        <f t="shared" si="14"/>
        <v>1.2715686274508879</v>
      </c>
      <c r="DM163" s="2">
        <f t="shared" si="15"/>
        <v>49</v>
      </c>
      <c r="DN163" s="3">
        <f t="shared" si="16"/>
        <v>0.30392156862745096</v>
      </c>
      <c r="DV163" s="2">
        <v>800</v>
      </c>
      <c r="DW163">
        <v>0</v>
      </c>
      <c r="DX163">
        <f t="shared" si="17"/>
        <v>14794</v>
      </c>
      <c r="DY163">
        <f t="shared" si="12"/>
        <v>1</v>
      </c>
    </row>
    <row r="164" spans="1:129">
      <c r="A164" s="1">
        <v>41071</v>
      </c>
      <c r="B164" s="1"/>
      <c r="C164" s="1"/>
      <c r="D164">
        <v>0</v>
      </c>
      <c r="E164">
        <v>3.8</v>
      </c>
      <c r="O164">
        <v>34.700000000000003</v>
      </c>
      <c r="P164">
        <v>21.2</v>
      </c>
      <c r="Q164">
        <v>5.7</v>
      </c>
      <c r="U164">
        <v>0.2</v>
      </c>
      <c r="X164">
        <v>2.2000000000000002</v>
      </c>
      <c r="AB164">
        <v>2.5999999999985399</v>
      </c>
      <c r="AE164">
        <v>9.9999999999908995E-2</v>
      </c>
      <c r="AF164">
        <v>0.3</v>
      </c>
      <c r="AN164">
        <v>2.6999999999970901</v>
      </c>
      <c r="AS164">
        <v>9.9999999999908995E-2</v>
      </c>
      <c r="AZ164">
        <v>0.19999999999981799</v>
      </c>
      <c r="BA164">
        <v>0.59999999999945397</v>
      </c>
      <c r="BB164">
        <v>4.6999999999970896</v>
      </c>
      <c r="BD164">
        <v>3.2999999999992702</v>
      </c>
      <c r="BM164">
        <v>6.5999999999985501</v>
      </c>
      <c r="BT164">
        <v>0</v>
      </c>
      <c r="BZ164">
        <v>48.6</v>
      </c>
      <c r="CC164">
        <v>0.7</v>
      </c>
      <c r="CP164">
        <v>4.3</v>
      </c>
      <c r="CS164">
        <v>7.3</v>
      </c>
      <c r="CY164">
        <v>2.7</v>
      </c>
      <c r="DA164">
        <v>0.1</v>
      </c>
      <c r="DD164" s="5"/>
      <c r="DJ164" s="1">
        <v>41071</v>
      </c>
      <c r="DK164" s="2">
        <f t="shared" si="13"/>
        <v>6.3624999999995682</v>
      </c>
      <c r="DL164" s="2">
        <f t="shared" si="14"/>
        <v>1.4970588235293103</v>
      </c>
      <c r="DM164" s="2">
        <f t="shared" si="15"/>
        <v>48.6</v>
      </c>
      <c r="DN164" s="3">
        <f t="shared" si="16"/>
        <v>0.23529411764705882</v>
      </c>
      <c r="DV164" s="2">
        <v>805</v>
      </c>
      <c r="DW164">
        <v>0</v>
      </c>
      <c r="DX164">
        <f t="shared" si="17"/>
        <v>14794</v>
      </c>
      <c r="DY164">
        <f t="shared" si="12"/>
        <v>1</v>
      </c>
    </row>
    <row r="165" spans="1:129">
      <c r="A165" s="1">
        <v>41072</v>
      </c>
      <c r="B165" s="1"/>
      <c r="C165" s="1"/>
      <c r="F165">
        <v>12.9</v>
      </c>
      <c r="K165">
        <v>2.2000000000000002</v>
      </c>
      <c r="L165">
        <v>9.3000000000000007</v>
      </c>
      <c r="M165">
        <v>3.9</v>
      </c>
      <c r="O165">
        <v>6.5</v>
      </c>
      <c r="P165">
        <v>16.2</v>
      </c>
      <c r="Q165">
        <v>2.2999999999999998</v>
      </c>
      <c r="U165">
        <v>1.9</v>
      </c>
      <c r="Z165">
        <v>0.29999999999972699</v>
      </c>
      <c r="AG165">
        <v>0.29999999999972699</v>
      </c>
      <c r="AQ165">
        <v>17.199999999982499</v>
      </c>
      <c r="AS165">
        <v>9.9999999999908995E-2</v>
      </c>
      <c r="AT165">
        <v>0.19999999999981799</v>
      </c>
      <c r="AU165">
        <v>4.8999999999941801</v>
      </c>
      <c r="AY165">
        <v>10.6999999999971</v>
      </c>
      <c r="AZ165">
        <v>13.099999999991301</v>
      </c>
      <c r="BA165">
        <v>25.599999999976699</v>
      </c>
      <c r="BB165">
        <v>4.0999999999985501</v>
      </c>
      <c r="BQ165">
        <v>1.79999999999927</v>
      </c>
      <c r="BU165">
        <v>0</v>
      </c>
      <c r="BW165">
        <v>0</v>
      </c>
      <c r="BX165">
        <v>2.2999999999992702</v>
      </c>
      <c r="BY165">
        <v>2.2000000000000002</v>
      </c>
      <c r="BZ165">
        <v>2.2000000000000002</v>
      </c>
      <c r="CP165">
        <v>0.4</v>
      </c>
      <c r="CT165">
        <v>7.2</v>
      </c>
      <c r="CY165">
        <v>0.2</v>
      </c>
      <c r="DA165">
        <v>8.1</v>
      </c>
      <c r="DD165" s="5"/>
      <c r="DJ165" s="1">
        <v>41072</v>
      </c>
      <c r="DK165" s="2">
        <f t="shared" si="13"/>
        <v>5.5749999999977859</v>
      </c>
      <c r="DL165" s="2">
        <f t="shared" si="14"/>
        <v>1.5303921568621373</v>
      </c>
      <c r="DM165" s="2">
        <f t="shared" si="15"/>
        <v>25.599999999976699</v>
      </c>
      <c r="DN165" s="3">
        <f t="shared" si="16"/>
        <v>0.27450980392156865</v>
      </c>
      <c r="DV165" s="2">
        <v>810</v>
      </c>
      <c r="DW165">
        <v>0</v>
      </c>
      <c r="DX165">
        <f t="shared" si="17"/>
        <v>14794</v>
      </c>
      <c r="DY165">
        <f t="shared" si="12"/>
        <v>1</v>
      </c>
    </row>
    <row r="166" spans="1:129">
      <c r="A166" s="1">
        <v>41073</v>
      </c>
      <c r="B166" s="1"/>
      <c r="C166" s="1"/>
      <c r="F166">
        <v>0.2</v>
      </c>
      <c r="L166">
        <v>26.8</v>
      </c>
      <c r="P166">
        <v>0.7</v>
      </c>
      <c r="V166">
        <v>0</v>
      </c>
      <c r="X166">
        <v>3</v>
      </c>
      <c r="AB166">
        <v>5.5</v>
      </c>
      <c r="AF166">
        <v>0.19999999999981799</v>
      </c>
      <c r="AQ166">
        <v>24</v>
      </c>
      <c r="AS166">
        <v>0.19999999999981799</v>
      </c>
      <c r="AT166">
        <v>1.1999999999989099</v>
      </c>
      <c r="AZ166">
        <v>5</v>
      </c>
      <c r="BA166">
        <v>0.29999999999972699</v>
      </c>
      <c r="BH166">
        <v>0.100000000000023</v>
      </c>
      <c r="BJ166">
        <v>0.100000000000023</v>
      </c>
      <c r="BW166">
        <v>0</v>
      </c>
      <c r="BX166">
        <v>0.29999999999972699</v>
      </c>
      <c r="CB166">
        <v>3.7</v>
      </c>
      <c r="CI166">
        <v>0</v>
      </c>
      <c r="CT166">
        <v>16.2</v>
      </c>
      <c r="CY166">
        <v>1</v>
      </c>
      <c r="DA166">
        <v>0.4</v>
      </c>
      <c r="DD166" s="5">
        <v>2.5</v>
      </c>
      <c r="DJ166" s="1">
        <v>41073</v>
      </c>
      <c r="DK166" s="2">
        <f t="shared" si="13"/>
        <v>4.1545454545453664</v>
      </c>
      <c r="DL166" s="2">
        <f t="shared" si="14"/>
        <v>0.89607843137252996</v>
      </c>
      <c r="DM166" s="2">
        <f t="shared" si="15"/>
        <v>26.8</v>
      </c>
      <c r="DN166" s="3">
        <f t="shared" si="16"/>
        <v>0.21568627450980393</v>
      </c>
      <c r="DV166" s="2">
        <v>815</v>
      </c>
      <c r="DW166">
        <v>0</v>
      </c>
      <c r="DX166">
        <f t="shared" si="17"/>
        <v>14794</v>
      </c>
      <c r="DY166">
        <f t="shared" si="12"/>
        <v>1</v>
      </c>
    </row>
    <row r="167" spans="1:129">
      <c r="A167" s="1">
        <v>41074</v>
      </c>
      <c r="B167" s="1"/>
      <c r="C167" s="1"/>
      <c r="E167">
        <v>11.4</v>
      </c>
      <c r="F167">
        <v>0.2</v>
      </c>
      <c r="V167">
        <v>0.7</v>
      </c>
      <c r="AB167">
        <v>11.799999999988399</v>
      </c>
      <c r="AN167">
        <v>0.39999999999963598</v>
      </c>
      <c r="AT167">
        <v>6.3999999999941801</v>
      </c>
      <c r="AZ167">
        <v>0.39999999999963598</v>
      </c>
      <c r="BB167">
        <v>2.2999999999992702</v>
      </c>
      <c r="BN167">
        <v>0.30000000000018201</v>
      </c>
      <c r="BP167">
        <v>1.39999999999964</v>
      </c>
      <c r="BQ167">
        <v>0</v>
      </c>
      <c r="BU167">
        <v>27.399999999994201</v>
      </c>
      <c r="BV167">
        <v>0.400000000000091</v>
      </c>
      <c r="BW167">
        <v>2.6</v>
      </c>
      <c r="CB167">
        <v>5.2</v>
      </c>
      <c r="CD167">
        <v>0.8</v>
      </c>
      <c r="CF167">
        <v>1.2</v>
      </c>
      <c r="CI167">
        <v>0.2</v>
      </c>
      <c r="CJ167">
        <v>12.3</v>
      </c>
      <c r="CY167">
        <v>9.1</v>
      </c>
      <c r="DA167">
        <v>18.5</v>
      </c>
      <c r="DD167" s="5">
        <v>8.1</v>
      </c>
      <c r="DJ167" s="1">
        <v>41074</v>
      </c>
      <c r="DK167" s="2">
        <f t="shared" si="13"/>
        <v>5.5045454545443286</v>
      </c>
      <c r="DL167" s="2">
        <f t="shared" si="14"/>
        <v>1.1872549019605414</v>
      </c>
      <c r="DM167" s="2">
        <f t="shared" si="15"/>
        <v>27.399999999994201</v>
      </c>
      <c r="DN167" s="3">
        <f t="shared" si="16"/>
        <v>0.21568627450980393</v>
      </c>
      <c r="DV167" s="2">
        <v>820</v>
      </c>
      <c r="DW167">
        <v>0</v>
      </c>
      <c r="DX167">
        <f t="shared" si="17"/>
        <v>14794</v>
      </c>
      <c r="DY167">
        <f t="shared" si="12"/>
        <v>1</v>
      </c>
    </row>
    <row r="168" spans="1:129">
      <c r="A168" s="1">
        <v>41075</v>
      </c>
      <c r="B168" s="1"/>
      <c r="C168" s="1"/>
      <c r="E168">
        <v>3</v>
      </c>
      <c r="F168">
        <v>0.1</v>
      </c>
      <c r="V168">
        <v>0</v>
      </c>
      <c r="Z168">
        <v>1.39999999999964</v>
      </c>
      <c r="AB168">
        <v>7.3999999999941801</v>
      </c>
      <c r="AK168">
        <v>2</v>
      </c>
      <c r="AU168">
        <v>3.5999999999985399</v>
      </c>
      <c r="AX168">
        <v>1.6999999999989099</v>
      </c>
      <c r="BH168">
        <v>6.3000000000029104</v>
      </c>
      <c r="BM168">
        <v>6.5999999999985501</v>
      </c>
      <c r="BU168">
        <v>2.5</v>
      </c>
      <c r="BW168">
        <v>0.3</v>
      </c>
      <c r="CC168">
        <v>5.5</v>
      </c>
      <c r="CF168">
        <v>10.6</v>
      </c>
      <c r="CG168">
        <v>0.5</v>
      </c>
      <c r="CH168">
        <v>32.4</v>
      </c>
      <c r="CO168">
        <v>2.5</v>
      </c>
      <c r="CT168">
        <v>0.1</v>
      </c>
      <c r="DA168">
        <v>6.5</v>
      </c>
      <c r="DD168" s="5"/>
      <c r="DJ168" s="1">
        <v>41075</v>
      </c>
      <c r="DK168" s="2">
        <f t="shared" si="13"/>
        <v>4.89473684210488</v>
      </c>
      <c r="DL168" s="2">
        <f t="shared" si="14"/>
        <v>0.91176470588228165</v>
      </c>
      <c r="DM168" s="2">
        <f t="shared" si="15"/>
        <v>32.4</v>
      </c>
      <c r="DN168" s="3">
        <f t="shared" si="16"/>
        <v>0.18627450980392157</v>
      </c>
      <c r="DV168" s="2">
        <v>825</v>
      </c>
      <c r="DW168">
        <v>0</v>
      </c>
      <c r="DX168">
        <f t="shared" si="17"/>
        <v>14794</v>
      </c>
      <c r="DY168">
        <f t="shared" si="12"/>
        <v>1</v>
      </c>
    </row>
    <row r="169" spans="1:129">
      <c r="A169" s="1">
        <v>41076</v>
      </c>
      <c r="B169" s="1"/>
      <c r="C169" s="1"/>
      <c r="E169">
        <v>4</v>
      </c>
      <c r="G169">
        <v>4</v>
      </c>
      <c r="K169">
        <v>0.2</v>
      </c>
      <c r="M169">
        <v>0.1</v>
      </c>
      <c r="P169">
        <v>2</v>
      </c>
      <c r="Y169">
        <v>0.2</v>
      </c>
      <c r="Z169">
        <v>7.5</v>
      </c>
      <c r="AD169">
        <v>28</v>
      </c>
      <c r="AN169">
        <v>17</v>
      </c>
      <c r="AT169">
        <v>0.5</v>
      </c>
      <c r="AU169">
        <v>3.7999999999992702</v>
      </c>
      <c r="AX169">
        <v>1.0999999999985499</v>
      </c>
      <c r="BG169">
        <v>0.30000000000018201</v>
      </c>
      <c r="BH169">
        <v>0.400000000000091</v>
      </c>
      <c r="BI169">
        <v>9.3000000000029104</v>
      </c>
      <c r="BJ169">
        <v>0.100000000000023</v>
      </c>
      <c r="BN169">
        <v>0</v>
      </c>
      <c r="BT169">
        <v>2.5</v>
      </c>
      <c r="BU169">
        <v>0</v>
      </c>
      <c r="BW169">
        <v>4.4000000000000004</v>
      </c>
      <c r="CF169">
        <v>11</v>
      </c>
      <c r="CJ169">
        <v>1.5</v>
      </c>
      <c r="CY169">
        <v>2.7</v>
      </c>
      <c r="DB169">
        <v>24</v>
      </c>
      <c r="DC169">
        <v>4.9000000000000004</v>
      </c>
      <c r="DD169" s="5"/>
      <c r="DJ169" s="1">
        <v>41076</v>
      </c>
      <c r="DK169" s="2">
        <f t="shared" si="13"/>
        <v>5.1800000000000406</v>
      </c>
      <c r="DL169" s="2">
        <f t="shared" si="14"/>
        <v>1.2696078431372648</v>
      </c>
      <c r="DM169" s="2">
        <f t="shared" si="15"/>
        <v>28</v>
      </c>
      <c r="DN169" s="3">
        <f t="shared" si="16"/>
        <v>0.24509803921568626</v>
      </c>
      <c r="DV169" s="2">
        <v>830</v>
      </c>
      <c r="DW169">
        <v>0</v>
      </c>
      <c r="DX169">
        <f t="shared" si="17"/>
        <v>14794</v>
      </c>
      <c r="DY169">
        <f t="shared" si="12"/>
        <v>1</v>
      </c>
    </row>
    <row r="170" spans="1:129">
      <c r="A170" s="1">
        <v>41077</v>
      </c>
      <c r="B170" s="1"/>
      <c r="C170" s="1"/>
      <c r="F170">
        <v>1.6</v>
      </c>
      <c r="G170">
        <v>0.1</v>
      </c>
      <c r="M170">
        <v>0.9</v>
      </c>
      <c r="P170">
        <v>2.7</v>
      </c>
      <c r="V170">
        <v>12.9</v>
      </c>
      <c r="X170">
        <v>0.6</v>
      </c>
      <c r="AG170">
        <v>0.29999999999972699</v>
      </c>
      <c r="AL170">
        <v>0.19999999999981799</v>
      </c>
      <c r="AS170">
        <v>1.79999999999927</v>
      </c>
      <c r="AU170">
        <v>5.8999999999941801</v>
      </c>
      <c r="BC170">
        <v>0.19999999999981799</v>
      </c>
      <c r="BH170">
        <v>6.3000000000029104</v>
      </c>
      <c r="BI170">
        <v>6.9000000000014596</v>
      </c>
      <c r="BN170">
        <v>0.100000000000023</v>
      </c>
      <c r="BO170">
        <v>0.100000000000023</v>
      </c>
      <c r="BV170">
        <v>0.200000000000045</v>
      </c>
      <c r="BW170">
        <v>5.7</v>
      </c>
      <c r="BY170">
        <v>1</v>
      </c>
      <c r="CC170">
        <v>0.3</v>
      </c>
      <c r="CN170">
        <v>0.5</v>
      </c>
      <c r="CQ170">
        <v>2</v>
      </c>
      <c r="CW170">
        <v>0.1</v>
      </c>
      <c r="DB170">
        <v>17</v>
      </c>
      <c r="DD170" s="5"/>
      <c r="DJ170" s="1">
        <v>41077</v>
      </c>
      <c r="DK170" s="2">
        <f t="shared" si="13"/>
        <v>2.9304347826085775</v>
      </c>
      <c r="DL170" s="2">
        <f t="shared" si="14"/>
        <v>0.66078431372546353</v>
      </c>
      <c r="DM170" s="2">
        <f t="shared" si="15"/>
        <v>17</v>
      </c>
      <c r="DN170" s="3">
        <f t="shared" si="16"/>
        <v>0.22549019607843138</v>
      </c>
      <c r="DV170" s="2">
        <v>835</v>
      </c>
      <c r="DW170">
        <v>0</v>
      </c>
      <c r="DX170">
        <f t="shared" si="17"/>
        <v>14794</v>
      </c>
      <c r="DY170">
        <f t="shared" si="12"/>
        <v>1</v>
      </c>
    </row>
    <row r="171" spans="1:129">
      <c r="A171" s="1">
        <v>41078</v>
      </c>
      <c r="B171" s="1"/>
      <c r="C171" s="1"/>
      <c r="F171">
        <v>0.2</v>
      </c>
      <c r="I171">
        <v>28.2</v>
      </c>
      <c r="Z171">
        <v>0.5</v>
      </c>
      <c r="AE171">
        <v>8.2999999999883602</v>
      </c>
      <c r="AG171">
        <v>5.8999999999941801</v>
      </c>
      <c r="AL171">
        <v>1</v>
      </c>
      <c r="AZ171">
        <v>0.5</v>
      </c>
      <c r="BC171">
        <v>6.8999999999941801</v>
      </c>
      <c r="BE171">
        <v>2.5999999999985399</v>
      </c>
      <c r="BI171">
        <v>0.100000000000023</v>
      </c>
      <c r="BL171">
        <v>1.89999999999964</v>
      </c>
      <c r="BM171">
        <v>0.100000000000023</v>
      </c>
      <c r="BP171">
        <v>0</v>
      </c>
      <c r="BW171">
        <v>0.5</v>
      </c>
      <c r="BY171">
        <v>0.9</v>
      </c>
      <c r="CA171">
        <v>57</v>
      </c>
      <c r="CC171">
        <v>9.1</v>
      </c>
      <c r="CD171">
        <v>9.1</v>
      </c>
      <c r="CF171">
        <v>0.4</v>
      </c>
      <c r="CG171">
        <v>2.1</v>
      </c>
      <c r="CN171">
        <v>6</v>
      </c>
      <c r="DC171">
        <v>8.6999999999999993</v>
      </c>
      <c r="DD171" s="5"/>
      <c r="DJ171" s="1">
        <v>41078</v>
      </c>
      <c r="DK171" s="2">
        <f t="shared" si="13"/>
        <v>6.8181818181806788</v>
      </c>
      <c r="DL171" s="2">
        <f t="shared" si="14"/>
        <v>1.4705882352938719</v>
      </c>
      <c r="DM171" s="2">
        <f t="shared" si="15"/>
        <v>57</v>
      </c>
      <c r="DN171" s="3">
        <f t="shared" si="16"/>
        <v>0.21568627450980393</v>
      </c>
      <c r="DV171" s="2">
        <v>840</v>
      </c>
      <c r="DW171">
        <v>0</v>
      </c>
      <c r="DX171">
        <f t="shared" si="17"/>
        <v>14794</v>
      </c>
      <c r="DY171">
        <f t="shared" si="12"/>
        <v>1</v>
      </c>
    </row>
    <row r="172" spans="1:129">
      <c r="A172" s="1">
        <v>41079</v>
      </c>
      <c r="B172" s="1"/>
      <c r="C172" s="1"/>
      <c r="F172">
        <v>1</v>
      </c>
      <c r="I172">
        <v>3.7</v>
      </c>
      <c r="M172">
        <v>0.5</v>
      </c>
      <c r="P172">
        <v>5.7</v>
      </c>
      <c r="AE172">
        <v>0.1</v>
      </c>
      <c r="AG172">
        <v>0.29999999999972699</v>
      </c>
      <c r="BJ172">
        <v>0.200000000000045</v>
      </c>
      <c r="BK172">
        <v>3.5999999999985399</v>
      </c>
      <c r="BL172">
        <v>2.0999999999985399</v>
      </c>
      <c r="BM172">
        <v>0.400000000000091</v>
      </c>
      <c r="BR172">
        <v>2.2999999999992702</v>
      </c>
      <c r="CA172">
        <v>1</v>
      </c>
      <c r="CB172">
        <v>4.8</v>
      </c>
      <c r="CC172">
        <v>1.4</v>
      </c>
      <c r="CF172">
        <v>1.1000000000000001</v>
      </c>
      <c r="CG172">
        <v>30.5</v>
      </c>
      <c r="CN172">
        <v>0.3</v>
      </c>
      <c r="CS172">
        <v>0.3</v>
      </c>
      <c r="CV172">
        <v>0.1</v>
      </c>
      <c r="DC172">
        <v>0.7</v>
      </c>
      <c r="DD172" s="5"/>
      <c r="DJ172" s="1">
        <v>41079</v>
      </c>
      <c r="DK172" s="2">
        <f t="shared" si="13"/>
        <v>3.0049999999998103</v>
      </c>
      <c r="DL172" s="2">
        <f t="shared" si="14"/>
        <v>0.58921568627447263</v>
      </c>
      <c r="DM172" s="2">
        <f t="shared" si="15"/>
        <v>30.5</v>
      </c>
      <c r="DN172" s="3">
        <f t="shared" si="16"/>
        <v>0.19607843137254902</v>
      </c>
      <c r="DV172" s="2">
        <v>845</v>
      </c>
      <c r="DW172">
        <v>0</v>
      </c>
      <c r="DX172">
        <f t="shared" si="17"/>
        <v>14794</v>
      </c>
      <c r="DY172">
        <f t="shared" si="12"/>
        <v>1</v>
      </c>
    </row>
    <row r="173" spans="1:129">
      <c r="A173" s="1">
        <v>41080</v>
      </c>
      <c r="B173" s="1"/>
      <c r="C173" s="1"/>
      <c r="P173">
        <v>91</v>
      </c>
      <c r="Q173">
        <v>4.3</v>
      </c>
      <c r="AE173">
        <v>5.5999999999985501</v>
      </c>
      <c r="AG173">
        <v>6.6999999999970896</v>
      </c>
      <c r="AI173">
        <v>46.099999999976703</v>
      </c>
      <c r="AM173">
        <v>2.7999999999992702</v>
      </c>
      <c r="AO173">
        <v>13.599999999991301</v>
      </c>
      <c r="AP173">
        <v>4.6999999999970896</v>
      </c>
      <c r="AS173">
        <v>0.5</v>
      </c>
      <c r="BA173">
        <v>19</v>
      </c>
      <c r="BJ173">
        <v>0.89999999999963598</v>
      </c>
      <c r="BK173">
        <v>0.60000000000036402</v>
      </c>
      <c r="BL173">
        <v>6</v>
      </c>
      <c r="BM173">
        <v>12</v>
      </c>
      <c r="BN173">
        <v>8.3000000000029104</v>
      </c>
      <c r="BQ173">
        <v>8.8999999999941792</v>
      </c>
      <c r="BT173">
        <v>0</v>
      </c>
      <c r="BU173">
        <v>0.400000000000091</v>
      </c>
      <c r="BV173">
        <v>1.5</v>
      </c>
      <c r="CB173">
        <v>0.3</v>
      </c>
      <c r="CI173">
        <v>3</v>
      </c>
      <c r="CO173">
        <v>1</v>
      </c>
      <c r="CS173">
        <v>0.1</v>
      </c>
      <c r="CX173">
        <v>5.7</v>
      </c>
      <c r="DD173" s="5"/>
      <c r="DJ173" s="1">
        <v>41080</v>
      </c>
      <c r="DK173" s="2">
        <f t="shared" si="13"/>
        <v>10.124999999998215</v>
      </c>
      <c r="DL173" s="2">
        <f t="shared" si="14"/>
        <v>2.3823529411760505</v>
      </c>
      <c r="DM173" s="2">
        <f t="shared" si="15"/>
        <v>91</v>
      </c>
      <c r="DN173" s="3">
        <f t="shared" si="16"/>
        <v>0.23529411764705882</v>
      </c>
      <c r="DV173" s="2">
        <v>850</v>
      </c>
      <c r="DW173">
        <v>0</v>
      </c>
      <c r="DX173">
        <f t="shared" si="17"/>
        <v>14794</v>
      </c>
      <c r="DY173">
        <f t="shared" si="12"/>
        <v>1</v>
      </c>
    </row>
    <row r="174" spans="1:129">
      <c r="A174" s="1">
        <v>41081</v>
      </c>
      <c r="B174" s="1"/>
      <c r="C174" s="1"/>
      <c r="F174">
        <v>0.2</v>
      </c>
      <c r="L174">
        <v>0.3</v>
      </c>
      <c r="N174">
        <v>10.199999999999999</v>
      </c>
      <c r="V174">
        <v>1.7</v>
      </c>
      <c r="AI174">
        <v>18.299999999988401</v>
      </c>
      <c r="BG174">
        <v>7.3000000000029104</v>
      </c>
      <c r="BH174">
        <v>0.100000000000023</v>
      </c>
      <c r="BI174">
        <v>0.30000000000018201</v>
      </c>
      <c r="BJ174">
        <v>0.100000000000023</v>
      </c>
      <c r="BL174">
        <v>8</v>
      </c>
      <c r="BO174">
        <v>0.80000000000018201</v>
      </c>
      <c r="BQ174">
        <v>0.200000000000045</v>
      </c>
      <c r="BS174">
        <v>3</v>
      </c>
      <c r="BU174">
        <v>2.9000000000014601</v>
      </c>
      <c r="BV174">
        <v>0.4</v>
      </c>
      <c r="BY174">
        <v>0.1</v>
      </c>
      <c r="CA174">
        <v>0</v>
      </c>
      <c r="CB174">
        <v>36</v>
      </c>
      <c r="CE174">
        <v>0.4</v>
      </c>
      <c r="CF174">
        <v>7.5</v>
      </c>
      <c r="CL174">
        <v>3.5</v>
      </c>
      <c r="CV174">
        <v>0.3</v>
      </c>
      <c r="DB174">
        <v>1.2</v>
      </c>
      <c r="DD174" s="5"/>
      <c r="DJ174" s="1">
        <v>41081</v>
      </c>
      <c r="DK174" s="2">
        <f t="shared" si="13"/>
        <v>4.4695652173910103</v>
      </c>
      <c r="DL174" s="2">
        <f t="shared" si="14"/>
        <v>1.0078431372548355</v>
      </c>
      <c r="DM174" s="2">
        <f t="shared" si="15"/>
        <v>36</v>
      </c>
      <c r="DN174" s="3">
        <f t="shared" si="16"/>
        <v>0.22549019607843138</v>
      </c>
      <c r="DV174" s="2">
        <v>855</v>
      </c>
      <c r="DW174">
        <v>0</v>
      </c>
      <c r="DX174">
        <f t="shared" si="17"/>
        <v>14794</v>
      </c>
      <c r="DY174">
        <f t="shared" si="12"/>
        <v>1</v>
      </c>
    </row>
    <row r="175" spans="1:129">
      <c r="A175" s="1">
        <v>41082</v>
      </c>
      <c r="B175" s="1"/>
      <c r="C175" s="1"/>
      <c r="D175">
        <v>3.2</v>
      </c>
      <c r="F175">
        <v>0.2</v>
      </c>
      <c r="J175">
        <v>5.9</v>
      </c>
      <c r="M175">
        <v>15.7</v>
      </c>
      <c r="N175">
        <v>3.1</v>
      </c>
      <c r="R175">
        <v>0.3</v>
      </c>
      <c r="T175">
        <v>7.3</v>
      </c>
      <c r="AA175">
        <v>0.19999999999981799</v>
      </c>
      <c r="AE175">
        <v>2.6999999999970901</v>
      </c>
      <c r="AI175">
        <v>0.39999999999963598</v>
      </c>
      <c r="AO175">
        <v>0.89999999999963598</v>
      </c>
      <c r="AZ175">
        <v>7.6999999999970896</v>
      </c>
      <c r="BG175">
        <v>7</v>
      </c>
      <c r="BI175">
        <v>10.6999999999971</v>
      </c>
      <c r="BN175">
        <v>0.100000000000023</v>
      </c>
      <c r="BO175">
        <v>7.5</v>
      </c>
      <c r="BU175">
        <v>0.89999999999963598</v>
      </c>
      <c r="CA175">
        <v>0.7</v>
      </c>
      <c r="CB175">
        <v>0.4</v>
      </c>
      <c r="CC175">
        <v>0.1</v>
      </c>
      <c r="CM175">
        <v>1.3</v>
      </c>
      <c r="CR175">
        <v>2.4</v>
      </c>
      <c r="CX175">
        <v>15.6</v>
      </c>
      <c r="DC175">
        <v>10.199999999999999</v>
      </c>
      <c r="DD175" s="5"/>
      <c r="DJ175" s="1">
        <v>41082</v>
      </c>
      <c r="DK175" s="2">
        <f t="shared" si="13"/>
        <v>4.3541666666662513</v>
      </c>
      <c r="DL175" s="2">
        <f t="shared" si="14"/>
        <v>1.0245098039214711</v>
      </c>
      <c r="DM175" s="2">
        <f t="shared" si="15"/>
        <v>15.7</v>
      </c>
      <c r="DN175" s="3">
        <f t="shared" si="16"/>
        <v>0.23529411764705882</v>
      </c>
      <c r="DV175" s="2">
        <v>860</v>
      </c>
      <c r="DW175">
        <v>0</v>
      </c>
      <c r="DX175">
        <f t="shared" si="17"/>
        <v>14794</v>
      </c>
      <c r="DY175">
        <f t="shared" si="12"/>
        <v>1</v>
      </c>
    </row>
    <row r="176" spans="1:129">
      <c r="A176" s="1">
        <v>41083</v>
      </c>
      <c r="B176" s="1"/>
      <c r="C176" s="1"/>
      <c r="F176">
        <v>0.5</v>
      </c>
      <c r="J176">
        <v>4.4000000000000004</v>
      </c>
      <c r="N176">
        <v>0.2</v>
      </c>
      <c r="R176">
        <v>1.7</v>
      </c>
      <c r="AB176">
        <v>7.8999999999941801</v>
      </c>
      <c r="AE176">
        <v>0</v>
      </c>
      <c r="AH176">
        <v>3.2999999999992702</v>
      </c>
      <c r="AK176">
        <v>9.9999999999908995E-2</v>
      </c>
      <c r="AZ176">
        <v>10.5</v>
      </c>
      <c r="BG176">
        <v>0.5</v>
      </c>
      <c r="BI176">
        <v>1.70000000000073</v>
      </c>
      <c r="BN176">
        <v>0</v>
      </c>
      <c r="BO176">
        <v>0.80000000000018201</v>
      </c>
      <c r="BS176">
        <v>0.1</v>
      </c>
      <c r="BU176">
        <v>0.5</v>
      </c>
      <c r="BX176">
        <v>6</v>
      </c>
      <c r="CA176">
        <v>0.4</v>
      </c>
      <c r="CE176">
        <v>0.1</v>
      </c>
      <c r="CM176">
        <v>1</v>
      </c>
      <c r="CR176">
        <v>8.8000000000000007</v>
      </c>
      <c r="CS176">
        <v>3.8</v>
      </c>
      <c r="CX176">
        <v>31.6</v>
      </c>
      <c r="DC176">
        <v>3.4</v>
      </c>
      <c r="DD176" s="5"/>
      <c r="DJ176" s="1">
        <v>41083</v>
      </c>
      <c r="DK176" s="2">
        <f t="shared" si="13"/>
        <v>3.7956521739127944</v>
      </c>
      <c r="DL176" s="2">
        <f t="shared" si="14"/>
        <v>0.85588235294112025</v>
      </c>
      <c r="DM176" s="2">
        <f t="shared" si="15"/>
        <v>31.6</v>
      </c>
      <c r="DN176" s="3">
        <f t="shared" si="16"/>
        <v>0.22549019607843138</v>
      </c>
      <c r="DV176" s="2">
        <v>865</v>
      </c>
      <c r="DW176">
        <v>0</v>
      </c>
      <c r="DX176">
        <f t="shared" si="17"/>
        <v>14794</v>
      </c>
      <c r="DY176">
        <f t="shared" si="12"/>
        <v>1</v>
      </c>
    </row>
    <row r="177" spans="1:129">
      <c r="A177" s="1">
        <v>41084</v>
      </c>
      <c r="B177" s="1"/>
      <c r="C177" s="1"/>
      <c r="F177">
        <v>0.5</v>
      </c>
      <c r="N177">
        <v>0.1</v>
      </c>
      <c r="O177">
        <v>6.9</v>
      </c>
      <c r="R177">
        <v>0.5</v>
      </c>
      <c r="AA177">
        <v>1.5</v>
      </c>
      <c r="AE177">
        <v>2.0999999999985399</v>
      </c>
      <c r="AH177">
        <v>3.5</v>
      </c>
      <c r="AN177">
        <v>22.599999999976699</v>
      </c>
      <c r="AV177">
        <v>1.89999999999964</v>
      </c>
      <c r="AZ177">
        <v>25.5</v>
      </c>
      <c r="BD177">
        <v>0.200000000000045</v>
      </c>
      <c r="BK177">
        <v>0</v>
      </c>
      <c r="BQ177">
        <v>0</v>
      </c>
      <c r="BS177">
        <v>0.1</v>
      </c>
      <c r="BW177">
        <v>0</v>
      </c>
      <c r="BY177">
        <v>7</v>
      </c>
      <c r="CA177">
        <v>0.1</v>
      </c>
      <c r="CB177">
        <v>14.8</v>
      </c>
      <c r="CD177">
        <v>1.1000000000000001</v>
      </c>
      <c r="CI177">
        <v>0.1</v>
      </c>
      <c r="CM177">
        <v>11</v>
      </c>
      <c r="CS177">
        <v>2.4</v>
      </c>
      <c r="CX177">
        <v>4.5</v>
      </c>
      <c r="DD177" s="5"/>
      <c r="DJ177" s="1">
        <v>41084</v>
      </c>
      <c r="DK177" s="2">
        <f t="shared" si="13"/>
        <v>4.6260869565206484</v>
      </c>
      <c r="DL177" s="2">
        <f t="shared" si="14"/>
        <v>1.0431372549017148</v>
      </c>
      <c r="DM177" s="2">
        <f t="shared" si="15"/>
        <v>25.5</v>
      </c>
      <c r="DN177" s="3">
        <f t="shared" si="16"/>
        <v>0.22549019607843138</v>
      </c>
      <c r="DV177" s="2">
        <v>870</v>
      </c>
      <c r="DW177">
        <v>0</v>
      </c>
      <c r="DX177">
        <f t="shared" si="17"/>
        <v>14794</v>
      </c>
      <c r="DY177">
        <f t="shared" si="12"/>
        <v>1</v>
      </c>
    </row>
    <row r="178" spans="1:129">
      <c r="A178" s="1">
        <v>41085</v>
      </c>
      <c r="B178" s="1"/>
      <c r="C178" s="1"/>
      <c r="E178">
        <v>0.5</v>
      </c>
      <c r="F178">
        <v>0.3</v>
      </c>
      <c r="L178">
        <v>6.4</v>
      </c>
      <c r="N178">
        <v>0.4</v>
      </c>
      <c r="O178">
        <v>0.1</v>
      </c>
      <c r="R178">
        <v>5</v>
      </c>
      <c r="AA178">
        <v>6</v>
      </c>
      <c r="AH178">
        <v>9.9999999999908995E-2</v>
      </c>
      <c r="AJ178">
        <v>0.29999999999972699</v>
      </c>
      <c r="AK178">
        <v>0.59999999999945397</v>
      </c>
      <c r="AN178">
        <v>0.29999999999972699</v>
      </c>
      <c r="AR178">
        <v>14.8</v>
      </c>
      <c r="BH178">
        <v>8.8000000000029104</v>
      </c>
      <c r="BN178">
        <v>6.8000000000029104</v>
      </c>
      <c r="BS178">
        <v>10</v>
      </c>
      <c r="BX178">
        <v>0.5</v>
      </c>
      <c r="BY178">
        <v>0</v>
      </c>
      <c r="CD178">
        <v>0.3</v>
      </c>
      <c r="CM178">
        <v>8</v>
      </c>
      <c r="CX178">
        <v>4.5</v>
      </c>
      <c r="CY178">
        <v>3.5</v>
      </c>
      <c r="DD178" s="5"/>
      <c r="DJ178" s="1">
        <v>41085</v>
      </c>
      <c r="DK178" s="2">
        <f t="shared" si="13"/>
        <v>3.6761904761906967</v>
      </c>
      <c r="DL178" s="2">
        <f t="shared" si="14"/>
        <v>0.75686274509808471</v>
      </c>
      <c r="DM178" s="2">
        <f t="shared" si="15"/>
        <v>14.8</v>
      </c>
      <c r="DN178" s="3">
        <f t="shared" si="16"/>
        <v>0.20588235294117646</v>
      </c>
      <c r="DV178" s="2">
        <v>875</v>
      </c>
      <c r="DW178">
        <v>0</v>
      </c>
      <c r="DX178">
        <f t="shared" si="17"/>
        <v>14794</v>
      </c>
      <c r="DY178">
        <f t="shared" si="12"/>
        <v>1</v>
      </c>
    </row>
    <row r="179" spans="1:129">
      <c r="A179" s="1">
        <v>41086</v>
      </c>
      <c r="B179" s="1"/>
      <c r="C179" s="1"/>
      <c r="I179">
        <v>1.3</v>
      </c>
      <c r="N179">
        <v>0.1</v>
      </c>
      <c r="P179">
        <v>7.5</v>
      </c>
      <c r="R179">
        <v>2.4</v>
      </c>
      <c r="AM179">
        <v>3.5999999999985399</v>
      </c>
      <c r="AR179">
        <v>6.6999999999970896</v>
      </c>
      <c r="BH179">
        <v>6.1999999999970896</v>
      </c>
      <c r="BI179">
        <v>0.100000000000023</v>
      </c>
      <c r="BM179">
        <v>6.8000000000029104</v>
      </c>
      <c r="BQ179">
        <v>0.30000000000018201</v>
      </c>
      <c r="BX179">
        <v>0.19999999999981799</v>
      </c>
      <c r="BY179">
        <v>3</v>
      </c>
      <c r="BZ179">
        <v>1.6</v>
      </c>
      <c r="CF179">
        <v>21.5</v>
      </c>
      <c r="CI179">
        <v>8.5</v>
      </c>
      <c r="CK179">
        <v>5.2</v>
      </c>
      <c r="CM179">
        <v>0.5</v>
      </c>
      <c r="CP179">
        <v>1.5</v>
      </c>
      <c r="CR179">
        <v>1</v>
      </c>
      <c r="CY179">
        <v>1.5</v>
      </c>
      <c r="CZ179">
        <v>17.7</v>
      </c>
      <c r="DD179" s="5">
        <v>0.6</v>
      </c>
      <c r="DJ179" s="1">
        <v>41086</v>
      </c>
      <c r="DK179" s="2">
        <f t="shared" si="13"/>
        <v>4.4454545454543481</v>
      </c>
      <c r="DL179" s="2">
        <f t="shared" si="14"/>
        <v>0.95882352941172222</v>
      </c>
      <c r="DM179" s="2">
        <f t="shared" si="15"/>
        <v>21.5</v>
      </c>
      <c r="DN179" s="3">
        <f t="shared" si="16"/>
        <v>0.21568627450980393</v>
      </c>
      <c r="DV179" s="2">
        <v>880</v>
      </c>
      <c r="DW179">
        <v>0</v>
      </c>
      <c r="DX179">
        <f t="shared" si="17"/>
        <v>14794</v>
      </c>
      <c r="DY179">
        <f t="shared" si="12"/>
        <v>1</v>
      </c>
    </row>
    <row r="180" spans="1:129">
      <c r="A180" s="1">
        <v>41087</v>
      </c>
      <c r="B180" s="1"/>
      <c r="C180" s="1"/>
      <c r="F180">
        <v>2.4</v>
      </c>
      <c r="G180">
        <v>9.5</v>
      </c>
      <c r="I180">
        <v>1.8</v>
      </c>
      <c r="N180">
        <v>0.2</v>
      </c>
      <c r="W180">
        <v>20</v>
      </c>
      <c r="Y180">
        <v>0.3</v>
      </c>
      <c r="AF180">
        <v>40.399999999965097</v>
      </c>
      <c r="AN180">
        <v>2.5</v>
      </c>
      <c r="AO180">
        <v>2.2999999999992702</v>
      </c>
      <c r="AR180">
        <v>10.599999999991301</v>
      </c>
      <c r="AV180">
        <v>7.0999999999985501</v>
      </c>
      <c r="BH180">
        <v>0.100000000000023</v>
      </c>
      <c r="BI180">
        <v>24.399999999994201</v>
      </c>
      <c r="BQ180">
        <v>8.6999999999970896</v>
      </c>
      <c r="BZ180">
        <v>0.5</v>
      </c>
      <c r="CF180">
        <v>3.5</v>
      </c>
      <c r="CI180">
        <v>5.6</v>
      </c>
      <c r="CK180">
        <v>2.7</v>
      </c>
      <c r="CL180">
        <v>0.1</v>
      </c>
      <c r="CR180">
        <v>0.6</v>
      </c>
      <c r="CY180">
        <v>0.9</v>
      </c>
      <c r="CZ180">
        <v>0.6</v>
      </c>
      <c r="DC180">
        <v>0.8</v>
      </c>
      <c r="DD180" s="5"/>
      <c r="DJ180" s="1">
        <v>41087</v>
      </c>
      <c r="DK180" s="2">
        <f t="shared" si="13"/>
        <v>6.3304347826063267</v>
      </c>
      <c r="DL180" s="2">
        <f t="shared" si="14"/>
        <v>1.4274509803916227</v>
      </c>
      <c r="DM180" s="2">
        <f t="shared" si="15"/>
        <v>40.399999999965097</v>
      </c>
      <c r="DN180" s="3">
        <f t="shared" si="16"/>
        <v>0.22549019607843138</v>
      </c>
      <c r="DV180" s="2">
        <v>885</v>
      </c>
      <c r="DW180">
        <v>0</v>
      </c>
      <c r="DX180">
        <f t="shared" si="17"/>
        <v>14794</v>
      </c>
      <c r="DY180">
        <f t="shared" si="12"/>
        <v>1</v>
      </c>
    </row>
    <row r="181" spans="1:129">
      <c r="A181" s="1">
        <v>41088</v>
      </c>
      <c r="B181" s="1"/>
      <c r="C181" s="1"/>
      <c r="G181">
        <v>0.2</v>
      </c>
      <c r="W181">
        <v>35</v>
      </c>
      <c r="AB181">
        <v>2.5</v>
      </c>
      <c r="AF181">
        <v>2.8999999999978199</v>
      </c>
      <c r="AI181">
        <v>9.9999999999908995E-2</v>
      </c>
      <c r="AN181">
        <v>0.5</v>
      </c>
      <c r="AO181">
        <v>1.1999999999989099</v>
      </c>
      <c r="BE181">
        <v>0.60000000000036402</v>
      </c>
      <c r="BI181">
        <v>0.100000000000023</v>
      </c>
      <c r="BJ181">
        <v>0.100000000000023</v>
      </c>
      <c r="BL181">
        <v>2</v>
      </c>
      <c r="BM181">
        <v>0.100000000000023</v>
      </c>
      <c r="BQ181">
        <v>0.100000000000023</v>
      </c>
      <c r="BZ181">
        <v>0.5</v>
      </c>
      <c r="CF181">
        <v>2</v>
      </c>
      <c r="CI181">
        <v>3.6</v>
      </c>
      <c r="CW181">
        <v>1</v>
      </c>
      <c r="DA181">
        <v>0.3</v>
      </c>
      <c r="DD181" s="5">
        <v>0.1</v>
      </c>
      <c r="DJ181" s="1">
        <v>41088</v>
      </c>
      <c r="DK181" s="2">
        <f t="shared" si="13"/>
        <v>2.7842105263156363</v>
      </c>
      <c r="DL181" s="2">
        <f t="shared" si="14"/>
        <v>0.51862745098036367</v>
      </c>
      <c r="DM181" s="2">
        <f t="shared" si="15"/>
        <v>35</v>
      </c>
      <c r="DN181" s="3">
        <f t="shared" si="16"/>
        <v>0.18627450980392157</v>
      </c>
      <c r="DV181" s="2">
        <v>890</v>
      </c>
      <c r="DW181">
        <v>0</v>
      </c>
      <c r="DX181">
        <f t="shared" si="17"/>
        <v>14794</v>
      </c>
      <c r="DY181">
        <f t="shared" si="12"/>
        <v>1</v>
      </c>
    </row>
    <row r="182" spans="1:129">
      <c r="A182" s="1">
        <v>41089</v>
      </c>
      <c r="B182" s="1"/>
      <c r="C182" s="1"/>
      <c r="E182">
        <v>1.7</v>
      </c>
      <c r="G182">
        <v>0.3</v>
      </c>
      <c r="I182">
        <v>3.9</v>
      </c>
      <c r="Q182">
        <v>31</v>
      </c>
      <c r="U182">
        <v>6.3</v>
      </c>
      <c r="W182">
        <v>4.7</v>
      </c>
      <c r="AA182">
        <v>6.79999999999563</v>
      </c>
      <c r="AJ182">
        <v>0</v>
      </c>
      <c r="AO182">
        <v>6.0999999999985501</v>
      </c>
      <c r="AS182">
        <v>28.599999999976699</v>
      </c>
      <c r="AW182">
        <v>2.5</v>
      </c>
      <c r="BJ182">
        <v>0.100000000000023</v>
      </c>
      <c r="BK182">
        <v>0</v>
      </c>
      <c r="BM182">
        <v>0.100000000000023</v>
      </c>
      <c r="BR182">
        <v>1.10000000000036</v>
      </c>
      <c r="BX182">
        <v>0</v>
      </c>
      <c r="BZ182">
        <v>0.2</v>
      </c>
      <c r="CF182">
        <v>1.3</v>
      </c>
      <c r="CG182">
        <v>0.1</v>
      </c>
      <c r="CI182">
        <v>1.4</v>
      </c>
      <c r="CV182">
        <v>0.1</v>
      </c>
      <c r="CX182">
        <v>0.4</v>
      </c>
      <c r="DA182">
        <v>1.7</v>
      </c>
      <c r="DD182" s="5">
        <v>5.8</v>
      </c>
      <c r="DJ182" s="1">
        <v>41089</v>
      </c>
      <c r="DK182" s="2">
        <f t="shared" si="13"/>
        <v>4.3416666666654704</v>
      </c>
      <c r="DL182" s="2">
        <f t="shared" si="14"/>
        <v>1.0215686274506988</v>
      </c>
      <c r="DM182" s="2">
        <f t="shared" si="15"/>
        <v>31</v>
      </c>
      <c r="DN182" s="3">
        <f t="shared" si="16"/>
        <v>0.23529411764705882</v>
      </c>
      <c r="DV182" s="2">
        <v>895</v>
      </c>
      <c r="DW182">
        <v>0</v>
      </c>
      <c r="DX182">
        <f t="shared" si="17"/>
        <v>14794</v>
      </c>
      <c r="DY182">
        <f t="shared" si="12"/>
        <v>1</v>
      </c>
    </row>
    <row r="183" spans="1:129">
      <c r="A183" s="1">
        <v>41090</v>
      </c>
      <c r="B183" s="1"/>
      <c r="C183" s="1"/>
      <c r="F183">
        <v>0.5</v>
      </c>
      <c r="G183">
        <v>4.4000000000000004</v>
      </c>
      <c r="L183">
        <v>0.2</v>
      </c>
      <c r="Q183">
        <v>2.7</v>
      </c>
      <c r="R183">
        <v>0.5</v>
      </c>
      <c r="U183">
        <v>4.0999999999999996</v>
      </c>
      <c r="Y183">
        <v>1.3</v>
      </c>
      <c r="AA183">
        <v>1.29999999999927</v>
      </c>
      <c r="AF183">
        <v>0</v>
      </c>
      <c r="AH183">
        <v>26.599999999976699</v>
      </c>
      <c r="AW183">
        <v>9.9999999999908995E-2</v>
      </c>
      <c r="BA183">
        <v>3.5999999999985399</v>
      </c>
      <c r="BJ183">
        <v>0</v>
      </c>
      <c r="BR183">
        <v>2.2999999999992702</v>
      </c>
      <c r="BW183">
        <v>0</v>
      </c>
      <c r="CI183">
        <v>0.4</v>
      </c>
      <c r="CX183">
        <v>7.9</v>
      </c>
      <c r="DD183" s="5">
        <v>2.4</v>
      </c>
      <c r="DJ183" s="1">
        <v>41090</v>
      </c>
      <c r="DK183" s="2">
        <f t="shared" si="13"/>
        <v>3.238888888887427</v>
      </c>
      <c r="DL183" s="2">
        <f t="shared" si="14"/>
        <v>0.57156862745072246</v>
      </c>
      <c r="DM183" s="2">
        <f t="shared" si="15"/>
        <v>26.599999999976699</v>
      </c>
      <c r="DN183" s="3">
        <f t="shared" si="16"/>
        <v>0.17647058823529413</v>
      </c>
      <c r="DV183" s="2">
        <v>900</v>
      </c>
      <c r="DW183">
        <v>0</v>
      </c>
      <c r="DX183">
        <f t="shared" si="17"/>
        <v>14794</v>
      </c>
      <c r="DY183">
        <f t="shared" si="12"/>
        <v>1</v>
      </c>
    </row>
    <row r="184" spans="1:129">
      <c r="A184" s="1">
        <v>41091</v>
      </c>
      <c r="B184" s="1"/>
      <c r="C184" s="1"/>
      <c r="F184">
        <v>4.8</v>
      </c>
      <c r="J184">
        <v>0.4</v>
      </c>
      <c r="Q184">
        <v>2</v>
      </c>
      <c r="R184">
        <v>7.5</v>
      </c>
      <c r="Y184">
        <v>3</v>
      </c>
      <c r="AF184">
        <v>11</v>
      </c>
      <c r="AH184">
        <v>11.1999999999971</v>
      </c>
      <c r="AR184">
        <v>0.29999999999972699</v>
      </c>
      <c r="AU184">
        <v>2.3999999999978199</v>
      </c>
      <c r="BD184">
        <v>5.6999999999970896</v>
      </c>
      <c r="BF184">
        <v>0.69999999999981799</v>
      </c>
      <c r="BJ184">
        <v>0.100000000000023</v>
      </c>
      <c r="BK184">
        <v>1.5</v>
      </c>
      <c r="BL184">
        <v>2.7000000000007298</v>
      </c>
      <c r="BQ184">
        <v>3</v>
      </c>
      <c r="BU184">
        <v>30.700000000011599</v>
      </c>
      <c r="CE184">
        <v>1</v>
      </c>
      <c r="CP184">
        <v>4.3</v>
      </c>
      <c r="CY184">
        <v>13</v>
      </c>
      <c r="DA184">
        <v>0.3</v>
      </c>
      <c r="DD184" s="5"/>
      <c r="DJ184" s="1">
        <v>41091</v>
      </c>
      <c r="DK184" s="2">
        <f>AVERAGE(C184:DD184)</f>
        <v>5.2800000000001948</v>
      </c>
      <c r="DL184" s="2">
        <f>SUM(C184:DD184)/(COUNTA(C184:DA184)+COUNTBLANK(C184:DA184))</f>
        <v>1.0252427184466397</v>
      </c>
      <c r="DM184" s="2">
        <f t="shared" ref="DM184" si="18">MAX(C184:DD184)</f>
        <v>30.700000000011599</v>
      </c>
      <c r="DN184" s="3">
        <f>(COUNTA(C184:DD184)/(COUNTA(C184:DA184)+COUNTBLANK(C184:DA184)))</f>
        <v>0.1941747572815534</v>
      </c>
      <c r="DV184" s="2">
        <v>905</v>
      </c>
      <c r="DW184">
        <v>0</v>
      </c>
      <c r="DX184">
        <f t="shared" si="17"/>
        <v>14794</v>
      </c>
      <c r="DY184">
        <f t="shared" si="12"/>
        <v>1</v>
      </c>
    </row>
    <row r="185" spans="1:129">
      <c r="A185" s="1">
        <v>41092</v>
      </c>
      <c r="B185" s="1"/>
      <c r="C185" s="1"/>
      <c r="E185">
        <v>0.6</v>
      </c>
      <c r="F185">
        <v>0.3</v>
      </c>
      <c r="G185">
        <v>3.1</v>
      </c>
      <c r="M185">
        <v>0.1</v>
      </c>
      <c r="N185">
        <v>0.2</v>
      </c>
      <c r="R185">
        <v>11.6</v>
      </c>
      <c r="Y185">
        <v>11.5</v>
      </c>
      <c r="AF185">
        <v>2.7999999999992702</v>
      </c>
      <c r="AJ185">
        <v>0</v>
      </c>
      <c r="AU185">
        <v>24.5</v>
      </c>
      <c r="AY185">
        <v>16.599999999976699</v>
      </c>
      <c r="BB185">
        <v>9.0999999999912706</v>
      </c>
      <c r="BC185">
        <v>0.5</v>
      </c>
      <c r="BI185">
        <v>12.100000000005799</v>
      </c>
      <c r="BJ185">
        <v>0</v>
      </c>
      <c r="BL185">
        <v>2.0999999999985399</v>
      </c>
      <c r="BQ185">
        <v>23.100000000005799</v>
      </c>
      <c r="BU185">
        <v>6</v>
      </c>
      <c r="BV185">
        <v>2.2999999999992702</v>
      </c>
      <c r="CF185">
        <v>20.7</v>
      </c>
      <c r="CP185">
        <v>14</v>
      </c>
      <c r="CT185">
        <v>1.4</v>
      </c>
      <c r="DD185" s="5"/>
      <c r="DJ185" s="1">
        <v>41092</v>
      </c>
      <c r="DK185" s="2">
        <f t="shared" ref="DK185:DK248" si="19">AVERAGE(C185:DD185)</f>
        <v>7.3909090909080284</v>
      </c>
      <c r="DL185" s="2">
        <f t="shared" ref="DL185:DL248" si="20">SUM(C185:DD185)/(COUNTA(C185:DA185)+COUNTBLANK(C185:DA185))</f>
        <v>1.5786407766988022</v>
      </c>
      <c r="DM185" s="2">
        <f t="shared" ref="DM185:DM248" si="21">MAX(C185:DD185)</f>
        <v>24.5</v>
      </c>
      <c r="DN185" s="3">
        <f t="shared" ref="DN185:DN248" si="22">(COUNTA(C185:DD185)/(COUNTA(C185:DA185)+COUNTBLANK(C185:DA185)))</f>
        <v>0.21359223300970873</v>
      </c>
      <c r="DV185" s="2">
        <v>910</v>
      </c>
      <c r="DW185">
        <v>0</v>
      </c>
      <c r="DX185">
        <f t="shared" si="17"/>
        <v>14794</v>
      </c>
      <c r="DY185">
        <f t="shared" si="12"/>
        <v>1</v>
      </c>
    </row>
    <row r="186" spans="1:129">
      <c r="A186" s="1">
        <v>41093</v>
      </c>
      <c r="B186" s="1"/>
      <c r="C186" s="1"/>
      <c r="F186">
        <v>0.8</v>
      </c>
      <c r="R186">
        <v>11.8</v>
      </c>
      <c r="Y186">
        <v>3</v>
      </c>
      <c r="AC186">
        <v>2.5999999999985399</v>
      </c>
      <c r="AF186">
        <v>0.29999999999972699</v>
      </c>
      <c r="AG186">
        <v>0.39999999999963598</v>
      </c>
      <c r="AQ186">
        <v>0.39999999999963598</v>
      </c>
      <c r="AY186">
        <v>21.399999999994201</v>
      </c>
      <c r="AZ186">
        <v>8.6999999999970896</v>
      </c>
      <c r="BB186">
        <v>25.799999999988401</v>
      </c>
      <c r="BC186">
        <v>5</v>
      </c>
      <c r="BL186">
        <v>3</v>
      </c>
      <c r="BO186">
        <v>0</v>
      </c>
      <c r="BQ186">
        <v>71.5</v>
      </c>
      <c r="BV186">
        <v>0</v>
      </c>
      <c r="BY186">
        <v>47.3</v>
      </c>
      <c r="CC186">
        <v>0.1</v>
      </c>
      <c r="CL186">
        <v>7</v>
      </c>
      <c r="CO186">
        <v>12.3</v>
      </c>
      <c r="CS186">
        <v>2.4</v>
      </c>
      <c r="CY186">
        <v>0.3</v>
      </c>
      <c r="DD186" s="5"/>
      <c r="DJ186" s="1">
        <v>41093</v>
      </c>
      <c r="DK186" s="2">
        <f t="shared" si="19"/>
        <v>10.671428571427489</v>
      </c>
      <c r="DL186" s="2">
        <f t="shared" si="20"/>
        <v>2.1757281553395851</v>
      </c>
      <c r="DM186" s="2">
        <f t="shared" si="21"/>
        <v>71.5</v>
      </c>
      <c r="DN186" s="3">
        <f t="shared" si="22"/>
        <v>0.20388349514563106</v>
      </c>
      <c r="DV186" s="2">
        <v>915</v>
      </c>
      <c r="DW186">
        <v>0</v>
      </c>
      <c r="DX186">
        <f t="shared" si="17"/>
        <v>14794</v>
      </c>
      <c r="DY186">
        <f t="shared" si="12"/>
        <v>1</v>
      </c>
    </row>
    <row r="187" spans="1:129">
      <c r="A187" s="1">
        <v>41094</v>
      </c>
      <c r="B187" s="1"/>
      <c r="C187" s="1"/>
      <c r="I187">
        <v>0.8</v>
      </c>
      <c r="R187">
        <v>33.200000000000003</v>
      </c>
      <c r="Z187">
        <v>20</v>
      </c>
      <c r="AC187">
        <v>2.7999999999992702</v>
      </c>
      <c r="AE187">
        <v>2</v>
      </c>
      <c r="AG187">
        <v>11.6999999999971</v>
      </c>
      <c r="AY187">
        <v>9.1999999999970896</v>
      </c>
      <c r="AZ187">
        <v>5.5</v>
      </c>
      <c r="BC187">
        <v>5.5999999999985501</v>
      </c>
      <c r="BH187">
        <v>1.89999999999964</v>
      </c>
      <c r="BL187">
        <v>0.69999999999981799</v>
      </c>
      <c r="BO187">
        <v>0</v>
      </c>
      <c r="BT187">
        <v>6.4000000000014596</v>
      </c>
      <c r="BV187">
        <v>0.100000000000023</v>
      </c>
      <c r="BY187">
        <v>0.1</v>
      </c>
      <c r="CE187">
        <v>9.9</v>
      </c>
      <c r="CL187">
        <v>21.9</v>
      </c>
      <c r="CS187">
        <v>24.1</v>
      </c>
      <c r="DB187">
        <v>11.2</v>
      </c>
      <c r="DD187" s="5">
        <v>0.5</v>
      </c>
      <c r="DJ187" s="1">
        <v>41094</v>
      </c>
      <c r="DK187" s="2">
        <f t="shared" si="19"/>
        <v>8.3799999999996455</v>
      </c>
      <c r="DL187" s="2">
        <f t="shared" si="20"/>
        <v>1.6271844660193486</v>
      </c>
      <c r="DM187" s="2">
        <f t="shared" si="21"/>
        <v>33.200000000000003</v>
      </c>
      <c r="DN187" s="3">
        <f t="shared" si="22"/>
        <v>0.1941747572815534</v>
      </c>
      <c r="DV187" s="2">
        <v>920</v>
      </c>
      <c r="DW187">
        <v>0</v>
      </c>
      <c r="DX187">
        <f t="shared" si="17"/>
        <v>14794</v>
      </c>
      <c r="DY187">
        <f t="shared" si="12"/>
        <v>1</v>
      </c>
    </row>
    <row r="188" spans="1:129">
      <c r="A188" s="1">
        <v>41095</v>
      </c>
      <c r="B188" s="1"/>
      <c r="C188" s="1"/>
      <c r="D188">
        <v>4.4000000000000004</v>
      </c>
      <c r="R188">
        <v>6.5</v>
      </c>
      <c r="Y188">
        <v>12</v>
      </c>
      <c r="AB188">
        <v>33.799999999999997</v>
      </c>
      <c r="AD188">
        <v>3</v>
      </c>
      <c r="AE188">
        <v>10.6999999999971</v>
      </c>
      <c r="AG188">
        <v>13.799999999988399</v>
      </c>
      <c r="AY188">
        <v>7.6999999999970896</v>
      </c>
      <c r="AZ188">
        <v>0.5</v>
      </c>
      <c r="BH188">
        <v>0.100000000000023</v>
      </c>
      <c r="BN188">
        <v>0.100000000000023</v>
      </c>
      <c r="BT188">
        <v>0.30000000000018201</v>
      </c>
      <c r="BU188">
        <v>1.5</v>
      </c>
      <c r="BV188">
        <v>0.200000000000045</v>
      </c>
      <c r="CA188">
        <v>0.5</v>
      </c>
      <c r="CE188">
        <v>4.8</v>
      </c>
      <c r="CQ188">
        <v>4.9000000000000004</v>
      </c>
      <c r="CV188">
        <v>1.2</v>
      </c>
      <c r="CZ188">
        <v>1</v>
      </c>
      <c r="DD188" s="5">
        <v>10.7</v>
      </c>
      <c r="DJ188" s="1">
        <v>41095</v>
      </c>
      <c r="DK188" s="2">
        <f t="shared" si="19"/>
        <v>5.8849999999991436</v>
      </c>
      <c r="DL188" s="2">
        <f t="shared" si="20"/>
        <v>1.1427184466017755</v>
      </c>
      <c r="DM188" s="2">
        <f t="shared" si="21"/>
        <v>33.799999999999997</v>
      </c>
      <c r="DN188" s="3">
        <f t="shared" si="22"/>
        <v>0.1941747572815534</v>
      </c>
      <c r="DV188" s="2">
        <v>925</v>
      </c>
      <c r="DW188">
        <v>0</v>
      </c>
      <c r="DX188">
        <f t="shared" si="17"/>
        <v>14794</v>
      </c>
      <c r="DY188">
        <f t="shared" si="12"/>
        <v>1</v>
      </c>
    </row>
    <row r="189" spans="1:129">
      <c r="A189" s="1">
        <v>41096</v>
      </c>
      <c r="B189" s="1"/>
      <c r="C189" s="1"/>
      <c r="D189">
        <v>3.8</v>
      </c>
      <c r="J189">
        <v>25.4</v>
      </c>
      <c r="O189">
        <v>3.9</v>
      </c>
      <c r="S189">
        <v>13</v>
      </c>
      <c r="AB189">
        <v>11.299999999988399</v>
      </c>
      <c r="AG189">
        <v>27.699999999982499</v>
      </c>
      <c r="AJ189">
        <v>7.5999999999985501</v>
      </c>
      <c r="BJ189">
        <v>3.0999999999985399</v>
      </c>
      <c r="BL189">
        <v>12.5</v>
      </c>
      <c r="BM189">
        <v>0.100000000000023</v>
      </c>
      <c r="BN189">
        <v>0.100000000000023</v>
      </c>
      <c r="BS189">
        <v>28</v>
      </c>
      <c r="BU189">
        <v>0.100000000000023</v>
      </c>
      <c r="BW189">
        <v>0</v>
      </c>
      <c r="BX189">
        <v>0.29999999999972699</v>
      </c>
      <c r="CA189">
        <v>100.5</v>
      </c>
      <c r="CC189">
        <v>1.8</v>
      </c>
      <c r="CE189">
        <v>45</v>
      </c>
      <c r="CU189">
        <v>2.7</v>
      </c>
      <c r="DD189" s="5"/>
      <c r="DJ189" s="1">
        <v>41096</v>
      </c>
      <c r="DK189" s="2">
        <f t="shared" si="19"/>
        <v>15.099999999998305</v>
      </c>
      <c r="DL189" s="2">
        <f t="shared" si="20"/>
        <v>2.7854368932035709</v>
      </c>
      <c r="DM189" s="2">
        <f t="shared" si="21"/>
        <v>100.5</v>
      </c>
      <c r="DN189" s="3">
        <f t="shared" si="22"/>
        <v>0.18446601941747573</v>
      </c>
      <c r="DV189" s="2">
        <v>930</v>
      </c>
      <c r="DW189">
        <v>0</v>
      </c>
      <c r="DX189">
        <f t="shared" si="17"/>
        <v>14794</v>
      </c>
      <c r="DY189">
        <f t="shared" si="12"/>
        <v>1</v>
      </c>
    </row>
    <row r="190" spans="1:129">
      <c r="A190" s="1">
        <v>41097</v>
      </c>
      <c r="B190" s="1"/>
      <c r="C190" s="1"/>
      <c r="F190">
        <v>0.2</v>
      </c>
      <c r="K190">
        <v>3.4</v>
      </c>
      <c r="M190">
        <v>1.4</v>
      </c>
      <c r="O190">
        <v>9.3000000000000007</v>
      </c>
      <c r="Q190">
        <v>1</v>
      </c>
      <c r="V190">
        <v>2.2000000000000002</v>
      </c>
      <c r="AA190">
        <v>1</v>
      </c>
      <c r="AB190">
        <v>1.1999999999989099</v>
      </c>
      <c r="AG190">
        <v>5.5999999999985501</v>
      </c>
      <c r="AJ190">
        <v>0.19999999999981799</v>
      </c>
      <c r="AN190">
        <v>1.0999999999985499</v>
      </c>
      <c r="AS190">
        <v>9.9999999999908995E-2</v>
      </c>
      <c r="BJ190">
        <v>0.200000000000045</v>
      </c>
      <c r="BK190">
        <v>0</v>
      </c>
      <c r="BL190">
        <v>0.100000000000023</v>
      </c>
      <c r="BO190">
        <v>2</v>
      </c>
      <c r="BU190">
        <v>14.3000000000029</v>
      </c>
      <c r="BV190">
        <v>16.100000000005799</v>
      </c>
      <c r="BY190">
        <v>0</v>
      </c>
      <c r="CA190">
        <v>0.3</v>
      </c>
      <c r="CC190">
        <v>1.4</v>
      </c>
      <c r="CV190">
        <v>0.1</v>
      </c>
      <c r="DD190" s="5"/>
      <c r="DJ190" s="1">
        <v>41097</v>
      </c>
      <c r="DK190" s="2">
        <f t="shared" si="19"/>
        <v>2.7818181818183865</v>
      </c>
      <c r="DL190" s="2">
        <f t="shared" si="20"/>
        <v>0.59417475728159708</v>
      </c>
      <c r="DM190" s="2">
        <f t="shared" si="21"/>
        <v>16.100000000005799</v>
      </c>
      <c r="DN190" s="3">
        <f t="shared" si="22"/>
        <v>0.21359223300970873</v>
      </c>
      <c r="DV190" s="2">
        <v>935</v>
      </c>
      <c r="DW190">
        <v>0</v>
      </c>
      <c r="DX190">
        <f t="shared" si="17"/>
        <v>14794</v>
      </c>
      <c r="DY190">
        <f t="shared" si="12"/>
        <v>1</v>
      </c>
    </row>
    <row r="191" spans="1:129">
      <c r="A191" s="1">
        <v>41098</v>
      </c>
      <c r="B191" s="1"/>
      <c r="C191" s="1"/>
      <c r="F191">
        <v>0.4</v>
      </c>
      <c r="J191">
        <v>41.7</v>
      </c>
      <c r="O191">
        <v>0.1</v>
      </c>
      <c r="P191">
        <v>5.7</v>
      </c>
      <c r="R191">
        <v>0.6</v>
      </c>
      <c r="AJ191">
        <v>3.7999999999992702</v>
      </c>
      <c r="AX191">
        <v>0.29999999999972699</v>
      </c>
      <c r="BJ191">
        <v>0.30000000000018201</v>
      </c>
      <c r="BL191">
        <v>2.2999999999992702</v>
      </c>
      <c r="BN191">
        <v>4.4000000000014596</v>
      </c>
      <c r="BS191">
        <v>0.5</v>
      </c>
      <c r="BU191">
        <v>0.80000000000018201</v>
      </c>
      <c r="BV191">
        <v>20.600000000005799</v>
      </c>
      <c r="BX191">
        <v>5.79999999999563</v>
      </c>
      <c r="BZ191">
        <v>2.9</v>
      </c>
      <c r="CG191">
        <v>2.4</v>
      </c>
      <c r="CX191">
        <v>6</v>
      </c>
      <c r="DD191" s="5"/>
      <c r="DJ191" s="1">
        <v>41098</v>
      </c>
      <c r="DK191" s="2">
        <f t="shared" si="19"/>
        <v>5.8000000000000913</v>
      </c>
      <c r="DL191" s="2">
        <f t="shared" si="20"/>
        <v>0.95728155339807341</v>
      </c>
      <c r="DM191" s="2">
        <f t="shared" si="21"/>
        <v>41.7</v>
      </c>
      <c r="DN191" s="3">
        <f t="shared" si="22"/>
        <v>0.1650485436893204</v>
      </c>
      <c r="DV191" s="2">
        <v>940</v>
      </c>
      <c r="DW191">
        <v>0</v>
      </c>
      <c r="DX191">
        <f t="shared" si="17"/>
        <v>14794</v>
      </c>
      <c r="DY191">
        <f t="shared" si="12"/>
        <v>1</v>
      </c>
    </row>
    <row r="192" spans="1:129">
      <c r="A192" s="1">
        <v>41099</v>
      </c>
      <c r="B192" s="1"/>
      <c r="C192" s="1"/>
      <c r="F192">
        <v>0.3</v>
      </c>
      <c r="R192">
        <v>20</v>
      </c>
      <c r="Y192">
        <v>17.7</v>
      </c>
      <c r="Z192">
        <v>31.5</v>
      </c>
      <c r="AA192">
        <v>4.5</v>
      </c>
      <c r="AP192">
        <v>17.5</v>
      </c>
      <c r="AX192">
        <v>5.3999999999941801</v>
      </c>
      <c r="BJ192">
        <v>0.100000000000023</v>
      </c>
      <c r="BK192">
        <v>0</v>
      </c>
      <c r="BL192">
        <v>3.5999999999985399</v>
      </c>
      <c r="BO192">
        <v>1.79999999999927</v>
      </c>
      <c r="BP192">
        <v>0</v>
      </c>
      <c r="BR192">
        <v>0</v>
      </c>
      <c r="BS192">
        <v>16.299999999988401</v>
      </c>
      <c r="CB192">
        <v>0.2</v>
      </c>
      <c r="CD192">
        <v>0.2</v>
      </c>
      <c r="CF192">
        <v>1.4</v>
      </c>
      <c r="CI192">
        <v>67.5</v>
      </c>
      <c r="CL192">
        <v>8.5</v>
      </c>
      <c r="CP192">
        <v>0.1</v>
      </c>
      <c r="CW192">
        <v>0.1</v>
      </c>
      <c r="CX192">
        <v>22.1</v>
      </c>
      <c r="DD192" s="5"/>
      <c r="DJ192" s="1">
        <v>41099</v>
      </c>
      <c r="DK192" s="2">
        <f t="shared" si="19"/>
        <v>9.9454545454536554</v>
      </c>
      <c r="DL192" s="2">
        <f t="shared" si="20"/>
        <v>2.124271844660004</v>
      </c>
      <c r="DM192" s="2">
        <f t="shared" si="21"/>
        <v>67.5</v>
      </c>
      <c r="DN192" s="3">
        <f t="shared" si="22"/>
        <v>0.21359223300970873</v>
      </c>
      <c r="DV192" s="2">
        <v>945</v>
      </c>
      <c r="DW192">
        <v>0</v>
      </c>
      <c r="DX192">
        <f t="shared" si="17"/>
        <v>14794</v>
      </c>
      <c r="DY192">
        <f t="shared" si="12"/>
        <v>1</v>
      </c>
    </row>
    <row r="193" spans="1:129">
      <c r="A193" s="1">
        <v>41100</v>
      </c>
      <c r="B193" s="1"/>
      <c r="C193" s="1"/>
      <c r="L193">
        <v>4.2</v>
      </c>
      <c r="N193">
        <v>0.2</v>
      </c>
      <c r="Y193">
        <v>14.7</v>
      </c>
      <c r="Z193">
        <v>0.19999999999981799</v>
      </c>
      <c r="AA193">
        <v>2.1999999999970901</v>
      </c>
      <c r="AI193">
        <v>4.1999999999970896</v>
      </c>
      <c r="AO193">
        <v>11.599999999991301</v>
      </c>
      <c r="AZ193">
        <v>0.19999999999981799</v>
      </c>
      <c r="BK193">
        <v>0</v>
      </c>
      <c r="BL193">
        <v>22.299999999988401</v>
      </c>
      <c r="BO193">
        <v>8.6000000000058208</v>
      </c>
      <c r="BP193">
        <v>2.0999999999985399</v>
      </c>
      <c r="BS193">
        <v>0.5</v>
      </c>
      <c r="CB193">
        <v>2.6</v>
      </c>
      <c r="CI193">
        <v>20</v>
      </c>
      <c r="CX193">
        <v>16.2</v>
      </c>
      <c r="DA193">
        <v>0.1</v>
      </c>
      <c r="DD193" s="5"/>
      <c r="DJ193" s="1">
        <v>41100</v>
      </c>
      <c r="DK193" s="2">
        <f t="shared" si="19"/>
        <v>6.4647058823516401</v>
      </c>
      <c r="DL193" s="2">
        <f t="shared" si="20"/>
        <v>1.0669902912619211</v>
      </c>
      <c r="DM193" s="2">
        <f t="shared" si="21"/>
        <v>22.299999999988401</v>
      </c>
      <c r="DN193" s="3">
        <f t="shared" si="22"/>
        <v>0.1650485436893204</v>
      </c>
      <c r="DV193" s="2">
        <v>950</v>
      </c>
      <c r="DW193">
        <v>0</v>
      </c>
      <c r="DX193">
        <f t="shared" si="17"/>
        <v>14794</v>
      </c>
      <c r="DY193">
        <f t="shared" si="12"/>
        <v>1</v>
      </c>
    </row>
    <row r="194" spans="1:129">
      <c r="A194" s="1">
        <v>41101</v>
      </c>
      <c r="B194" s="1"/>
      <c r="C194" s="1"/>
      <c r="F194">
        <v>0.2</v>
      </c>
      <c r="P194">
        <v>0.2</v>
      </c>
      <c r="AA194">
        <v>0.5</v>
      </c>
      <c r="AO194">
        <v>59</v>
      </c>
      <c r="AZ194">
        <v>0.19999999999981799</v>
      </c>
      <c r="BA194">
        <v>0.29999999999972699</v>
      </c>
      <c r="BE194">
        <v>6.8000000000029104</v>
      </c>
      <c r="BJ194">
        <v>0</v>
      </c>
      <c r="BK194">
        <v>0</v>
      </c>
      <c r="BP194">
        <v>0</v>
      </c>
      <c r="BS194">
        <v>0.80000000000018201</v>
      </c>
      <c r="CB194">
        <v>7.5</v>
      </c>
      <c r="DD194" s="5"/>
      <c r="DJ194" s="1">
        <v>41101</v>
      </c>
      <c r="DK194" s="2">
        <f t="shared" si="19"/>
        <v>6.2916666666668872</v>
      </c>
      <c r="DL194" s="2">
        <f t="shared" si="20"/>
        <v>0.73300970873788973</v>
      </c>
      <c r="DM194" s="2">
        <f t="shared" si="21"/>
        <v>59</v>
      </c>
      <c r="DN194" s="3">
        <f t="shared" si="22"/>
        <v>0.11650485436893204</v>
      </c>
      <c r="DV194" s="2">
        <v>955</v>
      </c>
      <c r="DW194">
        <v>0</v>
      </c>
      <c r="DX194">
        <f t="shared" si="17"/>
        <v>14794</v>
      </c>
      <c r="DY194">
        <f t="shared" ref="DY194:DY257" si="23">DX194/(SUM(DW$1:DW$38))</f>
        <v>1</v>
      </c>
    </row>
    <row r="195" spans="1:129">
      <c r="A195" s="1">
        <v>41102</v>
      </c>
      <c r="B195" s="1"/>
      <c r="C195" s="1"/>
      <c r="F195">
        <v>45.5</v>
      </c>
      <c r="J195">
        <v>0.2</v>
      </c>
      <c r="L195">
        <v>7.4</v>
      </c>
      <c r="N195">
        <v>0.3</v>
      </c>
      <c r="Q195">
        <v>11</v>
      </c>
      <c r="Z195">
        <v>0.79999999999927196</v>
      </c>
      <c r="AA195">
        <v>17.399999999994201</v>
      </c>
      <c r="AC195">
        <v>1.89999999999964</v>
      </c>
      <c r="AI195">
        <v>11.799999999988399</v>
      </c>
      <c r="AL195">
        <v>2.5</v>
      </c>
      <c r="AO195">
        <v>3.5</v>
      </c>
      <c r="AW195">
        <v>0.39999999999963598</v>
      </c>
      <c r="BE195">
        <v>15.5</v>
      </c>
      <c r="BG195">
        <v>1.5</v>
      </c>
      <c r="BJ195">
        <v>0.200000000000045</v>
      </c>
      <c r="BQ195">
        <v>1.5</v>
      </c>
      <c r="BS195">
        <v>0.30000000000018201</v>
      </c>
      <c r="BW195">
        <v>0</v>
      </c>
      <c r="CB195">
        <v>0.1</v>
      </c>
      <c r="CI195">
        <v>0.4</v>
      </c>
      <c r="CK195">
        <v>1.4</v>
      </c>
      <c r="CS195">
        <v>0</v>
      </c>
      <c r="DB195">
        <v>1.2</v>
      </c>
      <c r="DD195" s="5"/>
      <c r="DJ195" s="1">
        <v>41102</v>
      </c>
      <c r="DK195" s="2">
        <f t="shared" si="19"/>
        <v>5.4260869565209306</v>
      </c>
      <c r="DL195" s="2">
        <f t="shared" si="20"/>
        <v>1.2116504854367125</v>
      </c>
      <c r="DM195" s="2">
        <f t="shared" si="21"/>
        <v>45.5</v>
      </c>
      <c r="DN195" s="3">
        <f t="shared" si="22"/>
        <v>0.22330097087378642</v>
      </c>
      <c r="DV195" s="2">
        <v>960</v>
      </c>
      <c r="DW195">
        <v>0</v>
      </c>
      <c r="DX195">
        <f t="shared" ref="DX195:DX258" si="24">DX194+DW195</f>
        <v>14794</v>
      </c>
      <c r="DY195">
        <f t="shared" si="23"/>
        <v>1</v>
      </c>
    </row>
    <row r="196" spans="1:129">
      <c r="A196" s="1">
        <v>41103</v>
      </c>
      <c r="B196" s="1"/>
      <c r="C196" s="1"/>
      <c r="E196">
        <v>0.9</v>
      </c>
      <c r="F196">
        <v>0.2</v>
      </c>
      <c r="K196">
        <v>1.7</v>
      </c>
      <c r="L196">
        <v>3.4</v>
      </c>
      <c r="Q196">
        <v>30.9</v>
      </c>
      <c r="S196">
        <v>8.3000000000000007</v>
      </c>
      <c r="U196">
        <v>3.8</v>
      </c>
      <c r="AJ196">
        <v>17.599999999976699</v>
      </c>
      <c r="AO196">
        <v>14.5</v>
      </c>
      <c r="AY196">
        <v>0.5</v>
      </c>
      <c r="BE196">
        <v>2.0999999999985399</v>
      </c>
      <c r="CG196">
        <v>3.5</v>
      </c>
      <c r="CK196">
        <v>0.4</v>
      </c>
      <c r="CR196">
        <v>22.4</v>
      </c>
      <c r="CU196">
        <v>9.1999999999999993</v>
      </c>
      <c r="CW196">
        <v>16.600000000000001</v>
      </c>
      <c r="DD196" s="5"/>
      <c r="DJ196" s="1">
        <v>41103</v>
      </c>
      <c r="DK196" s="2">
        <f t="shared" si="19"/>
        <v>8.4999999999984528</v>
      </c>
      <c r="DL196" s="2">
        <f t="shared" si="20"/>
        <v>1.3203883495143227</v>
      </c>
      <c r="DM196" s="2">
        <f t="shared" si="21"/>
        <v>30.9</v>
      </c>
      <c r="DN196" s="3">
        <f t="shared" si="22"/>
        <v>0.1553398058252427</v>
      </c>
      <c r="DV196" s="2">
        <v>965</v>
      </c>
      <c r="DW196">
        <v>0</v>
      </c>
      <c r="DX196">
        <f t="shared" si="24"/>
        <v>14794</v>
      </c>
      <c r="DY196">
        <f t="shared" si="23"/>
        <v>1</v>
      </c>
    </row>
    <row r="197" spans="1:129">
      <c r="A197" s="1">
        <v>41104</v>
      </c>
      <c r="B197" s="1"/>
      <c r="C197" s="1"/>
      <c r="F197">
        <v>0.3</v>
      </c>
      <c r="N197">
        <v>0.4</v>
      </c>
      <c r="U197">
        <v>0.3</v>
      </c>
      <c r="AJ197">
        <v>1.5</v>
      </c>
      <c r="AK197">
        <v>5.8999999999941801</v>
      </c>
      <c r="AM197">
        <v>7.1999999999970896</v>
      </c>
      <c r="AO197">
        <v>3.5</v>
      </c>
      <c r="BE197">
        <v>9.6999999999970896</v>
      </c>
      <c r="BV197">
        <v>1</v>
      </c>
      <c r="CG197">
        <v>1</v>
      </c>
      <c r="CH197">
        <v>4</v>
      </c>
      <c r="CK197">
        <v>3.9</v>
      </c>
      <c r="DD197" s="5"/>
      <c r="DJ197" s="1">
        <v>41104</v>
      </c>
      <c r="DK197" s="2">
        <f t="shared" si="19"/>
        <v>3.2249999999990298</v>
      </c>
      <c r="DL197" s="2">
        <f t="shared" si="20"/>
        <v>0.37572815533969278</v>
      </c>
      <c r="DM197" s="2">
        <f t="shared" si="21"/>
        <v>9.6999999999970896</v>
      </c>
      <c r="DN197" s="3">
        <f t="shared" si="22"/>
        <v>0.11650485436893204</v>
      </c>
      <c r="DV197" s="2">
        <v>970</v>
      </c>
      <c r="DW197">
        <v>0</v>
      </c>
      <c r="DX197">
        <f t="shared" si="24"/>
        <v>14794</v>
      </c>
      <c r="DY197">
        <f t="shared" si="23"/>
        <v>1</v>
      </c>
    </row>
    <row r="198" spans="1:129">
      <c r="A198" s="1">
        <v>41105</v>
      </c>
      <c r="B198" s="1"/>
      <c r="C198" s="1"/>
      <c r="E198">
        <v>1.9</v>
      </c>
      <c r="F198">
        <v>0.1</v>
      </c>
      <c r="G198">
        <v>0.2</v>
      </c>
      <c r="AC198">
        <v>3.3999999999978199</v>
      </c>
      <c r="AD198">
        <v>3.7999999999992702</v>
      </c>
      <c r="AK198">
        <v>27</v>
      </c>
      <c r="AM198">
        <v>0.59999999999945397</v>
      </c>
      <c r="AQ198">
        <v>3.8999999999978199</v>
      </c>
      <c r="AT198">
        <v>4.0999999999985501</v>
      </c>
      <c r="BJ198">
        <v>0.100000000000023</v>
      </c>
      <c r="BK198">
        <v>0.100000000000023</v>
      </c>
      <c r="BL198">
        <v>0.100000000000023</v>
      </c>
      <c r="BN198">
        <v>0.100000000000023</v>
      </c>
      <c r="BV198">
        <v>0</v>
      </c>
      <c r="CF198">
        <v>2.5</v>
      </c>
      <c r="CH198">
        <v>6.7</v>
      </c>
      <c r="CM198">
        <v>0.8</v>
      </c>
      <c r="CR198">
        <v>0</v>
      </c>
      <c r="CW198">
        <v>19.8</v>
      </c>
      <c r="CX198">
        <v>0.1</v>
      </c>
      <c r="DA198">
        <v>1.3</v>
      </c>
      <c r="DB198">
        <v>0.5</v>
      </c>
      <c r="DD198" s="5"/>
      <c r="DJ198" s="1">
        <v>41105</v>
      </c>
      <c r="DK198" s="2">
        <f t="shared" si="19"/>
        <v>3.5045454545451364</v>
      </c>
      <c r="DL198" s="2">
        <f t="shared" si="20"/>
        <v>0.74854368932032045</v>
      </c>
      <c r="DM198" s="2">
        <f t="shared" si="21"/>
        <v>27</v>
      </c>
      <c r="DN198" s="3">
        <f t="shared" si="22"/>
        <v>0.21359223300970873</v>
      </c>
      <c r="DV198" s="2">
        <v>975</v>
      </c>
      <c r="DW198">
        <v>0</v>
      </c>
      <c r="DX198">
        <f t="shared" si="24"/>
        <v>14794</v>
      </c>
      <c r="DY198">
        <f t="shared" si="23"/>
        <v>1</v>
      </c>
    </row>
    <row r="199" spans="1:129">
      <c r="A199" s="1">
        <v>41106</v>
      </c>
      <c r="B199" s="1"/>
      <c r="C199" s="1"/>
      <c r="K199">
        <v>1.7</v>
      </c>
      <c r="BK199">
        <v>0.100000000000023</v>
      </c>
      <c r="BL199">
        <v>0.30000000000018201</v>
      </c>
      <c r="BV199">
        <v>0.200000000000045</v>
      </c>
      <c r="CK199">
        <v>20.7</v>
      </c>
      <c r="CM199">
        <v>11</v>
      </c>
      <c r="CR199">
        <v>3.4</v>
      </c>
      <c r="CV199">
        <v>9.4</v>
      </c>
      <c r="DA199">
        <v>0.1</v>
      </c>
      <c r="DD199" s="5"/>
      <c r="DJ199" s="1">
        <v>41106</v>
      </c>
      <c r="DK199" s="2">
        <f t="shared" si="19"/>
        <v>5.2111111111111388</v>
      </c>
      <c r="DL199" s="2">
        <f t="shared" si="20"/>
        <v>0.45533980582524514</v>
      </c>
      <c r="DM199" s="2">
        <f t="shared" si="21"/>
        <v>20.7</v>
      </c>
      <c r="DN199" s="3">
        <f t="shared" si="22"/>
        <v>8.7378640776699032E-2</v>
      </c>
      <c r="DV199" s="2">
        <v>980</v>
      </c>
      <c r="DW199">
        <v>0</v>
      </c>
      <c r="DX199">
        <f t="shared" si="24"/>
        <v>14794</v>
      </c>
      <c r="DY199">
        <f t="shared" si="23"/>
        <v>1</v>
      </c>
    </row>
    <row r="200" spans="1:129">
      <c r="A200" s="1">
        <v>41107</v>
      </c>
      <c r="B200" s="1"/>
      <c r="C200" s="1"/>
      <c r="F200">
        <v>1.3</v>
      </c>
      <c r="K200">
        <v>3.7</v>
      </c>
      <c r="AH200">
        <v>0</v>
      </c>
      <c r="BC200">
        <v>5.29999999999563</v>
      </c>
      <c r="BL200">
        <v>0.60000000000036402</v>
      </c>
      <c r="BP200">
        <v>1.10000000000036</v>
      </c>
      <c r="BR200">
        <v>0.30000000000018201</v>
      </c>
      <c r="BU200">
        <v>0</v>
      </c>
      <c r="BV200">
        <v>13.600000000005799</v>
      </c>
      <c r="BW200">
        <v>0.1</v>
      </c>
      <c r="CK200">
        <v>5.3</v>
      </c>
      <c r="DA200">
        <v>0.1</v>
      </c>
      <c r="DD200" s="5"/>
      <c r="DJ200" s="1">
        <v>41107</v>
      </c>
      <c r="DK200" s="2">
        <f t="shared" si="19"/>
        <v>2.6166666666668617</v>
      </c>
      <c r="DL200" s="2">
        <f t="shared" si="20"/>
        <v>0.30485436893206153</v>
      </c>
      <c r="DM200" s="2">
        <f t="shared" si="21"/>
        <v>13.600000000005799</v>
      </c>
      <c r="DN200" s="3">
        <f t="shared" si="22"/>
        <v>0.11650485436893204</v>
      </c>
      <c r="DV200" s="2">
        <v>985</v>
      </c>
      <c r="DW200">
        <v>0</v>
      </c>
      <c r="DX200">
        <f t="shared" si="24"/>
        <v>14794</v>
      </c>
      <c r="DY200">
        <f t="shared" si="23"/>
        <v>1</v>
      </c>
    </row>
    <row r="201" spans="1:129">
      <c r="A201" s="1">
        <v>41108</v>
      </c>
      <c r="B201" s="1"/>
      <c r="C201" s="1"/>
      <c r="D201">
        <v>5.2</v>
      </c>
      <c r="G201">
        <v>0.3</v>
      </c>
      <c r="K201">
        <v>2.6</v>
      </c>
      <c r="R201">
        <v>6</v>
      </c>
      <c r="W201">
        <v>2.5</v>
      </c>
      <c r="AN201">
        <v>0.29999999999972699</v>
      </c>
      <c r="AV201">
        <v>6</v>
      </c>
      <c r="BD201">
        <v>2.2000000000007298</v>
      </c>
      <c r="BP201">
        <v>4.3000000000029104</v>
      </c>
      <c r="BW201">
        <v>0</v>
      </c>
      <c r="DD201" s="5"/>
      <c r="DJ201" s="1">
        <v>41108</v>
      </c>
      <c r="DK201" s="2">
        <f t="shared" si="19"/>
        <v>2.940000000000337</v>
      </c>
      <c r="DL201" s="2">
        <f t="shared" si="20"/>
        <v>0.28543689320391624</v>
      </c>
      <c r="DM201" s="2">
        <f t="shared" si="21"/>
        <v>6</v>
      </c>
      <c r="DN201" s="3">
        <f t="shared" si="22"/>
        <v>9.7087378640776698E-2</v>
      </c>
      <c r="DV201" s="2">
        <v>990</v>
      </c>
      <c r="DW201">
        <v>0</v>
      </c>
      <c r="DX201">
        <f t="shared" si="24"/>
        <v>14794</v>
      </c>
      <c r="DY201">
        <f t="shared" si="23"/>
        <v>1</v>
      </c>
    </row>
    <row r="202" spans="1:129">
      <c r="A202" s="1">
        <v>41109</v>
      </c>
      <c r="B202" s="1"/>
      <c r="C202" s="1"/>
      <c r="E202">
        <v>1.7</v>
      </c>
      <c r="F202">
        <v>9.1999999999999993</v>
      </c>
      <c r="M202">
        <v>0.1</v>
      </c>
      <c r="R202">
        <v>0.2</v>
      </c>
      <c r="AN202">
        <v>0.19999999999981799</v>
      </c>
      <c r="AV202">
        <v>0.69999999999981799</v>
      </c>
      <c r="BM202">
        <v>0.100000000000023</v>
      </c>
      <c r="BV202">
        <v>0</v>
      </c>
      <c r="CF202">
        <v>6.4</v>
      </c>
      <c r="DB202">
        <v>67.3</v>
      </c>
      <c r="DD202" s="5"/>
      <c r="DJ202" s="1">
        <v>41109</v>
      </c>
      <c r="DK202" s="2">
        <f t="shared" si="19"/>
        <v>8.5899999999999643</v>
      </c>
      <c r="DL202" s="2">
        <f t="shared" si="20"/>
        <v>0.83398058252426843</v>
      </c>
      <c r="DM202" s="2">
        <f t="shared" si="21"/>
        <v>67.3</v>
      </c>
      <c r="DN202" s="3">
        <f t="shared" si="22"/>
        <v>9.7087378640776698E-2</v>
      </c>
      <c r="DV202" s="2">
        <v>995</v>
      </c>
      <c r="DW202">
        <v>0</v>
      </c>
      <c r="DX202">
        <f t="shared" si="24"/>
        <v>14794</v>
      </c>
      <c r="DY202">
        <f t="shared" si="23"/>
        <v>1</v>
      </c>
    </row>
    <row r="203" spans="1:129">
      <c r="A203" s="1">
        <v>41110</v>
      </c>
      <c r="B203" s="1"/>
      <c r="C203" s="1"/>
      <c r="F203">
        <v>0.2</v>
      </c>
      <c r="S203">
        <v>46</v>
      </c>
      <c r="Y203">
        <v>0</v>
      </c>
      <c r="AA203">
        <v>0.1</v>
      </c>
      <c r="AD203">
        <v>9.5</v>
      </c>
      <c r="AO203">
        <v>6.0999999999985501</v>
      </c>
      <c r="AQ203">
        <v>165.79999999981399</v>
      </c>
      <c r="AR203">
        <v>0.5</v>
      </c>
      <c r="AT203">
        <v>0.59999999999945397</v>
      </c>
      <c r="BB203">
        <v>3.6999999999970901</v>
      </c>
      <c r="BG203">
        <v>2.4000000000014601</v>
      </c>
      <c r="BK203">
        <v>0.200000000000045</v>
      </c>
      <c r="BL203">
        <v>0</v>
      </c>
      <c r="BV203">
        <v>0</v>
      </c>
      <c r="CF203">
        <v>0.1</v>
      </c>
      <c r="CX203">
        <v>1.4</v>
      </c>
      <c r="DD203" s="5">
        <v>0.3</v>
      </c>
      <c r="DJ203" s="1">
        <v>41110</v>
      </c>
      <c r="DK203" s="2">
        <f t="shared" si="19"/>
        <v>13.935294117635918</v>
      </c>
      <c r="DL203" s="2">
        <f t="shared" si="20"/>
        <v>2.2999999999981613</v>
      </c>
      <c r="DM203" s="2">
        <f t="shared" si="21"/>
        <v>165.79999999981399</v>
      </c>
      <c r="DN203" s="3">
        <f t="shared" si="22"/>
        <v>0.1650485436893204</v>
      </c>
      <c r="DV203" s="2">
        <v>1000</v>
      </c>
      <c r="DW203">
        <v>0</v>
      </c>
      <c r="DX203">
        <f t="shared" si="24"/>
        <v>14794</v>
      </c>
      <c r="DY203">
        <f t="shared" si="23"/>
        <v>1</v>
      </c>
    </row>
    <row r="204" spans="1:129">
      <c r="A204" s="1">
        <v>41111</v>
      </c>
      <c r="B204" s="1"/>
      <c r="C204" s="1"/>
      <c r="F204">
        <v>0.1</v>
      </c>
      <c r="O204">
        <v>1.2</v>
      </c>
      <c r="AD204">
        <v>14.8</v>
      </c>
      <c r="AK204">
        <v>32.899999999965097</v>
      </c>
      <c r="AR204">
        <v>0.39999999999963598</v>
      </c>
      <c r="BN204">
        <v>9.5</v>
      </c>
      <c r="BV204">
        <v>0</v>
      </c>
      <c r="BW204">
        <v>5.6</v>
      </c>
      <c r="CD204">
        <v>0.4</v>
      </c>
      <c r="CI204">
        <v>0.9</v>
      </c>
      <c r="CN204">
        <v>1</v>
      </c>
      <c r="CX204">
        <v>26.6</v>
      </c>
      <c r="CY204">
        <v>0.4</v>
      </c>
      <c r="DD204" s="5"/>
      <c r="DJ204" s="1">
        <v>41111</v>
      </c>
      <c r="DK204" s="2">
        <f t="shared" si="19"/>
        <v>7.215384615381903</v>
      </c>
      <c r="DL204" s="2">
        <f t="shared" si="20"/>
        <v>0.91067961165014311</v>
      </c>
      <c r="DM204" s="2">
        <f t="shared" si="21"/>
        <v>32.899999999965097</v>
      </c>
      <c r="DN204" s="3">
        <f t="shared" si="22"/>
        <v>0.12621359223300971</v>
      </c>
      <c r="DV204" s="2">
        <v>1005</v>
      </c>
      <c r="DW204">
        <v>0</v>
      </c>
      <c r="DX204">
        <f t="shared" si="24"/>
        <v>14794</v>
      </c>
      <c r="DY204">
        <f t="shared" si="23"/>
        <v>1</v>
      </c>
    </row>
    <row r="205" spans="1:129">
      <c r="A205" s="1">
        <v>41112</v>
      </c>
      <c r="B205" s="1"/>
      <c r="C205" s="1"/>
      <c r="O205">
        <v>18.8</v>
      </c>
      <c r="Y205">
        <v>7.2</v>
      </c>
      <c r="AF205">
        <v>2.6999999999970901</v>
      </c>
      <c r="AV205">
        <v>0.59999999999945397</v>
      </c>
      <c r="BJ205">
        <v>0.100000000000023</v>
      </c>
      <c r="BM205">
        <v>0.100000000000023</v>
      </c>
      <c r="BN205">
        <v>0</v>
      </c>
      <c r="BR205">
        <v>4.0999999999985501</v>
      </c>
      <c r="BV205">
        <v>0</v>
      </c>
      <c r="BW205">
        <v>11</v>
      </c>
      <c r="BY205">
        <v>0</v>
      </c>
      <c r="CF205">
        <v>0.1</v>
      </c>
      <c r="CN205">
        <v>6.5</v>
      </c>
      <c r="DD205" s="5"/>
      <c r="DJ205" s="1">
        <v>41112</v>
      </c>
      <c r="DK205" s="2">
        <f t="shared" si="19"/>
        <v>3.9384615384611648</v>
      </c>
      <c r="DL205" s="2">
        <f t="shared" si="20"/>
        <v>0.49708737864072955</v>
      </c>
      <c r="DM205" s="2">
        <f t="shared" si="21"/>
        <v>18.8</v>
      </c>
      <c r="DN205" s="3">
        <f t="shared" si="22"/>
        <v>0.12621359223300971</v>
      </c>
      <c r="DV205" s="2">
        <v>1010</v>
      </c>
      <c r="DW205">
        <v>0</v>
      </c>
      <c r="DX205">
        <f t="shared" si="24"/>
        <v>14794</v>
      </c>
      <c r="DY205">
        <f t="shared" si="23"/>
        <v>1</v>
      </c>
    </row>
    <row r="206" spans="1:129">
      <c r="A206" s="1">
        <v>41113</v>
      </c>
      <c r="B206" s="1"/>
      <c r="C206" s="1"/>
      <c r="R206">
        <v>6</v>
      </c>
      <c r="Y206">
        <v>0.3</v>
      </c>
      <c r="AH206">
        <v>0</v>
      </c>
      <c r="AU206">
        <v>0.5</v>
      </c>
      <c r="BK206">
        <v>0</v>
      </c>
      <c r="BT206">
        <v>0.100000000000023</v>
      </c>
      <c r="BV206">
        <v>0</v>
      </c>
      <c r="DD206" s="5"/>
      <c r="DJ206" s="1">
        <v>41113</v>
      </c>
      <c r="DK206" s="2">
        <f t="shared" si="19"/>
        <v>0.98571428571428898</v>
      </c>
      <c r="DL206" s="2">
        <f t="shared" si="20"/>
        <v>6.699029126213614E-2</v>
      </c>
      <c r="DM206" s="2">
        <f t="shared" si="21"/>
        <v>6</v>
      </c>
      <c r="DN206" s="3">
        <f t="shared" si="22"/>
        <v>6.7961165048543687E-2</v>
      </c>
      <c r="DV206" s="2">
        <v>1015</v>
      </c>
      <c r="DW206">
        <v>0</v>
      </c>
      <c r="DX206">
        <f t="shared" si="24"/>
        <v>14794</v>
      </c>
      <c r="DY206">
        <f t="shared" si="23"/>
        <v>1</v>
      </c>
    </row>
    <row r="207" spans="1:129">
      <c r="A207" s="1">
        <v>41114</v>
      </c>
      <c r="B207" s="1"/>
      <c r="C207" s="1"/>
      <c r="D207">
        <v>0.4</v>
      </c>
      <c r="G207">
        <v>0.2</v>
      </c>
      <c r="J207">
        <v>0.8</v>
      </c>
      <c r="AB207">
        <v>17.299999999988401</v>
      </c>
      <c r="AR207">
        <v>12.5</v>
      </c>
      <c r="AV207">
        <v>1.0999999999985499</v>
      </c>
      <c r="AW207">
        <v>2.1999999999970901</v>
      </c>
      <c r="BN207">
        <v>23.700000000011599</v>
      </c>
      <c r="BP207">
        <v>0.200000000000045</v>
      </c>
      <c r="CF207">
        <v>2</v>
      </c>
      <c r="DD207" s="5"/>
      <c r="DJ207" s="1">
        <v>41114</v>
      </c>
      <c r="DK207" s="2">
        <f t="shared" si="19"/>
        <v>6.0399999999995684</v>
      </c>
      <c r="DL207" s="2">
        <f t="shared" si="20"/>
        <v>0.58640776699024932</v>
      </c>
      <c r="DM207" s="2">
        <f t="shared" si="21"/>
        <v>23.700000000011599</v>
      </c>
      <c r="DN207" s="3">
        <f t="shared" si="22"/>
        <v>9.7087378640776698E-2</v>
      </c>
      <c r="DV207" s="2">
        <v>1020</v>
      </c>
      <c r="DW207">
        <v>0</v>
      </c>
      <c r="DX207">
        <f t="shared" si="24"/>
        <v>14794</v>
      </c>
      <c r="DY207">
        <f t="shared" si="23"/>
        <v>1</v>
      </c>
    </row>
    <row r="208" spans="1:129">
      <c r="A208" s="1">
        <v>41115</v>
      </c>
      <c r="B208" s="1"/>
      <c r="C208" s="1"/>
      <c r="D208">
        <v>13.8</v>
      </c>
      <c r="W208">
        <v>0</v>
      </c>
      <c r="X208">
        <v>0</v>
      </c>
      <c r="AB208">
        <v>48.899999999965097</v>
      </c>
      <c r="AJ208">
        <v>1.5</v>
      </c>
      <c r="AL208">
        <v>1.39999999999964</v>
      </c>
      <c r="BL208">
        <v>0</v>
      </c>
      <c r="BN208">
        <v>0.100000000000023</v>
      </c>
      <c r="BP208">
        <v>11.5</v>
      </c>
      <c r="BS208">
        <v>0</v>
      </c>
      <c r="BV208">
        <v>0</v>
      </c>
      <c r="BX208">
        <v>4.8999999999941801</v>
      </c>
      <c r="CF208">
        <v>0.2</v>
      </c>
      <c r="CS208">
        <v>3.4</v>
      </c>
      <c r="DD208" s="5"/>
      <c r="DJ208" s="1">
        <v>41115</v>
      </c>
      <c r="DK208" s="2">
        <f t="shared" si="19"/>
        <v>6.1214285714256391</v>
      </c>
      <c r="DL208" s="2">
        <f t="shared" si="20"/>
        <v>0.83203883495105779</v>
      </c>
      <c r="DM208" s="2">
        <f t="shared" si="21"/>
        <v>48.899999999965097</v>
      </c>
      <c r="DN208" s="3">
        <f t="shared" si="22"/>
        <v>0.13592233009708737</v>
      </c>
      <c r="DV208" s="2">
        <v>1025</v>
      </c>
      <c r="DW208">
        <v>0</v>
      </c>
      <c r="DX208">
        <f t="shared" si="24"/>
        <v>14794</v>
      </c>
      <c r="DY208">
        <f t="shared" si="23"/>
        <v>1</v>
      </c>
    </row>
    <row r="209" spans="1:129">
      <c r="A209" s="1">
        <v>41116</v>
      </c>
      <c r="B209" s="1"/>
      <c r="C209" s="1"/>
      <c r="D209">
        <v>0.6</v>
      </c>
      <c r="E209">
        <v>8.6999999999999993</v>
      </c>
      <c r="U209">
        <v>0</v>
      </c>
      <c r="Y209">
        <v>0.2</v>
      </c>
      <c r="Z209">
        <v>2.5</v>
      </c>
      <c r="AB209">
        <v>22.5</v>
      </c>
      <c r="BD209">
        <v>4.3000000000029104</v>
      </c>
      <c r="BI209">
        <v>13.5</v>
      </c>
      <c r="BL209">
        <v>0</v>
      </c>
      <c r="BN209">
        <v>0</v>
      </c>
      <c r="BP209">
        <v>0.80000000000018201</v>
      </c>
      <c r="BS209">
        <v>5.5999999999985501</v>
      </c>
      <c r="BV209">
        <v>0</v>
      </c>
      <c r="CK209">
        <v>33.6</v>
      </c>
      <c r="CV209">
        <v>1.5</v>
      </c>
      <c r="CW209">
        <v>0.1</v>
      </c>
      <c r="CX209">
        <v>3.9</v>
      </c>
      <c r="DD209" s="5"/>
      <c r="DJ209" s="1">
        <v>41116</v>
      </c>
      <c r="DK209" s="2">
        <f t="shared" si="19"/>
        <v>5.752941176470685</v>
      </c>
      <c r="DL209" s="2">
        <f t="shared" si="20"/>
        <v>0.94951456310681215</v>
      </c>
      <c r="DM209" s="2">
        <f t="shared" si="21"/>
        <v>33.6</v>
      </c>
      <c r="DN209" s="3">
        <f t="shared" si="22"/>
        <v>0.1650485436893204</v>
      </c>
      <c r="DV209" s="2">
        <v>1030</v>
      </c>
      <c r="DW209">
        <v>0</v>
      </c>
      <c r="DX209">
        <f t="shared" si="24"/>
        <v>14794</v>
      </c>
      <c r="DY209">
        <f t="shared" si="23"/>
        <v>1</v>
      </c>
    </row>
    <row r="210" spans="1:129">
      <c r="A210" s="1">
        <v>41117</v>
      </c>
      <c r="B210" s="1"/>
      <c r="C210" s="1"/>
      <c r="D210">
        <v>1.2</v>
      </c>
      <c r="E210">
        <v>6.3</v>
      </c>
      <c r="F210">
        <v>0.3</v>
      </c>
      <c r="K210">
        <v>21.1</v>
      </c>
      <c r="AU210">
        <v>5.6999999999970896</v>
      </c>
      <c r="BI210">
        <v>0.100000000000023</v>
      </c>
      <c r="BJ210">
        <v>0</v>
      </c>
      <c r="BM210">
        <v>12.600000000005799</v>
      </c>
      <c r="BN210">
        <v>4.0999999999985501</v>
      </c>
      <c r="BT210">
        <v>3.7999999999992702</v>
      </c>
      <c r="BW210">
        <v>2.2999999999999998</v>
      </c>
      <c r="BX210">
        <v>3.0999999999985399</v>
      </c>
      <c r="CB210">
        <v>22.2</v>
      </c>
      <c r="CF210">
        <v>14.8</v>
      </c>
      <c r="CM210">
        <v>0.4</v>
      </c>
      <c r="CP210">
        <v>1.8</v>
      </c>
      <c r="CQ210">
        <v>0.1</v>
      </c>
      <c r="DD210" s="5">
        <v>0.1</v>
      </c>
      <c r="DJ210" s="1">
        <v>41117</v>
      </c>
      <c r="DK210" s="2">
        <f t="shared" si="19"/>
        <v>5.5555555555555145</v>
      </c>
      <c r="DL210" s="2">
        <f t="shared" si="20"/>
        <v>0.97087378640775979</v>
      </c>
      <c r="DM210" s="2">
        <f t="shared" si="21"/>
        <v>22.2</v>
      </c>
      <c r="DN210" s="3">
        <f t="shared" si="22"/>
        <v>0.17475728155339806</v>
      </c>
      <c r="DV210" s="2">
        <v>1035</v>
      </c>
      <c r="DW210">
        <v>0</v>
      </c>
      <c r="DX210">
        <f t="shared" si="24"/>
        <v>14794</v>
      </c>
      <c r="DY210">
        <f t="shared" si="23"/>
        <v>1</v>
      </c>
    </row>
    <row r="211" spans="1:129">
      <c r="A211" s="1">
        <v>41118</v>
      </c>
      <c r="B211" s="1"/>
      <c r="C211" s="1"/>
      <c r="E211">
        <v>0.8</v>
      </c>
      <c r="F211">
        <v>0.2</v>
      </c>
      <c r="AD211">
        <v>0.2</v>
      </c>
      <c r="AF211">
        <v>9.9999999999908995E-2</v>
      </c>
      <c r="AM211">
        <v>8.5</v>
      </c>
      <c r="AQ211">
        <v>1.0999999999985499</v>
      </c>
      <c r="AU211">
        <v>6.6999999999970896</v>
      </c>
      <c r="AY211">
        <v>1.6999999999989099</v>
      </c>
      <c r="BE211">
        <v>12.5</v>
      </c>
      <c r="BL211">
        <v>5.9000000000014596</v>
      </c>
      <c r="BO211">
        <v>0</v>
      </c>
      <c r="BQ211">
        <v>0</v>
      </c>
      <c r="BX211">
        <v>18.199999999982499</v>
      </c>
      <c r="CA211">
        <v>0.3</v>
      </c>
      <c r="CD211">
        <v>4.5</v>
      </c>
      <c r="CE211">
        <v>1.4</v>
      </c>
      <c r="CF211">
        <v>13.8</v>
      </c>
      <c r="CK211">
        <v>13.2</v>
      </c>
      <c r="CP211">
        <v>0.6</v>
      </c>
      <c r="CV211">
        <v>37.299999999999997</v>
      </c>
      <c r="CX211">
        <v>9.4</v>
      </c>
      <c r="DD211" s="5"/>
      <c r="DJ211" s="1">
        <v>41118</v>
      </c>
      <c r="DK211" s="2">
        <f t="shared" si="19"/>
        <v>6.4952380952370667</v>
      </c>
      <c r="DL211" s="2">
        <f t="shared" si="20"/>
        <v>1.3242718446599846</v>
      </c>
      <c r="DM211" s="2">
        <f t="shared" si="21"/>
        <v>37.299999999999997</v>
      </c>
      <c r="DN211" s="3">
        <f t="shared" si="22"/>
        <v>0.20388349514563106</v>
      </c>
      <c r="DV211" s="2">
        <v>1040</v>
      </c>
      <c r="DW211">
        <v>0</v>
      </c>
      <c r="DX211">
        <f t="shared" si="24"/>
        <v>14794</v>
      </c>
      <c r="DY211">
        <f t="shared" si="23"/>
        <v>1</v>
      </c>
    </row>
    <row r="212" spans="1:129">
      <c r="A212" s="1">
        <v>41119</v>
      </c>
      <c r="B212" s="1"/>
      <c r="C212" s="1"/>
      <c r="H212">
        <v>1.6</v>
      </c>
      <c r="AI212">
        <v>22.699999999982499</v>
      </c>
      <c r="AM212">
        <v>2.5999999999985399</v>
      </c>
      <c r="BL212">
        <v>8.6000000000058208</v>
      </c>
      <c r="BP212">
        <v>0.5</v>
      </c>
      <c r="BS212">
        <v>6.5999999999985501</v>
      </c>
      <c r="BV212">
        <v>7.8000000000029104</v>
      </c>
      <c r="BW212">
        <v>5.7</v>
      </c>
      <c r="CF212">
        <v>5.7</v>
      </c>
      <c r="CV212">
        <v>11.5</v>
      </c>
      <c r="CY212">
        <v>0.1</v>
      </c>
      <c r="DD212" s="5"/>
      <c r="DJ212" s="1">
        <v>41119</v>
      </c>
      <c r="DK212" s="2">
        <f t="shared" si="19"/>
        <v>6.6727272727262115</v>
      </c>
      <c r="DL212" s="2">
        <f t="shared" si="20"/>
        <v>0.71262135922318759</v>
      </c>
      <c r="DM212" s="2">
        <f t="shared" si="21"/>
        <v>22.699999999982499</v>
      </c>
      <c r="DN212" s="3">
        <f t="shared" si="22"/>
        <v>0.10679611650485436</v>
      </c>
      <c r="DV212" s="2">
        <v>1045</v>
      </c>
      <c r="DW212">
        <v>0</v>
      </c>
      <c r="DX212">
        <f t="shared" si="24"/>
        <v>14794</v>
      </c>
      <c r="DY212">
        <f t="shared" si="23"/>
        <v>1</v>
      </c>
    </row>
    <row r="213" spans="1:129">
      <c r="A213" s="1">
        <v>41120</v>
      </c>
      <c r="B213" s="1"/>
      <c r="C213" s="1"/>
      <c r="H213">
        <v>0.9</v>
      </c>
      <c r="N213">
        <v>27.1</v>
      </c>
      <c r="R213">
        <v>0.4</v>
      </c>
      <c r="X213">
        <v>0.4</v>
      </c>
      <c r="AI213">
        <v>1.6999999999989099</v>
      </c>
      <c r="AU213">
        <v>22.899999999994201</v>
      </c>
      <c r="BI213">
        <v>0</v>
      </c>
      <c r="BJ213">
        <v>0.60000000000036402</v>
      </c>
      <c r="BL213">
        <v>0</v>
      </c>
      <c r="BP213">
        <v>23.299999999988401</v>
      </c>
      <c r="BR213">
        <v>0.5</v>
      </c>
      <c r="BS213">
        <v>27.399999999994201</v>
      </c>
      <c r="BT213">
        <v>0.30000000000018201</v>
      </c>
      <c r="BU213">
        <v>4.4000000000014596</v>
      </c>
      <c r="BW213">
        <v>0.7</v>
      </c>
      <c r="CH213">
        <v>4.4000000000000004</v>
      </c>
      <c r="CM213">
        <v>17.5</v>
      </c>
      <c r="DD213" s="5"/>
      <c r="DJ213" s="1">
        <v>41120</v>
      </c>
      <c r="DK213" s="2">
        <f t="shared" si="19"/>
        <v>7.7941176470575124</v>
      </c>
      <c r="DL213" s="2">
        <f t="shared" si="20"/>
        <v>1.2864077669900749</v>
      </c>
      <c r="DM213" s="2">
        <f t="shared" si="21"/>
        <v>27.399999999994201</v>
      </c>
      <c r="DN213" s="3">
        <f t="shared" si="22"/>
        <v>0.1650485436893204</v>
      </c>
      <c r="DV213" s="2">
        <v>1050</v>
      </c>
      <c r="DW213">
        <v>0</v>
      </c>
      <c r="DX213">
        <f t="shared" si="24"/>
        <v>14794</v>
      </c>
      <c r="DY213">
        <f t="shared" si="23"/>
        <v>1</v>
      </c>
    </row>
    <row r="214" spans="1:129">
      <c r="A214" s="1">
        <v>41121</v>
      </c>
      <c r="B214" s="1"/>
      <c r="C214" s="1"/>
      <c r="E214">
        <v>6.8</v>
      </c>
      <c r="F214">
        <v>0.5</v>
      </c>
      <c r="G214">
        <v>0.2</v>
      </c>
      <c r="L214">
        <v>5.5</v>
      </c>
      <c r="N214">
        <v>35.1</v>
      </c>
      <c r="AF214">
        <v>3.2999999999992702</v>
      </c>
      <c r="AK214">
        <v>2.1999999999970901</v>
      </c>
      <c r="AZ214">
        <v>1.29999999999927</v>
      </c>
      <c r="BJ214">
        <v>0</v>
      </c>
      <c r="BM214">
        <v>0.200000000000045</v>
      </c>
      <c r="BN214">
        <v>0.100000000000023</v>
      </c>
      <c r="BP214">
        <v>3.5999999999985399</v>
      </c>
      <c r="BR214">
        <v>0.69999999999981799</v>
      </c>
      <c r="BT214">
        <v>3.9000000000014601</v>
      </c>
      <c r="BU214">
        <v>0.100000000000023</v>
      </c>
      <c r="CH214">
        <v>13.7</v>
      </c>
      <c r="CW214">
        <v>0.8</v>
      </c>
      <c r="CZ214">
        <v>0.2</v>
      </c>
      <c r="DA214">
        <v>0.2</v>
      </c>
      <c r="DD214" s="5"/>
      <c r="DJ214" s="1">
        <v>41121</v>
      </c>
      <c r="DK214" s="2">
        <f t="shared" si="19"/>
        <v>4.1263157894734492</v>
      </c>
      <c r="DL214" s="2">
        <f t="shared" si="20"/>
        <v>0.76116504854364608</v>
      </c>
      <c r="DM214" s="2">
        <f t="shared" si="21"/>
        <v>35.1</v>
      </c>
      <c r="DN214" s="3">
        <f t="shared" si="22"/>
        <v>0.18446601941747573</v>
      </c>
      <c r="DV214" s="2">
        <v>1055</v>
      </c>
      <c r="DW214">
        <v>0</v>
      </c>
      <c r="DX214">
        <f t="shared" si="24"/>
        <v>14794</v>
      </c>
      <c r="DY214">
        <f t="shared" si="23"/>
        <v>1</v>
      </c>
    </row>
    <row r="215" spans="1:129">
      <c r="A215" s="1">
        <v>41122</v>
      </c>
      <c r="B215" s="1"/>
      <c r="E215">
        <v>0.6</v>
      </c>
      <c r="F215">
        <v>29.9</v>
      </c>
      <c r="AU215">
        <v>0.29999999999972699</v>
      </c>
      <c r="BM215">
        <v>0</v>
      </c>
      <c r="BO215">
        <v>0.80000000000018201</v>
      </c>
      <c r="BR215">
        <v>2</v>
      </c>
      <c r="BT215">
        <v>7.6999999999970896</v>
      </c>
      <c r="BV215">
        <v>4.1999999999970896</v>
      </c>
      <c r="CN215">
        <v>5.2</v>
      </c>
      <c r="CU215">
        <v>6.8</v>
      </c>
      <c r="CW215">
        <v>1.8</v>
      </c>
      <c r="CZ215">
        <v>3.3</v>
      </c>
      <c r="DA215">
        <v>4.8</v>
      </c>
      <c r="DC215">
        <v>0.2</v>
      </c>
      <c r="DD215" s="5"/>
      <c r="DJ215" s="1">
        <v>41122</v>
      </c>
      <c r="DK215" s="2">
        <f t="shared" si="19"/>
        <v>4.8285714285710055</v>
      </c>
      <c r="DL215" s="2">
        <f t="shared" si="20"/>
        <v>0.65631067961159306</v>
      </c>
      <c r="DM215" s="2">
        <f t="shared" si="21"/>
        <v>29.9</v>
      </c>
      <c r="DN215" s="3">
        <f t="shared" si="22"/>
        <v>0.13592233009708737</v>
      </c>
      <c r="DV215" s="2">
        <v>1060</v>
      </c>
      <c r="DW215">
        <v>0</v>
      </c>
      <c r="DX215">
        <f t="shared" si="24"/>
        <v>14794</v>
      </c>
      <c r="DY215">
        <f t="shared" si="23"/>
        <v>1</v>
      </c>
    </row>
    <row r="216" spans="1:129">
      <c r="A216" s="1">
        <v>41123</v>
      </c>
      <c r="B216" s="1"/>
      <c r="F216">
        <v>82.1</v>
      </c>
      <c r="N216">
        <v>0.3</v>
      </c>
      <c r="AK216">
        <v>1</v>
      </c>
      <c r="BJ216">
        <v>0</v>
      </c>
      <c r="BL216">
        <v>0.100000000000023</v>
      </c>
      <c r="BM216">
        <v>3.2999999999992702</v>
      </c>
      <c r="BP216">
        <v>0.100000000000023</v>
      </c>
      <c r="BR216">
        <v>8.8000000000029104</v>
      </c>
      <c r="BV216">
        <v>4.3000000000029104</v>
      </c>
      <c r="CH216">
        <v>6.5</v>
      </c>
      <c r="CO216">
        <v>0.7</v>
      </c>
      <c r="CP216">
        <v>1.1000000000000001</v>
      </c>
      <c r="CU216">
        <v>0.8</v>
      </c>
      <c r="CZ216">
        <v>0.4</v>
      </c>
      <c r="DB216">
        <v>19.8</v>
      </c>
      <c r="DD216" s="5"/>
      <c r="DJ216" s="1">
        <v>41123</v>
      </c>
      <c r="DK216" s="2">
        <f t="shared" si="19"/>
        <v>8.6200000000003421</v>
      </c>
      <c r="DL216" s="2">
        <f t="shared" si="20"/>
        <v>1.2553398058252925</v>
      </c>
      <c r="DM216" s="2">
        <f t="shared" si="21"/>
        <v>82.1</v>
      </c>
      <c r="DN216" s="3">
        <f t="shared" si="22"/>
        <v>0.14563106796116504</v>
      </c>
      <c r="DV216" s="2">
        <v>1065</v>
      </c>
      <c r="DW216">
        <v>0</v>
      </c>
      <c r="DX216">
        <f t="shared" si="24"/>
        <v>14794</v>
      </c>
      <c r="DY216">
        <f t="shared" si="23"/>
        <v>1</v>
      </c>
    </row>
    <row r="217" spans="1:129">
      <c r="A217" s="1">
        <v>41124</v>
      </c>
      <c r="B217" s="1"/>
      <c r="K217">
        <v>3.5</v>
      </c>
      <c r="P217">
        <v>24.5</v>
      </c>
      <c r="AC217">
        <v>22</v>
      </c>
      <c r="AF217">
        <v>0.19999999999981799</v>
      </c>
      <c r="AK217">
        <v>9.5</v>
      </c>
      <c r="BD217">
        <v>2.7999999999992702</v>
      </c>
      <c r="BH217">
        <v>1</v>
      </c>
      <c r="BK217">
        <v>0</v>
      </c>
      <c r="BN217">
        <v>0</v>
      </c>
      <c r="BP217">
        <v>1.5</v>
      </c>
      <c r="BR217">
        <v>0.100000000000023</v>
      </c>
      <c r="BX217">
        <v>1.89999999999964</v>
      </c>
      <c r="BY217">
        <v>0.1</v>
      </c>
      <c r="CC217">
        <v>6.8</v>
      </c>
      <c r="CK217">
        <v>6.8</v>
      </c>
      <c r="CZ217">
        <v>0.4</v>
      </c>
      <c r="DB217">
        <v>0.1</v>
      </c>
      <c r="DD217" s="5">
        <v>14.8</v>
      </c>
      <c r="DJ217" s="1">
        <v>41124</v>
      </c>
      <c r="DK217" s="2">
        <f t="shared" si="19"/>
        <v>5.3333333333332629</v>
      </c>
      <c r="DL217" s="2">
        <f t="shared" si="20"/>
        <v>0.93203883495144402</v>
      </c>
      <c r="DM217" s="2">
        <f t="shared" si="21"/>
        <v>24.5</v>
      </c>
      <c r="DN217" s="3">
        <f t="shared" si="22"/>
        <v>0.17475728155339806</v>
      </c>
      <c r="DV217" s="2">
        <v>1070</v>
      </c>
      <c r="DW217">
        <v>0</v>
      </c>
      <c r="DX217">
        <f t="shared" si="24"/>
        <v>14794</v>
      </c>
      <c r="DY217">
        <f t="shared" si="23"/>
        <v>1</v>
      </c>
    </row>
    <row r="218" spans="1:129">
      <c r="A218" s="1">
        <v>41125</v>
      </c>
      <c r="B218" s="1"/>
      <c r="E218">
        <v>2.1</v>
      </c>
      <c r="N218">
        <v>0.1</v>
      </c>
      <c r="S218">
        <v>3.7</v>
      </c>
      <c r="W218">
        <v>0</v>
      </c>
      <c r="AC218">
        <v>0.69999999999981799</v>
      </c>
      <c r="AF218">
        <v>3</v>
      </c>
      <c r="AK218">
        <v>3.0999999999985399</v>
      </c>
      <c r="AR218">
        <v>2.0999999999985399</v>
      </c>
      <c r="AU218">
        <v>13.899999999994201</v>
      </c>
      <c r="AY218">
        <v>4.2999999999956398</v>
      </c>
      <c r="BH218">
        <v>0.400000000000091</v>
      </c>
      <c r="BJ218">
        <v>0</v>
      </c>
      <c r="BP218">
        <v>0.100000000000023</v>
      </c>
      <c r="BX218">
        <v>11.8</v>
      </c>
      <c r="CI218">
        <v>12.2</v>
      </c>
      <c r="CR218">
        <v>0.3</v>
      </c>
      <c r="CU218">
        <v>0</v>
      </c>
      <c r="CZ218">
        <v>0.1</v>
      </c>
      <c r="DB218">
        <v>0.1</v>
      </c>
      <c r="DD218" s="5"/>
      <c r="DJ218" s="1">
        <v>41125</v>
      </c>
      <c r="DK218" s="2">
        <f t="shared" si="19"/>
        <v>3.0526315789466767</v>
      </c>
      <c r="DL218" s="2">
        <f t="shared" si="20"/>
        <v>0.56310679611637726</v>
      </c>
      <c r="DM218" s="2">
        <f t="shared" si="21"/>
        <v>13.899999999994201</v>
      </c>
      <c r="DN218" s="3">
        <f t="shared" si="22"/>
        <v>0.18446601941747573</v>
      </c>
      <c r="DV218" s="2">
        <v>1075</v>
      </c>
      <c r="DW218">
        <v>0</v>
      </c>
      <c r="DX218">
        <f t="shared" si="24"/>
        <v>14794</v>
      </c>
      <c r="DY218">
        <f t="shared" si="23"/>
        <v>1</v>
      </c>
    </row>
    <row r="219" spans="1:129">
      <c r="A219" s="1">
        <v>41126</v>
      </c>
      <c r="B219" s="1"/>
      <c r="E219">
        <v>15.7</v>
      </c>
      <c r="AC219">
        <v>6.5</v>
      </c>
      <c r="AJ219">
        <v>1.39999999999964</v>
      </c>
      <c r="AK219">
        <v>35</v>
      </c>
      <c r="AU219">
        <v>7.1999999999970896</v>
      </c>
      <c r="BJ219">
        <v>0.100000000000023</v>
      </c>
      <c r="BK219">
        <v>0</v>
      </c>
      <c r="BL219">
        <v>16.799999999988401</v>
      </c>
      <c r="BN219">
        <v>0.100000000000023</v>
      </c>
      <c r="BO219">
        <v>10.3000000000029</v>
      </c>
      <c r="BS219">
        <v>0.200000000000045</v>
      </c>
      <c r="BU219">
        <v>0.100000000000023</v>
      </c>
      <c r="CD219">
        <v>0.7</v>
      </c>
      <c r="CH219">
        <v>0.2</v>
      </c>
      <c r="CP219">
        <v>1.4</v>
      </c>
      <c r="CQ219">
        <v>0</v>
      </c>
      <c r="CU219">
        <v>0.1</v>
      </c>
      <c r="CX219">
        <v>0.1</v>
      </c>
      <c r="DD219" s="5"/>
      <c r="DJ219" s="1">
        <v>41126</v>
      </c>
      <c r="DK219" s="2">
        <f t="shared" si="19"/>
        <v>5.3277777777771185</v>
      </c>
      <c r="DL219" s="2">
        <f t="shared" si="20"/>
        <v>0.9310679611649334</v>
      </c>
      <c r="DM219" s="2">
        <f t="shared" si="21"/>
        <v>35</v>
      </c>
      <c r="DN219" s="3">
        <f t="shared" si="22"/>
        <v>0.17475728155339806</v>
      </c>
      <c r="DV219" s="2">
        <v>1080</v>
      </c>
      <c r="DW219">
        <v>0</v>
      </c>
      <c r="DX219">
        <f t="shared" si="24"/>
        <v>14794</v>
      </c>
      <c r="DY219">
        <f t="shared" si="23"/>
        <v>1</v>
      </c>
    </row>
    <row r="220" spans="1:129">
      <c r="A220" s="1">
        <v>41127</v>
      </c>
      <c r="B220" s="1"/>
      <c r="H220">
        <v>0.4</v>
      </c>
      <c r="P220">
        <v>32.700000000000003</v>
      </c>
      <c r="AD220">
        <v>10</v>
      </c>
      <c r="AG220">
        <v>0</v>
      </c>
      <c r="AU220">
        <v>15.899999999994201</v>
      </c>
      <c r="BJ220">
        <v>0.100000000000023</v>
      </c>
      <c r="BK220">
        <v>0</v>
      </c>
      <c r="BM220">
        <v>0</v>
      </c>
      <c r="BP220">
        <v>4.4000000000014596</v>
      </c>
      <c r="BU220">
        <v>1.79999999999927</v>
      </c>
      <c r="BV220">
        <v>0.69999999999981799</v>
      </c>
      <c r="BW220">
        <v>3.5999999999985399</v>
      </c>
      <c r="CD220">
        <v>0.5</v>
      </c>
      <c r="CI220">
        <v>0.7</v>
      </c>
      <c r="CS220">
        <v>6.9</v>
      </c>
      <c r="CW220">
        <v>1.8</v>
      </c>
      <c r="DD220" s="5"/>
      <c r="DJ220" s="1">
        <v>41127</v>
      </c>
      <c r="DK220" s="2">
        <f t="shared" si="19"/>
        <v>4.9687499999995826</v>
      </c>
      <c r="DL220" s="2">
        <f t="shared" si="20"/>
        <v>0.77184466019410991</v>
      </c>
      <c r="DM220" s="2">
        <f t="shared" si="21"/>
        <v>32.700000000000003</v>
      </c>
      <c r="DN220" s="3">
        <f t="shared" si="22"/>
        <v>0.1553398058252427</v>
      </c>
      <c r="DV220" s="2">
        <v>1085</v>
      </c>
      <c r="DW220">
        <v>0</v>
      </c>
      <c r="DX220">
        <f t="shared" si="24"/>
        <v>14794</v>
      </c>
      <c r="DY220">
        <f t="shared" si="23"/>
        <v>1</v>
      </c>
    </row>
    <row r="221" spans="1:129">
      <c r="A221" s="1">
        <v>41128</v>
      </c>
      <c r="B221" s="1"/>
      <c r="C221">
        <v>2.5</v>
      </c>
      <c r="F221">
        <v>0.4</v>
      </c>
      <c r="G221">
        <v>0.4</v>
      </c>
      <c r="H221">
        <v>1.6</v>
      </c>
      <c r="M221">
        <v>0.2</v>
      </c>
      <c r="P221">
        <v>18.7</v>
      </c>
      <c r="Q221">
        <v>1.6</v>
      </c>
      <c r="Y221">
        <v>0.4</v>
      </c>
      <c r="AG221">
        <v>0</v>
      </c>
      <c r="AU221">
        <v>6.29999999999563</v>
      </c>
      <c r="AY221">
        <v>0.59999999999945397</v>
      </c>
      <c r="BJ221">
        <v>0</v>
      </c>
      <c r="BK221">
        <v>0.100000000000023</v>
      </c>
      <c r="BM221">
        <v>1.60000000000036</v>
      </c>
      <c r="BN221">
        <v>0.100000000000023</v>
      </c>
      <c r="BO221">
        <v>6.5</v>
      </c>
      <c r="BP221">
        <v>0.400000000000091</v>
      </c>
      <c r="BS221">
        <v>0.60000000000036402</v>
      </c>
      <c r="BW221">
        <v>0</v>
      </c>
      <c r="CP221">
        <v>23.7</v>
      </c>
      <c r="CS221">
        <v>2.4</v>
      </c>
      <c r="CW221">
        <v>1.8</v>
      </c>
      <c r="DB221">
        <v>15</v>
      </c>
      <c r="DD221" s="5"/>
      <c r="DJ221" s="1">
        <v>41128</v>
      </c>
      <c r="DK221" s="2">
        <f t="shared" si="19"/>
        <v>3.6913043478259104</v>
      </c>
      <c r="DL221" s="2">
        <f t="shared" si="20"/>
        <v>0.8242718446601548</v>
      </c>
      <c r="DM221" s="2">
        <f t="shared" si="21"/>
        <v>23.7</v>
      </c>
      <c r="DN221" s="3">
        <f t="shared" si="22"/>
        <v>0.22330097087378642</v>
      </c>
      <c r="DV221" s="2">
        <v>1090</v>
      </c>
      <c r="DW221">
        <v>0</v>
      </c>
      <c r="DX221">
        <f t="shared" si="24"/>
        <v>14794</v>
      </c>
      <c r="DY221">
        <f t="shared" si="23"/>
        <v>1</v>
      </c>
    </row>
    <row r="222" spans="1:129">
      <c r="A222" s="1">
        <v>41129</v>
      </c>
      <c r="B222" s="1"/>
      <c r="C222">
        <v>6.1</v>
      </c>
      <c r="G222">
        <v>0.2</v>
      </c>
      <c r="K222">
        <v>8.1</v>
      </c>
      <c r="P222">
        <v>88.7</v>
      </c>
      <c r="Q222">
        <v>26.6</v>
      </c>
      <c r="T222">
        <v>0.6</v>
      </c>
      <c r="Y222">
        <v>5.3</v>
      </c>
      <c r="BA222">
        <v>0.59999999999945397</v>
      </c>
      <c r="BK222">
        <v>0.200000000000045</v>
      </c>
      <c r="BM222">
        <v>2.5999999999985399</v>
      </c>
      <c r="BO222">
        <v>20.299999999988401</v>
      </c>
      <c r="CT222">
        <v>0.2</v>
      </c>
      <c r="CW222">
        <v>0.1</v>
      </c>
      <c r="CX222">
        <v>6</v>
      </c>
      <c r="DB222">
        <v>0.3</v>
      </c>
      <c r="DD222" s="5"/>
      <c r="DJ222" s="1">
        <v>41129</v>
      </c>
      <c r="DK222" s="2">
        <f t="shared" si="19"/>
        <v>11.059999999999095</v>
      </c>
      <c r="DL222" s="2">
        <f t="shared" si="20"/>
        <v>1.6106796116503537</v>
      </c>
      <c r="DM222" s="2">
        <f t="shared" si="21"/>
        <v>88.7</v>
      </c>
      <c r="DN222" s="3">
        <f t="shared" si="22"/>
        <v>0.14563106796116504</v>
      </c>
      <c r="DV222" s="2">
        <v>1095</v>
      </c>
      <c r="DW222">
        <v>0</v>
      </c>
      <c r="DX222">
        <f t="shared" si="24"/>
        <v>14794</v>
      </c>
      <c r="DY222">
        <f t="shared" si="23"/>
        <v>1</v>
      </c>
    </row>
    <row r="223" spans="1:129">
      <c r="A223" s="1">
        <v>41130</v>
      </c>
      <c r="B223" s="1"/>
      <c r="H223">
        <v>5.6</v>
      </c>
      <c r="K223">
        <v>3.2</v>
      </c>
      <c r="P223">
        <v>0.7</v>
      </c>
      <c r="Q223">
        <v>0.6</v>
      </c>
      <c r="X223">
        <v>0</v>
      </c>
      <c r="AA223">
        <v>8.7999999999883602</v>
      </c>
      <c r="AB223">
        <v>4.0999999999985501</v>
      </c>
      <c r="AC223">
        <v>1.29999999999927</v>
      </c>
      <c r="AX223">
        <v>5.8999999999941801</v>
      </c>
      <c r="BK223">
        <v>0.30000000000018201</v>
      </c>
      <c r="BM223">
        <v>0.100000000000023</v>
      </c>
      <c r="BO223">
        <v>0.100000000000023</v>
      </c>
      <c r="BP223">
        <v>0</v>
      </c>
      <c r="BQ223">
        <v>0.400000000000091</v>
      </c>
      <c r="BT223">
        <v>1.89999999999964</v>
      </c>
      <c r="BW223">
        <v>2.5</v>
      </c>
      <c r="CE223">
        <v>0.1</v>
      </c>
      <c r="CJ223">
        <v>5.2</v>
      </c>
      <c r="CK223">
        <v>0.3</v>
      </c>
      <c r="CP223">
        <v>3.6</v>
      </c>
      <c r="DB223">
        <v>16</v>
      </c>
      <c r="DD223" s="5"/>
      <c r="DJ223" s="1">
        <v>41130</v>
      </c>
      <c r="DK223" s="2">
        <f t="shared" si="19"/>
        <v>2.8904761904752534</v>
      </c>
      <c r="DL223" s="2">
        <f t="shared" si="20"/>
        <v>0.58932038834932354</v>
      </c>
      <c r="DM223" s="2">
        <f t="shared" si="21"/>
        <v>16</v>
      </c>
      <c r="DN223" s="3">
        <f t="shared" si="22"/>
        <v>0.20388349514563106</v>
      </c>
      <c r="DV223" s="2">
        <v>1100</v>
      </c>
      <c r="DW223">
        <v>0</v>
      </c>
      <c r="DX223">
        <f t="shared" si="24"/>
        <v>14794</v>
      </c>
      <c r="DY223">
        <f t="shared" si="23"/>
        <v>1</v>
      </c>
    </row>
    <row r="224" spans="1:129">
      <c r="A224" s="1">
        <v>41131</v>
      </c>
      <c r="B224" s="1"/>
      <c r="H224">
        <v>1.4</v>
      </c>
      <c r="N224">
        <v>0.1</v>
      </c>
      <c r="O224">
        <v>0.7</v>
      </c>
      <c r="P224">
        <v>0.7</v>
      </c>
      <c r="Q224">
        <v>2.2999999999999998</v>
      </c>
      <c r="R224">
        <v>2.7</v>
      </c>
      <c r="V224">
        <v>22.5</v>
      </c>
      <c r="AB224">
        <v>12.399999999994201</v>
      </c>
      <c r="AC224">
        <v>0.19999999999981799</v>
      </c>
      <c r="AG224">
        <v>0</v>
      </c>
      <c r="AM224">
        <v>1.39999999999964</v>
      </c>
      <c r="AU224">
        <v>2.0999999999985399</v>
      </c>
      <c r="AX224">
        <v>7.1999999999970896</v>
      </c>
      <c r="BF224">
        <v>0.200000000000045</v>
      </c>
      <c r="BK224">
        <v>1.39999999999964</v>
      </c>
      <c r="BO224">
        <v>30.899999999994201</v>
      </c>
      <c r="BT224">
        <v>0.5</v>
      </c>
      <c r="BW224">
        <v>0</v>
      </c>
      <c r="CG224">
        <v>3.5</v>
      </c>
      <c r="CI224">
        <v>4.3</v>
      </c>
      <c r="CJ224">
        <v>0.9</v>
      </c>
      <c r="CK224">
        <v>28</v>
      </c>
      <c r="CR224">
        <v>29.7</v>
      </c>
      <c r="CY224">
        <v>0.6</v>
      </c>
      <c r="DC224">
        <v>1.8</v>
      </c>
      <c r="DD224" s="5"/>
      <c r="DJ224" s="1">
        <v>41131</v>
      </c>
      <c r="DK224" s="2">
        <f t="shared" si="19"/>
        <v>6.2199999999993274</v>
      </c>
      <c r="DL224" s="2">
        <f t="shared" si="20"/>
        <v>1.5097087378639142</v>
      </c>
      <c r="DM224" s="2">
        <f t="shared" si="21"/>
        <v>30.899999999994201</v>
      </c>
      <c r="DN224" s="3">
        <f t="shared" si="22"/>
        <v>0.24271844660194175</v>
      </c>
      <c r="DV224" s="2">
        <v>1105</v>
      </c>
      <c r="DW224">
        <v>0</v>
      </c>
      <c r="DX224">
        <f t="shared" si="24"/>
        <v>14794</v>
      </c>
      <c r="DY224">
        <f t="shared" si="23"/>
        <v>1</v>
      </c>
    </row>
    <row r="225" spans="1:129">
      <c r="A225" s="1">
        <v>41132</v>
      </c>
      <c r="B225" s="1"/>
      <c r="C225">
        <v>5.5</v>
      </c>
      <c r="F225">
        <v>2.2000000000000002</v>
      </c>
      <c r="Q225">
        <v>1.5</v>
      </c>
      <c r="R225">
        <v>10.8</v>
      </c>
      <c r="V225">
        <v>2.1</v>
      </c>
      <c r="AE225">
        <v>0.29999999999972699</v>
      </c>
      <c r="AP225">
        <v>23.399999999994201</v>
      </c>
      <c r="BD225">
        <v>6.5999999999985501</v>
      </c>
      <c r="BF225">
        <v>7.3000000000029104</v>
      </c>
      <c r="BK225">
        <v>0.200000000000045</v>
      </c>
      <c r="BL225">
        <v>0</v>
      </c>
      <c r="BW225">
        <v>0</v>
      </c>
      <c r="CD225">
        <v>77.5</v>
      </c>
      <c r="CG225">
        <v>0.3</v>
      </c>
      <c r="CK225">
        <v>46</v>
      </c>
      <c r="CN225">
        <v>4.2</v>
      </c>
      <c r="CR225">
        <v>23.5</v>
      </c>
      <c r="CY225">
        <v>13.3</v>
      </c>
      <c r="CZ225">
        <v>1.4</v>
      </c>
      <c r="DD225" s="5"/>
      <c r="DJ225" s="1">
        <v>41132</v>
      </c>
      <c r="DK225" s="2">
        <f t="shared" si="19"/>
        <v>11.899999999999761</v>
      </c>
      <c r="DL225" s="2">
        <f t="shared" si="20"/>
        <v>2.1951456310679172</v>
      </c>
      <c r="DM225" s="2">
        <f t="shared" si="21"/>
        <v>77.5</v>
      </c>
      <c r="DN225" s="3">
        <f t="shared" si="22"/>
        <v>0.18446601941747573</v>
      </c>
      <c r="DV225" s="2">
        <v>1110</v>
      </c>
      <c r="DW225">
        <v>0</v>
      </c>
      <c r="DX225">
        <f t="shared" si="24"/>
        <v>14794</v>
      </c>
      <c r="DY225">
        <f t="shared" si="23"/>
        <v>1</v>
      </c>
    </row>
    <row r="226" spans="1:129">
      <c r="A226" s="1">
        <v>41133</v>
      </c>
      <c r="B226" s="1"/>
      <c r="J226">
        <v>24</v>
      </c>
      <c r="AE226">
        <v>6.5999999999985501</v>
      </c>
      <c r="AH226">
        <v>1.5999999999985499</v>
      </c>
      <c r="BD226">
        <v>38.900000000023297</v>
      </c>
      <c r="BK226">
        <v>0.100000000000023</v>
      </c>
      <c r="BL226">
        <v>0.100000000000023</v>
      </c>
      <c r="BN226">
        <v>3.7999999999992702</v>
      </c>
      <c r="BO226">
        <v>0</v>
      </c>
      <c r="BR226">
        <v>18.100000000005799</v>
      </c>
      <c r="BS226">
        <v>1.10000000000036</v>
      </c>
      <c r="BW226">
        <v>0</v>
      </c>
      <c r="CD226">
        <v>1.3</v>
      </c>
      <c r="CG226">
        <v>0.4</v>
      </c>
      <c r="CK226">
        <v>6.6</v>
      </c>
      <c r="CN226">
        <v>0.1</v>
      </c>
      <c r="CY226">
        <v>0.1</v>
      </c>
      <c r="CZ226">
        <v>20.7</v>
      </c>
      <c r="DD226" s="5">
        <v>3.9</v>
      </c>
      <c r="DJ226" s="1">
        <v>41133</v>
      </c>
      <c r="DK226" s="2">
        <f t="shared" si="19"/>
        <v>7.0777777777792146</v>
      </c>
      <c r="DL226" s="2">
        <f t="shared" si="20"/>
        <v>1.2368932038837464</v>
      </c>
      <c r="DM226" s="2">
        <f t="shared" si="21"/>
        <v>38.900000000023297</v>
      </c>
      <c r="DN226" s="3">
        <f t="shared" si="22"/>
        <v>0.17475728155339806</v>
      </c>
      <c r="DV226" s="2">
        <v>1115</v>
      </c>
      <c r="DW226">
        <v>0</v>
      </c>
      <c r="DX226">
        <f t="shared" si="24"/>
        <v>14794</v>
      </c>
      <c r="DY226">
        <f t="shared" si="23"/>
        <v>1</v>
      </c>
    </row>
    <row r="227" spans="1:129">
      <c r="A227" s="1">
        <v>41134</v>
      </c>
      <c r="B227" s="1"/>
      <c r="K227">
        <v>11.6</v>
      </c>
      <c r="O227">
        <v>0.2</v>
      </c>
      <c r="W227">
        <v>0</v>
      </c>
      <c r="AA227">
        <v>0.19999999999981799</v>
      </c>
      <c r="AE227">
        <v>49.5</v>
      </c>
      <c r="AH227">
        <v>3.3999999999978199</v>
      </c>
      <c r="AM227">
        <v>1.39999999999964</v>
      </c>
      <c r="BH227">
        <v>14.6999999999971</v>
      </c>
      <c r="BI227">
        <v>0.100000000000023</v>
      </c>
      <c r="BN227">
        <v>18</v>
      </c>
      <c r="BO227">
        <v>0.30000000000018201</v>
      </c>
      <c r="BQ227">
        <v>0.200000000000045</v>
      </c>
      <c r="BR227">
        <v>4.4000000000014596</v>
      </c>
      <c r="BS227">
        <v>0.100000000000023</v>
      </c>
      <c r="BW227">
        <v>0</v>
      </c>
      <c r="BX227">
        <v>0.9</v>
      </c>
      <c r="CA227">
        <v>14.2</v>
      </c>
      <c r="CC227">
        <v>2.2000000000000002</v>
      </c>
      <c r="CK227">
        <v>25.5</v>
      </c>
      <c r="CO227">
        <v>21</v>
      </c>
      <c r="DD227" s="5">
        <v>1</v>
      </c>
      <c r="DJ227" s="1">
        <v>41134</v>
      </c>
      <c r="DK227" s="2">
        <f t="shared" si="19"/>
        <v>8.042857142856958</v>
      </c>
      <c r="DL227" s="2">
        <f t="shared" si="20"/>
        <v>1.6398058252426806</v>
      </c>
      <c r="DM227" s="2">
        <f t="shared" si="21"/>
        <v>49.5</v>
      </c>
      <c r="DN227" s="3">
        <f t="shared" si="22"/>
        <v>0.20388349514563106</v>
      </c>
      <c r="DV227" s="2">
        <v>1120</v>
      </c>
      <c r="DW227">
        <v>0</v>
      </c>
      <c r="DX227">
        <f t="shared" si="24"/>
        <v>14794</v>
      </c>
      <c r="DY227">
        <f t="shared" si="23"/>
        <v>1</v>
      </c>
    </row>
    <row r="228" spans="1:129">
      <c r="A228" s="1">
        <v>41135</v>
      </c>
      <c r="B228" s="1"/>
      <c r="C228">
        <v>3.5</v>
      </c>
      <c r="Y228">
        <v>0</v>
      </c>
      <c r="AE228">
        <v>0.89999999999963598</v>
      </c>
      <c r="AM228">
        <v>1.89999999999964</v>
      </c>
      <c r="AS228">
        <v>2.6999999999970901</v>
      </c>
      <c r="BI228">
        <v>0.200000000000045</v>
      </c>
      <c r="BN228">
        <v>84</v>
      </c>
      <c r="BO228">
        <v>27.200000000011599</v>
      </c>
      <c r="BQ228">
        <v>0.100000000000023</v>
      </c>
      <c r="BW228">
        <v>4.3</v>
      </c>
      <c r="CA228">
        <v>0.1</v>
      </c>
      <c r="CE228">
        <v>0.3</v>
      </c>
      <c r="CK228">
        <v>5.5</v>
      </c>
      <c r="CO228">
        <v>0.9</v>
      </c>
      <c r="DD228" s="5"/>
      <c r="DJ228" s="1">
        <v>41135</v>
      </c>
      <c r="DK228" s="2">
        <f t="shared" si="19"/>
        <v>9.4000000000005723</v>
      </c>
      <c r="DL228" s="2">
        <f t="shared" si="20"/>
        <v>1.2776699029126992</v>
      </c>
      <c r="DM228" s="2">
        <f t="shared" si="21"/>
        <v>84</v>
      </c>
      <c r="DN228" s="3">
        <f t="shared" si="22"/>
        <v>0.13592233009708737</v>
      </c>
      <c r="DV228" s="2">
        <v>1125</v>
      </c>
      <c r="DW228">
        <v>0</v>
      </c>
      <c r="DX228">
        <f t="shared" si="24"/>
        <v>14794</v>
      </c>
      <c r="DY228">
        <f t="shared" si="23"/>
        <v>1</v>
      </c>
    </row>
    <row r="229" spans="1:129">
      <c r="A229" s="1">
        <v>41136</v>
      </c>
      <c r="B229" s="1"/>
      <c r="F229">
        <v>0.2</v>
      </c>
      <c r="AJ229">
        <v>0.19999999999981799</v>
      </c>
      <c r="AK229">
        <v>0.59999999999945397</v>
      </c>
      <c r="AM229">
        <v>1.0999999999985499</v>
      </c>
      <c r="BE229">
        <v>0.400000000000091</v>
      </c>
      <c r="BK229">
        <v>0</v>
      </c>
      <c r="BL229">
        <v>0.100000000000023</v>
      </c>
      <c r="BM229">
        <v>0.80000000000018201</v>
      </c>
      <c r="BN229">
        <v>1.5</v>
      </c>
      <c r="BQ229">
        <v>2.7999999999992702</v>
      </c>
      <c r="BR229">
        <v>0.200000000000045</v>
      </c>
      <c r="BU229">
        <v>2.7999999999992702</v>
      </c>
      <c r="CR229">
        <v>0.6</v>
      </c>
      <c r="CS229">
        <v>0.8</v>
      </c>
      <c r="DD229" s="5"/>
      <c r="DJ229" s="1">
        <v>41136</v>
      </c>
      <c r="DK229" s="2">
        <f t="shared" si="19"/>
        <v>0.86428571428547873</v>
      </c>
      <c r="DL229" s="2">
        <f t="shared" si="20"/>
        <v>0.1174757281553078</v>
      </c>
      <c r="DM229" s="2">
        <f t="shared" si="21"/>
        <v>2.7999999999992702</v>
      </c>
      <c r="DN229" s="3">
        <f t="shared" si="22"/>
        <v>0.13592233009708737</v>
      </c>
      <c r="DV229" s="2">
        <v>1130</v>
      </c>
      <c r="DW229">
        <v>0</v>
      </c>
      <c r="DX229">
        <f t="shared" si="24"/>
        <v>14794</v>
      </c>
      <c r="DY229">
        <f t="shared" si="23"/>
        <v>1</v>
      </c>
    </row>
    <row r="230" spans="1:129">
      <c r="A230" s="1">
        <v>41137</v>
      </c>
      <c r="B230" s="1"/>
      <c r="F230">
        <v>0.2</v>
      </c>
      <c r="J230">
        <v>0.7</v>
      </c>
      <c r="X230">
        <v>0</v>
      </c>
      <c r="Z230">
        <v>0.5</v>
      </c>
      <c r="AB230">
        <v>0.59999999999945397</v>
      </c>
      <c r="BF230">
        <v>3.2999999999992702</v>
      </c>
      <c r="BH230">
        <v>0.100000000000023</v>
      </c>
      <c r="BJ230">
        <v>0</v>
      </c>
      <c r="BK230">
        <v>0.100000000000023</v>
      </c>
      <c r="BL230">
        <v>0.100000000000023</v>
      </c>
      <c r="BM230">
        <v>13.5</v>
      </c>
      <c r="CA230">
        <v>4.5</v>
      </c>
      <c r="CI230">
        <v>0.7</v>
      </c>
      <c r="CK230">
        <v>0.1</v>
      </c>
      <c r="CP230">
        <v>0.1</v>
      </c>
      <c r="CR230">
        <v>41.6</v>
      </c>
      <c r="DD230" s="5"/>
      <c r="DJ230" s="1">
        <v>41137</v>
      </c>
      <c r="DK230" s="2">
        <f t="shared" si="19"/>
        <v>4.131249999999925</v>
      </c>
      <c r="DL230" s="2">
        <f t="shared" si="20"/>
        <v>0.6417475728155223</v>
      </c>
      <c r="DM230" s="2">
        <f t="shared" si="21"/>
        <v>41.6</v>
      </c>
      <c r="DN230" s="3">
        <f t="shared" si="22"/>
        <v>0.1553398058252427</v>
      </c>
      <c r="DV230" s="2">
        <v>1135</v>
      </c>
      <c r="DW230">
        <v>0</v>
      </c>
      <c r="DX230">
        <f t="shared" si="24"/>
        <v>14794</v>
      </c>
      <c r="DY230">
        <f t="shared" si="23"/>
        <v>1</v>
      </c>
    </row>
    <row r="231" spans="1:129">
      <c r="A231" s="1">
        <v>41138</v>
      </c>
      <c r="B231" s="1"/>
      <c r="J231">
        <v>2</v>
      </c>
      <c r="V231">
        <v>0.6</v>
      </c>
      <c r="Z231">
        <v>1.89999999999964</v>
      </c>
      <c r="AB231">
        <v>1.1999999999989099</v>
      </c>
      <c r="AD231">
        <v>14.5</v>
      </c>
      <c r="AJ231">
        <v>0.19999999999981799</v>
      </c>
      <c r="AU231">
        <v>4</v>
      </c>
      <c r="BA231">
        <v>0.29999999999972699</v>
      </c>
      <c r="BK231">
        <v>0</v>
      </c>
      <c r="BN231">
        <v>0</v>
      </c>
      <c r="BQ231">
        <v>0.100000000000023</v>
      </c>
      <c r="BR231">
        <v>0.100000000000023</v>
      </c>
      <c r="BS231">
        <v>4.5999999999985501</v>
      </c>
      <c r="BY231">
        <v>0</v>
      </c>
      <c r="CA231">
        <v>15.6</v>
      </c>
      <c r="CP231">
        <v>56.3</v>
      </c>
      <c r="CR231">
        <v>0.7</v>
      </c>
      <c r="DB231">
        <v>5.7</v>
      </c>
      <c r="DD231" s="5"/>
      <c r="DJ231" s="1">
        <v>41138</v>
      </c>
      <c r="DK231" s="2">
        <f t="shared" si="19"/>
        <v>5.9888888888887051</v>
      </c>
      <c r="DL231" s="2">
        <f t="shared" si="20"/>
        <v>1.0466019417475407</v>
      </c>
      <c r="DM231" s="2">
        <f t="shared" si="21"/>
        <v>56.3</v>
      </c>
      <c r="DN231" s="3">
        <f t="shared" si="22"/>
        <v>0.17475728155339806</v>
      </c>
      <c r="DV231" s="2">
        <v>1140</v>
      </c>
      <c r="DW231">
        <v>0</v>
      </c>
      <c r="DX231">
        <f t="shared" si="24"/>
        <v>14794</v>
      </c>
      <c r="DY231">
        <f t="shared" si="23"/>
        <v>1</v>
      </c>
    </row>
    <row r="232" spans="1:129">
      <c r="A232" s="1">
        <v>41139</v>
      </c>
      <c r="B232" s="1"/>
      <c r="P232">
        <v>2.2000000000000002</v>
      </c>
      <c r="Z232">
        <v>3.7999999999992702</v>
      </c>
      <c r="AF232">
        <v>1</v>
      </c>
      <c r="AT232">
        <v>12.399999999994201</v>
      </c>
      <c r="AU232">
        <v>11.5</v>
      </c>
      <c r="BA232">
        <v>0.39999999999963598</v>
      </c>
      <c r="BN232">
        <v>0</v>
      </c>
      <c r="BS232">
        <v>1.39999999999964</v>
      </c>
      <c r="BT232">
        <v>43.799999999988401</v>
      </c>
      <c r="BX232">
        <v>0.2</v>
      </c>
      <c r="CK232">
        <v>0</v>
      </c>
      <c r="CP232">
        <v>7.4</v>
      </c>
      <c r="CZ232">
        <v>0.1</v>
      </c>
      <c r="DB232">
        <v>0.2</v>
      </c>
      <c r="DC232">
        <v>0.2</v>
      </c>
      <c r="DD232" s="5"/>
      <c r="DJ232" s="1">
        <v>41139</v>
      </c>
      <c r="DK232" s="2">
        <f t="shared" si="19"/>
        <v>5.6399999999987447</v>
      </c>
      <c r="DL232" s="2">
        <f t="shared" si="20"/>
        <v>0.82135922330078803</v>
      </c>
      <c r="DM232" s="2">
        <f t="shared" si="21"/>
        <v>43.799999999988401</v>
      </c>
      <c r="DN232" s="3">
        <f t="shared" si="22"/>
        <v>0.14563106796116504</v>
      </c>
      <c r="DV232" s="2">
        <v>1145</v>
      </c>
      <c r="DW232">
        <v>0</v>
      </c>
      <c r="DX232">
        <f t="shared" si="24"/>
        <v>14794</v>
      </c>
      <c r="DY232">
        <f t="shared" si="23"/>
        <v>1</v>
      </c>
    </row>
    <row r="233" spans="1:129">
      <c r="A233" s="1">
        <v>41140</v>
      </c>
      <c r="B233" s="1"/>
      <c r="G233">
        <v>0.2</v>
      </c>
      <c r="AA233">
        <v>0.79999999999927196</v>
      </c>
      <c r="AH233">
        <v>13.5</v>
      </c>
      <c r="AO233">
        <v>11.6999999999971</v>
      </c>
      <c r="AQ233">
        <v>0.39999999999963598</v>
      </c>
      <c r="AU233">
        <v>18.5</v>
      </c>
      <c r="BH233">
        <v>26.5</v>
      </c>
      <c r="BK233">
        <v>0.100000000000023</v>
      </c>
      <c r="BM233">
        <v>0.5</v>
      </c>
      <c r="BN233">
        <v>2.0999999999985399</v>
      </c>
      <c r="BU233">
        <v>47</v>
      </c>
      <c r="CJ233">
        <v>2.7</v>
      </c>
      <c r="CO233">
        <v>17.3</v>
      </c>
      <c r="CP233">
        <v>20.3</v>
      </c>
      <c r="CS233">
        <v>0</v>
      </c>
      <c r="DD233" s="5"/>
      <c r="DJ233" s="1">
        <v>41140</v>
      </c>
      <c r="DK233" s="2">
        <f t="shared" si="19"/>
        <v>10.773333333332973</v>
      </c>
      <c r="DL233" s="2">
        <f t="shared" si="20"/>
        <v>1.5689320388348991</v>
      </c>
      <c r="DM233" s="2">
        <f t="shared" si="21"/>
        <v>47</v>
      </c>
      <c r="DN233" s="3">
        <f t="shared" si="22"/>
        <v>0.14563106796116504</v>
      </c>
      <c r="DV233" s="2">
        <v>1150</v>
      </c>
      <c r="DW233">
        <v>0</v>
      </c>
      <c r="DX233">
        <f t="shared" si="24"/>
        <v>14794</v>
      </c>
      <c r="DY233">
        <f t="shared" si="23"/>
        <v>1</v>
      </c>
    </row>
    <row r="234" spans="1:129">
      <c r="A234" s="1">
        <v>41141</v>
      </c>
      <c r="B234" s="1"/>
      <c r="H234">
        <v>15.5</v>
      </c>
      <c r="J234">
        <v>8</v>
      </c>
      <c r="N234">
        <v>4.4000000000000004</v>
      </c>
      <c r="O234">
        <v>7.5</v>
      </c>
      <c r="Q234">
        <v>0.3</v>
      </c>
      <c r="AE234">
        <v>2.3999999999978199</v>
      </c>
      <c r="AH234">
        <v>1.79999999999927</v>
      </c>
      <c r="AQ234">
        <v>31.199999999982499</v>
      </c>
      <c r="AZ234">
        <v>0.9</v>
      </c>
      <c r="BE234">
        <v>1.60000000000036</v>
      </c>
      <c r="BH234">
        <v>5.1999999999970896</v>
      </c>
      <c r="BP234">
        <v>0</v>
      </c>
      <c r="BR234">
        <v>4.4000000000014596</v>
      </c>
      <c r="BX234">
        <v>0.19999999999981799</v>
      </c>
      <c r="CA234">
        <v>10.6</v>
      </c>
      <c r="CE234">
        <v>0.1</v>
      </c>
      <c r="CJ234">
        <v>0.7</v>
      </c>
      <c r="CO234">
        <v>5</v>
      </c>
      <c r="CP234">
        <v>49</v>
      </c>
      <c r="DD234" s="5"/>
      <c r="DJ234" s="1">
        <v>41141</v>
      </c>
      <c r="DK234" s="2">
        <f t="shared" si="19"/>
        <v>7.8315789473672792</v>
      </c>
      <c r="DL234" s="2">
        <f t="shared" si="20"/>
        <v>1.4446601941745465</v>
      </c>
      <c r="DM234" s="2">
        <f t="shared" si="21"/>
        <v>49</v>
      </c>
      <c r="DN234" s="3">
        <f t="shared" si="22"/>
        <v>0.18446601941747573</v>
      </c>
      <c r="DV234" s="2">
        <v>1155</v>
      </c>
      <c r="DW234">
        <v>0</v>
      </c>
      <c r="DX234">
        <f t="shared" si="24"/>
        <v>14794</v>
      </c>
      <c r="DY234">
        <f t="shared" si="23"/>
        <v>1</v>
      </c>
    </row>
    <row r="235" spans="1:129">
      <c r="A235" s="1">
        <v>41142</v>
      </c>
      <c r="B235" s="1"/>
      <c r="H235">
        <v>0.4</v>
      </c>
      <c r="O235">
        <v>1.2</v>
      </c>
      <c r="AB235">
        <v>0.69999999999981799</v>
      </c>
      <c r="AE235">
        <v>11.299999999988399</v>
      </c>
      <c r="AH235">
        <v>7.0999999999985501</v>
      </c>
      <c r="AQ235">
        <v>56</v>
      </c>
      <c r="AU235">
        <v>1.5999999999985499</v>
      </c>
      <c r="AZ235">
        <v>5.2</v>
      </c>
      <c r="BB235">
        <v>0.29999999999972699</v>
      </c>
      <c r="BH235">
        <v>0.30000000000018201</v>
      </c>
      <c r="BO235">
        <v>5</v>
      </c>
      <c r="BP235">
        <v>12.3000000000029</v>
      </c>
      <c r="BR235">
        <v>0.200000000000045</v>
      </c>
      <c r="BX235">
        <v>1</v>
      </c>
      <c r="CA235">
        <v>27.4</v>
      </c>
      <c r="CI235">
        <v>1.7</v>
      </c>
      <c r="CJ235">
        <v>1.4</v>
      </c>
      <c r="CK235">
        <v>4.9000000000000004</v>
      </c>
      <c r="CO235">
        <v>1.2</v>
      </c>
      <c r="CS235">
        <v>0.5</v>
      </c>
      <c r="DC235">
        <v>0.4</v>
      </c>
      <c r="DD235" s="5"/>
      <c r="DJ235" s="1">
        <v>41142</v>
      </c>
      <c r="DK235" s="2">
        <f t="shared" si="19"/>
        <v>6.6714285714280077</v>
      </c>
      <c r="DL235" s="2">
        <f t="shared" si="20"/>
        <v>1.3601941747571666</v>
      </c>
      <c r="DM235" s="2">
        <f t="shared" si="21"/>
        <v>56</v>
      </c>
      <c r="DN235" s="3">
        <f t="shared" si="22"/>
        <v>0.20388349514563106</v>
      </c>
      <c r="DV235" s="2">
        <v>1160</v>
      </c>
      <c r="DW235">
        <v>0</v>
      </c>
      <c r="DX235">
        <f t="shared" si="24"/>
        <v>14794</v>
      </c>
      <c r="DY235">
        <f t="shared" si="23"/>
        <v>1</v>
      </c>
    </row>
    <row r="236" spans="1:129">
      <c r="A236" s="1">
        <v>41143</v>
      </c>
      <c r="B236" s="1"/>
      <c r="F236">
        <v>0.2</v>
      </c>
      <c r="AE236">
        <v>6.5999999999985501</v>
      </c>
      <c r="AG236">
        <v>0.4</v>
      </c>
      <c r="AN236">
        <v>2.8999999999978199</v>
      </c>
      <c r="AQ236">
        <v>5.5</v>
      </c>
      <c r="AU236">
        <v>0.29999999999972699</v>
      </c>
      <c r="AW236">
        <v>21</v>
      </c>
      <c r="AZ236">
        <v>19.5</v>
      </c>
      <c r="BB236">
        <v>1.39999999999964</v>
      </c>
      <c r="BE236">
        <v>1.20000000000073</v>
      </c>
      <c r="BI236">
        <v>0.200000000000045</v>
      </c>
      <c r="BL236">
        <v>0</v>
      </c>
      <c r="BO236">
        <v>5</v>
      </c>
      <c r="BP236">
        <v>7.5</v>
      </c>
      <c r="BR236">
        <v>0.100000000000023</v>
      </c>
      <c r="BS236">
        <v>0.89999999999963598</v>
      </c>
      <c r="BW236">
        <v>1.5</v>
      </c>
      <c r="BX236">
        <v>4</v>
      </c>
      <c r="CA236">
        <v>7.7</v>
      </c>
      <c r="CX236">
        <v>0.1</v>
      </c>
      <c r="DC236">
        <v>28.6</v>
      </c>
      <c r="DD236" s="5"/>
      <c r="DJ236" s="1">
        <v>41143</v>
      </c>
      <c r="DK236" s="2">
        <f t="shared" si="19"/>
        <v>5.4571428571426752</v>
      </c>
      <c r="DL236" s="2">
        <f t="shared" si="20"/>
        <v>1.1126213592232639</v>
      </c>
      <c r="DM236" s="2">
        <f t="shared" si="21"/>
        <v>28.6</v>
      </c>
      <c r="DN236" s="3">
        <f t="shared" si="22"/>
        <v>0.20388349514563106</v>
      </c>
      <c r="DV236" s="2">
        <v>1165</v>
      </c>
      <c r="DW236">
        <v>0</v>
      </c>
      <c r="DX236">
        <f t="shared" si="24"/>
        <v>14794</v>
      </c>
      <c r="DY236">
        <f t="shared" si="23"/>
        <v>1</v>
      </c>
    </row>
    <row r="237" spans="1:129">
      <c r="A237" s="1">
        <v>41144</v>
      </c>
      <c r="B237" s="1"/>
      <c r="D237">
        <v>13.8</v>
      </c>
      <c r="H237">
        <v>0.2</v>
      </c>
      <c r="M237">
        <v>13</v>
      </c>
      <c r="R237">
        <v>1.8</v>
      </c>
      <c r="AE237">
        <v>1.5999999999985499</v>
      </c>
      <c r="AZ237">
        <v>18</v>
      </c>
      <c r="BI237">
        <v>0.100000000000023</v>
      </c>
      <c r="BJ237">
        <v>0.100000000000023</v>
      </c>
      <c r="BO237">
        <v>0.100000000000023</v>
      </c>
      <c r="BS237">
        <v>43</v>
      </c>
      <c r="BX237">
        <v>0.19999999999981799</v>
      </c>
      <c r="CA237">
        <v>24.5</v>
      </c>
      <c r="CD237">
        <v>0.3</v>
      </c>
      <c r="CE237">
        <v>0.2</v>
      </c>
      <c r="CJ237">
        <v>6.6</v>
      </c>
      <c r="CM237">
        <v>19</v>
      </c>
      <c r="CR237">
        <v>0</v>
      </c>
      <c r="DC237">
        <v>12.8</v>
      </c>
      <c r="DD237" s="5"/>
      <c r="DJ237" s="1">
        <v>41144</v>
      </c>
      <c r="DK237" s="2">
        <f t="shared" si="19"/>
        <v>8.6277777777776912</v>
      </c>
      <c r="DL237" s="2">
        <f t="shared" si="20"/>
        <v>1.5077669902912472</v>
      </c>
      <c r="DM237" s="2">
        <f t="shared" si="21"/>
        <v>43</v>
      </c>
      <c r="DN237" s="3">
        <f t="shared" si="22"/>
        <v>0.17475728155339806</v>
      </c>
      <c r="DV237" s="2">
        <v>1170</v>
      </c>
      <c r="DW237">
        <v>0</v>
      </c>
      <c r="DX237">
        <f t="shared" si="24"/>
        <v>14794</v>
      </c>
      <c r="DY237">
        <f t="shared" si="23"/>
        <v>1</v>
      </c>
    </row>
    <row r="238" spans="1:129">
      <c r="A238" s="1">
        <v>41145</v>
      </c>
      <c r="B238" s="1"/>
      <c r="E238">
        <v>1.6</v>
      </c>
      <c r="F238">
        <v>13</v>
      </c>
      <c r="H238">
        <v>1</v>
      </c>
      <c r="R238">
        <v>11.6</v>
      </c>
      <c r="AH238">
        <v>0.19999999999981799</v>
      </c>
      <c r="AS238">
        <v>2.3999999999978199</v>
      </c>
      <c r="AV238">
        <v>5.8999999999941801</v>
      </c>
      <c r="BD238">
        <v>1</v>
      </c>
      <c r="BL238">
        <v>2.5</v>
      </c>
      <c r="BO238">
        <v>0.100000000000023</v>
      </c>
      <c r="BP238">
        <v>15</v>
      </c>
      <c r="BS238">
        <v>4.5999999999985501</v>
      </c>
      <c r="BV238">
        <v>1.39999999999964</v>
      </c>
      <c r="CA238">
        <v>1.6</v>
      </c>
      <c r="CD238">
        <v>0.2</v>
      </c>
      <c r="CJ238">
        <v>0.6</v>
      </c>
      <c r="CK238">
        <v>7.4</v>
      </c>
      <c r="CM238">
        <v>33.700000000000003</v>
      </c>
      <c r="DB238">
        <v>0.1</v>
      </c>
      <c r="DD238" s="5">
        <v>14</v>
      </c>
      <c r="DJ238" s="1">
        <v>41145</v>
      </c>
      <c r="DK238" s="2">
        <f t="shared" si="19"/>
        <v>5.8949999999995022</v>
      </c>
      <c r="DL238" s="2">
        <f t="shared" si="20"/>
        <v>1.1446601941746606</v>
      </c>
      <c r="DM238" s="2">
        <f t="shared" si="21"/>
        <v>33.700000000000003</v>
      </c>
      <c r="DN238" s="3">
        <f t="shared" si="22"/>
        <v>0.1941747572815534</v>
      </c>
      <c r="DV238" s="2">
        <v>1175</v>
      </c>
      <c r="DW238">
        <v>0</v>
      </c>
      <c r="DX238">
        <f t="shared" si="24"/>
        <v>14794</v>
      </c>
      <c r="DY238">
        <f t="shared" si="23"/>
        <v>1</v>
      </c>
    </row>
    <row r="239" spans="1:129">
      <c r="A239" s="1">
        <v>41146</v>
      </c>
      <c r="B239" s="1"/>
      <c r="E239">
        <v>85.4</v>
      </c>
      <c r="F239">
        <v>2.2000000000000002</v>
      </c>
      <c r="K239">
        <v>2</v>
      </c>
      <c r="AC239">
        <v>6.3999999999941801</v>
      </c>
      <c r="AJ239">
        <v>60.799999999988401</v>
      </c>
      <c r="AS239">
        <v>1.39999999999964</v>
      </c>
      <c r="BH239">
        <v>0.100000000000023</v>
      </c>
      <c r="BI239">
        <v>0.200000000000045</v>
      </c>
      <c r="BJ239">
        <v>0.100000000000023</v>
      </c>
      <c r="BK239">
        <v>0.80000000000018201</v>
      </c>
      <c r="BL239">
        <v>1.79999999999927</v>
      </c>
      <c r="BO239">
        <v>0.100000000000023</v>
      </c>
      <c r="BP239">
        <v>0.5</v>
      </c>
      <c r="BU239">
        <v>9.8999999999941792</v>
      </c>
      <c r="BV239">
        <v>18.299999999988401</v>
      </c>
      <c r="BX239">
        <v>0.69999999999981799</v>
      </c>
      <c r="CK239">
        <v>2.1</v>
      </c>
      <c r="CM239">
        <v>3.5</v>
      </c>
      <c r="DD239" s="5">
        <v>4.3</v>
      </c>
      <c r="DJ239" s="1">
        <v>41146</v>
      </c>
      <c r="DK239" s="2">
        <f t="shared" si="19"/>
        <v>10.55789473684022</v>
      </c>
      <c r="DL239" s="2">
        <f t="shared" si="20"/>
        <v>1.9475728155336329</v>
      </c>
      <c r="DM239" s="2">
        <f t="shared" si="21"/>
        <v>85.4</v>
      </c>
      <c r="DN239" s="3">
        <f t="shared" si="22"/>
        <v>0.18446601941747573</v>
      </c>
      <c r="DV239" s="2">
        <v>1180</v>
      </c>
      <c r="DW239">
        <v>0</v>
      </c>
      <c r="DX239">
        <f t="shared" si="24"/>
        <v>14794</v>
      </c>
      <c r="DY239">
        <f t="shared" si="23"/>
        <v>1</v>
      </c>
    </row>
    <row r="240" spans="1:129">
      <c r="A240" s="1">
        <v>41147</v>
      </c>
      <c r="B240" s="1"/>
      <c r="F240">
        <v>10</v>
      </c>
      <c r="AC240">
        <v>2.5999999999985399</v>
      </c>
      <c r="AJ240">
        <v>5.3999999999941801</v>
      </c>
      <c r="AL240">
        <v>0.59999999999945397</v>
      </c>
      <c r="AQ240">
        <v>0.19999999999981799</v>
      </c>
      <c r="AS240">
        <v>0.5</v>
      </c>
      <c r="BH240">
        <v>0.100000000000023</v>
      </c>
      <c r="BI240">
        <v>0.100000000000023</v>
      </c>
      <c r="BJ240">
        <v>2.7000000000007298</v>
      </c>
      <c r="BK240">
        <v>0</v>
      </c>
      <c r="BL240">
        <v>15.399999999994201</v>
      </c>
      <c r="BQ240">
        <v>0</v>
      </c>
      <c r="BR240">
        <v>0.100000000000023</v>
      </c>
      <c r="BV240">
        <v>1.70000000000073</v>
      </c>
      <c r="CH240">
        <v>4.3</v>
      </c>
      <c r="CL240">
        <v>0.1</v>
      </c>
      <c r="CM240">
        <v>9.5</v>
      </c>
      <c r="CN240">
        <v>12.1</v>
      </c>
      <c r="DD240" s="5">
        <v>0.8</v>
      </c>
      <c r="DJ240" s="1">
        <v>41147</v>
      </c>
      <c r="DK240" s="2">
        <f t="shared" si="19"/>
        <v>3.4842105263151426</v>
      </c>
      <c r="DL240" s="2">
        <f t="shared" si="20"/>
        <v>0.64271844660182242</v>
      </c>
      <c r="DM240" s="2">
        <f t="shared" si="21"/>
        <v>15.399999999994201</v>
      </c>
      <c r="DN240" s="3">
        <f t="shared" si="22"/>
        <v>0.18446601941747573</v>
      </c>
      <c r="DV240" s="2">
        <v>1185</v>
      </c>
      <c r="DW240">
        <v>0</v>
      </c>
      <c r="DX240">
        <f t="shared" si="24"/>
        <v>14794</v>
      </c>
      <c r="DY240">
        <f t="shared" si="23"/>
        <v>1</v>
      </c>
    </row>
    <row r="241" spans="1:129">
      <c r="A241" s="1">
        <v>41148</v>
      </c>
      <c r="B241" s="1"/>
      <c r="F241">
        <v>0.1</v>
      </c>
      <c r="G241">
        <v>5</v>
      </c>
      <c r="L241">
        <v>16.5</v>
      </c>
      <c r="N241">
        <v>15.3</v>
      </c>
      <c r="U241">
        <v>0.5</v>
      </c>
      <c r="AC241">
        <v>40.799999999988401</v>
      </c>
      <c r="AH241">
        <v>0.59999999999945397</v>
      </c>
      <c r="AK241">
        <v>0.19999999999981799</v>
      </c>
      <c r="AL241">
        <v>44.199999999953398</v>
      </c>
      <c r="BJ241">
        <v>2.7000000000007298</v>
      </c>
      <c r="BL241">
        <v>0.100000000000023</v>
      </c>
      <c r="BP241">
        <v>0.400000000000091</v>
      </c>
      <c r="BQ241">
        <v>0.30000000000018201</v>
      </c>
      <c r="BX241">
        <v>18.099999999976699</v>
      </c>
      <c r="CH241">
        <v>7.9</v>
      </c>
      <c r="CI241">
        <v>23.4</v>
      </c>
      <c r="CM241">
        <v>10.5</v>
      </c>
      <c r="CN241">
        <v>24.2</v>
      </c>
      <c r="CZ241">
        <v>11.1</v>
      </c>
      <c r="DD241" s="5"/>
      <c r="DJ241" s="1">
        <v>41148</v>
      </c>
      <c r="DK241" s="2">
        <f t="shared" si="19"/>
        <v>11.678947368416777</v>
      </c>
      <c r="DL241" s="2">
        <f t="shared" si="20"/>
        <v>2.1543689320380466</v>
      </c>
      <c r="DM241" s="2">
        <f t="shared" si="21"/>
        <v>44.199999999953398</v>
      </c>
      <c r="DN241" s="3">
        <f t="shared" si="22"/>
        <v>0.18446601941747573</v>
      </c>
      <c r="DV241" s="2">
        <v>1190</v>
      </c>
      <c r="DW241">
        <v>0</v>
      </c>
      <c r="DX241">
        <f t="shared" si="24"/>
        <v>14794</v>
      </c>
      <c r="DY241">
        <f t="shared" si="23"/>
        <v>1</v>
      </c>
    </row>
    <row r="242" spans="1:129">
      <c r="A242" s="1">
        <v>41149</v>
      </c>
      <c r="B242" s="1"/>
      <c r="E242">
        <v>13.3</v>
      </c>
      <c r="F242">
        <v>0.1</v>
      </c>
      <c r="N242">
        <v>6.5</v>
      </c>
      <c r="AC242">
        <v>3</v>
      </c>
      <c r="AE242">
        <v>0.5</v>
      </c>
      <c r="AM242">
        <v>3.1999999999970901</v>
      </c>
      <c r="AQ242">
        <v>0.29999999999972699</v>
      </c>
      <c r="BE242">
        <v>5</v>
      </c>
      <c r="BH242">
        <v>0.200000000000045</v>
      </c>
      <c r="BK242">
        <v>6.5</v>
      </c>
      <c r="BO242">
        <v>0.100000000000023</v>
      </c>
      <c r="BX242">
        <v>1.89999999999964</v>
      </c>
      <c r="CB242">
        <v>1.1000000000000001</v>
      </c>
      <c r="CE242">
        <v>0.1</v>
      </c>
      <c r="CH242">
        <v>5.3</v>
      </c>
      <c r="CI242">
        <v>2.8</v>
      </c>
      <c r="CT242">
        <v>8.5</v>
      </c>
      <c r="CZ242">
        <v>7.5</v>
      </c>
      <c r="DD242" s="5"/>
      <c r="DJ242" s="1">
        <v>41149</v>
      </c>
      <c r="DK242" s="2">
        <f t="shared" si="19"/>
        <v>3.6611111111109178</v>
      </c>
      <c r="DL242" s="2">
        <f t="shared" si="20"/>
        <v>0.6398058252426847</v>
      </c>
      <c r="DM242" s="2">
        <f t="shared" si="21"/>
        <v>13.3</v>
      </c>
      <c r="DN242" s="3">
        <f t="shared" si="22"/>
        <v>0.17475728155339806</v>
      </c>
      <c r="DV242" s="2">
        <v>1195</v>
      </c>
      <c r="DW242">
        <v>0</v>
      </c>
      <c r="DX242">
        <f t="shared" si="24"/>
        <v>14794</v>
      </c>
      <c r="DY242">
        <f t="shared" si="23"/>
        <v>1</v>
      </c>
    </row>
    <row r="243" spans="1:129">
      <c r="A243" s="1">
        <v>41150</v>
      </c>
      <c r="B243" s="1"/>
      <c r="D243">
        <v>3.2</v>
      </c>
      <c r="E243">
        <v>14.4</v>
      </c>
      <c r="N243">
        <v>28</v>
      </c>
      <c r="P243">
        <v>3.8</v>
      </c>
      <c r="Q243">
        <v>0.2</v>
      </c>
      <c r="V243">
        <v>0.4</v>
      </c>
      <c r="Y243">
        <v>0.2</v>
      </c>
      <c r="AB243">
        <v>34</v>
      </c>
      <c r="AE243">
        <v>42.099999999976703</v>
      </c>
      <c r="AH243">
        <v>37.5</v>
      </c>
      <c r="AL243">
        <v>2.0999999999985399</v>
      </c>
      <c r="AM243">
        <v>1.79999999999927</v>
      </c>
      <c r="AZ243">
        <v>1.5</v>
      </c>
      <c r="BD243">
        <v>4.8000000000029104</v>
      </c>
      <c r="BE243">
        <v>0.5</v>
      </c>
      <c r="BF243">
        <v>31.100000000005799</v>
      </c>
      <c r="BG243">
        <v>3.2000000000007298</v>
      </c>
      <c r="BK243">
        <v>1.10000000000036</v>
      </c>
      <c r="BP243">
        <v>0.200000000000045</v>
      </c>
      <c r="BQ243">
        <v>0</v>
      </c>
      <c r="BS243">
        <v>36.700000000011599</v>
      </c>
      <c r="BX243">
        <v>0</v>
      </c>
      <c r="CI243">
        <v>2.9</v>
      </c>
      <c r="CO243">
        <v>0.5</v>
      </c>
      <c r="CX243">
        <v>0.1</v>
      </c>
      <c r="DD243" s="5"/>
      <c r="DJ243" s="1">
        <v>41150</v>
      </c>
      <c r="DK243" s="2">
        <f t="shared" si="19"/>
        <v>10.011999999999839</v>
      </c>
      <c r="DL243" s="2">
        <f t="shared" si="20"/>
        <v>2.4300970873786016</v>
      </c>
      <c r="DM243" s="2">
        <f t="shared" si="21"/>
        <v>42.099999999976703</v>
      </c>
      <c r="DN243" s="3">
        <f t="shared" si="22"/>
        <v>0.24271844660194175</v>
      </c>
      <c r="DV243" s="2">
        <v>1200</v>
      </c>
      <c r="DW243">
        <v>0</v>
      </c>
      <c r="DX243">
        <f t="shared" si="24"/>
        <v>14794</v>
      </c>
      <c r="DY243">
        <f t="shared" si="23"/>
        <v>1</v>
      </c>
    </row>
    <row r="244" spans="1:129">
      <c r="A244" s="1">
        <v>41151</v>
      </c>
      <c r="B244" s="1"/>
      <c r="C244">
        <v>13.3</v>
      </c>
      <c r="E244">
        <v>1.1000000000000001</v>
      </c>
      <c r="N244">
        <v>2.5</v>
      </c>
      <c r="P244">
        <v>0.1</v>
      </c>
      <c r="R244">
        <v>4.7</v>
      </c>
      <c r="V244">
        <v>0</v>
      </c>
      <c r="Y244">
        <v>3.8</v>
      </c>
      <c r="AE244">
        <v>0.59999999999945397</v>
      </c>
      <c r="AH244">
        <v>2.6999999999970901</v>
      </c>
      <c r="AT244">
        <v>27.399999999994201</v>
      </c>
      <c r="BE244">
        <v>1.5</v>
      </c>
      <c r="BH244">
        <v>0.100000000000023</v>
      </c>
      <c r="BK244">
        <v>1.5</v>
      </c>
      <c r="BL244">
        <v>2.4000000000014601</v>
      </c>
      <c r="BN244">
        <v>8.8000000000029104</v>
      </c>
      <c r="BQ244">
        <v>0.200000000000045</v>
      </c>
      <c r="BR244">
        <v>0.100000000000023</v>
      </c>
      <c r="BS244">
        <v>18</v>
      </c>
      <c r="CG244">
        <v>4.4000000000000004</v>
      </c>
      <c r="CI244">
        <v>6</v>
      </c>
      <c r="CK244">
        <v>1.3</v>
      </c>
      <c r="CT244">
        <v>0.3</v>
      </c>
      <c r="CV244">
        <v>32.299999999999997</v>
      </c>
      <c r="DD244" s="5">
        <v>3.8</v>
      </c>
      <c r="DJ244" s="1">
        <v>41151</v>
      </c>
      <c r="DK244" s="2">
        <f t="shared" si="19"/>
        <v>5.7041666666664668</v>
      </c>
      <c r="DL244" s="2">
        <f t="shared" si="20"/>
        <v>1.3291262135921864</v>
      </c>
      <c r="DM244" s="2">
        <f t="shared" si="21"/>
        <v>32.299999999999997</v>
      </c>
      <c r="DN244" s="3">
        <f t="shared" si="22"/>
        <v>0.23300970873786409</v>
      </c>
      <c r="DV244" s="2">
        <v>1205</v>
      </c>
      <c r="DW244">
        <v>0</v>
      </c>
      <c r="DX244">
        <f t="shared" si="24"/>
        <v>14794</v>
      </c>
      <c r="DY244">
        <f t="shared" si="23"/>
        <v>1</v>
      </c>
    </row>
    <row r="245" spans="1:129">
      <c r="A245" s="1">
        <v>41152</v>
      </c>
      <c r="B245" s="1"/>
      <c r="E245">
        <v>42.9</v>
      </c>
      <c r="M245">
        <v>0.1</v>
      </c>
      <c r="R245">
        <v>2.2999999999999998</v>
      </c>
      <c r="AE245">
        <v>1.1000000000000001</v>
      </c>
      <c r="AH245">
        <v>0.1</v>
      </c>
      <c r="AX245">
        <v>1.79999999999927</v>
      </c>
      <c r="BA245">
        <v>0.59999999999945397</v>
      </c>
      <c r="BC245">
        <v>0.29999999999972699</v>
      </c>
      <c r="BK245">
        <v>0</v>
      </c>
      <c r="BL245">
        <v>0</v>
      </c>
      <c r="BN245">
        <v>22.799999999988401</v>
      </c>
      <c r="BO245">
        <v>0.100000000000023</v>
      </c>
      <c r="BQ245">
        <v>0.100000000000023</v>
      </c>
      <c r="BS245">
        <v>0.100000000000023</v>
      </c>
      <c r="BW245">
        <v>0</v>
      </c>
      <c r="BY245">
        <v>2.2999999999999998</v>
      </c>
      <c r="BZ245">
        <v>0.1</v>
      </c>
      <c r="CC245">
        <v>8.5</v>
      </c>
      <c r="CE245">
        <v>29</v>
      </c>
      <c r="CP245">
        <v>1.8</v>
      </c>
      <c r="CT245">
        <v>0.5</v>
      </c>
      <c r="CW245">
        <v>0.9</v>
      </c>
      <c r="DA245">
        <v>7.1</v>
      </c>
      <c r="DD245" s="5">
        <v>0.1</v>
      </c>
      <c r="DJ245" s="1">
        <v>41152</v>
      </c>
      <c r="DK245" s="2">
        <f t="shared" si="19"/>
        <v>5.1083333333327881</v>
      </c>
      <c r="DL245" s="2">
        <f t="shared" si="20"/>
        <v>1.1902912621357953</v>
      </c>
      <c r="DM245" s="2">
        <f t="shared" si="21"/>
        <v>42.9</v>
      </c>
      <c r="DN245" s="3">
        <f t="shared" si="22"/>
        <v>0.23300970873786409</v>
      </c>
      <c r="DV245" s="2">
        <v>1210</v>
      </c>
      <c r="DW245">
        <v>0</v>
      </c>
      <c r="DX245">
        <f t="shared" si="24"/>
        <v>14794</v>
      </c>
      <c r="DY245">
        <f t="shared" si="23"/>
        <v>1</v>
      </c>
    </row>
    <row r="246" spans="1:129">
      <c r="A246" s="1">
        <v>41153</v>
      </c>
      <c r="B246" s="1"/>
      <c r="C246">
        <v>7.6</v>
      </c>
      <c r="E246">
        <v>2.5</v>
      </c>
      <c r="G246">
        <v>2.9</v>
      </c>
      <c r="J246">
        <v>8.1999999999999993</v>
      </c>
      <c r="O246">
        <v>0.2</v>
      </c>
      <c r="R246">
        <v>7.5</v>
      </c>
      <c r="T246">
        <v>1.2</v>
      </c>
      <c r="U246">
        <v>1.7</v>
      </c>
      <c r="AB246">
        <v>3.6999999999970901</v>
      </c>
      <c r="AC246">
        <v>3.5999999999985399</v>
      </c>
      <c r="AE246">
        <v>0</v>
      </c>
      <c r="AF246">
        <v>11.599999999991301</v>
      </c>
      <c r="AG246">
        <v>14.1999999999971</v>
      </c>
      <c r="AI246">
        <v>7.5</v>
      </c>
      <c r="AM246">
        <v>10.6999999999971</v>
      </c>
      <c r="AX246">
        <v>16.799999999988401</v>
      </c>
      <c r="AY246">
        <v>7.5</v>
      </c>
      <c r="AZ246">
        <v>3.5999999999985399</v>
      </c>
      <c r="BA246">
        <v>1.5</v>
      </c>
      <c r="BB246">
        <v>0</v>
      </c>
      <c r="BC246">
        <v>11.599999999991301</v>
      </c>
      <c r="BD246">
        <v>14.1999999999971</v>
      </c>
      <c r="BF246">
        <v>4.5999999999985501</v>
      </c>
      <c r="BH246">
        <v>0.60000000000036402</v>
      </c>
      <c r="BK246">
        <v>3.4000000000014601</v>
      </c>
      <c r="BM246">
        <v>0</v>
      </c>
      <c r="BN246">
        <v>12</v>
      </c>
      <c r="BO246">
        <v>0.200000000000045</v>
      </c>
      <c r="BR246">
        <v>3.5999999999985399</v>
      </c>
      <c r="BT246">
        <v>0</v>
      </c>
      <c r="BU246">
        <v>16.799999999988401</v>
      </c>
      <c r="BV246">
        <v>7.5</v>
      </c>
      <c r="BX246">
        <v>1.5</v>
      </c>
      <c r="CE246">
        <v>35.5</v>
      </c>
      <c r="CH246">
        <v>3.4000000000014601</v>
      </c>
      <c r="CI246">
        <v>5.2</v>
      </c>
      <c r="CK246">
        <v>1</v>
      </c>
      <c r="CM246">
        <v>4</v>
      </c>
      <c r="CP246">
        <v>37.799999999999997</v>
      </c>
      <c r="CR246">
        <v>0.4</v>
      </c>
      <c r="CT246">
        <v>32.299999999999997</v>
      </c>
      <c r="CU246">
        <v>0.2</v>
      </c>
      <c r="CW246">
        <v>5</v>
      </c>
      <c r="CX246">
        <v>8</v>
      </c>
      <c r="DD246" s="5"/>
      <c r="DJ246" s="1">
        <v>41153</v>
      </c>
      <c r="DK246" s="2">
        <f t="shared" si="19"/>
        <v>7.3022727272714834</v>
      </c>
      <c r="DL246" s="2">
        <f t="shared" si="20"/>
        <v>3.1194174757276238</v>
      </c>
      <c r="DM246" s="2">
        <f t="shared" si="21"/>
        <v>37.799999999999997</v>
      </c>
      <c r="DN246" s="3">
        <f t="shared" si="22"/>
        <v>0.42718446601941745</v>
      </c>
      <c r="DV246" s="2">
        <v>1215</v>
      </c>
      <c r="DW246">
        <v>0</v>
      </c>
      <c r="DX246">
        <f t="shared" si="24"/>
        <v>14794</v>
      </c>
      <c r="DY246">
        <f t="shared" si="23"/>
        <v>1</v>
      </c>
    </row>
    <row r="247" spans="1:129">
      <c r="A247" s="1">
        <v>41154</v>
      </c>
      <c r="B247" s="1"/>
      <c r="C247">
        <v>0.3</v>
      </c>
      <c r="H247">
        <v>0.1</v>
      </c>
      <c r="K247">
        <v>5.4</v>
      </c>
      <c r="AC247">
        <v>16</v>
      </c>
      <c r="AF247">
        <v>32.899999999965097</v>
      </c>
      <c r="AG247">
        <v>3.6999999999970901</v>
      </c>
      <c r="AK247">
        <v>0.19999999999981799</v>
      </c>
      <c r="AT247">
        <v>2.1999999999970901</v>
      </c>
      <c r="AX247">
        <v>0.29999999999972699</v>
      </c>
      <c r="AZ247">
        <v>16</v>
      </c>
      <c r="BC247">
        <v>32.899999999965097</v>
      </c>
      <c r="BD247">
        <v>2.7000000000007298</v>
      </c>
      <c r="BF247">
        <v>1.20000000000073</v>
      </c>
      <c r="BH247">
        <v>5.8000000000029104</v>
      </c>
      <c r="BJ247">
        <v>0.100000000000023</v>
      </c>
      <c r="BK247">
        <v>0.100000000000023</v>
      </c>
      <c r="BL247">
        <v>3.7999999999992702</v>
      </c>
      <c r="BN247">
        <v>0.200000000000045</v>
      </c>
      <c r="BP247">
        <v>4.1999999999970896</v>
      </c>
      <c r="BQ247">
        <v>2.1999999999970901</v>
      </c>
      <c r="BS247">
        <v>0.69999999999981799</v>
      </c>
      <c r="BT247">
        <v>7.5999999999985501</v>
      </c>
      <c r="BU247">
        <v>0.29999999999972699</v>
      </c>
      <c r="BV247">
        <v>0</v>
      </c>
      <c r="BW247">
        <v>0</v>
      </c>
      <c r="BY247">
        <v>0.1</v>
      </c>
      <c r="BZ247">
        <v>16.899999999999999</v>
      </c>
      <c r="CE247">
        <v>11.3</v>
      </c>
      <c r="CG247">
        <v>16.5</v>
      </c>
      <c r="CH247">
        <v>0.100000000000023</v>
      </c>
      <c r="CI247">
        <v>3.7999999999992702</v>
      </c>
      <c r="CK247">
        <v>5.5</v>
      </c>
      <c r="CM247">
        <v>4.5</v>
      </c>
      <c r="CP247">
        <v>15.5</v>
      </c>
      <c r="CS247">
        <v>0.1</v>
      </c>
      <c r="CT247">
        <v>5.9</v>
      </c>
      <c r="DD247" s="5"/>
      <c r="DJ247" s="1">
        <v>41154</v>
      </c>
      <c r="DK247" s="2">
        <f t="shared" si="19"/>
        <v>6.0861111111088668</v>
      </c>
      <c r="DL247" s="2">
        <f t="shared" si="20"/>
        <v>2.1271844660186332</v>
      </c>
      <c r="DM247" s="2">
        <f t="shared" si="21"/>
        <v>32.899999999965097</v>
      </c>
      <c r="DN247" s="3">
        <f t="shared" si="22"/>
        <v>0.34951456310679613</v>
      </c>
      <c r="DV247" s="2">
        <v>1220</v>
      </c>
      <c r="DW247">
        <v>0</v>
      </c>
      <c r="DX247">
        <f t="shared" si="24"/>
        <v>14794</v>
      </c>
      <c r="DY247">
        <f t="shared" si="23"/>
        <v>1</v>
      </c>
    </row>
    <row r="248" spans="1:129">
      <c r="A248" s="1">
        <v>41155</v>
      </c>
      <c r="B248" s="1"/>
      <c r="D248">
        <v>0.4</v>
      </c>
      <c r="E248">
        <v>2.5</v>
      </c>
      <c r="F248">
        <v>0.5</v>
      </c>
      <c r="H248">
        <v>0.7</v>
      </c>
      <c r="K248">
        <v>31.2</v>
      </c>
      <c r="T248">
        <v>0.6</v>
      </c>
      <c r="U248">
        <v>5.9</v>
      </c>
      <c r="W248">
        <v>37</v>
      </c>
      <c r="Z248">
        <v>1</v>
      </c>
      <c r="AC248">
        <v>6.7</v>
      </c>
      <c r="AG248">
        <v>9.9999999999908995E-2</v>
      </c>
      <c r="AM248">
        <v>2.1999999999970901</v>
      </c>
      <c r="AT248">
        <v>10.799999999988399</v>
      </c>
      <c r="AW248">
        <v>1</v>
      </c>
      <c r="AX248">
        <v>9.2999999999883602</v>
      </c>
      <c r="AZ248">
        <v>6.7</v>
      </c>
      <c r="BD248">
        <v>2.2999999999992702</v>
      </c>
      <c r="BH248">
        <v>18.100000000005799</v>
      </c>
      <c r="BJ248">
        <v>2.2999999999992702</v>
      </c>
      <c r="BN248">
        <v>0.200000000000045</v>
      </c>
      <c r="BQ248">
        <v>10.799999999988399</v>
      </c>
      <c r="BT248">
        <v>27.700000000011599</v>
      </c>
      <c r="BU248">
        <v>9.2999999999883602</v>
      </c>
      <c r="BV248">
        <v>1.5</v>
      </c>
      <c r="BZ248">
        <v>0.1</v>
      </c>
      <c r="CD248">
        <v>12.3</v>
      </c>
      <c r="CE248">
        <v>2.4</v>
      </c>
      <c r="CG248">
        <v>2.2999999999992702</v>
      </c>
      <c r="CJ248">
        <v>8.3000000000000007</v>
      </c>
      <c r="CQ248">
        <v>0.7</v>
      </c>
      <c r="CS248">
        <v>9.1999999999999993</v>
      </c>
      <c r="CU248">
        <v>1.4</v>
      </c>
      <c r="DA248">
        <v>0.8</v>
      </c>
      <c r="DB248">
        <v>3.2</v>
      </c>
      <c r="DD248" s="5">
        <v>0.3</v>
      </c>
      <c r="DJ248" s="1">
        <v>41155</v>
      </c>
      <c r="DK248" s="2">
        <f t="shared" si="19"/>
        <v>6.565714285713308</v>
      </c>
      <c r="DL248" s="2">
        <f t="shared" si="20"/>
        <v>2.2310679611647162</v>
      </c>
      <c r="DM248" s="2">
        <f t="shared" si="21"/>
        <v>37</v>
      </c>
      <c r="DN248" s="3">
        <f t="shared" si="22"/>
        <v>0.33980582524271846</v>
      </c>
      <c r="DV248" s="2">
        <v>1225</v>
      </c>
      <c r="DW248">
        <v>0</v>
      </c>
      <c r="DX248">
        <f t="shared" si="24"/>
        <v>14794</v>
      </c>
      <c r="DY248">
        <f t="shared" si="23"/>
        <v>1</v>
      </c>
    </row>
    <row r="249" spans="1:129">
      <c r="A249" s="1">
        <v>41156</v>
      </c>
      <c r="B249" s="1"/>
      <c r="D249">
        <v>1.7</v>
      </c>
      <c r="E249">
        <v>2</v>
      </c>
      <c r="H249">
        <v>11</v>
      </c>
      <c r="I249">
        <v>4.5</v>
      </c>
      <c r="K249">
        <v>13.1</v>
      </c>
      <c r="O249">
        <v>0.1</v>
      </c>
      <c r="Y249">
        <v>5.9</v>
      </c>
      <c r="AG249">
        <v>6.6999999999970896</v>
      </c>
      <c r="AM249">
        <v>2.1999999999970901</v>
      </c>
      <c r="AT249">
        <v>0.79999999999927196</v>
      </c>
      <c r="AX249">
        <v>23.699999999982499</v>
      </c>
      <c r="BD249">
        <v>0.5</v>
      </c>
      <c r="BH249">
        <v>0.200000000000045</v>
      </c>
      <c r="BI249">
        <v>0</v>
      </c>
      <c r="BJ249">
        <v>2.1999999999970901</v>
      </c>
      <c r="BL249">
        <v>0.60000000000036402</v>
      </c>
      <c r="BN249">
        <v>0.100000000000023</v>
      </c>
      <c r="BQ249">
        <v>0.100000000000023</v>
      </c>
      <c r="BS249">
        <v>0.100000000000023</v>
      </c>
      <c r="BT249">
        <v>0.80000000000018201</v>
      </c>
      <c r="BU249">
        <v>23.699999999982499</v>
      </c>
      <c r="BY249">
        <v>0</v>
      </c>
      <c r="CE249">
        <v>1.6</v>
      </c>
      <c r="CI249">
        <v>0.60000000000036402</v>
      </c>
      <c r="CJ249">
        <v>0.6</v>
      </c>
      <c r="CM249">
        <v>4.7</v>
      </c>
      <c r="CP249">
        <v>11.5</v>
      </c>
      <c r="CQ249">
        <v>19.7</v>
      </c>
      <c r="CS249">
        <v>12.1</v>
      </c>
      <c r="DA249">
        <v>1.7</v>
      </c>
      <c r="DB249">
        <v>0.2</v>
      </c>
      <c r="DD249" s="5"/>
      <c r="DJ249" s="1">
        <v>41156</v>
      </c>
      <c r="DK249" s="2">
        <f t="shared" ref="DK249:DK312" si="25">AVERAGE(C249:DD249)</f>
        <v>4.9258064516114999</v>
      </c>
      <c r="DL249" s="2">
        <f t="shared" ref="DL249:DL312" si="26">SUM(C249:DD249)/(COUNTA(C249:DA249)+COUNTBLANK(C249:DA249))</f>
        <v>1.482524271844238</v>
      </c>
      <c r="DM249" s="2">
        <f t="shared" ref="DM249:DM312" si="27">MAX(C249:DD249)</f>
        <v>23.699999999982499</v>
      </c>
      <c r="DN249" s="3">
        <f t="shared" ref="DN249:DN312" si="28">(COUNTA(C249:DD249)/(COUNTA(C249:DA249)+COUNTBLANK(C249:DA249)))</f>
        <v>0.30097087378640774</v>
      </c>
      <c r="DV249" s="2">
        <v>1230</v>
      </c>
      <c r="DW249">
        <v>0</v>
      </c>
      <c r="DX249">
        <f t="shared" si="24"/>
        <v>14794</v>
      </c>
      <c r="DY249">
        <f t="shared" si="23"/>
        <v>1</v>
      </c>
    </row>
    <row r="250" spans="1:129">
      <c r="A250" s="1">
        <v>41157</v>
      </c>
      <c r="B250" s="1"/>
      <c r="E250">
        <v>3.6</v>
      </c>
      <c r="K250">
        <v>1.1000000000000001</v>
      </c>
      <c r="L250">
        <v>2.2999999999999998</v>
      </c>
      <c r="AE250">
        <v>0</v>
      </c>
      <c r="AG250">
        <v>2.5</v>
      </c>
      <c r="AM250">
        <v>19.799999999988401</v>
      </c>
      <c r="AO250">
        <v>18.299999999988401</v>
      </c>
      <c r="AP250">
        <v>12.599999999991301</v>
      </c>
      <c r="AU250">
        <v>3.5</v>
      </c>
      <c r="AX250">
        <v>0.29999999999972699</v>
      </c>
      <c r="BB250">
        <v>0</v>
      </c>
      <c r="BD250">
        <v>2.5</v>
      </c>
      <c r="BF250">
        <v>8.5</v>
      </c>
      <c r="BI250">
        <v>0.100000000000023</v>
      </c>
      <c r="BJ250">
        <v>0</v>
      </c>
      <c r="BL250">
        <v>0.100000000000023</v>
      </c>
      <c r="BM250">
        <v>12.599999999991301</v>
      </c>
      <c r="BQ250">
        <v>0.100000000000023</v>
      </c>
      <c r="BR250">
        <v>3.5</v>
      </c>
      <c r="BT250">
        <v>2.6</v>
      </c>
      <c r="BU250">
        <v>0.29999999999972699</v>
      </c>
      <c r="BX250">
        <v>0</v>
      </c>
      <c r="BY250">
        <v>0</v>
      </c>
      <c r="CC250">
        <v>0.4</v>
      </c>
      <c r="CD250">
        <v>0.1</v>
      </c>
      <c r="CG250">
        <v>19.8</v>
      </c>
      <c r="CI250">
        <v>0.100000000000023</v>
      </c>
      <c r="CJ250">
        <v>0.5</v>
      </c>
      <c r="CM250">
        <v>14</v>
      </c>
      <c r="CN250">
        <v>14.5</v>
      </c>
      <c r="CP250">
        <v>11.2</v>
      </c>
      <c r="CQ250">
        <v>1.1000000000000001</v>
      </c>
      <c r="CR250">
        <v>3.3</v>
      </c>
      <c r="CX250">
        <v>11.8</v>
      </c>
      <c r="DB250">
        <v>4.2</v>
      </c>
      <c r="DD250" s="5"/>
      <c r="DJ250" s="1">
        <v>41157</v>
      </c>
      <c r="DK250" s="2">
        <f t="shared" si="25"/>
        <v>5.0085714285702556</v>
      </c>
      <c r="DL250" s="2">
        <f t="shared" si="26"/>
        <v>1.701941747572417</v>
      </c>
      <c r="DM250" s="2">
        <f t="shared" si="27"/>
        <v>19.8</v>
      </c>
      <c r="DN250" s="3">
        <f t="shared" si="28"/>
        <v>0.33980582524271846</v>
      </c>
      <c r="DV250" s="2">
        <v>1235</v>
      </c>
      <c r="DW250">
        <v>0</v>
      </c>
      <c r="DX250">
        <f t="shared" si="24"/>
        <v>14794</v>
      </c>
      <c r="DY250">
        <f t="shared" si="23"/>
        <v>1</v>
      </c>
    </row>
    <row r="251" spans="1:129">
      <c r="A251" s="1">
        <v>41158</v>
      </c>
      <c r="B251" s="1"/>
      <c r="C251">
        <v>20.6</v>
      </c>
      <c r="I251">
        <v>1.7</v>
      </c>
      <c r="K251">
        <v>0.9</v>
      </c>
      <c r="M251">
        <v>1.4</v>
      </c>
      <c r="AI251">
        <v>7.3999999999941801</v>
      </c>
      <c r="AO251">
        <v>66.399999999906896</v>
      </c>
      <c r="AP251">
        <v>14.6999999999971</v>
      </c>
      <c r="AS251">
        <v>7.1999999999970896</v>
      </c>
      <c r="AT251">
        <v>0.89999999999963598</v>
      </c>
      <c r="AU251">
        <v>27.5</v>
      </c>
      <c r="AW251">
        <v>0.39999999999963598</v>
      </c>
      <c r="AX251">
        <v>19.699999999982499</v>
      </c>
      <c r="BF251">
        <v>23.200000000011599</v>
      </c>
      <c r="BI251">
        <v>2.5999999999985399</v>
      </c>
      <c r="BL251">
        <v>66.399999999906896</v>
      </c>
      <c r="BM251">
        <v>14.6999999999971</v>
      </c>
      <c r="BN251">
        <v>0.100000000000023</v>
      </c>
      <c r="BP251">
        <v>7.1999999999970896</v>
      </c>
      <c r="BQ251">
        <v>0.89999999999963598</v>
      </c>
      <c r="BR251">
        <v>27.5</v>
      </c>
      <c r="BT251">
        <v>0.39999999999963598</v>
      </c>
      <c r="BU251">
        <v>2.2999999999992702</v>
      </c>
      <c r="CB251">
        <v>0.1</v>
      </c>
      <c r="CC251">
        <v>2.2999999999999998</v>
      </c>
      <c r="CG251">
        <v>0.1</v>
      </c>
      <c r="CI251">
        <v>20.2</v>
      </c>
      <c r="CJ251">
        <v>20.2</v>
      </c>
      <c r="CN251">
        <v>1.8</v>
      </c>
      <c r="CO251">
        <v>0.9</v>
      </c>
      <c r="CQ251">
        <v>2.1</v>
      </c>
      <c r="CR251">
        <v>3.5</v>
      </c>
      <c r="CU251">
        <v>0.2</v>
      </c>
      <c r="DB251">
        <v>2.9</v>
      </c>
      <c r="DD251" s="5"/>
      <c r="DJ251" s="1">
        <v>41158</v>
      </c>
      <c r="DK251" s="2">
        <f t="shared" si="25"/>
        <v>11.163636363629905</v>
      </c>
      <c r="DL251" s="2">
        <f t="shared" si="26"/>
        <v>3.5766990291241445</v>
      </c>
      <c r="DM251" s="2">
        <f t="shared" si="27"/>
        <v>66.399999999906896</v>
      </c>
      <c r="DN251" s="3">
        <f t="shared" si="28"/>
        <v>0.32038834951456313</v>
      </c>
      <c r="DV251" s="2">
        <v>1240</v>
      </c>
      <c r="DW251">
        <v>0</v>
      </c>
      <c r="DX251">
        <f t="shared" si="24"/>
        <v>14794</v>
      </c>
      <c r="DY251">
        <f t="shared" si="23"/>
        <v>1</v>
      </c>
    </row>
    <row r="252" spans="1:129">
      <c r="A252" s="1">
        <v>41159</v>
      </c>
      <c r="B252" s="1"/>
      <c r="E252">
        <v>2</v>
      </c>
      <c r="M252">
        <v>1.2</v>
      </c>
      <c r="N252">
        <v>27.1</v>
      </c>
      <c r="U252">
        <v>6.1</v>
      </c>
      <c r="Y252">
        <v>0.1</v>
      </c>
      <c r="AB252">
        <v>23.099999999976699</v>
      </c>
      <c r="AC252">
        <v>3.1999999999970901</v>
      </c>
      <c r="AG252">
        <v>0</v>
      </c>
      <c r="AI252">
        <v>43.799999999988401</v>
      </c>
      <c r="AK252">
        <v>6.29999999999563</v>
      </c>
      <c r="AO252">
        <v>80.099999999976703</v>
      </c>
      <c r="AS252">
        <v>27.5</v>
      </c>
      <c r="AX252">
        <v>20</v>
      </c>
      <c r="AY252">
        <v>10.399999999994201</v>
      </c>
      <c r="AZ252">
        <v>3.1999999999970901</v>
      </c>
      <c r="BD252">
        <v>0</v>
      </c>
      <c r="BF252">
        <v>43.799999999988401</v>
      </c>
      <c r="BG252">
        <v>0.400000000000091</v>
      </c>
      <c r="BH252">
        <v>4.5</v>
      </c>
      <c r="BI252">
        <v>25.399999999994201</v>
      </c>
      <c r="BK252">
        <v>8</v>
      </c>
      <c r="BL252">
        <v>0</v>
      </c>
      <c r="BP252">
        <v>27.5</v>
      </c>
      <c r="BQ252">
        <v>0.69999999999981799</v>
      </c>
      <c r="BR252">
        <v>14</v>
      </c>
      <c r="BU252">
        <v>0.200000000000045</v>
      </c>
      <c r="BV252">
        <v>10.399999999994201</v>
      </c>
      <c r="CB252">
        <v>15.8</v>
      </c>
      <c r="CC252">
        <v>1.9</v>
      </c>
      <c r="CH252">
        <v>8</v>
      </c>
      <c r="CI252">
        <v>2.9</v>
      </c>
      <c r="CJ252">
        <v>2.7</v>
      </c>
      <c r="CO252">
        <v>1.5</v>
      </c>
      <c r="CQ252">
        <v>4.3</v>
      </c>
      <c r="CR252">
        <v>0.6</v>
      </c>
      <c r="CU252">
        <v>12.3</v>
      </c>
      <c r="CW252">
        <v>1</v>
      </c>
      <c r="CZ252">
        <v>0.1</v>
      </c>
      <c r="DB252">
        <v>15.5</v>
      </c>
      <c r="DC252">
        <v>0.1</v>
      </c>
      <c r="DD252" s="5"/>
      <c r="DJ252" s="1">
        <v>41159</v>
      </c>
      <c r="DK252" s="2">
        <f t="shared" si="25"/>
        <v>11.392499999997565</v>
      </c>
      <c r="DL252" s="2">
        <f t="shared" si="26"/>
        <v>4.4242718446592484</v>
      </c>
      <c r="DM252" s="2">
        <f t="shared" si="27"/>
        <v>80.099999999976703</v>
      </c>
      <c r="DN252" s="3">
        <f t="shared" si="28"/>
        <v>0.38834951456310679</v>
      </c>
      <c r="DV252" s="2">
        <v>1245</v>
      </c>
      <c r="DW252">
        <v>0</v>
      </c>
      <c r="DX252">
        <f t="shared" si="24"/>
        <v>14794</v>
      </c>
      <c r="DY252">
        <f t="shared" si="23"/>
        <v>1</v>
      </c>
    </row>
    <row r="253" spans="1:129">
      <c r="A253" s="1">
        <v>41160</v>
      </c>
      <c r="B253" s="1"/>
      <c r="D253">
        <v>5.6</v>
      </c>
      <c r="F253">
        <v>0.2</v>
      </c>
      <c r="L253">
        <v>1.4</v>
      </c>
      <c r="O253">
        <v>6.2</v>
      </c>
      <c r="U253">
        <v>7.3</v>
      </c>
      <c r="Z253">
        <v>0.79999999999927196</v>
      </c>
      <c r="AB253">
        <v>4.5</v>
      </c>
      <c r="AF253">
        <v>0</v>
      </c>
      <c r="AI253">
        <v>76.399999999906896</v>
      </c>
      <c r="AK253">
        <v>2.3999999999978199</v>
      </c>
      <c r="AO253">
        <v>1.0999999999985499</v>
      </c>
      <c r="AS253">
        <v>24.899999999994201</v>
      </c>
      <c r="AU253">
        <v>40.699999999953398</v>
      </c>
      <c r="AW253">
        <v>0.5</v>
      </c>
      <c r="AY253">
        <v>0.29999999999972699</v>
      </c>
      <c r="BC253">
        <v>0</v>
      </c>
      <c r="BF253">
        <v>76.399999999906896</v>
      </c>
      <c r="BH253">
        <v>8.8999999999941792</v>
      </c>
      <c r="BI253">
        <v>8.1999999999970896</v>
      </c>
      <c r="BK253">
        <v>0.100000000000023</v>
      </c>
      <c r="BL253">
        <v>0</v>
      </c>
      <c r="BO253">
        <v>0.100000000000023</v>
      </c>
      <c r="BP253">
        <v>24.899999999994201</v>
      </c>
      <c r="BR253">
        <v>4.1999999999970896</v>
      </c>
      <c r="BT253">
        <v>0.100000000000023</v>
      </c>
      <c r="BU253">
        <v>0.200000000000045</v>
      </c>
      <c r="BV253">
        <v>0.29999999999972699</v>
      </c>
      <c r="BW253">
        <v>0</v>
      </c>
      <c r="CB253">
        <v>0.1</v>
      </c>
      <c r="CC253">
        <v>0.2</v>
      </c>
      <c r="CE253">
        <v>2.2999999999999998</v>
      </c>
      <c r="CH253">
        <v>0.100000000000023</v>
      </c>
      <c r="CI253">
        <v>0</v>
      </c>
      <c r="CJ253">
        <v>16</v>
      </c>
      <c r="CW253">
        <v>28.6</v>
      </c>
      <c r="DB253">
        <v>1.6</v>
      </c>
      <c r="DD253" s="5"/>
      <c r="DJ253" s="1">
        <v>41160</v>
      </c>
      <c r="DK253" s="2">
        <f t="shared" si="25"/>
        <v>9.5722222222149789</v>
      </c>
      <c r="DL253" s="2">
        <f t="shared" si="26"/>
        <v>3.3456310679586334</v>
      </c>
      <c r="DM253" s="2">
        <f t="shared" si="27"/>
        <v>76.399999999906896</v>
      </c>
      <c r="DN253" s="3">
        <f t="shared" si="28"/>
        <v>0.34951456310679613</v>
      </c>
      <c r="DV253" s="2">
        <v>1250</v>
      </c>
      <c r="DW253">
        <v>0</v>
      </c>
      <c r="DX253">
        <f t="shared" si="24"/>
        <v>14794</v>
      </c>
      <c r="DY253">
        <f t="shared" si="23"/>
        <v>1</v>
      </c>
    </row>
    <row r="254" spans="1:129">
      <c r="A254" s="1">
        <v>41161</v>
      </c>
      <c r="B254" s="1"/>
      <c r="H254">
        <v>0.7</v>
      </c>
      <c r="M254">
        <v>7.7</v>
      </c>
      <c r="U254">
        <v>9.6999999999999993</v>
      </c>
      <c r="Z254">
        <v>9.9999999999908995E-2</v>
      </c>
      <c r="AH254">
        <v>6.29999999999563</v>
      </c>
      <c r="AN254">
        <v>9.9999999999908995E-2</v>
      </c>
      <c r="AW254">
        <v>9.9999999999908995E-2</v>
      </c>
      <c r="BB254">
        <v>0.29999999999972699</v>
      </c>
      <c r="BD254">
        <v>14.1999999999971</v>
      </c>
      <c r="BE254">
        <v>6.29999999999563</v>
      </c>
      <c r="BF254">
        <v>0.69999999999981799</v>
      </c>
      <c r="BH254">
        <v>5.9000000000014596</v>
      </c>
      <c r="BK254">
        <v>9.9999999999908995E-2</v>
      </c>
      <c r="BM254">
        <v>0</v>
      </c>
      <c r="BN254">
        <v>0</v>
      </c>
      <c r="BO254">
        <v>0.200000000000045</v>
      </c>
      <c r="BR254">
        <v>6.4000000000014596</v>
      </c>
      <c r="BT254">
        <v>0.100000000000023</v>
      </c>
      <c r="BU254">
        <v>78.199999999953405</v>
      </c>
      <c r="CB254">
        <v>5.8</v>
      </c>
      <c r="CD254">
        <v>0</v>
      </c>
      <c r="CQ254">
        <v>0.1</v>
      </c>
      <c r="CR254">
        <v>4.0999999999999996</v>
      </c>
      <c r="CT254">
        <v>0.1</v>
      </c>
      <c r="CW254">
        <v>2.5</v>
      </c>
      <c r="DD254" s="5"/>
      <c r="DJ254" s="1">
        <v>41161</v>
      </c>
      <c r="DK254" s="2">
        <f t="shared" si="25"/>
        <v>5.9879999999977578</v>
      </c>
      <c r="DL254" s="2">
        <f t="shared" si="26"/>
        <v>1.4533980582518828</v>
      </c>
      <c r="DM254" s="2">
        <f t="shared" si="27"/>
        <v>78.199999999953405</v>
      </c>
      <c r="DN254" s="3">
        <f t="shared" si="28"/>
        <v>0.24271844660194175</v>
      </c>
      <c r="DV254" s="2">
        <v>1255</v>
      </c>
      <c r="DW254">
        <v>0</v>
      </c>
      <c r="DX254">
        <f t="shared" si="24"/>
        <v>14794</v>
      </c>
      <c r="DY254">
        <f t="shared" si="23"/>
        <v>1</v>
      </c>
    </row>
    <row r="255" spans="1:129">
      <c r="A255" s="1">
        <v>41162</v>
      </c>
      <c r="B255" s="1"/>
      <c r="G255">
        <v>2.5</v>
      </c>
      <c r="M255">
        <v>7</v>
      </c>
      <c r="S255">
        <v>3.8</v>
      </c>
      <c r="W255">
        <v>2.2999999999999998</v>
      </c>
      <c r="Z255">
        <v>3.3999999999978199</v>
      </c>
      <c r="AB255">
        <v>10.799999999988399</v>
      </c>
      <c r="AH255">
        <v>37.5</v>
      </c>
      <c r="AN255">
        <v>0.19999999999981799</v>
      </c>
      <c r="AQ255">
        <v>1.6999999999989099</v>
      </c>
      <c r="AW255">
        <v>3.3999999999978199</v>
      </c>
      <c r="AY255">
        <v>29.599999999976699</v>
      </c>
      <c r="BA255">
        <v>123</v>
      </c>
      <c r="BD255">
        <v>12.6999999999971</v>
      </c>
      <c r="BE255">
        <v>37.5</v>
      </c>
      <c r="BH255">
        <v>1.5</v>
      </c>
      <c r="BJ255">
        <v>0</v>
      </c>
      <c r="BK255">
        <v>0.19999999999981799</v>
      </c>
      <c r="BL255">
        <v>0</v>
      </c>
      <c r="BM255">
        <v>0.100000000000023</v>
      </c>
      <c r="BN255">
        <v>1.6999999999989099</v>
      </c>
      <c r="BQ255">
        <v>3.2999999999992702</v>
      </c>
      <c r="BR255">
        <v>7.0999999999985501</v>
      </c>
      <c r="BT255">
        <v>0.100000000000023</v>
      </c>
      <c r="BU255">
        <v>2.9000000000014601</v>
      </c>
      <c r="BV255">
        <v>29.599999999976699</v>
      </c>
      <c r="BX255">
        <v>123</v>
      </c>
      <c r="BY255">
        <v>11.4</v>
      </c>
      <c r="CC255">
        <v>0.1</v>
      </c>
      <c r="CE255">
        <v>0.1</v>
      </c>
      <c r="CG255">
        <v>0</v>
      </c>
      <c r="CI255">
        <v>0</v>
      </c>
      <c r="CV255">
        <v>6</v>
      </c>
      <c r="DD255" s="5"/>
      <c r="DJ255" s="1">
        <v>41162</v>
      </c>
      <c r="DK255" s="2">
        <f t="shared" si="25"/>
        <v>14.453124999997854</v>
      </c>
      <c r="DL255" s="2">
        <f t="shared" si="26"/>
        <v>4.4902912621352558</v>
      </c>
      <c r="DM255" s="2">
        <f t="shared" si="27"/>
        <v>123</v>
      </c>
      <c r="DN255" s="3">
        <f t="shared" si="28"/>
        <v>0.31067961165048541</v>
      </c>
      <c r="DV255" s="2">
        <v>1260</v>
      </c>
      <c r="DW255">
        <v>0</v>
      </c>
      <c r="DX255">
        <f t="shared" si="24"/>
        <v>14794</v>
      </c>
      <c r="DY255">
        <f t="shared" si="23"/>
        <v>1</v>
      </c>
    </row>
    <row r="256" spans="1:129">
      <c r="A256" s="1">
        <v>41163</v>
      </c>
      <c r="B256" s="1"/>
      <c r="G256">
        <v>0.2</v>
      </c>
      <c r="S256">
        <v>0.3</v>
      </c>
      <c r="U256">
        <v>0.5</v>
      </c>
      <c r="Y256">
        <v>27</v>
      </c>
      <c r="Z256">
        <v>2.0999999999985399</v>
      </c>
      <c r="AA256">
        <v>0.5</v>
      </c>
      <c r="AC256">
        <v>0.79999999999927196</v>
      </c>
      <c r="AD256">
        <v>0.59999999999945397</v>
      </c>
      <c r="AH256">
        <v>17.199999999982499</v>
      </c>
      <c r="AQ256">
        <v>0</v>
      </c>
      <c r="AV256">
        <v>2.5999999999985399</v>
      </c>
      <c r="AW256">
        <v>2.0999999999985399</v>
      </c>
      <c r="AX256">
        <v>0.29999999999972699</v>
      </c>
      <c r="AY256">
        <v>2.5999999999985399</v>
      </c>
      <c r="AZ256">
        <v>0.79999999999927196</v>
      </c>
      <c r="BA256">
        <v>21.599999999976699</v>
      </c>
      <c r="BE256">
        <v>17.199999999982499</v>
      </c>
      <c r="BK256">
        <v>0</v>
      </c>
      <c r="BM256">
        <v>7.8000000000029104</v>
      </c>
      <c r="BN256">
        <v>0</v>
      </c>
      <c r="BQ256">
        <v>8.1000000000058208</v>
      </c>
      <c r="BS256">
        <v>2.5999999999985399</v>
      </c>
      <c r="BU256">
        <v>0.29999999999972699</v>
      </c>
      <c r="BV256">
        <v>2.5999999999985399</v>
      </c>
      <c r="BX256">
        <v>21.599999999976699</v>
      </c>
      <c r="CD256">
        <v>0.1</v>
      </c>
      <c r="CH256">
        <v>0</v>
      </c>
      <c r="CO256">
        <v>19.5</v>
      </c>
      <c r="CP256">
        <v>1.5</v>
      </c>
      <c r="CQ256">
        <v>2.6</v>
      </c>
      <c r="CT256">
        <v>0.9</v>
      </c>
      <c r="CW256">
        <v>0.8</v>
      </c>
      <c r="CX256">
        <v>0.2</v>
      </c>
      <c r="DD256" s="5"/>
      <c r="DJ256" s="1">
        <v>41163</v>
      </c>
      <c r="DK256" s="2">
        <f t="shared" si="25"/>
        <v>4.9999999999974492</v>
      </c>
      <c r="DL256" s="2">
        <f t="shared" si="26"/>
        <v>1.6019417475719981</v>
      </c>
      <c r="DM256" s="2">
        <f t="shared" si="27"/>
        <v>27</v>
      </c>
      <c r="DN256" s="3">
        <f t="shared" si="28"/>
        <v>0.32038834951456313</v>
      </c>
      <c r="DV256" s="2">
        <v>1265</v>
      </c>
      <c r="DW256">
        <v>0</v>
      </c>
      <c r="DX256">
        <f t="shared" si="24"/>
        <v>14794</v>
      </c>
      <c r="DY256">
        <f t="shared" si="23"/>
        <v>1</v>
      </c>
    </row>
    <row r="257" spans="1:129">
      <c r="A257" s="1">
        <v>41164</v>
      </c>
      <c r="B257" s="1"/>
      <c r="C257">
        <v>2.2000000000000002</v>
      </c>
      <c r="L257">
        <v>10.5</v>
      </c>
      <c r="AA257">
        <v>1.1999999999989099</v>
      </c>
      <c r="AD257">
        <v>1</v>
      </c>
      <c r="AO257">
        <v>9.9999999999908995E-2</v>
      </c>
      <c r="AQ257">
        <v>1</v>
      </c>
      <c r="AV257">
        <v>3.2999999999992702</v>
      </c>
      <c r="AX257">
        <v>0.19999999999981799</v>
      </c>
      <c r="AY257">
        <v>4</v>
      </c>
      <c r="BA257">
        <v>1</v>
      </c>
      <c r="BG257">
        <v>0.100000000000023</v>
      </c>
      <c r="BI257">
        <v>0</v>
      </c>
      <c r="BK257">
        <v>0</v>
      </c>
      <c r="BL257">
        <v>0.30000000000018201</v>
      </c>
      <c r="BM257">
        <v>13.8000000000029</v>
      </c>
      <c r="BN257">
        <v>1</v>
      </c>
      <c r="BS257">
        <v>0.100000000000023</v>
      </c>
      <c r="BT257">
        <v>2</v>
      </c>
      <c r="BU257">
        <v>9.1999999999970896</v>
      </c>
      <c r="BV257">
        <v>4</v>
      </c>
      <c r="BW257">
        <v>0</v>
      </c>
      <c r="BX257">
        <v>1</v>
      </c>
      <c r="CD257">
        <v>26.3</v>
      </c>
      <c r="CH257">
        <v>0</v>
      </c>
      <c r="CI257">
        <v>0.30000000000018201</v>
      </c>
      <c r="CN257">
        <v>0.5</v>
      </c>
      <c r="CO257">
        <v>5</v>
      </c>
      <c r="CQ257">
        <v>6.7</v>
      </c>
      <c r="CW257">
        <v>5.6</v>
      </c>
      <c r="CX257">
        <v>30.9</v>
      </c>
      <c r="DC257">
        <v>24.8</v>
      </c>
      <c r="DD257" s="5"/>
      <c r="DJ257" s="1">
        <v>41164</v>
      </c>
      <c r="DK257" s="2">
        <f t="shared" si="25"/>
        <v>5.0354838709676875</v>
      </c>
      <c r="DL257" s="2">
        <f t="shared" si="26"/>
        <v>1.5155339805825079</v>
      </c>
      <c r="DM257" s="2">
        <f t="shared" si="27"/>
        <v>30.9</v>
      </c>
      <c r="DN257" s="3">
        <f t="shared" si="28"/>
        <v>0.30097087378640774</v>
      </c>
      <c r="DV257" s="2">
        <v>1270</v>
      </c>
      <c r="DW257">
        <v>0</v>
      </c>
      <c r="DX257">
        <f t="shared" si="24"/>
        <v>14794</v>
      </c>
      <c r="DY257">
        <f t="shared" si="23"/>
        <v>1</v>
      </c>
    </row>
    <row r="258" spans="1:129">
      <c r="A258" s="1">
        <v>41165</v>
      </c>
      <c r="B258" s="1"/>
      <c r="F258">
        <v>1.5</v>
      </c>
      <c r="G258">
        <v>0.8</v>
      </c>
      <c r="L258">
        <v>9.8000000000000007</v>
      </c>
      <c r="AB258">
        <v>1</v>
      </c>
      <c r="AD258">
        <v>14.399999999994201</v>
      </c>
      <c r="AH258">
        <v>0</v>
      </c>
      <c r="AJ258">
        <v>1</v>
      </c>
      <c r="AK258">
        <v>0.79999999999927196</v>
      </c>
      <c r="AO258">
        <v>18</v>
      </c>
      <c r="AS258">
        <v>0.19999999999981799</v>
      </c>
      <c r="AV258">
        <v>7.79999999999563</v>
      </c>
      <c r="AY258">
        <v>1</v>
      </c>
      <c r="AZ258">
        <v>23.799999999988401</v>
      </c>
      <c r="BA258">
        <v>14.399999999994201</v>
      </c>
      <c r="BE258">
        <v>0</v>
      </c>
      <c r="BG258">
        <v>1</v>
      </c>
      <c r="BH258">
        <v>0.79999999999927196</v>
      </c>
      <c r="BI258">
        <v>0.200000000000045</v>
      </c>
      <c r="BK258">
        <v>0</v>
      </c>
      <c r="BL258">
        <v>4.5999999999985501</v>
      </c>
      <c r="BP258">
        <v>0.19999999999981799</v>
      </c>
      <c r="BS258">
        <v>0</v>
      </c>
      <c r="BT258">
        <v>0</v>
      </c>
      <c r="BW258">
        <v>23.799999999988401</v>
      </c>
      <c r="BY258">
        <v>1.5</v>
      </c>
      <c r="CD258">
        <v>7.9</v>
      </c>
      <c r="CH258">
        <v>0</v>
      </c>
      <c r="CI258">
        <v>4.5999999999985501</v>
      </c>
      <c r="CL258">
        <v>0.2</v>
      </c>
      <c r="CQ258">
        <v>0.3</v>
      </c>
      <c r="CU258">
        <v>1.7</v>
      </c>
      <c r="CW258">
        <v>2.6</v>
      </c>
      <c r="DA258">
        <v>2.5</v>
      </c>
      <c r="DC258">
        <v>3</v>
      </c>
      <c r="DD258" s="5"/>
      <c r="DJ258" s="1">
        <v>41165</v>
      </c>
      <c r="DK258" s="2">
        <f t="shared" si="25"/>
        <v>4.3941176470575334</v>
      </c>
      <c r="DL258" s="2">
        <f t="shared" si="26"/>
        <v>1.450485436892778</v>
      </c>
      <c r="DM258" s="2">
        <f t="shared" si="27"/>
        <v>23.799999999988401</v>
      </c>
      <c r="DN258" s="3">
        <f t="shared" si="28"/>
        <v>0.3300970873786408</v>
      </c>
      <c r="DV258" s="2">
        <v>1275</v>
      </c>
      <c r="DW258">
        <v>0</v>
      </c>
      <c r="DX258">
        <f t="shared" si="24"/>
        <v>14794</v>
      </c>
      <c r="DY258">
        <f t="shared" ref="DY258:DY321" si="29">DX258/(SUM(DW$1:DW$38))</f>
        <v>1</v>
      </c>
    </row>
    <row r="259" spans="1:129">
      <c r="A259" s="1">
        <v>41166</v>
      </c>
      <c r="B259" s="1"/>
      <c r="F259">
        <v>8.8000000000000007</v>
      </c>
      <c r="G259">
        <v>0.7</v>
      </c>
      <c r="H259">
        <v>0.2</v>
      </c>
      <c r="J259">
        <v>0.7</v>
      </c>
      <c r="L259">
        <v>2.2999999999999998</v>
      </c>
      <c r="X259">
        <v>2.5</v>
      </c>
      <c r="AB259">
        <v>6.5</v>
      </c>
      <c r="AD259">
        <v>77.799999999930193</v>
      </c>
      <c r="AJ259">
        <v>0.29999999999972699</v>
      </c>
      <c r="AO259">
        <v>12.6999999999971</v>
      </c>
      <c r="AX259">
        <v>10.399999999994201</v>
      </c>
      <c r="AY259">
        <v>6.5</v>
      </c>
      <c r="AZ259">
        <v>3.6999999999970901</v>
      </c>
      <c r="BA259">
        <v>77.799999999930193</v>
      </c>
      <c r="BB259">
        <v>3.5</v>
      </c>
      <c r="BC259">
        <v>2</v>
      </c>
      <c r="BG259">
        <v>0.29999999999972699</v>
      </c>
      <c r="BJ259">
        <v>0.100000000000023</v>
      </c>
      <c r="BK259">
        <v>0</v>
      </c>
      <c r="BL259">
        <v>12.6999999999971</v>
      </c>
      <c r="BQ259">
        <v>4.4000000000014596</v>
      </c>
      <c r="BU259">
        <v>10.399999999994201</v>
      </c>
      <c r="BW259">
        <v>3.6999999999970901</v>
      </c>
      <c r="CD259">
        <v>30.7</v>
      </c>
      <c r="CG259">
        <v>0.100000000000023</v>
      </c>
      <c r="CH259">
        <v>0</v>
      </c>
      <c r="CJ259">
        <v>12.4</v>
      </c>
      <c r="CP259">
        <v>22.1</v>
      </c>
      <c r="CQ259">
        <v>1.2</v>
      </c>
      <c r="CU259">
        <v>0.1</v>
      </c>
      <c r="DA259">
        <v>0.1</v>
      </c>
      <c r="DD259" s="5"/>
      <c r="DJ259" s="1">
        <v>41166</v>
      </c>
      <c r="DK259" s="2">
        <f t="shared" si="25"/>
        <v>10.151612903220586</v>
      </c>
      <c r="DL259" s="2">
        <f t="shared" si="26"/>
        <v>3.0553398058236714</v>
      </c>
      <c r="DM259" s="2">
        <f t="shared" si="27"/>
        <v>77.799999999930193</v>
      </c>
      <c r="DN259" s="3">
        <f t="shared" si="28"/>
        <v>0.30097087378640774</v>
      </c>
      <c r="DV259" s="2">
        <v>1280</v>
      </c>
      <c r="DW259">
        <v>0</v>
      </c>
      <c r="DX259">
        <f t="shared" ref="DX259:DX322" si="30">DX258+DW259</f>
        <v>14794</v>
      </c>
      <c r="DY259">
        <f t="shared" si="29"/>
        <v>1</v>
      </c>
    </row>
    <row r="260" spans="1:129">
      <c r="A260" s="1">
        <v>41167</v>
      </c>
      <c r="B260" s="1"/>
      <c r="D260">
        <v>22.5</v>
      </c>
      <c r="H260">
        <v>23.3</v>
      </c>
      <c r="I260">
        <v>19.5</v>
      </c>
      <c r="L260">
        <v>5.5</v>
      </c>
      <c r="U260">
        <v>0.3</v>
      </c>
      <c r="W260">
        <v>0</v>
      </c>
      <c r="Y260">
        <v>7.2</v>
      </c>
      <c r="AB260">
        <v>4.5999999999985501</v>
      </c>
      <c r="AD260">
        <v>79.899999999906896</v>
      </c>
      <c r="AG260">
        <v>6.5</v>
      </c>
      <c r="AR260">
        <v>0.29999999999972699</v>
      </c>
      <c r="AV260">
        <v>5.5</v>
      </c>
      <c r="AX260">
        <v>4.5</v>
      </c>
      <c r="AY260">
        <v>4.5999999999985501</v>
      </c>
      <c r="BA260">
        <v>79.899999999906896</v>
      </c>
      <c r="BC260">
        <v>2.2999999999992702</v>
      </c>
      <c r="BD260">
        <v>6.5</v>
      </c>
      <c r="BJ260">
        <v>0</v>
      </c>
      <c r="BK260">
        <v>0</v>
      </c>
      <c r="BN260">
        <v>0.5</v>
      </c>
      <c r="BO260">
        <v>0.29999999999972699</v>
      </c>
      <c r="BR260">
        <v>16.899999999994201</v>
      </c>
      <c r="BS260">
        <v>0.100000000000023</v>
      </c>
      <c r="BU260">
        <v>9.3000000000029104</v>
      </c>
      <c r="CC260">
        <v>0.1</v>
      </c>
      <c r="CG260">
        <v>0</v>
      </c>
      <c r="CH260">
        <v>0</v>
      </c>
      <c r="CL260">
        <v>3</v>
      </c>
      <c r="CP260">
        <v>5.5</v>
      </c>
      <c r="CQ260">
        <v>0.3</v>
      </c>
      <c r="CS260">
        <v>6</v>
      </c>
      <c r="CV260">
        <v>0.1</v>
      </c>
      <c r="DD260" s="5"/>
      <c r="DJ260" s="1">
        <v>41167</v>
      </c>
      <c r="DK260" s="2">
        <f t="shared" si="25"/>
        <v>9.8437499999939622</v>
      </c>
      <c r="DL260" s="2">
        <f t="shared" si="26"/>
        <v>3.0582524271825902</v>
      </c>
      <c r="DM260" s="2">
        <f t="shared" si="27"/>
        <v>79.899999999906896</v>
      </c>
      <c r="DN260" s="3">
        <f t="shared" si="28"/>
        <v>0.31067961165048541</v>
      </c>
      <c r="DV260" s="2">
        <v>1285</v>
      </c>
      <c r="DW260">
        <v>0</v>
      </c>
      <c r="DX260">
        <f t="shared" si="30"/>
        <v>14794</v>
      </c>
      <c r="DY260">
        <f t="shared" si="29"/>
        <v>1</v>
      </c>
    </row>
    <row r="261" spans="1:129">
      <c r="A261" s="1">
        <v>41168</v>
      </c>
      <c r="B261" s="1"/>
      <c r="I261">
        <v>2.5</v>
      </c>
      <c r="L261">
        <v>1.1000000000000001</v>
      </c>
      <c r="U261">
        <v>12.5</v>
      </c>
      <c r="Y261">
        <v>0.3</v>
      </c>
      <c r="AA261">
        <v>0.19999999999981799</v>
      </c>
      <c r="AB261">
        <v>0.79999999999927196</v>
      </c>
      <c r="AD261">
        <v>15.299999999988399</v>
      </c>
      <c r="AF261">
        <v>2.5</v>
      </c>
      <c r="AL261">
        <v>0.5</v>
      </c>
      <c r="AR261">
        <v>0.5</v>
      </c>
      <c r="AX261">
        <v>0.19999999999981799</v>
      </c>
      <c r="AY261">
        <v>0.79999999999927196</v>
      </c>
      <c r="BA261">
        <v>15.299999999988399</v>
      </c>
      <c r="BC261">
        <v>2.6999999999970901</v>
      </c>
      <c r="BE261">
        <v>1.60000000000036</v>
      </c>
      <c r="BG261">
        <v>1.60000000000036</v>
      </c>
      <c r="BI261">
        <v>0.5</v>
      </c>
      <c r="BK261">
        <v>0</v>
      </c>
      <c r="BN261">
        <v>6.3000000000029104</v>
      </c>
      <c r="BO261">
        <v>0.5</v>
      </c>
      <c r="BR261">
        <v>1</v>
      </c>
      <c r="BS261">
        <v>25.200000000011599</v>
      </c>
      <c r="BU261">
        <v>0</v>
      </c>
      <c r="BX261">
        <v>0</v>
      </c>
      <c r="CC261">
        <v>1.6</v>
      </c>
      <c r="CF261">
        <v>0</v>
      </c>
      <c r="CH261">
        <v>0</v>
      </c>
      <c r="CK261">
        <v>0.6</v>
      </c>
      <c r="CN261">
        <v>1.8</v>
      </c>
      <c r="CP261">
        <v>4.2</v>
      </c>
      <c r="CQ261">
        <v>11.8</v>
      </c>
      <c r="CS261">
        <v>2</v>
      </c>
      <c r="CZ261">
        <v>2.4</v>
      </c>
      <c r="DB261">
        <v>3.4</v>
      </c>
      <c r="DD261" s="5"/>
      <c r="DJ261" s="1">
        <v>41168</v>
      </c>
      <c r="DK261" s="2">
        <f t="shared" si="25"/>
        <v>3.5205882352937437</v>
      </c>
      <c r="DL261" s="2">
        <f t="shared" si="26"/>
        <v>1.1621359223299736</v>
      </c>
      <c r="DM261" s="2">
        <f t="shared" si="27"/>
        <v>25.200000000011599</v>
      </c>
      <c r="DN261" s="3">
        <f t="shared" si="28"/>
        <v>0.3300970873786408</v>
      </c>
      <c r="DV261" s="2">
        <v>1290</v>
      </c>
      <c r="DW261">
        <v>0</v>
      </c>
      <c r="DX261">
        <f t="shared" si="30"/>
        <v>14794</v>
      </c>
      <c r="DY261">
        <f t="shared" si="29"/>
        <v>1</v>
      </c>
    </row>
    <row r="262" spans="1:129">
      <c r="A262" s="1">
        <v>41169</v>
      </c>
      <c r="B262" s="1"/>
      <c r="D262">
        <v>0.2</v>
      </c>
      <c r="H262">
        <v>4.5</v>
      </c>
      <c r="N262">
        <v>2.2000000000000002</v>
      </c>
      <c r="V262">
        <v>2.2999999999999998</v>
      </c>
      <c r="AA262">
        <v>0.19999999999981799</v>
      </c>
      <c r="AD262">
        <v>44</v>
      </c>
      <c r="AG262">
        <v>1.1999999999989099</v>
      </c>
      <c r="AX262">
        <v>0.19999999999981799</v>
      </c>
      <c r="BA262">
        <v>4.3999999999941801</v>
      </c>
      <c r="BD262">
        <v>1.1999999999989099</v>
      </c>
      <c r="BK262">
        <v>0.100000000000023</v>
      </c>
      <c r="BM262">
        <v>0</v>
      </c>
      <c r="BR262">
        <v>2.2000000000007298</v>
      </c>
      <c r="BS262">
        <v>0.100000000000023</v>
      </c>
      <c r="BW262">
        <v>0</v>
      </c>
      <c r="BX262">
        <v>4.3999999999941801</v>
      </c>
      <c r="BZ262">
        <v>0.1</v>
      </c>
      <c r="CH262">
        <v>0.100000000000023</v>
      </c>
      <c r="CJ262">
        <v>1</v>
      </c>
      <c r="CV262">
        <v>12.8</v>
      </c>
      <c r="CZ262">
        <v>2</v>
      </c>
      <c r="DA262">
        <v>0.1</v>
      </c>
      <c r="DB262">
        <v>9.1</v>
      </c>
      <c r="DD262" s="5"/>
      <c r="DJ262" s="1">
        <v>41169</v>
      </c>
      <c r="DK262" s="2">
        <f t="shared" si="25"/>
        <v>4.0173913043472433</v>
      </c>
      <c r="DL262" s="2">
        <f t="shared" si="26"/>
        <v>0.89708737864064647</v>
      </c>
      <c r="DM262" s="2">
        <f t="shared" si="27"/>
        <v>44</v>
      </c>
      <c r="DN262" s="3">
        <f t="shared" si="28"/>
        <v>0.22330097087378642</v>
      </c>
      <c r="DV262" s="2">
        <v>1295</v>
      </c>
      <c r="DW262">
        <v>0</v>
      </c>
      <c r="DX262">
        <f t="shared" si="30"/>
        <v>14794</v>
      </c>
      <c r="DY262">
        <f t="shared" si="29"/>
        <v>1</v>
      </c>
    </row>
    <row r="263" spans="1:129">
      <c r="A263" s="1">
        <v>41170</v>
      </c>
      <c r="B263" s="1"/>
      <c r="H263">
        <v>1.3</v>
      </c>
      <c r="N263">
        <v>4.8</v>
      </c>
      <c r="O263">
        <v>0.1</v>
      </c>
      <c r="P263">
        <v>1.7</v>
      </c>
      <c r="U263">
        <v>13</v>
      </c>
      <c r="V263">
        <v>19.399999999999999</v>
      </c>
      <c r="AB263">
        <v>0.19999999999981799</v>
      </c>
      <c r="AC263">
        <v>0</v>
      </c>
      <c r="AG263">
        <v>0.19999999999981799</v>
      </c>
      <c r="AI263">
        <v>0</v>
      </c>
      <c r="AJ263">
        <v>9.0999999999912706</v>
      </c>
      <c r="AU263">
        <v>0.89999999999963598</v>
      </c>
      <c r="AY263">
        <v>5.8999999999941801</v>
      </c>
      <c r="AZ263">
        <v>0</v>
      </c>
      <c r="BD263">
        <v>0.19999999999981799</v>
      </c>
      <c r="BF263">
        <v>0</v>
      </c>
      <c r="BG263">
        <v>18.299999999988401</v>
      </c>
      <c r="BI263">
        <v>0.80000000000018201</v>
      </c>
      <c r="BK263">
        <v>0</v>
      </c>
      <c r="BL263">
        <v>0</v>
      </c>
      <c r="BR263">
        <v>0.89999999999963598</v>
      </c>
      <c r="BU263">
        <v>0.5</v>
      </c>
      <c r="BV263">
        <v>5.8999999999941801</v>
      </c>
      <c r="CE263">
        <v>19.600000000000001</v>
      </c>
      <c r="CH263">
        <v>0</v>
      </c>
      <c r="CI263">
        <v>7.7</v>
      </c>
      <c r="CT263">
        <v>1.1000000000000001</v>
      </c>
      <c r="CZ263">
        <v>2.4</v>
      </c>
      <c r="DA263">
        <v>0.8</v>
      </c>
      <c r="DB263">
        <v>22</v>
      </c>
      <c r="DD263" s="5"/>
      <c r="DJ263" s="1">
        <v>41170</v>
      </c>
      <c r="DK263" s="2">
        <f t="shared" si="25"/>
        <v>4.5599999999988974</v>
      </c>
      <c r="DL263" s="2">
        <f t="shared" si="26"/>
        <v>1.3281553398055042</v>
      </c>
      <c r="DM263" s="2">
        <f t="shared" si="27"/>
        <v>22</v>
      </c>
      <c r="DN263" s="3">
        <f t="shared" si="28"/>
        <v>0.29126213592233008</v>
      </c>
      <c r="DV263" s="2">
        <v>1300</v>
      </c>
      <c r="DW263">
        <v>0</v>
      </c>
      <c r="DX263">
        <f t="shared" si="30"/>
        <v>14794</v>
      </c>
      <c r="DY263">
        <f t="shared" si="29"/>
        <v>1</v>
      </c>
    </row>
    <row r="264" spans="1:129">
      <c r="A264" s="1">
        <v>41171</v>
      </c>
      <c r="B264" s="1"/>
      <c r="F264">
        <v>0.1</v>
      </c>
      <c r="G264">
        <v>5.8</v>
      </c>
      <c r="M264">
        <v>6.8</v>
      </c>
      <c r="N264">
        <v>0.7</v>
      </c>
      <c r="U264">
        <v>7.9</v>
      </c>
      <c r="V264">
        <v>0</v>
      </c>
      <c r="Y264">
        <v>4.5</v>
      </c>
      <c r="Z264">
        <v>0</v>
      </c>
      <c r="AC264">
        <v>3.3999999999978199</v>
      </c>
      <c r="AD264">
        <v>0</v>
      </c>
      <c r="AG264">
        <v>2.2999999999992702</v>
      </c>
      <c r="AJ264">
        <v>27.099999999976699</v>
      </c>
      <c r="AU264">
        <v>2.5</v>
      </c>
      <c r="AV264">
        <v>3.7999999999992702</v>
      </c>
      <c r="AW264">
        <v>0</v>
      </c>
      <c r="AZ264">
        <v>3.3999999999978199</v>
      </c>
      <c r="BA264">
        <v>0</v>
      </c>
      <c r="BD264">
        <v>2.2999999999992702</v>
      </c>
      <c r="BG264">
        <v>18</v>
      </c>
      <c r="BK264">
        <v>4.1999999999970896</v>
      </c>
      <c r="BP264">
        <v>33</v>
      </c>
      <c r="BR264">
        <v>2.5</v>
      </c>
      <c r="BS264">
        <v>3.7999999999992702</v>
      </c>
      <c r="BV264">
        <v>0</v>
      </c>
      <c r="BZ264">
        <v>1</v>
      </c>
      <c r="CD264">
        <v>6</v>
      </c>
      <c r="CE264">
        <v>11.5</v>
      </c>
      <c r="CH264">
        <v>0.3</v>
      </c>
      <c r="CI264">
        <v>0</v>
      </c>
      <c r="CK264">
        <v>1.4</v>
      </c>
      <c r="CL264">
        <v>2.7</v>
      </c>
      <c r="CS264">
        <v>1.2</v>
      </c>
      <c r="CW264">
        <v>4.5999999999999996</v>
      </c>
      <c r="DA264">
        <v>2</v>
      </c>
      <c r="DD264" s="5">
        <v>0.2</v>
      </c>
      <c r="DJ264" s="1">
        <v>41171</v>
      </c>
      <c r="DK264" s="2">
        <f t="shared" si="25"/>
        <v>4.6571428571419</v>
      </c>
      <c r="DL264" s="2">
        <f t="shared" si="26"/>
        <v>1.5825242718443349</v>
      </c>
      <c r="DM264" s="2">
        <f t="shared" si="27"/>
        <v>33</v>
      </c>
      <c r="DN264" s="3">
        <f t="shared" si="28"/>
        <v>0.33980582524271846</v>
      </c>
      <c r="DV264" s="2">
        <v>1305</v>
      </c>
      <c r="DW264">
        <v>0</v>
      </c>
      <c r="DX264">
        <f t="shared" si="30"/>
        <v>14794</v>
      </c>
      <c r="DY264">
        <f t="shared" si="29"/>
        <v>1</v>
      </c>
    </row>
    <row r="265" spans="1:129">
      <c r="A265" s="1">
        <v>41172</v>
      </c>
      <c r="B265" s="1"/>
      <c r="C265">
        <v>3.1</v>
      </c>
      <c r="E265">
        <v>0.4</v>
      </c>
      <c r="G265">
        <v>1.2</v>
      </c>
      <c r="M265">
        <v>8.4</v>
      </c>
      <c r="P265">
        <v>0.8</v>
      </c>
      <c r="R265">
        <v>0.6</v>
      </c>
      <c r="AG265">
        <v>0.39999999999963598</v>
      </c>
      <c r="AJ265">
        <v>2.8999999999978199</v>
      </c>
      <c r="AQ265">
        <v>12.599999999991301</v>
      </c>
      <c r="AU265">
        <v>1.5</v>
      </c>
      <c r="AV265">
        <v>6.0999999999985501</v>
      </c>
      <c r="BD265">
        <v>0.39999999999963598</v>
      </c>
      <c r="BG265">
        <v>2.8999999999978199</v>
      </c>
      <c r="BH265">
        <v>5</v>
      </c>
      <c r="BM265">
        <v>0.100000000000023</v>
      </c>
      <c r="BN265">
        <v>12.599999999991301</v>
      </c>
      <c r="BP265">
        <v>0.5</v>
      </c>
      <c r="BR265">
        <v>1.5</v>
      </c>
      <c r="BS265">
        <v>6.0999999999985501</v>
      </c>
      <c r="BW265">
        <v>0</v>
      </c>
      <c r="CG265">
        <v>0.2</v>
      </c>
      <c r="CH265">
        <v>1</v>
      </c>
      <c r="CL265">
        <v>4.5</v>
      </c>
      <c r="CS265">
        <v>3.4</v>
      </c>
      <c r="CU265">
        <v>1.3</v>
      </c>
      <c r="CV265">
        <v>17.2</v>
      </c>
      <c r="CW265">
        <v>3.5</v>
      </c>
      <c r="CX265">
        <v>2.1</v>
      </c>
      <c r="CZ265">
        <v>0.6</v>
      </c>
      <c r="DD265" s="5">
        <v>18</v>
      </c>
      <c r="DJ265" s="1">
        <v>41172</v>
      </c>
      <c r="DK265" s="2">
        <f t="shared" si="25"/>
        <v>3.9633333333324874</v>
      </c>
      <c r="DL265" s="2">
        <f t="shared" si="26"/>
        <v>1.1543689320385886</v>
      </c>
      <c r="DM265" s="2">
        <f t="shared" si="27"/>
        <v>18</v>
      </c>
      <c r="DN265" s="3">
        <f t="shared" si="28"/>
        <v>0.29126213592233008</v>
      </c>
      <c r="DV265" s="2">
        <v>1310</v>
      </c>
      <c r="DW265">
        <v>0</v>
      </c>
      <c r="DX265">
        <f t="shared" si="30"/>
        <v>14794</v>
      </c>
      <c r="DY265">
        <f t="shared" si="29"/>
        <v>1</v>
      </c>
    </row>
    <row r="266" spans="1:129">
      <c r="A266" s="1">
        <v>41173</v>
      </c>
      <c r="B266" s="1"/>
      <c r="M266">
        <v>23.8</v>
      </c>
      <c r="W266">
        <v>11.5</v>
      </c>
      <c r="AG266">
        <v>0</v>
      </c>
      <c r="AR266">
        <v>4</v>
      </c>
      <c r="AU266">
        <v>0.29999999999972699</v>
      </c>
      <c r="BB266">
        <v>7.29999999999563</v>
      </c>
      <c r="BD266">
        <v>0</v>
      </c>
      <c r="BH266">
        <v>5</v>
      </c>
      <c r="BI266">
        <v>0.100000000000023</v>
      </c>
      <c r="BJ266">
        <v>55</v>
      </c>
      <c r="BL266">
        <v>0.89999999999963598</v>
      </c>
      <c r="BM266">
        <v>1.70000000000073</v>
      </c>
      <c r="BO266">
        <v>4</v>
      </c>
      <c r="BR266">
        <v>2.7000000000007298</v>
      </c>
      <c r="BW266">
        <v>52.1</v>
      </c>
      <c r="BX266">
        <v>0</v>
      </c>
      <c r="CG266">
        <v>2.4</v>
      </c>
      <c r="CI266">
        <v>0.8</v>
      </c>
      <c r="CJ266">
        <v>0.2</v>
      </c>
      <c r="CL266">
        <v>1.5</v>
      </c>
      <c r="CS266">
        <v>6</v>
      </c>
      <c r="CT266">
        <v>1.4</v>
      </c>
      <c r="CU266">
        <v>0.9</v>
      </c>
      <c r="CV266">
        <v>11.3</v>
      </c>
      <c r="CW266">
        <v>7.9</v>
      </c>
      <c r="CY266">
        <v>9.6</v>
      </c>
      <c r="CZ266">
        <v>6.3</v>
      </c>
      <c r="DA266">
        <v>1.4</v>
      </c>
      <c r="DD266" s="5">
        <v>2.2999999999999998</v>
      </c>
      <c r="DJ266" s="1">
        <v>41173</v>
      </c>
      <c r="DK266" s="2">
        <f t="shared" si="25"/>
        <v>7.5999999999998797</v>
      </c>
      <c r="DL266" s="2">
        <f t="shared" si="26"/>
        <v>2.1398058252426844</v>
      </c>
      <c r="DM266" s="2">
        <f t="shared" si="27"/>
        <v>55</v>
      </c>
      <c r="DN266" s="3">
        <f t="shared" si="28"/>
        <v>0.28155339805825241</v>
      </c>
      <c r="DV266" s="2">
        <v>1315</v>
      </c>
      <c r="DW266">
        <v>0</v>
      </c>
      <c r="DX266">
        <f t="shared" si="30"/>
        <v>14794</v>
      </c>
      <c r="DY266">
        <f t="shared" si="29"/>
        <v>1</v>
      </c>
    </row>
    <row r="267" spans="1:129">
      <c r="A267" s="1">
        <v>41174</v>
      </c>
      <c r="B267" s="1"/>
      <c r="E267">
        <v>0.2</v>
      </c>
      <c r="G267">
        <v>0.6</v>
      </c>
      <c r="M267">
        <v>26.1</v>
      </c>
      <c r="P267">
        <v>0.3</v>
      </c>
      <c r="R267">
        <v>6</v>
      </c>
      <c r="U267">
        <v>6.6</v>
      </c>
      <c r="X267">
        <v>0</v>
      </c>
      <c r="AE267">
        <v>0</v>
      </c>
      <c r="BA267">
        <v>16.299999999988401</v>
      </c>
      <c r="BB267">
        <v>23.199999999982499</v>
      </c>
      <c r="BD267">
        <v>50.799999999988401</v>
      </c>
      <c r="BH267">
        <v>1</v>
      </c>
      <c r="BJ267">
        <v>20.200000000011599</v>
      </c>
      <c r="BK267">
        <v>5.3000000000029104</v>
      </c>
      <c r="BM267">
        <v>0.100000000000023</v>
      </c>
      <c r="BO267">
        <v>17.5</v>
      </c>
      <c r="BP267">
        <v>2.5</v>
      </c>
      <c r="BQ267">
        <v>0.100000000000023</v>
      </c>
      <c r="BR267">
        <v>7.8000000000029104</v>
      </c>
      <c r="BT267">
        <v>0</v>
      </c>
      <c r="BW267">
        <v>9.6999999999999993</v>
      </c>
      <c r="BX267">
        <v>16.299999999988401</v>
      </c>
      <c r="BY267">
        <v>0</v>
      </c>
      <c r="CB267">
        <v>1.7</v>
      </c>
      <c r="CG267">
        <v>20.200000000011599</v>
      </c>
      <c r="CH267">
        <v>5.3000000000029104</v>
      </c>
      <c r="CI267">
        <v>0.5</v>
      </c>
      <c r="CL267">
        <v>19.5</v>
      </c>
      <c r="CR267">
        <v>0.2</v>
      </c>
      <c r="CT267">
        <v>4.5999999999999996</v>
      </c>
      <c r="CU267">
        <v>2.4</v>
      </c>
      <c r="CV267">
        <v>0.1</v>
      </c>
      <c r="DA267">
        <v>2.4</v>
      </c>
      <c r="DB267">
        <v>8.8000000000000007</v>
      </c>
      <c r="DC267">
        <v>0.8</v>
      </c>
      <c r="DD267" s="5">
        <v>3.3</v>
      </c>
      <c r="DJ267" s="1">
        <v>41174</v>
      </c>
      <c r="DK267" s="2">
        <f t="shared" si="25"/>
        <v>7.7888888888883248</v>
      </c>
      <c r="DL267" s="2">
        <f t="shared" si="26"/>
        <v>2.7223300970871813</v>
      </c>
      <c r="DM267" s="2">
        <f t="shared" si="27"/>
        <v>50.799999999988401</v>
      </c>
      <c r="DN267" s="3">
        <f t="shared" si="28"/>
        <v>0.34951456310679613</v>
      </c>
      <c r="DV267" s="2">
        <v>1320</v>
      </c>
      <c r="DW267">
        <v>0</v>
      </c>
      <c r="DX267">
        <f t="shared" si="30"/>
        <v>14794</v>
      </c>
      <c r="DY267">
        <f t="shared" si="29"/>
        <v>1</v>
      </c>
    </row>
    <row r="268" spans="1:129">
      <c r="A268" s="1">
        <v>41175</v>
      </c>
      <c r="B268" s="1"/>
      <c r="E268">
        <v>8</v>
      </c>
      <c r="G268">
        <v>11.2</v>
      </c>
      <c r="H268">
        <v>24.1</v>
      </c>
      <c r="M268">
        <v>7.4</v>
      </c>
      <c r="U268">
        <v>0.2</v>
      </c>
      <c r="W268">
        <v>15.6</v>
      </c>
      <c r="AD268">
        <v>38.299999999988401</v>
      </c>
      <c r="AM268">
        <v>5.6</v>
      </c>
      <c r="AQ268">
        <v>0.19999999999981799</v>
      </c>
      <c r="AR268">
        <v>22.799999999988401</v>
      </c>
      <c r="AT268">
        <v>0.19999999999981799</v>
      </c>
      <c r="AU268">
        <v>9.9999999999908995E-2</v>
      </c>
      <c r="AW268">
        <v>0.29999999999972699</v>
      </c>
      <c r="AZ268">
        <v>17.699999999982499</v>
      </c>
      <c r="BA268">
        <v>40.399999999965097</v>
      </c>
      <c r="BB268">
        <v>27</v>
      </c>
      <c r="BD268">
        <v>8.6000000000058208</v>
      </c>
      <c r="BJ268">
        <v>1.20000000000073</v>
      </c>
      <c r="BK268">
        <v>2.2999999999992702</v>
      </c>
      <c r="BN268">
        <v>0.19999999999981799</v>
      </c>
      <c r="BO268">
        <v>0.100000000000023</v>
      </c>
      <c r="BP268">
        <v>4.6999999999970896</v>
      </c>
      <c r="BQ268">
        <v>1</v>
      </c>
      <c r="BR268">
        <v>9.9999999999908995E-2</v>
      </c>
      <c r="BT268">
        <v>0.29999999999972699</v>
      </c>
      <c r="BV268">
        <v>0.89999999999963598</v>
      </c>
      <c r="BW268">
        <v>9.5</v>
      </c>
      <c r="BX268">
        <v>40.399999999965097</v>
      </c>
      <c r="CB268">
        <v>1.2</v>
      </c>
      <c r="CG268">
        <v>1.20000000000073</v>
      </c>
      <c r="CH268">
        <v>2.2999999999992702</v>
      </c>
      <c r="CI268">
        <v>12.3</v>
      </c>
      <c r="CJ268">
        <v>6.6</v>
      </c>
      <c r="CK268">
        <v>0</v>
      </c>
      <c r="CL268">
        <v>1.5</v>
      </c>
      <c r="CN268">
        <v>19.600000000000001</v>
      </c>
      <c r="CT268">
        <v>47.6</v>
      </c>
      <c r="CV268">
        <v>2.7</v>
      </c>
      <c r="DA268">
        <v>0.2</v>
      </c>
      <c r="DC268">
        <v>0.1</v>
      </c>
      <c r="DD268" s="5">
        <v>5</v>
      </c>
      <c r="DJ268" s="1">
        <v>41175</v>
      </c>
      <c r="DK268" s="2">
        <f t="shared" si="25"/>
        <v>9.480487804875386</v>
      </c>
      <c r="DL268" s="2">
        <f t="shared" si="26"/>
        <v>3.7737864077659307</v>
      </c>
      <c r="DM268" s="2">
        <f t="shared" si="27"/>
        <v>47.6</v>
      </c>
      <c r="DN268" s="3">
        <f t="shared" si="28"/>
        <v>0.39805825242718446</v>
      </c>
      <c r="DV268" s="2">
        <v>1325</v>
      </c>
      <c r="DW268">
        <v>0</v>
      </c>
      <c r="DX268">
        <f t="shared" si="30"/>
        <v>14794</v>
      </c>
      <c r="DY268">
        <f t="shared" si="29"/>
        <v>1</v>
      </c>
    </row>
    <row r="269" spans="1:129">
      <c r="A269" s="1">
        <v>41176</v>
      </c>
      <c r="B269" s="1"/>
      <c r="G269">
        <v>6.3</v>
      </c>
      <c r="H269">
        <v>4.8</v>
      </c>
      <c r="P269">
        <v>0.2</v>
      </c>
      <c r="R269">
        <v>3</v>
      </c>
      <c r="U269">
        <v>0.5</v>
      </c>
      <c r="W269">
        <v>2.2000000000000002</v>
      </c>
      <c r="AA269">
        <v>0.19999999999981799</v>
      </c>
      <c r="AD269">
        <v>4</v>
      </c>
      <c r="AE269">
        <v>7</v>
      </c>
      <c r="AG269">
        <v>9.8999999999941792</v>
      </c>
      <c r="AO269">
        <v>4.5999999999985501</v>
      </c>
      <c r="AR269">
        <v>10.599999999991301</v>
      </c>
      <c r="AT269">
        <v>17.5</v>
      </c>
      <c r="AU269">
        <v>0.19999999999981799</v>
      </c>
      <c r="AV269">
        <v>2.8999999999978199</v>
      </c>
      <c r="AX269">
        <v>0.19999999999981799</v>
      </c>
      <c r="AZ269">
        <v>10.399999999994201</v>
      </c>
      <c r="BA269">
        <v>2.8999999999978199</v>
      </c>
      <c r="BB269">
        <v>0.59999999999945397</v>
      </c>
      <c r="BD269">
        <v>34.400000000023297</v>
      </c>
      <c r="BH269">
        <v>1.20000000000073</v>
      </c>
      <c r="BI269">
        <v>0</v>
      </c>
      <c r="BK269">
        <v>0.100000000000023</v>
      </c>
      <c r="BL269">
        <v>4.5999999999985501</v>
      </c>
      <c r="BO269">
        <v>10.599999999991301</v>
      </c>
      <c r="BP269">
        <v>25.299999999988401</v>
      </c>
      <c r="BQ269">
        <v>11</v>
      </c>
      <c r="BR269">
        <v>0.100000000000023</v>
      </c>
      <c r="BS269">
        <v>2.8999999999978199</v>
      </c>
      <c r="BV269">
        <v>0.200000000000045</v>
      </c>
      <c r="BW269">
        <v>10.399999999994201</v>
      </c>
      <c r="BX269">
        <v>2.8999999999978199</v>
      </c>
      <c r="CB269">
        <v>0.6</v>
      </c>
      <c r="CF269">
        <v>4</v>
      </c>
      <c r="CH269">
        <v>0.100000000000023</v>
      </c>
      <c r="CI269">
        <v>1.3</v>
      </c>
      <c r="CL269">
        <v>0.4</v>
      </c>
      <c r="CN269">
        <v>4</v>
      </c>
      <c r="CP269">
        <v>0.1</v>
      </c>
      <c r="CT269">
        <v>3</v>
      </c>
      <c r="CU269">
        <v>1.4</v>
      </c>
      <c r="CX269">
        <v>0.4</v>
      </c>
      <c r="DD269" s="5">
        <v>0.2</v>
      </c>
      <c r="DJ269" s="1">
        <v>41176</v>
      </c>
      <c r="DK269" s="2">
        <f t="shared" si="25"/>
        <v>4.8186046511619773</v>
      </c>
      <c r="DL269" s="2">
        <f t="shared" si="26"/>
        <v>2.0116504854365536</v>
      </c>
      <c r="DM269" s="2">
        <f t="shared" si="27"/>
        <v>34.400000000023297</v>
      </c>
      <c r="DN269" s="3">
        <f t="shared" si="28"/>
        <v>0.41747572815533979</v>
      </c>
      <c r="DV269" s="2">
        <v>1330</v>
      </c>
      <c r="DW269">
        <v>0</v>
      </c>
      <c r="DX269">
        <f t="shared" si="30"/>
        <v>14794</v>
      </c>
      <c r="DY269">
        <f t="shared" si="29"/>
        <v>1</v>
      </c>
    </row>
    <row r="270" spans="1:129">
      <c r="A270" s="1">
        <v>41177</v>
      </c>
      <c r="B270" s="1"/>
      <c r="E270">
        <v>1.1000000000000001</v>
      </c>
      <c r="R270">
        <v>0.2</v>
      </c>
      <c r="U270">
        <v>3.9</v>
      </c>
      <c r="V270">
        <v>2</v>
      </c>
      <c r="W270">
        <v>1.8</v>
      </c>
      <c r="Y270">
        <v>0</v>
      </c>
      <c r="Z270">
        <v>0.59999999999945397</v>
      </c>
      <c r="AE270">
        <v>10.5</v>
      </c>
      <c r="AG270">
        <v>0.89999999999963598</v>
      </c>
      <c r="AM270">
        <v>1</v>
      </c>
      <c r="AO270">
        <v>0.19999999999981799</v>
      </c>
      <c r="AT270">
        <v>39</v>
      </c>
      <c r="AW270">
        <v>0.59999999999945397</v>
      </c>
      <c r="BB270">
        <v>10.5</v>
      </c>
      <c r="BD270">
        <v>21.299999999988401</v>
      </c>
      <c r="BH270">
        <v>13.3000000000029</v>
      </c>
      <c r="BJ270">
        <v>0</v>
      </c>
      <c r="BK270">
        <v>0</v>
      </c>
      <c r="BL270">
        <v>6.4000000000014596</v>
      </c>
      <c r="BN270">
        <v>0</v>
      </c>
      <c r="BQ270">
        <v>2.4000000000014601</v>
      </c>
      <c r="BV270">
        <v>0.5</v>
      </c>
      <c r="CF270">
        <v>7.5</v>
      </c>
      <c r="CG270">
        <v>0</v>
      </c>
      <c r="CH270">
        <v>0</v>
      </c>
      <c r="CI270">
        <v>6.4000000000014596</v>
      </c>
      <c r="CJ270">
        <v>3.9</v>
      </c>
      <c r="CP270">
        <v>0.1</v>
      </c>
      <c r="CS270">
        <v>6.8</v>
      </c>
      <c r="CT270">
        <v>0.1</v>
      </c>
      <c r="CV270">
        <v>0.6</v>
      </c>
      <c r="DD270" s="5">
        <v>0.1</v>
      </c>
      <c r="DJ270" s="1">
        <v>41177</v>
      </c>
      <c r="DK270" s="2">
        <f t="shared" si="25"/>
        <v>4.4281249999998131</v>
      </c>
      <c r="DL270" s="2">
        <f t="shared" si="26"/>
        <v>1.3757281553397478</v>
      </c>
      <c r="DM270" s="2">
        <f t="shared" si="27"/>
        <v>39</v>
      </c>
      <c r="DN270" s="3">
        <f t="shared" si="28"/>
        <v>0.31067961165048541</v>
      </c>
      <c r="DV270" s="2">
        <v>1335</v>
      </c>
      <c r="DW270">
        <v>0</v>
      </c>
      <c r="DX270">
        <f t="shared" si="30"/>
        <v>14794</v>
      </c>
      <c r="DY270">
        <f t="shared" si="29"/>
        <v>1</v>
      </c>
    </row>
    <row r="271" spans="1:129">
      <c r="A271" s="1">
        <v>41178</v>
      </c>
      <c r="B271" s="1"/>
      <c r="E271">
        <v>0.3</v>
      </c>
      <c r="F271">
        <v>0.2</v>
      </c>
      <c r="N271">
        <v>0.3</v>
      </c>
      <c r="U271">
        <v>2.1</v>
      </c>
      <c r="V271">
        <v>1.1000000000000001</v>
      </c>
      <c r="W271">
        <v>0.2</v>
      </c>
      <c r="Y271">
        <v>4.5</v>
      </c>
      <c r="Z271">
        <v>2.7999999999992702</v>
      </c>
      <c r="AA271">
        <v>35.699999999953398</v>
      </c>
      <c r="AC271">
        <v>2</v>
      </c>
      <c r="AD271">
        <v>0.89999999999963598</v>
      </c>
      <c r="AO271">
        <v>1.1999999999989099</v>
      </c>
      <c r="AT271">
        <v>2.1999999999970901</v>
      </c>
      <c r="AU271">
        <v>1</v>
      </c>
      <c r="AW271">
        <v>2.7999999999992702</v>
      </c>
      <c r="AX271">
        <v>35.699999999953398</v>
      </c>
      <c r="AZ271">
        <v>2</v>
      </c>
      <c r="BA271">
        <v>0.89999999999963598</v>
      </c>
      <c r="BB271">
        <v>5.6999999999970896</v>
      </c>
      <c r="BD271">
        <v>5.1999999999970896</v>
      </c>
      <c r="BJ271">
        <v>0.100000000000023</v>
      </c>
      <c r="BL271">
        <v>0.100000000000023</v>
      </c>
      <c r="BN271">
        <v>12.8000000000029</v>
      </c>
      <c r="BP271">
        <v>5.4000000000014596</v>
      </c>
      <c r="BQ271">
        <v>2.1999999999970901</v>
      </c>
      <c r="BR271">
        <v>1</v>
      </c>
      <c r="BV271">
        <v>3.2000000000007298</v>
      </c>
      <c r="BX271">
        <v>0.39999999999963598</v>
      </c>
      <c r="CF271">
        <v>0.7</v>
      </c>
      <c r="CG271">
        <v>0.100000000000023</v>
      </c>
      <c r="CI271">
        <v>0.100000000000023</v>
      </c>
      <c r="CN271">
        <v>6.5</v>
      </c>
      <c r="CP271">
        <v>4.7</v>
      </c>
      <c r="CQ271">
        <v>0.9</v>
      </c>
      <c r="CR271">
        <v>0</v>
      </c>
      <c r="CS271">
        <v>0.5</v>
      </c>
      <c r="CV271">
        <v>11.3</v>
      </c>
      <c r="CX271">
        <v>1</v>
      </c>
      <c r="DB271">
        <v>25.4</v>
      </c>
      <c r="DC271">
        <v>2.8</v>
      </c>
      <c r="DD271" s="5"/>
      <c r="DJ271" s="1">
        <v>41178</v>
      </c>
      <c r="DK271" s="2">
        <f t="shared" si="25"/>
        <v>4.6499999999974175</v>
      </c>
      <c r="DL271" s="2">
        <f t="shared" si="26"/>
        <v>1.8058252427174439</v>
      </c>
      <c r="DM271" s="2">
        <f t="shared" si="27"/>
        <v>35.699999999953398</v>
      </c>
      <c r="DN271" s="3">
        <f t="shared" si="28"/>
        <v>0.38834951456310679</v>
      </c>
      <c r="DV271" s="2">
        <v>1340</v>
      </c>
      <c r="DW271">
        <v>0</v>
      </c>
      <c r="DX271">
        <f t="shared" si="30"/>
        <v>14794</v>
      </c>
      <c r="DY271">
        <f t="shared" si="29"/>
        <v>1</v>
      </c>
    </row>
    <row r="272" spans="1:129">
      <c r="A272" s="1">
        <v>41179</v>
      </c>
      <c r="B272" s="1"/>
      <c r="C272">
        <v>70.099999999999994</v>
      </c>
      <c r="E272">
        <v>7.2</v>
      </c>
      <c r="G272">
        <v>0.1</v>
      </c>
      <c r="I272">
        <v>2.8</v>
      </c>
      <c r="L272">
        <v>0.3</v>
      </c>
      <c r="M272">
        <v>0.4</v>
      </c>
      <c r="P272">
        <v>0.3</v>
      </c>
      <c r="T272">
        <v>0.2</v>
      </c>
      <c r="U272">
        <v>5.0999999999999996</v>
      </c>
      <c r="W272">
        <v>10.9</v>
      </c>
      <c r="Y272">
        <v>8</v>
      </c>
      <c r="AA272">
        <v>27.299999999988401</v>
      </c>
      <c r="AB272">
        <v>6.5</v>
      </c>
      <c r="AC272">
        <v>0.6</v>
      </c>
      <c r="AJ272">
        <v>5.0999999999985501</v>
      </c>
      <c r="AK272">
        <v>5.5</v>
      </c>
      <c r="AL272">
        <v>7.79999999999563</v>
      </c>
      <c r="AW272">
        <v>7.6999999999970896</v>
      </c>
      <c r="AX272">
        <v>27.299999999988401</v>
      </c>
      <c r="AY272">
        <v>6.5</v>
      </c>
      <c r="AZ272">
        <v>0.6</v>
      </c>
      <c r="BB272">
        <v>0.19999999999981799</v>
      </c>
      <c r="BD272">
        <v>28.299999999988401</v>
      </c>
      <c r="BG272">
        <v>5.0999999999985501</v>
      </c>
      <c r="BH272">
        <v>5.5</v>
      </c>
      <c r="BI272">
        <v>7.79999999999563</v>
      </c>
      <c r="BJ272">
        <v>15.100000000005799</v>
      </c>
      <c r="BL272">
        <v>0</v>
      </c>
      <c r="BN272">
        <v>0.100000000000023</v>
      </c>
      <c r="BR272">
        <v>0.200000000000045</v>
      </c>
      <c r="BT272">
        <v>7.6999999999970896</v>
      </c>
      <c r="CD272">
        <v>8.1999999999999993</v>
      </c>
      <c r="CG272">
        <v>15.100000000005799</v>
      </c>
      <c r="CI272">
        <v>0</v>
      </c>
      <c r="CJ272">
        <v>8.4</v>
      </c>
      <c r="CN272">
        <v>7.5</v>
      </c>
      <c r="CO272">
        <v>15.6</v>
      </c>
      <c r="CP272">
        <v>2.4</v>
      </c>
      <c r="CQ272">
        <v>0.3</v>
      </c>
      <c r="CT272">
        <v>0.6</v>
      </c>
      <c r="CV272">
        <v>37.9</v>
      </c>
      <c r="CW272">
        <v>0.1</v>
      </c>
      <c r="DA272">
        <v>4</v>
      </c>
      <c r="DB272">
        <v>29.2</v>
      </c>
      <c r="DC272">
        <v>1.5</v>
      </c>
      <c r="DD272" s="5">
        <v>0.9</v>
      </c>
      <c r="DJ272" s="1">
        <v>41179</v>
      </c>
      <c r="DK272" s="2">
        <f t="shared" si="25"/>
        <v>8.7391304347817211</v>
      </c>
      <c r="DL272" s="2">
        <f t="shared" si="26"/>
        <v>3.9029126213588272</v>
      </c>
      <c r="DM272" s="2">
        <f t="shared" si="27"/>
        <v>70.099999999999994</v>
      </c>
      <c r="DN272" s="3">
        <f t="shared" si="28"/>
        <v>0.44660194174757284</v>
      </c>
      <c r="DV272" s="2">
        <v>1345</v>
      </c>
      <c r="DW272">
        <v>0</v>
      </c>
      <c r="DX272">
        <f t="shared" si="30"/>
        <v>14794</v>
      </c>
      <c r="DY272">
        <f t="shared" si="29"/>
        <v>1</v>
      </c>
    </row>
    <row r="273" spans="1:129">
      <c r="A273" s="1">
        <v>41180</v>
      </c>
      <c r="B273" s="1"/>
      <c r="C273">
        <v>45.9</v>
      </c>
      <c r="E273">
        <v>2.7</v>
      </c>
      <c r="F273">
        <v>0.9</v>
      </c>
      <c r="K273">
        <v>1.5</v>
      </c>
      <c r="L273">
        <v>1.2</v>
      </c>
      <c r="S273">
        <v>0.6</v>
      </c>
      <c r="T273">
        <v>0.8</v>
      </c>
      <c r="U273">
        <v>43.3</v>
      </c>
      <c r="AA273">
        <v>12.599999999991301</v>
      </c>
      <c r="AB273">
        <v>14.799999999988399</v>
      </c>
      <c r="AE273">
        <v>45.799999999988401</v>
      </c>
      <c r="AG273">
        <v>1.39999999999964</v>
      </c>
      <c r="AK273">
        <v>3.6999999999970901</v>
      </c>
      <c r="AN273">
        <v>4.2299999999959299</v>
      </c>
      <c r="AO273">
        <v>15.399999999994201</v>
      </c>
      <c r="AX273">
        <v>4.0999999999985501</v>
      </c>
      <c r="AY273">
        <v>14.799999999988399</v>
      </c>
      <c r="BB273">
        <v>45.799999999988401</v>
      </c>
      <c r="BD273">
        <v>25.399999999994201</v>
      </c>
      <c r="BH273">
        <v>3.6999999999970901</v>
      </c>
      <c r="BJ273">
        <v>4</v>
      </c>
      <c r="BK273">
        <v>4.2299999999959299</v>
      </c>
      <c r="BL273">
        <v>25.200000000011599</v>
      </c>
      <c r="BQ273">
        <v>11.5</v>
      </c>
      <c r="BU273">
        <v>4.0999999999985501</v>
      </c>
      <c r="BX273">
        <v>0</v>
      </c>
      <c r="BZ273">
        <v>0</v>
      </c>
      <c r="CC273">
        <v>0.3</v>
      </c>
      <c r="CD273">
        <v>6.4</v>
      </c>
      <c r="CG273">
        <v>4</v>
      </c>
      <c r="CI273">
        <v>25.200000000011599</v>
      </c>
      <c r="CJ273">
        <v>13.8</v>
      </c>
      <c r="CN273">
        <v>0.4</v>
      </c>
      <c r="CP273">
        <v>0.6</v>
      </c>
      <c r="CS273">
        <v>4.5999999999999996</v>
      </c>
      <c r="CT273">
        <v>13.6</v>
      </c>
      <c r="CV273">
        <v>0.8</v>
      </c>
      <c r="CX273">
        <v>0.1</v>
      </c>
      <c r="DB273">
        <v>0.4</v>
      </c>
      <c r="DC273">
        <v>39.5</v>
      </c>
      <c r="DD273" s="5"/>
      <c r="DJ273" s="1">
        <v>41180</v>
      </c>
      <c r="DK273" s="2">
        <f t="shared" si="25"/>
        <v>11.18399999999848</v>
      </c>
      <c r="DL273" s="2">
        <f t="shared" si="26"/>
        <v>4.3433009708731962</v>
      </c>
      <c r="DM273" s="2">
        <f t="shared" si="27"/>
        <v>45.9</v>
      </c>
      <c r="DN273" s="3">
        <f t="shared" si="28"/>
        <v>0.38834951456310679</v>
      </c>
      <c r="DV273" s="2">
        <v>1350</v>
      </c>
      <c r="DW273">
        <v>0</v>
      </c>
      <c r="DX273">
        <f t="shared" si="30"/>
        <v>14794</v>
      </c>
      <c r="DY273">
        <f t="shared" si="29"/>
        <v>1</v>
      </c>
    </row>
    <row r="274" spans="1:129">
      <c r="A274" s="1">
        <v>41181</v>
      </c>
      <c r="B274" s="1"/>
      <c r="C274">
        <v>1.4</v>
      </c>
      <c r="D274">
        <v>4.8</v>
      </c>
      <c r="E274">
        <v>19.600000000000001</v>
      </c>
      <c r="F274">
        <v>0.5</v>
      </c>
      <c r="L274">
        <v>0.6</v>
      </c>
      <c r="M274">
        <v>1.7</v>
      </c>
      <c r="U274">
        <v>2.2000000000000002</v>
      </c>
      <c r="W274">
        <v>0.7</v>
      </c>
      <c r="Y274">
        <v>0.2</v>
      </c>
      <c r="AA274">
        <v>0</v>
      </c>
      <c r="AE274">
        <v>1</v>
      </c>
      <c r="AG274">
        <v>0.39999999999963598</v>
      </c>
      <c r="AL274">
        <v>2</v>
      </c>
      <c r="AN274">
        <v>7</v>
      </c>
      <c r="AO274">
        <v>1.0999999999985499</v>
      </c>
      <c r="AU274">
        <v>11.099999999991301</v>
      </c>
      <c r="AX274">
        <v>0.29999999999972699</v>
      </c>
      <c r="AY274">
        <v>0.5</v>
      </c>
      <c r="AZ274">
        <v>0.39999999999963598</v>
      </c>
      <c r="BB274">
        <v>1</v>
      </c>
      <c r="BC274">
        <v>11.099999999991301</v>
      </c>
      <c r="BD274">
        <v>0.39999999999963598</v>
      </c>
      <c r="BG274">
        <v>2.5999999999985399</v>
      </c>
      <c r="BI274">
        <v>2</v>
      </c>
      <c r="BJ274">
        <v>5.3000000000029104</v>
      </c>
      <c r="BK274">
        <v>7</v>
      </c>
      <c r="BL274">
        <v>25.299999999988401</v>
      </c>
      <c r="BQ274">
        <v>1.10000000000036</v>
      </c>
      <c r="BR274">
        <v>9.6999999999970896</v>
      </c>
      <c r="BT274">
        <v>4.8000000000029104</v>
      </c>
      <c r="BU274">
        <v>0.29999999999972699</v>
      </c>
      <c r="BV274">
        <v>0.5</v>
      </c>
      <c r="BW274">
        <v>0.39999999999963598</v>
      </c>
      <c r="CA274">
        <v>1.3</v>
      </c>
      <c r="CD274">
        <v>0</v>
      </c>
      <c r="CG274">
        <v>0.1</v>
      </c>
      <c r="CI274">
        <v>7.3</v>
      </c>
      <c r="CJ274">
        <v>9</v>
      </c>
      <c r="CL274">
        <v>5.5</v>
      </c>
      <c r="CS274">
        <v>4.7</v>
      </c>
      <c r="CT274">
        <v>7.2</v>
      </c>
      <c r="CV274">
        <v>6.4</v>
      </c>
      <c r="CX274">
        <v>5</v>
      </c>
      <c r="CY274">
        <v>7.9</v>
      </c>
      <c r="DC274">
        <v>9.3000000000000007</v>
      </c>
      <c r="DD274" s="5"/>
      <c r="DJ274" s="1">
        <v>41181</v>
      </c>
      <c r="DK274" s="2">
        <f t="shared" si="25"/>
        <v>4.2377777777770973</v>
      </c>
      <c r="DL274" s="2">
        <f t="shared" si="26"/>
        <v>1.8514563106793143</v>
      </c>
      <c r="DM274" s="2">
        <f t="shared" si="27"/>
        <v>25.299999999988401</v>
      </c>
      <c r="DN274" s="3">
        <f t="shared" si="28"/>
        <v>0.43689320388349512</v>
      </c>
      <c r="DV274" s="2">
        <v>1355</v>
      </c>
      <c r="DW274">
        <v>0</v>
      </c>
      <c r="DX274">
        <f t="shared" si="30"/>
        <v>14794</v>
      </c>
      <c r="DY274">
        <f t="shared" si="29"/>
        <v>1</v>
      </c>
    </row>
    <row r="275" spans="1:129">
      <c r="A275" s="1">
        <v>41182</v>
      </c>
      <c r="B275" s="1"/>
      <c r="D275">
        <v>1.1000000000000001</v>
      </c>
      <c r="E275">
        <v>85.7</v>
      </c>
      <c r="F275">
        <v>7.3</v>
      </c>
      <c r="J275">
        <v>4.5</v>
      </c>
      <c r="M275">
        <v>2.5</v>
      </c>
      <c r="U275">
        <v>1.1000000000000001</v>
      </c>
      <c r="W275">
        <v>12.9</v>
      </c>
      <c r="Z275">
        <v>1.5</v>
      </c>
      <c r="AN275">
        <v>26.899999999994201</v>
      </c>
      <c r="AO275">
        <v>3.1999999999970901</v>
      </c>
      <c r="AP275">
        <v>0.19999999999981799</v>
      </c>
      <c r="AT275">
        <v>8.3999999999941792</v>
      </c>
      <c r="AU275">
        <v>0.3</v>
      </c>
      <c r="AW275">
        <v>1.5</v>
      </c>
      <c r="AY275">
        <v>25.799999999988401</v>
      </c>
      <c r="AZ275">
        <v>1</v>
      </c>
      <c r="BJ275">
        <v>1.5</v>
      </c>
      <c r="BK275">
        <v>26.899999999994201</v>
      </c>
      <c r="BL275">
        <v>0.100000000000023</v>
      </c>
      <c r="BM275">
        <v>0.100000000000023</v>
      </c>
      <c r="BQ275">
        <v>2.7000000000007298</v>
      </c>
      <c r="BR275">
        <v>0.3</v>
      </c>
      <c r="BT275">
        <v>1.29999999999927</v>
      </c>
      <c r="BV275">
        <v>0.89999999999963598</v>
      </c>
      <c r="BW275">
        <v>1</v>
      </c>
      <c r="BY275">
        <v>1.7</v>
      </c>
      <c r="BZ275">
        <v>9.6</v>
      </c>
      <c r="CA275">
        <v>2.1</v>
      </c>
      <c r="CC275">
        <v>4.3</v>
      </c>
      <c r="CG275">
        <v>14.5</v>
      </c>
      <c r="CI275">
        <v>0.100000000000023</v>
      </c>
      <c r="CJ275">
        <v>0.8</v>
      </c>
      <c r="CL275">
        <v>9.5</v>
      </c>
      <c r="CY275">
        <v>9.8000000000000007</v>
      </c>
      <c r="DC275">
        <v>4.5</v>
      </c>
      <c r="DD275" s="5"/>
      <c r="DJ275" s="1">
        <v>41182</v>
      </c>
      <c r="DK275" s="2">
        <f t="shared" si="25"/>
        <v>7.8742857142847908</v>
      </c>
      <c r="DL275" s="2">
        <f t="shared" si="26"/>
        <v>2.6757281553394918</v>
      </c>
      <c r="DM275" s="2">
        <f t="shared" si="27"/>
        <v>85.7</v>
      </c>
      <c r="DN275" s="3">
        <f t="shared" si="28"/>
        <v>0.33980582524271846</v>
      </c>
      <c r="DV275" s="2">
        <v>1360</v>
      </c>
      <c r="DW275">
        <v>0</v>
      </c>
      <c r="DX275">
        <f t="shared" si="30"/>
        <v>14794</v>
      </c>
      <c r="DY275">
        <f t="shared" si="29"/>
        <v>1</v>
      </c>
    </row>
    <row r="276" spans="1:129">
      <c r="A276" s="1">
        <v>41183</v>
      </c>
      <c r="B276" s="1"/>
      <c r="M276">
        <v>1.3</v>
      </c>
      <c r="U276">
        <v>0.1</v>
      </c>
      <c r="W276">
        <v>0.8</v>
      </c>
      <c r="Y276">
        <v>4</v>
      </c>
      <c r="AB276">
        <v>14.5</v>
      </c>
      <c r="AD276">
        <v>0.2</v>
      </c>
      <c r="AE276">
        <v>2.3999999999978199</v>
      </c>
      <c r="AH276">
        <v>16</v>
      </c>
      <c r="AJ276">
        <v>6.5999999999985501</v>
      </c>
      <c r="AK276">
        <v>23</v>
      </c>
      <c r="AM276">
        <v>3.2999999999992702</v>
      </c>
      <c r="AN276">
        <v>11.299999999988399</v>
      </c>
      <c r="AP276">
        <v>0.19999999999981799</v>
      </c>
      <c r="AT276">
        <v>6.29999999999563</v>
      </c>
      <c r="AU276">
        <v>4.6999999999970896</v>
      </c>
      <c r="AY276">
        <v>3.5</v>
      </c>
      <c r="BB276">
        <v>21.399999999994201</v>
      </c>
      <c r="BI276">
        <v>0.100000000000023</v>
      </c>
      <c r="BK276">
        <v>0.3</v>
      </c>
      <c r="BL276">
        <v>0.200000000000045</v>
      </c>
      <c r="BR276">
        <v>0.100000000000023</v>
      </c>
      <c r="BS276">
        <v>0.60000000000036402</v>
      </c>
      <c r="BT276">
        <v>3.2999999999992702</v>
      </c>
      <c r="BU276">
        <v>2.5</v>
      </c>
      <c r="BV276">
        <v>0.100000000000023</v>
      </c>
      <c r="BW276">
        <v>14.3</v>
      </c>
      <c r="BZ276">
        <v>11</v>
      </c>
      <c r="CA276">
        <v>31</v>
      </c>
      <c r="CC276">
        <v>17.100000000000001</v>
      </c>
      <c r="CF276">
        <v>1.2</v>
      </c>
      <c r="CI276">
        <v>2.6</v>
      </c>
      <c r="CJ276">
        <v>2</v>
      </c>
      <c r="CK276">
        <v>21</v>
      </c>
      <c r="CP276">
        <v>1.3</v>
      </c>
      <c r="CQ276">
        <v>6.9</v>
      </c>
      <c r="CS276">
        <v>3.5</v>
      </c>
      <c r="CT276">
        <v>0.6</v>
      </c>
      <c r="DA276">
        <v>16.899999999999999</v>
      </c>
      <c r="DD276" s="5">
        <v>0.1</v>
      </c>
      <c r="DJ276" s="1">
        <v>41183</v>
      </c>
      <c r="DK276" s="2">
        <f t="shared" si="25"/>
        <v>6.5717948717941157</v>
      </c>
      <c r="DL276" s="2">
        <f t="shared" si="26"/>
        <v>2.4883495145628203</v>
      </c>
      <c r="DM276" s="2">
        <f t="shared" si="27"/>
        <v>31</v>
      </c>
      <c r="DN276" s="3">
        <f t="shared" si="28"/>
        <v>0.37864077669902912</v>
      </c>
      <c r="DV276" s="2">
        <v>1365</v>
      </c>
      <c r="DW276">
        <v>0</v>
      </c>
      <c r="DX276">
        <f t="shared" si="30"/>
        <v>14794</v>
      </c>
      <c r="DY276">
        <f t="shared" si="29"/>
        <v>1</v>
      </c>
    </row>
    <row r="277" spans="1:129">
      <c r="A277" s="1">
        <v>41184</v>
      </c>
      <c r="B277" s="1"/>
      <c r="G277">
        <v>0.3</v>
      </c>
      <c r="H277">
        <v>8.4</v>
      </c>
      <c r="J277">
        <v>2</v>
      </c>
      <c r="T277">
        <v>1.8</v>
      </c>
      <c r="U277">
        <v>0.1</v>
      </c>
      <c r="V277">
        <v>15.9</v>
      </c>
      <c r="W277">
        <v>1</v>
      </c>
      <c r="Y277">
        <v>11</v>
      </c>
      <c r="AB277">
        <v>3.2999999999992702</v>
      </c>
      <c r="AC277">
        <v>19.799999999988401</v>
      </c>
      <c r="AD277">
        <v>0.2</v>
      </c>
      <c r="AH277">
        <v>16.299999999988401</v>
      </c>
      <c r="AJ277">
        <v>0</v>
      </c>
      <c r="AK277">
        <v>0.39999999999963598</v>
      </c>
      <c r="AN277">
        <v>26</v>
      </c>
      <c r="AP277">
        <v>2.2999999999992702</v>
      </c>
      <c r="AQ277">
        <v>2</v>
      </c>
      <c r="AT277">
        <v>0.89999999999963598</v>
      </c>
      <c r="AU277">
        <v>8.8999999999941792</v>
      </c>
      <c r="AY277">
        <v>0.69999999999981799</v>
      </c>
      <c r="BB277">
        <v>2.3999999999978199</v>
      </c>
      <c r="BH277">
        <v>0.400000000000091</v>
      </c>
      <c r="BK277">
        <v>0.1</v>
      </c>
      <c r="BN277">
        <v>0.100000000000023</v>
      </c>
      <c r="BS277">
        <v>0.100000000000023</v>
      </c>
      <c r="BT277">
        <v>0.80000000000018201</v>
      </c>
      <c r="BU277">
        <v>4.5999999999985501</v>
      </c>
      <c r="BV277">
        <v>0.100000000000023</v>
      </c>
      <c r="BW277">
        <v>19</v>
      </c>
      <c r="BZ277">
        <v>2.1</v>
      </c>
      <c r="CA277">
        <v>0.2</v>
      </c>
      <c r="CB277">
        <v>0.1</v>
      </c>
      <c r="CQ277">
        <v>0.1</v>
      </c>
      <c r="CS277">
        <v>6.2</v>
      </c>
      <c r="CV277">
        <v>0.5</v>
      </c>
      <c r="CX277">
        <v>1</v>
      </c>
      <c r="CZ277">
        <v>0.1</v>
      </c>
      <c r="DA277">
        <v>9.8000000000000007</v>
      </c>
      <c r="DC277">
        <v>1.7</v>
      </c>
      <c r="DD277" s="5"/>
      <c r="DJ277" s="1">
        <v>41184</v>
      </c>
      <c r="DK277" s="2">
        <f t="shared" si="25"/>
        <v>4.3769230769221865</v>
      </c>
      <c r="DL277" s="2">
        <f t="shared" si="26"/>
        <v>1.6572815533977212</v>
      </c>
      <c r="DM277" s="2">
        <f t="shared" si="27"/>
        <v>26</v>
      </c>
      <c r="DN277" s="3">
        <f t="shared" si="28"/>
        <v>0.37864077669902912</v>
      </c>
      <c r="DV277" s="2">
        <v>1370</v>
      </c>
      <c r="DW277">
        <v>0</v>
      </c>
      <c r="DX277">
        <f t="shared" si="30"/>
        <v>14794</v>
      </c>
      <c r="DY277">
        <f t="shared" si="29"/>
        <v>1</v>
      </c>
    </row>
    <row r="278" spans="1:129">
      <c r="A278" s="1">
        <v>41185</v>
      </c>
      <c r="B278" s="1"/>
      <c r="F278">
        <v>0.5</v>
      </c>
      <c r="G278">
        <v>0.5</v>
      </c>
      <c r="N278">
        <v>21.7</v>
      </c>
      <c r="P278">
        <v>0.2</v>
      </c>
      <c r="R278">
        <v>0.8</v>
      </c>
      <c r="U278">
        <v>0.1</v>
      </c>
      <c r="V278">
        <v>18</v>
      </c>
      <c r="Y278">
        <v>0.2</v>
      </c>
      <c r="AB278">
        <v>18</v>
      </c>
      <c r="AC278">
        <v>12.1999999999971</v>
      </c>
      <c r="AD278">
        <v>0.1</v>
      </c>
      <c r="AE278">
        <v>4.6999999999970896</v>
      </c>
      <c r="AH278">
        <v>131.29999999981399</v>
      </c>
      <c r="AK278">
        <v>9.9999999999908995E-2</v>
      </c>
      <c r="AL278">
        <v>0</v>
      </c>
      <c r="AQ278">
        <v>2.1999999999970901</v>
      </c>
      <c r="AT278">
        <v>3.1999999999970901</v>
      </c>
      <c r="AU278">
        <v>0.29999999999972699</v>
      </c>
      <c r="AX278">
        <v>0.5</v>
      </c>
      <c r="BB278">
        <v>8.5999999999912706</v>
      </c>
      <c r="BD278">
        <v>2.7000000000007298</v>
      </c>
      <c r="BH278">
        <v>0.100000000000023</v>
      </c>
      <c r="BI278">
        <v>0.200000000000045</v>
      </c>
      <c r="BK278">
        <v>0.1</v>
      </c>
      <c r="BL278">
        <v>0</v>
      </c>
      <c r="BO278">
        <v>0.30000000000018201</v>
      </c>
      <c r="BQ278">
        <v>18.799999999988401</v>
      </c>
      <c r="BR278">
        <v>0.100000000000023</v>
      </c>
      <c r="BS278">
        <v>1.70000000000073</v>
      </c>
      <c r="BT278">
        <v>2.0999999999985399</v>
      </c>
      <c r="BV278">
        <v>1.39999999999964</v>
      </c>
      <c r="BX278">
        <v>0</v>
      </c>
      <c r="CA278">
        <v>4.5999999999999996</v>
      </c>
      <c r="CB278">
        <v>3.1</v>
      </c>
      <c r="CD278">
        <v>2.6</v>
      </c>
      <c r="CE278">
        <v>16.5</v>
      </c>
      <c r="CK278">
        <v>23.5</v>
      </c>
      <c r="CL278">
        <v>0.3</v>
      </c>
      <c r="CP278">
        <v>2.2999999999999998</v>
      </c>
      <c r="CR278">
        <v>0.1</v>
      </c>
      <c r="CS278">
        <v>6.8</v>
      </c>
      <c r="CV278">
        <v>22.6</v>
      </c>
      <c r="CX278">
        <v>3.5</v>
      </c>
      <c r="DA278">
        <v>5.4</v>
      </c>
      <c r="DC278">
        <v>0.1</v>
      </c>
      <c r="DD278" s="5"/>
      <c r="DJ278" s="1">
        <v>41185</v>
      </c>
      <c r="DK278" s="2">
        <f t="shared" si="25"/>
        <v>7.6022222222173692</v>
      </c>
      <c r="DL278" s="2">
        <f t="shared" si="26"/>
        <v>3.3213592232988507</v>
      </c>
      <c r="DM278" s="2">
        <f t="shared" si="27"/>
        <v>131.29999999981399</v>
      </c>
      <c r="DN278" s="3">
        <f t="shared" si="28"/>
        <v>0.43689320388349512</v>
      </c>
      <c r="DV278" s="2">
        <v>1375</v>
      </c>
      <c r="DW278">
        <v>0</v>
      </c>
      <c r="DX278">
        <f t="shared" si="30"/>
        <v>14794</v>
      </c>
      <c r="DY278">
        <f t="shared" si="29"/>
        <v>1</v>
      </c>
    </row>
    <row r="279" spans="1:129">
      <c r="A279" s="1">
        <v>41186</v>
      </c>
      <c r="B279" s="1"/>
      <c r="F279">
        <v>0.4</v>
      </c>
      <c r="G279">
        <v>0.2</v>
      </c>
      <c r="H279">
        <v>4.9000000000000004</v>
      </c>
      <c r="L279">
        <v>3.7</v>
      </c>
      <c r="N279">
        <v>14.4</v>
      </c>
      <c r="R279">
        <v>1.5</v>
      </c>
      <c r="S279">
        <v>20.3</v>
      </c>
      <c r="T279">
        <v>6.4</v>
      </c>
      <c r="AB279">
        <v>0.79999999999927196</v>
      </c>
      <c r="AE279">
        <v>0.19999999999981799</v>
      </c>
      <c r="AH279">
        <v>6.5</v>
      </c>
      <c r="AI279">
        <v>0.5</v>
      </c>
      <c r="AJ279">
        <v>0.29999999999972699</v>
      </c>
      <c r="AK279">
        <v>9.9999999999908995E-2</v>
      </c>
      <c r="AL279">
        <v>2.0999999999985399</v>
      </c>
      <c r="AP279">
        <v>0.19999999999981799</v>
      </c>
      <c r="AQ279">
        <v>15</v>
      </c>
      <c r="AR279">
        <v>17.699999999982499</v>
      </c>
      <c r="BB279">
        <v>18.299999999988401</v>
      </c>
      <c r="BF279">
        <v>0.5</v>
      </c>
      <c r="BH279">
        <v>0.5</v>
      </c>
      <c r="BJ279">
        <v>38.5</v>
      </c>
      <c r="BK279">
        <v>0.1</v>
      </c>
      <c r="BL279">
        <v>0.69999999999981799</v>
      </c>
      <c r="BM279">
        <v>30</v>
      </c>
      <c r="BQ279">
        <v>1</v>
      </c>
      <c r="BR279">
        <v>0.200000000000045</v>
      </c>
      <c r="BS279">
        <v>0.100000000000023</v>
      </c>
      <c r="BT279">
        <v>0.100000000000023</v>
      </c>
      <c r="BV279">
        <v>1.60000000000036</v>
      </c>
      <c r="CA279">
        <v>2.8</v>
      </c>
      <c r="CC279">
        <v>4.4000000000000004</v>
      </c>
      <c r="CE279">
        <v>10</v>
      </c>
      <c r="CG279">
        <v>1.8</v>
      </c>
      <c r="CK279">
        <v>0.7</v>
      </c>
      <c r="CL279">
        <v>16</v>
      </c>
      <c r="CR279">
        <v>0.5</v>
      </c>
      <c r="CW279">
        <v>11</v>
      </c>
      <c r="CX279">
        <v>0.1</v>
      </c>
      <c r="DA279">
        <v>3.9</v>
      </c>
      <c r="DD279" s="5"/>
      <c r="DJ279" s="1">
        <v>41186</v>
      </c>
      <c r="DK279" s="2">
        <f t="shared" si="25"/>
        <v>5.949999999999207</v>
      </c>
      <c r="DL279" s="2">
        <f t="shared" si="26"/>
        <v>2.3106796116501775</v>
      </c>
      <c r="DM279" s="2">
        <f t="shared" si="27"/>
        <v>38.5</v>
      </c>
      <c r="DN279" s="3">
        <f t="shared" si="28"/>
        <v>0.38834951456310679</v>
      </c>
      <c r="DV279" s="2">
        <v>1380</v>
      </c>
      <c r="DW279">
        <v>0</v>
      </c>
      <c r="DX279">
        <f t="shared" si="30"/>
        <v>14794</v>
      </c>
      <c r="DY279">
        <f t="shared" si="29"/>
        <v>1</v>
      </c>
    </row>
    <row r="280" spans="1:129">
      <c r="A280" s="1">
        <v>41187</v>
      </c>
      <c r="B280" s="1"/>
      <c r="D280">
        <v>2.7</v>
      </c>
      <c r="J280">
        <v>0.1</v>
      </c>
      <c r="K280">
        <v>3.2</v>
      </c>
      <c r="L280">
        <v>14.8</v>
      </c>
      <c r="M280">
        <v>0.7</v>
      </c>
      <c r="Q280">
        <v>0.1</v>
      </c>
      <c r="U280">
        <v>0.1</v>
      </c>
      <c r="W280">
        <v>0.7</v>
      </c>
      <c r="AB280">
        <v>2.2000000000000002</v>
      </c>
      <c r="AG280">
        <v>9.9999999999908995E-2</v>
      </c>
      <c r="AH280">
        <v>10.299999999988399</v>
      </c>
      <c r="AK280">
        <v>0</v>
      </c>
      <c r="AQ280">
        <v>0.29999999999972699</v>
      </c>
      <c r="AU280">
        <v>2.6999999999970901</v>
      </c>
      <c r="AW280">
        <v>20.799999999988401</v>
      </c>
      <c r="AY280">
        <v>9.9999999999908995E-2</v>
      </c>
      <c r="BF280" t="s">
        <v>0</v>
      </c>
      <c r="BI280">
        <v>2.5</v>
      </c>
      <c r="BJ280">
        <v>0.400000000000091</v>
      </c>
      <c r="BK280">
        <v>15.6</v>
      </c>
      <c r="BL280">
        <v>0.400000000000091</v>
      </c>
      <c r="BM280">
        <v>34.5</v>
      </c>
      <c r="BO280">
        <v>8.6999999999970896</v>
      </c>
      <c r="BP280">
        <v>0.100000000000023</v>
      </c>
      <c r="BV280">
        <v>0</v>
      </c>
      <c r="CC280">
        <v>0.1</v>
      </c>
      <c r="CE280">
        <v>12.5</v>
      </c>
      <c r="CG280">
        <v>7.4</v>
      </c>
      <c r="CV280">
        <v>3.6</v>
      </c>
      <c r="CW280">
        <v>1.7</v>
      </c>
      <c r="DD280" s="5">
        <v>2.2999999999999998</v>
      </c>
      <c r="DJ280" s="1">
        <v>41187</v>
      </c>
      <c r="DK280" s="2">
        <f t="shared" si="25"/>
        <v>4.9566666666656909</v>
      </c>
      <c r="DL280" s="2">
        <f t="shared" si="26"/>
        <v>1.4436893203880652</v>
      </c>
      <c r="DM280" s="2">
        <f t="shared" si="27"/>
        <v>34.5</v>
      </c>
      <c r="DN280" s="3">
        <f t="shared" si="28"/>
        <v>0.30097087378640774</v>
      </c>
      <c r="DV280" s="2">
        <v>1385</v>
      </c>
      <c r="DW280">
        <v>0</v>
      </c>
      <c r="DX280">
        <f t="shared" si="30"/>
        <v>14794</v>
      </c>
      <c r="DY280">
        <f t="shared" si="29"/>
        <v>1</v>
      </c>
    </row>
    <row r="281" spans="1:129">
      <c r="A281" s="1">
        <v>41188</v>
      </c>
      <c r="B281" s="1"/>
      <c r="D281">
        <v>0.4</v>
      </c>
      <c r="F281">
        <v>1.5</v>
      </c>
      <c r="J281">
        <v>0.3</v>
      </c>
      <c r="K281">
        <v>7.5</v>
      </c>
      <c r="L281">
        <v>37.700000000000003</v>
      </c>
      <c r="O281">
        <v>1.5</v>
      </c>
      <c r="T281">
        <v>1.4</v>
      </c>
      <c r="AA281">
        <v>9.9999999999908995E-2</v>
      </c>
      <c r="AC281">
        <v>0</v>
      </c>
      <c r="AE281">
        <v>0</v>
      </c>
      <c r="AG281">
        <v>0.5</v>
      </c>
      <c r="AH281">
        <v>0.2</v>
      </c>
      <c r="AK281">
        <v>18</v>
      </c>
      <c r="AL281">
        <v>4.1999999999970896</v>
      </c>
      <c r="AN281">
        <v>0.39999999999963598</v>
      </c>
      <c r="AP281">
        <v>0.59999999999945397</v>
      </c>
      <c r="AQ281">
        <v>4.3999999999941801</v>
      </c>
      <c r="AR281">
        <v>4.6999999999970896</v>
      </c>
      <c r="AS281">
        <v>9.1999999999970896</v>
      </c>
      <c r="AT281">
        <v>1</v>
      </c>
      <c r="BC281">
        <v>1.0999999999985499</v>
      </c>
      <c r="BE281">
        <v>0.5</v>
      </c>
      <c r="BF281">
        <v>0.60000000000036402</v>
      </c>
      <c r="BG281">
        <v>22.399999999994201</v>
      </c>
      <c r="BJ281">
        <v>0.100000000000023</v>
      </c>
      <c r="BK281">
        <v>12.5</v>
      </c>
      <c r="BL281">
        <v>0.5</v>
      </c>
      <c r="BM281">
        <v>35.5</v>
      </c>
      <c r="BN281">
        <v>0.100000000000023</v>
      </c>
      <c r="BO281">
        <v>13.1999999999971</v>
      </c>
      <c r="BV281">
        <v>0.89999999999963598</v>
      </c>
      <c r="BW281">
        <v>0</v>
      </c>
      <c r="CC281">
        <v>0.1</v>
      </c>
      <c r="CE281">
        <v>0.7</v>
      </c>
      <c r="CP281">
        <v>1.5</v>
      </c>
      <c r="CR281">
        <v>33.6</v>
      </c>
      <c r="CX281">
        <v>3.1</v>
      </c>
      <c r="DA281">
        <v>0.1</v>
      </c>
      <c r="DC281">
        <v>12.3</v>
      </c>
      <c r="DD281" s="5">
        <v>0.7</v>
      </c>
      <c r="DJ281" s="1">
        <v>41188</v>
      </c>
      <c r="DK281" s="2">
        <f t="shared" si="25"/>
        <v>5.8274999999993575</v>
      </c>
      <c r="DL281" s="2">
        <f t="shared" si="26"/>
        <v>2.2631067961162552</v>
      </c>
      <c r="DM281" s="2">
        <f t="shared" si="27"/>
        <v>37.700000000000003</v>
      </c>
      <c r="DN281" s="3">
        <f t="shared" si="28"/>
        <v>0.38834951456310679</v>
      </c>
      <c r="DV281" s="2">
        <v>1390</v>
      </c>
      <c r="DW281">
        <v>0</v>
      </c>
      <c r="DX281">
        <f t="shared" si="30"/>
        <v>14794</v>
      </c>
      <c r="DY281">
        <f t="shared" si="29"/>
        <v>1</v>
      </c>
    </row>
    <row r="282" spans="1:129">
      <c r="A282" s="1">
        <v>41189</v>
      </c>
      <c r="B282" s="1"/>
      <c r="F282">
        <v>9.5</v>
      </c>
      <c r="I282">
        <v>0.6</v>
      </c>
      <c r="K282">
        <v>0.6</v>
      </c>
      <c r="L282">
        <v>16.100000000000001</v>
      </c>
      <c r="O282">
        <v>2.4</v>
      </c>
      <c r="U282">
        <v>0.1</v>
      </c>
      <c r="V282">
        <v>71</v>
      </c>
      <c r="Y282">
        <v>0.7</v>
      </c>
      <c r="AB282">
        <v>0.19999999999981799</v>
      </c>
      <c r="AD282">
        <v>0.1</v>
      </c>
      <c r="AH282">
        <v>0.1</v>
      </c>
      <c r="AK282">
        <v>1.29999999999927</v>
      </c>
      <c r="AL282">
        <v>16</v>
      </c>
      <c r="AP282">
        <v>3.2999999999992702</v>
      </c>
      <c r="AQ282">
        <v>0.69999999999981799</v>
      </c>
      <c r="AS282">
        <v>70.299999999930193</v>
      </c>
      <c r="AV282">
        <v>15</v>
      </c>
      <c r="AZ282">
        <v>10.599999999991301</v>
      </c>
      <c r="BB282">
        <v>1.1999999999989099</v>
      </c>
      <c r="BC282">
        <v>1</v>
      </c>
      <c r="BE282">
        <v>2</v>
      </c>
      <c r="BG282">
        <v>0.30000000000018201</v>
      </c>
      <c r="BJ282">
        <v>0</v>
      </c>
      <c r="BK282">
        <v>1.7</v>
      </c>
      <c r="BM282">
        <v>29</v>
      </c>
      <c r="BN282">
        <v>0.100000000000023</v>
      </c>
      <c r="BO282">
        <v>1.39999999999964</v>
      </c>
      <c r="BS282">
        <v>2.2999999999992702</v>
      </c>
      <c r="CE282">
        <v>0.3</v>
      </c>
      <c r="CH282">
        <v>0</v>
      </c>
      <c r="CM282">
        <v>1</v>
      </c>
      <c r="CR282">
        <v>120.5</v>
      </c>
      <c r="CX282">
        <v>12.5</v>
      </c>
      <c r="CZ282">
        <v>0.8</v>
      </c>
      <c r="DC282">
        <v>11.3</v>
      </c>
      <c r="DD282" s="5"/>
      <c r="DJ282" s="1">
        <v>41189</v>
      </c>
      <c r="DK282" s="2">
        <f t="shared" si="25"/>
        <v>11.542857142854791</v>
      </c>
      <c r="DL282" s="2">
        <f t="shared" si="26"/>
        <v>3.9223300970865793</v>
      </c>
      <c r="DM282" s="2">
        <f t="shared" si="27"/>
        <v>120.5</v>
      </c>
      <c r="DN282" s="3">
        <f t="shared" si="28"/>
        <v>0.33980582524271846</v>
      </c>
      <c r="DV282" s="2">
        <v>1395</v>
      </c>
      <c r="DW282">
        <v>0</v>
      </c>
      <c r="DX282">
        <f t="shared" si="30"/>
        <v>14794</v>
      </c>
      <c r="DY282">
        <f t="shared" si="29"/>
        <v>1</v>
      </c>
    </row>
    <row r="283" spans="1:129">
      <c r="A283" s="1">
        <v>41190</v>
      </c>
      <c r="B283" s="1"/>
      <c r="F283">
        <v>45.4</v>
      </c>
      <c r="G283">
        <v>0.7</v>
      </c>
      <c r="L283">
        <v>5.8</v>
      </c>
      <c r="N283">
        <v>0.1</v>
      </c>
      <c r="V283">
        <v>2.2999999999999998</v>
      </c>
      <c r="AB283">
        <v>2.6</v>
      </c>
      <c r="AD283">
        <v>0.1</v>
      </c>
      <c r="AE283">
        <v>4.1999999999970896</v>
      </c>
      <c r="AG283">
        <v>0.29999999999972699</v>
      </c>
      <c r="AH283">
        <v>9.9999999999908995E-2</v>
      </c>
      <c r="AK283">
        <v>5.8999999999941801</v>
      </c>
      <c r="AL283">
        <v>7.6999999999970896</v>
      </c>
      <c r="AP283">
        <v>1.0999999999985499</v>
      </c>
      <c r="AS283">
        <v>3.0999999999985399</v>
      </c>
      <c r="AZ283">
        <v>0.5</v>
      </c>
      <c r="BA283">
        <v>1.39999999999964</v>
      </c>
      <c r="BB283">
        <v>20.5</v>
      </c>
      <c r="BD283">
        <v>0.200000000000045</v>
      </c>
      <c r="BL283">
        <v>0.100000000000023</v>
      </c>
      <c r="BO283">
        <v>4.5</v>
      </c>
      <c r="BS283">
        <v>0.100000000000023</v>
      </c>
      <c r="BU283">
        <v>5.5</v>
      </c>
      <c r="BW283">
        <v>0</v>
      </c>
      <c r="CA283">
        <v>0.3</v>
      </c>
      <c r="CB283">
        <v>20.8</v>
      </c>
      <c r="CE283">
        <v>4.5</v>
      </c>
      <c r="CF283">
        <v>0.7</v>
      </c>
      <c r="CM283">
        <v>1</v>
      </c>
      <c r="CN283">
        <v>0.2</v>
      </c>
      <c r="CP283">
        <v>22.1</v>
      </c>
      <c r="CQ283">
        <v>11.9</v>
      </c>
      <c r="CR283">
        <v>43</v>
      </c>
      <c r="CT283">
        <v>0.3</v>
      </c>
      <c r="CU283">
        <v>0.1</v>
      </c>
      <c r="CV283">
        <v>2.9</v>
      </c>
      <c r="CX283">
        <v>91.2</v>
      </c>
      <c r="CY283">
        <v>12</v>
      </c>
      <c r="DC283">
        <v>3.9</v>
      </c>
      <c r="DD283" s="5">
        <v>0.2</v>
      </c>
      <c r="DJ283" s="1">
        <v>41190</v>
      </c>
      <c r="DK283" s="2">
        <f t="shared" si="25"/>
        <v>8.3923076923073019</v>
      </c>
      <c r="DL283" s="2">
        <f t="shared" si="26"/>
        <v>3.1776699029124735</v>
      </c>
      <c r="DM283" s="2">
        <f t="shared" si="27"/>
        <v>91.2</v>
      </c>
      <c r="DN283" s="3">
        <f t="shared" si="28"/>
        <v>0.37864077669902912</v>
      </c>
      <c r="DV283" s="2">
        <v>1400</v>
      </c>
      <c r="DW283">
        <v>0</v>
      </c>
      <c r="DX283">
        <f t="shared" si="30"/>
        <v>14794</v>
      </c>
      <c r="DY283">
        <f t="shared" si="29"/>
        <v>1</v>
      </c>
    </row>
    <row r="284" spans="1:129">
      <c r="A284" s="1">
        <v>41191</v>
      </c>
      <c r="B284" s="1"/>
      <c r="F284">
        <v>1.6</v>
      </c>
      <c r="G284">
        <v>2</v>
      </c>
      <c r="H284">
        <v>1</v>
      </c>
      <c r="J284">
        <v>1.4</v>
      </c>
      <c r="N284">
        <v>0.3</v>
      </c>
      <c r="P284">
        <v>42</v>
      </c>
      <c r="Q284">
        <v>3.8</v>
      </c>
      <c r="S284">
        <v>14.5</v>
      </c>
      <c r="T284">
        <v>7.8</v>
      </c>
      <c r="U284">
        <v>0.1</v>
      </c>
      <c r="AD284">
        <v>0</v>
      </c>
      <c r="AI284">
        <v>0.79999999999927196</v>
      </c>
      <c r="AK284">
        <v>12.6999999999971</v>
      </c>
      <c r="AP284">
        <v>15</v>
      </c>
      <c r="AQ284">
        <v>6.6999999999970896</v>
      </c>
      <c r="AR284">
        <v>2.3999999999978199</v>
      </c>
      <c r="AS284">
        <v>5.0999999999985501</v>
      </c>
      <c r="AT284">
        <v>0.4</v>
      </c>
      <c r="AV284">
        <v>5.1999999999970896</v>
      </c>
      <c r="AW284">
        <v>9.9999999999908995E-2</v>
      </c>
      <c r="BA284">
        <v>1.1999999999989099</v>
      </c>
      <c r="BB284">
        <v>3.0999999999985399</v>
      </c>
      <c r="BD284">
        <v>1.20000000000073</v>
      </c>
      <c r="BG284">
        <v>14.8000000000029</v>
      </c>
      <c r="BH284">
        <v>0.200000000000045</v>
      </c>
      <c r="BI284">
        <v>0.100000000000023</v>
      </c>
      <c r="BL284">
        <v>0.100000000000023</v>
      </c>
      <c r="BY284">
        <v>0</v>
      </c>
      <c r="BZ284">
        <v>8.6</v>
      </c>
      <c r="CB284">
        <v>1</v>
      </c>
      <c r="CC284">
        <v>0.1</v>
      </c>
      <c r="CD284">
        <v>10.7</v>
      </c>
      <c r="CH284">
        <v>0</v>
      </c>
      <c r="CJ284">
        <v>1</v>
      </c>
      <c r="CM284">
        <v>1.8</v>
      </c>
      <c r="CN284">
        <v>3</v>
      </c>
      <c r="CP284">
        <v>0</v>
      </c>
      <c r="CQ284">
        <v>0.9</v>
      </c>
      <c r="CT284">
        <v>7.6</v>
      </c>
      <c r="CX284">
        <v>2</v>
      </c>
      <c r="CY284">
        <v>9.8000000000000007</v>
      </c>
      <c r="DD284" s="5"/>
      <c r="DJ284" s="1">
        <v>41191</v>
      </c>
      <c r="DK284" s="2">
        <f t="shared" si="25"/>
        <v>4.6365853658533656</v>
      </c>
      <c r="DL284" s="2">
        <f t="shared" si="26"/>
        <v>1.8456310679610486</v>
      </c>
      <c r="DM284" s="2">
        <f t="shared" si="27"/>
        <v>42</v>
      </c>
      <c r="DN284" s="3">
        <f t="shared" si="28"/>
        <v>0.39805825242718446</v>
      </c>
      <c r="DV284" s="2">
        <v>1405</v>
      </c>
      <c r="DW284">
        <v>0</v>
      </c>
      <c r="DX284">
        <f t="shared" si="30"/>
        <v>14794</v>
      </c>
      <c r="DY284">
        <f t="shared" si="29"/>
        <v>1</v>
      </c>
    </row>
    <row r="285" spans="1:129">
      <c r="A285" s="1">
        <v>41192</v>
      </c>
      <c r="B285" s="1"/>
      <c r="C285">
        <v>3.2</v>
      </c>
      <c r="G285">
        <v>0.3</v>
      </c>
      <c r="K285">
        <v>4.5</v>
      </c>
      <c r="P285">
        <v>12.5</v>
      </c>
      <c r="Q285">
        <v>3.4</v>
      </c>
      <c r="S285">
        <v>0.4</v>
      </c>
      <c r="Z285">
        <v>53</v>
      </c>
      <c r="AA285">
        <v>0.5</v>
      </c>
      <c r="AC285">
        <v>10.399999999994201</v>
      </c>
      <c r="AH285">
        <v>0.39999999999963598</v>
      </c>
      <c r="AI285">
        <v>4</v>
      </c>
      <c r="AL285">
        <v>3.8999999999978199</v>
      </c>
      <c r="AN285">
        <v>13.5</v>
      </c>
      <c r="AP285">
        <v>0.59999999999945397</v>
      </c>
      <c r="AR285">
        <v>19.299999999988401</v>
      </c>
      <c r="AT285">
        <v>9.9999999999908995E-2</v>
      </c>
      <c r="AV285">
        <v>4.5999999999985501</v>
      </c>
      <c r="AY285">
        <v>31.099999999976699</v>
      </c>
      <c r="BA285">
        <v>0.59999999999945397</v>
      </c>
      <c r="BB285">
        <v>10.1999999999971</v>
      </c>
      <c r="BE285">
        <v>35.599999999976703</v>
      </c>
      <c r="BG285">
        <v>9.3000000000029104</v>
      </c>
      <c r="BH285">
        <v>0.100000000000023</v>
      </c>
      <c r="BJ285">
        <v>0.100000000000023</v>
      </c>
      <c r="BK285">
        <v>0.1</v>
      </c>
      <c r="BL285">
        <v>1.70000000000073</v>
      </c>
      <c r="BO285">
        <v>0.200000000000045</v>
      </c>
      <c r="BQ285">
        <v>1.60000000000036</v>
      </c>
      <c r="BS285">
        <v>2</v>
      </c>
      <c r="BV285">
        <v>1.20000000000073</v>
      </c>
      <c r="BW285">
        <v>17.7</v>
      </c>
      <c r="BY285">
        <v>0</v>
      </c>
      <c r="BZ285">
        <v>10.1</v>
      </c>
      <c r="CB285">
        <v>0</v>
      </c>
      <c r="CD285">
        <v>1.8</v>
      </c>
      <c r="CH285">
        <v>4.5</v>
      </c>
      <c r="CI285">
        <v>5.8</v>
      </c>
      <c r="CJ285">
        <v>1.4</v>
      </c>
      <c r="CN285">
        <v>6.5</v>
      </c>
      <c r="CQ285">
        <v>4.9000000000000004</v>
      </c>
      <c r="CS285">
        <v>1.7</v>
      </c>
      <c r="CT285">
        <v>3.1</v>
      </c>
      <c r="CV285">
        <v>6.1</v>
      </c>
      <c r="CY285">
        <v>28</v>
      </c>
      <c r="DD285" s="5"/>
      <c r="DJ285" s="1">
        <v>41192</v>
      </c>
      <c r="DK285" s="2">
        <f t="shared" si="25"/>
        <v>7.272727272725743</v>
      </c>
      <c r="DL285" s="2">
        <f t="shared" si="26"/>
        <v>3.1067961165042011</v>
      </c>
      <c r="DM285" s="2">
        <f t="shared" si="27"/>
        <v>53</v>
      </c>
      <c r="DN285" s="3">
        <f t="shared" si="28"/>
        <v>0.42718446601941745</v>
      </c>
      <c r="DV285" s="2">
        <v>1410</v>
      </c>
      <c r="DW285">
        <v>0</v>
      </c>
      <c r="DX285">
        <f t="shared" si="30"/>
        <v>14794</v>
      </c>
      <c r="DY285">
        <f t="shared" si="29"/>
        <v>1</v>
      </c>
    </row>
    <row r="286" spans="1:129">
      <c r="A286" s="1">
        <v>41193</v>
      </c>
      <c r="B286" s="1"/>
      <c r="C286">
        <v>4.7</v>
      </c>
      <c r="D286">
        <v>7.9</v>
      </c>
      <c r="E286">
        <v>0.5</v>
      </c>
      <c r="G286">
        <v>4.2</v>
      </c>
      <c r="P286">
        <v>32.799999999999997</v>
      </c>
      <c r="Q286">
        <v>0.3</v>
      </c>
      <c r="T286">
        <v>4.2</v>
      </c>
      <c r="Y286">
        <v>0.2</v>
      </c>
      <c r="Z286">
        <v>2.6999999999970901</v>
      </c>
      <c r="AA286">
        <v>0.29999999999972699</v>
      </c>
      <c r="AC286">
        <v>3.2999999999992702</v>
      </c>
      <c r="AH286">
        <v>19.699999999982499</v>
      </c>
      <c r="AI286">
        <v>14.599999999991301</v>
      </c>
      <c r="AJ286">
        <v>0.69999999999981799</v>
      </c>
      <c r="AL286">
        <v>20.599999999976699</v>
      </c>
      <c r="AN286">
        <v>39</v>
      </c>
      <c r="AO286">
        <v>0.19999999999981799</v>
      </c>
      <c r="AS286">
        <v>12.5</v>
      </c>
      <c r="AU286">
        <v>0.19999999999981799</v>
      </c>
      <c r="AV286">
        <v>1.39999999999964</v>
      </c>
      <c r="AY286">
        <v>0.29999999999972699</v>
      </c>
      <c r="BC286">
        <v>0.39999999999963598</v>
      </c>
      <c r="BE286">
        <v>0.60000000000036402</v>
      </c>
      <c r="BH286">
        <v>0.5</v>
      </c>
      <c r="BI286">
        <v>0.30000000000018201</v>
      </c>
      <c r="BJ286">
        <v>0</v>
      </c>
      <c r="BM286">
        <v>0.100000000000023</v>
      </c>
      <c r="BN286">
        <v>0</v>
      </c>
      <c r="BO286">
        <v>0.89999999999963598</v>
      </c>
      <c r="BY286">
        <v>2.1</v>
      </c>
      <c r="BZ286">
        <v>0.5</v>
      </c>
      <c r="CC286">
        <v>12</v>
      </c>
      <c r="CH286">
        <v>47.9</v>
      </c>
      <c r="CI286">
        <v>0.8</v>
      </c>
      <c r="CR286">
        <v>18</v>
      </c>
      <c r="CS286">
        <v>0.8</v>
      </c>
      <c r="CV286">
        <v>9.6999999999999993</v>
      </c>
      <c r="CX286">
        <v>1</v>
      </c>
      <c r="DB286">
        <v>0.3</v>
      </c>
      <c r="DC286">
        <v>13.5</v>
      </c>
      <c r="DD286" s="5">
        <v>0.8</v>
      </c>
      <c r="DJ286" s="1">
        <v>41193</v>
      </c>
      <c r="DK286" s="2">
        <f t="shared" si="25"/>
        <v>6.8414634146328108</v>
      </c>
      <c r="DL286" s="2">
        <f t="shared" si="26"/>
        <v>2.7233009708732547</v>
      </c>
      <c r="DM286" s="2">
        <f t="shared" si="27"/>
        <v>47.9</v>
      </c>
      <c r="DN286" s="3">
        <f t="shared" si="28"/>
        <v>0.39805825242718446</v>
      </c>
      <c r="DV286" s="2">
        <v>1415</v>
      </c>
      <c r="DW286">
        <v>0</v>
      </c>
      <c r="DX286">
        <f t="shared" si="30"/>
        <v>14794</v>
      </c>
      <c r="DY286">
        <f t="shared" si="29"/>
        <v>1</v>
      </c>
    </row>
    <row r="287" spans="1:129">
      <c r="A287" s="1">
        <v>41194</v>
      </c>
      <c r="B287" s="1"/>
      <c r="E287">
        <v>1.1000000000000001</v>
      </c>
      <c r="G287">
        <v>27.4</v>
      </c>
      <c r="K287">
        <v>0.5</v>
      </c>
      <c r="L287">
        <v>1.3</v>
      </c>
      <c r="P287">
        <v>8.3000000000000007</v>
      </c>
      <c r="Q287">
        <v>0.3</v>
      </c>
      <c r="T287">
        <v>2.4</v>
      </c>
      <c r="U287">
        <v>15.6</v>
      </c>
      <c r="Y287">
        <v>0.1</v>
      </c>
      <c r="Z287">
        <v>0.69999999999981799</v>
      </c>
      <c r="AB287">
        <v>0.29999999999972699</v>
      </c>
      <c r="AC287">
        <v>7.79999999999563</v>
      </c>
      <c r="AG287">
        <v>0.19999999999981799</v>
      </c>
      <c r="AH287">
        <v>2.5</v>
      </c>
      <c r="AI287">
        <v>4.79999999999563</v>
      </c>
      <c r="AJ287">
        <v>6.29999999999563</v>
      </c>
      <c r="AN287">
        <v>12.899999999994201</v>
      </c>
      <c r="AP287">
        <v>17.099999999976699</v>
      </c>
      <c r="AQ287">
        <v>8.5</v>
      </c>
      <c r="AR287">
        <v>22.5</v>
      </c>
      <c r="AT287">
        <v>0.19999999999981799</v>
      </c>
      <c r="AW287">
        <v>0.19999999999981799</v>
      </c>
      <c r="AY287">
        <v>0.5</v>
      </c>
      <c r="BA287">
        <v>18.5</v>
      </c>
      <c r="BC287">
        <v>1.1999999999989099</v>
      </c>
      <c r="BE287">
        <v>10.100000000005799</v>
      </c>
      <c r="BH287">
        <v>8.6000000000058208</v>
      </c>
      <c r="BJ287">
        <v>4.9000000000014596</v>
      </c>
      <c r="BN287">
        <v>0.100000000000023</v>
      </c>
      <c r="BO287">
        <v>2.5999999999985399</v>
      </c>
      <c r="BP287">
        <v>0.100000000000023</v>
      </c>
      <c r="BS287">
        <v>0.100000000000023</v>
      </c>
      <c r="BU287">
        <v>2.4000000000014601</v>
      </c>
      <c r="BV287">
        <v>2.2000000000007298</v>
      </c>
      <c r="BW287">
        <v>11.7</v>
      </c>
      <c r="BY287">
        <v>0.8</v>
      </c>
      <c r="CF287">
        <v>26.5</v>
      </c>
      <c r="CH287">
        <v>14.6</v>
      </c>
      <c r="CJ287">
        <v>0.2</v>
      </c>
      <c r="CK287">
        <v>4</v>
      </c>
      <c r="CP287">
        <v>1.6</v>
      </c>
      <c r="CR287">
        <v>2.5</v>
      </c>
      <c r="CU287">
        <v>0.7</v>
      </c>
      <c r="CX287">
        <v>2.5</v>
      </c>
      <c r="DB287">
        <v>0.7</v>
      </c>
      <c r="DC287">
        <v>9</v>
      </c>
      <c r="DD287" s="5">
        <v>6.5</v>
      </c>
      <c r="DJ287" s="1">
        <v>41194</v>
      </c>
      <c r="DK287" s="2">
        <f t="shared" si="25"/>
        <v>5.821276595744032</v>
      </c>
      <c r="DL287" s="2">
        <f t="shared" si="26"/>
        <v>2.6563106796113543</v>
      </c>
      <c r="DM287" s="2">
        <f t="shared" si="27"/>
        <v>27.4</v>
      </c>
      <c r="DN287" s="3">
        <f t="shared" si="28"/>
        <v>0.4563106796116505</v>
      </c>
      <c r="DV287" s="2">
        <v>1420</v>
      </c>
      <c r="DW287">
        <v>0</v>
      </c>
      <c r="DX287">
        <f t="shared" si="30"/>
        <v>14794</v>
      </c>
      <c r="DY287">
        <f t="shared" si="29"/>
        <v>1</v>
      </c>
    </row>
    <row r="288" spans="1:129">
      <c r="A288" s="1">
        <v>41195</v>
      </c>
      <c r="B288" s="1"/>
      <c r="F288">
        <v>1.3</v>
      </c>
      <c r="G288">
        <v>11</v>
      </c>
      <c r="L288">
        <v>13.5</v>
      </c>
      <c r="P288">
        <v>2.6</v>
      </c>
      <c r="S288">
        <v>7.3</v>
      </c>
      <c r="U288">
        <v>17.399999999999999</v>
      </c>
      <c r="AB288">
        <v>6.0999999999985501</v>
      </c>
      <c r="AC288">
        <v>35.199999999953398</v>
      </c>
      <c r="AE288">
        <v>4.1999999999970896</v>
      </c>
      <c r="AG288">
        <v>53.599999999976703</v>
      </c>
      <c r="AI288">
        <v>21.799999999988401</v>
      </c>
      <c r="AJ288">
        <v>5.29999999999563</v>
      </c>
      <c r="AL288">
        <v>5.5</v>
      </c>
      <c r="AO288">
        <v>0.19999999999981799</v>
      </c>
      <c r="AP288">
        <v>12.099999999991301</v>
      </c>
      <c r="AQ288">
        <v>11.1999999999971</v>
      </c>
      <c r="AR288">
        <v>5.0999999999985501</v>
      </c>
      <c r="AS288">
        <v>9.7999999999883602</v>
      </c>
      <c r="AT288">
        <v>0.29999999999972699</v>
      </c>
      <c r="AY288">
        <v>1.0999999999985499</v>
      </c>
      <c r="BA288">
        <v>22.299999999988401</v>
      </c>
      <c r="BE288">
        <v>5.8000000000029104</v>
      </c>
      <c r="BH288">
        <v>1.70000000000073</v>
      </c>
      <c r="BJ288">
        <v>0.100000000000023</v>
      </c>
      <c r="BK288">
        <v>0.1</v>
      </c>
      <c r="BM288">
        <v>0.400000000000091</v>
      </c>
      <c r="BN288">
        <v>0.100000000000023</v>
      </c>
      <c r="BQ288">
        <v>0.200000000000045</v>
      </c>
      <c r="BR288">
        <v>0</v>
      </c>
      <c r="BU288">
        <v>28.700000000011599</v>
      </c>
      <c r="BV288">
        <v>0.200000000000045</v>
      </c>
      <c r="BW288">
        <v>5</v>
      </c>
      <c r="BX288">
        <v>1.39999999999964</v>
      </c>
      <c r="BY288">
        <v>1.3</v>
      </c>
      <c r="BZ288">
        <v>4.3</v>
      </c>
      <c r="CA288">
        <v>0.3</v>
      </c>
      <c r="CF288">
        <v>1</v>
      </c>
      <c r="CH288">
        <v>18.399999999999999</v>
      </c>
      <c r="CJ288">
        <v>2.2999999999999998</v>
      </c>
      <c r="CK288">
        <v>117</v>
      </c>
      <c r="CP288">
        <v>5.9</v>
      </c>
      <c r="CR288">
        <v>0.1</v>
      </c>
      <c r="CT288">
        <v>4.8</v>
      </c>
      <c r="CU288">
        <v>97</v>
      </c>
      <c r="CW288">
        <v>7.1</v>
      </c>
      <c r="CX288">
        <v>34.5</v>
      </c>
      <c r="CY288">
        <v>8</v>
      </c>
      <c r="DC288">
        <v>0.8</v>
      </c>
      <c r="DD288" s="5"/>
      <c r="DJ288" s="1">
        <v>41195</v>
      </c>
      <c r="DK288" s="2">
        <f t="shared" si="25"/>
        <v>12.36249999999764</v>
      </c>
      <c r="DL288" s="2">
        <f t="shared" si="26"/>
        <v>5.7611650485425896</v>
      </c>
      <c r="DM288" s="2">
        <f t="shared" si="27"/>
        <v>117</v>
      </c>
      <c r="DN288" s="3">
        <f t="shared" si="28"/>
        <v>0.46601941747572817</v>
      </c>
      <c r="DV288" s="2">
        <v>1425</v>
      </c>
      <c r="DW288">
        <v>0</v>
      </c>
      <c r="DX288">
        <f t="shared" si="30"/>
        <v>14794</v>
      </c>
      <c r="DY288">
        <f t="shared" si="29"/>
        <v>1</v>
      </c>
    </row>
    <row r="289" spans="1:129">
      <c r="A289" s="1">
        <v>41196</v>
      </c>
      <c r="B289" s="1"/>
      <c r="E289">
        <v>4.7</v>
      </c>
      <c r="F289">
        <v>0.1</v>
      </c>
      <c r="G289">
        <v>0.6</v>
      </c>
      <c r="L289">
        <v>2</v>
      </c>
      <c r="N289">
        <v>0.2</v>
      </c>
      <c r="Q289">
        <v>1.1000000000000001</v>
      </c>
      <c r="S289">
        <v>1.8</v>
      </c>
      <c r="T289">
        <v>12.3</v>
      </c>
      <c r="U289">
        <v>44.5</v>
      </c>
      <c r="Y289">
        <v>0.2</v>
      </c>
      <c r="AB289">
        <v>2</v>
      </c>
      <c r="AC289">
        <v>33.799999999988401</v>
      </c>
      <c r="AF289">
        <v>2.5999999999985399</v>
      </c>
      <c r="AG289">
        <v>31.399999999994201</v>
      </c>
      <c r="AH289">
        <v>1.5</v>
      </c>
      <c r="AI289">
        <v>1</v>
      </c>
      <c r="AL289">
        <v>2.7999999999992702</v>
      </c>
      <c r="AP289">
        <v>11.1999999999971</v>
      </c>
      <c r="AQ289">
        <v>13.1999999999971</v>
      </c>
      <c r="AS289">
        <v>0.5</v>
      </c>
      <c r="AT289">
        <v>0.29999999999972699</v>
      </c>
      <c r="AU289">
        <v>0.69999999999981799</v>
      </c>
      <c r="AX289">
        <v>1</v>
      </c>
      <c r="BA289">
        <v>18.899999999994201</v>
      </c>
      <c r="BE289">
        <v>0.200000000000045</v>
      </c>
      <c r="BI289">
        <v>0.100000000000023</v>
      </c>
      <c r="BJ289">
        <v>0</v>
      </c>
      <c r="BL289">
        <v>1.60000000000036</v>
      </c>
      <c r="BP289">
        <v>0.69999999999981799</v>
      </c>
      <c r="BQ289">
        <v>2.7999999999992702</v>
      </c>
      <c r="BS289">
        <v>0.100000000000023</v>
      </c>
      <c r="BU289">
        <v>0</v>
      </c>
      <c r="BY289">
        <v>23.2</v>
      </c>
      <c r="BZ289">
        <v>7.8</v>
      </c>
      <c r="CA289">
        <v>0.2</v>
      </c>
      <c r="CB289">
        <v>0.1</v>
      </c>
      <c r="CK289">
        <v>30.6</v>
      </c>
      <c r="CL289">
        <v>10</v>
      </c>
      <c r="CM289">
        <v>0.2</v>
      </c>
      <c r="CP289">
        <v>0.2</v>
      </c>
      <c r="CS289">
        <v>0.1</v>
      </c>
      <c r="CU289">
        <v>10.5</v>
      </c>
      <c r="CV289">
        <v>3</v>
      </c>
      <c r="CX289">
        <v>36.799999999999997</v>
      </c>
      <c r="CY289">
        <v>9</v>
      </c>
      <c r="DD289" s="5"/>
      <c r="DJ289" s="1">
        <v>41196</v>
      </c>
      <c r="DK289" s="2">
        <f t="shared" si="25"/>
        <v>7.2355555555548428</v>
      </c>
      <c r="DL289" s="2">
        <f t="shared" si="26"/>
        <v>3.1611650485433778</v>
      </c>
      <c r="DM289" s="2">
        <f t="shared" si="27"/>
        <v>44.5</v>
      </c>
      <c r="DN289" s="3">
        <f t="shared" si="28"/>
        <v>0.43689320388349512</v>
      </c>
      <c r="DV289" s="2">
        <v>1430</v>
      </c>
      <c r="DW289">
        <v>0</v>
      </c>
      <c r="DX289">
        <f t="shared" si="30"/>
        <v>14794</v>
      </c>
      <c r="DY289">
        <f t="shared" si="29"/>
        <v>1</v>
      </c>
    </row>
    <row r="290" spans="1:129">
      <c r="A290" s="1">
        <v>41197</v>
      </c>
      <c r="B290" s="1"/>
      <c r="E290">
        <v>1.1000000000000001</v>
      </c>
      <c r="N290">
        <v>0.4</v>
      </c>
      <c r="P290">
        <v>41.8</v>
      </c>
      <c r="Q290">
        <v>1</v>
      </c>
      <c r="T290">
        <v>17.5</v>
      </c>
      <c r="U290">
        <v>24.6</v>
      </c>
      <c r="W290">
        <v>0</v>
      </c>
      <c r="AB290">
        <v>10.299999999988399</v>
      </c>
      <c r="AC290">
        <v>53</v>
      </c>
      <c r="AF290">
        <v>3.2999999999992702</v>
      </c>
      <c r="AG290">
        <v>2.7999999999992702</v>
      </c>
      <c r="AH290">
        <v>1.89999999999964</v>
      </c>
      <c r="AI290">
        <v>7.8999999999941801</v>
      </c>
      <c r="AJ290">
        <v>1.5</v>
      </c>
      <c r="AO290">
        <v>0.19999999999981799</v>
      </c>
      <c r="AP290">
        <v>1.5999999999985499</v>
      </c>
      <c r="AQ290">
        <v>69.599999999976703</v>
      </c>
      <c r="AU290">
        <v>2.3999999999978199</v>
      </c>
      <c r="BA290">
        <v>17.799999999988401</v>
      </c>
      <c r="BB290">
        <v>10.099999999991301</v>
      </c>
      <c r="BF290">
        <v>5.3000000000029104</v>
      </c>
      <c r="BJ290">
        <v>0</v>
      </c>
      <c r="BL290">
        <v>38.099999999976703</v>
      </c>
      <c r="BM290">
        <v>5.1999999999970896</v>
      </c>
      <c r="BO290">
        <v>0.100000000000023</v>
      </c>
      <c r="BP290">
        <v>0.100000000000023</v>
      </c>
      <c r="BQ290">
        <v>15.6999999999971</v>
      </c>
      <c r="BR290">
        <v>0.200000000000045</v>
      </c>
      <c r="BY290">
        <v>111.8</v>
      </c>
      <c r="BZ290">
        <v>1.1000000000000001</v>
      </c>
      <c r="CC290">
        <v>3.7</v>
      </c>
      <c r="CF290">
        <v>3.5</v>
      </c>
      <c r="CK290">
        <v>31.4</v>
      </c>
      <c r="CL290">
        <v>9</v>
      </c>
      <c r="CM290">
        <v>0.5</v>
      </c>
      <c r="CP290">
        <v>2.6</v>
      </c>
      <c r="CR290">
        <v>0.1</v>
      </c>
      <c r="CS290">
        <v>3.4</v>
      </c>
      <c r="CT290">
        <v>1.2</v>
      </c>
      <c r="CU290">
        <v>0.5</v>
      </c>
      <c r="CV290">
        <v>6</v>
      </c>
      <c r="CX290">
        <v>6.3</v>
      </c>
      <c r="CY290">
        <v>16</v>
      </c>
      <c r="DD290" s="5"/>
      <c r="DJ290" s="1">
        <v>41197</v>
      </c>
      <c r="DK290" s="2">
        <f t="shared" si="25"/>
        <v>12.339534883718773</v>
      </c>
      <c r="DL290" s="2">
        <f t="shared" si="26"/>
        <v>5.1514563106787108</v>
      </c>
      <c r="DM290" s="2">
        <f t="shared" si="27"/>
        <v>111.8</v>
      </c>
      <c r="DN290" s="3">
        <f t="shared" si="28"/>
        <v>0.41747572815533979</v>
      </c>
      <c r="DV290" s="2">
        <v>1435</v>
      </c>
      <c r="DW290">
        <v>0</v>
      </c>
      <c r="DX290">
        <f t="shared" si="30"/>
        <v>14794</v>
      </c>
      <c r="DY290">
        <f t="shared" si="29"/>
        <v>1</v>
      </c>
    </row>
    <row r="291" spans="1:129">
      <c r="A291" s="1">
        <v>41198</v>
      </c>
      <c r="B291" s="1"/>
      <c r="C291">
        <v>4.5</v>
      </c>
      <c r="D291">
        <v>6.8</v>
      </c>
      <c r="E291">
        <v>0.2</v>
      </c>
      <c r="J291">
        <v>0.4</v>
      </c>
      <c r="N291">
        <v>2.4</v>
      </c>
      <c r="O291">
        <v>8.9</v>
      </c>
      <c r="Q291">
        <v>31</v>
      </c>
      <c r="T291">
        <v>1</v>
      </c>
      <c r="W291">
        <v>0</v>
      </c>
      <c r="Y291">
        <v>1.1000000000000001</v>
      </c>
      <c r="AC291">
        <v>14.5</v>
      </c>
      <c r="AF291">
        <v>2.0999999999985399</v>
      </c>
      <c r="AH291">
        <v>0.19999999999981799</v>
      </c>
      <c r="AI291">
        <v>0.89999999999963598</v>
      </c>
      <c r="AJ291">
        <v>16.599999999976699</v>
      </c>
      <c r="AM291">
        <v>12.399999999994201</v>
      </c>
      <c r="AP291">
        <v>0.69999999999981799</v>
      </c>
      <c r="AQ291">
        <v>7.3999999999941801</v>
      </c>
      <c r="AU291">
        <v>0.59999999999945397</v>
      </c>
      <c r="AX291">
        <v>1.6999999999989099</v>
      </c>
      <c r="BB291">
        <v>12.599999999991301</v>
      </c>
      <c r="BC291">
        <v>0.29999999999972699</v>
      </c>
      <c r="BH291">
        <v>1.79999999999927</v>
      </c>
      <c r="BJ291">
        <v>0.100000000000023</v>
      </c>
      <c r="BL291">
        <v>16.399999999994201</v>
      </c>
      <c r="BP291">
        <v>0.400000000000091</v>
      </c>
      <c r="BQ291">
        <v>1</v>
      </c>
      <c r="BR291">
        <v>0.100000000000023</v>
      </c>
      <c r="BV291">
        <v>11.3000000000029</v>
      </c>
      <c r="BW291">
        <v>0</v>
      </c>
      <c r="BX291">
        <v>29.399999999994201</v>
      </c>
      <c r="BY291">
        <v>103.7</v>
      </c>
      <c r="BZ291">
        <v>3</v>
      </c>
      <c r="CB291">
        <v>8.1999999999999993</v>
      </c>
      <c r="CC291">
        <v>29.2</v>
      </c>
      <c r="CK291">
        <v>1.5</v>
      </c>
      <c r="CL291">
        <v>6.5</v>
      </c>
      <c r="CO291">
        <v>0.5</v>
      </c>
      <c r="CQ291">
        <v>7.9</v>
      </c>
      <c r="CS291">
        <v>0.7</v>
      </c>
      <c r="CT291">
        <v>21.1</v>
      </c>
      <c r="CW291">
        <v>6</v>
      </c>
      <c r="CX291">
        <v>1.2</v>
      </c>
      <c r="CY291">
        <v>11.7</v>
      </c>
      <c r="DA291">
        <v>18.5</v>
      </c>
      <c r="DB291">
        <v>0.7</v>
      </c>
      <c r="DD291" s="5">
        <v>5.3</v>
      </c>
      <c r="DJ291" s="1">
        <v>41198</v>
      </c>
      <c r="DK291" s="2">
        <f t="shared" si="25"/>
        <v>8.7765957446796374</v>
      </c>
      <c r="DL291" s="2">
        <f t="shared" si="26"/>
        <v>4.0048543689314853</v>
      </c>
      <c r="DM291" s="2">
        <f t="shared" si="27"/>
        <v>103.7</v>
      </c>
      <c r="DN291" s="3">
        <f t="shared" si="28"/>
        <v>0.4563106796116505</v>
      </c>
      <c r="DV291" s="2">
        <v>1440</v>
      </c>
      <c r="DW291">
        <v>0</v>
      </c>
      <c r="DX291">
        <f t="shared" si="30"/>
        <v>14794</v>
      </c>
      <c r="DY291">
        <f t="shared" si="29"/>
        <v>1</v>
      </c>
    </row>
    <row r="292" spans="1:129">
      <c r="A292" s="1">
        <v>41199</v>
      </c>
      <c r="B292" s="1"/>
      <c r="C292">
        <v>1.6</v>
      </c>
      <c r="D292">
        <v>3.7</v>
      </c>
      <c r="F292">
        <v>0.8</v>
      </c>
      <c r="G292">
        <v>1.2</v>
      </c>
      <c r="H292">
        <v>2.7</v>
      </c>
      <c r="L292">
        <v>0.1</v>
      </c>
      <c r="N292">
        <v>0.3</v>
      </c>
      <c r="O292">
        <v>51.4</v>
      </c>
      <c r="Q292">
        <v>14.3</v>
      </c>
      <c r="W292">
        <v>0</v>
      </c>
      <c r="AC292">
        <v>1</v>
      </c>
      <c r="AF292">
        <v>2.3999999999978199</v>
      </c>
      <c r="AK292">
        <v>0</v>
      </c>
      <c r="AL292">
        <v>2.5999999999985399</v>
      </c>
      <c r="AM292">
        <v>0.39999999999963598</v>
      </c>
      <c r="AQ292">
        <v>2.5</v>
      </c>
      <c r="AX292">
        <v>24.299999999988401</v>
      </c>
      <c r="AZ292">
        <v>2.3999999999978199</v>
      </c>
      <c r="BC292">
        <v>1.1999999999989099</v>
      </c>
      <c r="BE292">
        <v>0.400000000000091</v>
      </c>
      <c r="BH292">
        <v>3.9000000000014601</v>
      </c>
      <c r="BJ292">
        <v>0.100000000000023</v>
      </c>
      <c r="BK292">
        <v>5.8</v>
      </c>
      <c r="BL292">
        <v>4.5</v>
      </c>
      <c r="BN292">
        <v>0.100000000000023</v>
      </c>
      <c r="BP292">
        <v>2.2999999999992702</v>
      </c>
      <c r="BQ292">
        <v>2.4000000000014601</v>
      </c>
      <c r="BS292">
        <v>0.200000000000045</v>
      </c>
      <c r="BV292">
        <v>1.89999999999964</v>
      </c>
      <c r="BW292">
        <v>0.1</v>
      </c>
      <c r="BX292">
        <v>27.599999999976699</v>
      </c>
      <c r="BY292">
        <v>10.5</v>
      </c>
      <c r="BZ292">
        <v>2.5</v>
      </c>
      <c r="CA292">
        <v>17</v>
      </c>
      <c r="CB292">
        <v>7.4</v>
      </c>
      <c r="CC292">
        <v>51.5</v>
      </c>
      <c r="CE292">
        <v>0.3</v>
      </c>
      <c r="CH292">
        <v>11.5</v>
      </c>
      <c r="CK292">
        <v>4</v>
      </c>
      <c r="CM292">
        <v>0</v>
      </c>
      <c r="CQ292">
        <v>3.5</v>
      </c>
      <c r="CS292">
        <v>0.2</v>
      </c>
      <c r="CT292">
        <v>12.2</v>
      </c>
      <c r="CW292">
        <v>4.8</v>
      </c>
      <c r="CX292">
        <v>0.1</v>
      </c>
      <c r="CY292">
        <v>10</v>
      </c>
      <c r="DA292">
        <v>30.5</v>
      </c>
      <c r="DB292">
        <v>0.4</v>
      </c>
      <c r="DD292" s="5">
        <v>3.4</v>
      </c>
      <c r="DJ292" s="1">
        <v>41199</v>
      </c>
      <c r="DK292" s="2">
        <f t="shared" si="25"/>
        <v>6.7755102040808124</v>
      </c>
      <c r="DL292" s="2">
        <f t="shared" si="26"/>
        <v>3.2233009708733964</v>
      </c>
      <c r="DM292" s="2">
        <f t="shared" si="27"/>
        <v>51.5</v>
      </c>
      <c r="DN292" s="3">
        <f t="shared" si="28"/>
        <v>0.47572815533980584</v>
      </c>
      <c r="DV292" s="2">
        <v>1445</v>
      </c>
      <c r="DW292">
        <v>0</v>
      </c>
      <c r="DX292">
        <f t="shared" si="30"/>
        <v>14794</v>
      </c>
      <c r="DY292">
        <f t="shared" si="29"/>
        <v>1</v>
      </c>
    </row>
    <row r="293" spans="1:129">
      <c r="A293" s="1">
        <v>41200</v>
      </c>
      <c r="B293" s="1"/>
      <c r="F293">
        <v>7.3</v>
      </c>
      <c r="G293">
        <v>0.2</v>
      </c>
      <c r="K293">
        <v>5.5</v>
      </c>
      <c r="O293">
        <v>31.2</v>
      </c>
      <c r="W293">
        <v>2.7</v>
      </c>
      <c r="X293">
        <v>3.6</v>
      </c>
      <c r="Z293">
        <v>3.5</v>
      </c>
      <c r="AC293">
        <v>4.3999999999941801</v>
      </c>
      <c r="AF293">
        <v>0</v>
      </c>
      <c r="AL293">
        <v>1.39999999999964</v>
      </c>
      <c r="AM293">
        <v>7.5</v>
      </c>
      <c r="AR293">
        <v>10</v>
      </c>
      <c r="AZ293">
        <v>36.799999999988401</v>
      </c>
      <c r="BC293">
        <v>2.6999999999970901</v>
      </c>
      <c r="BH293">
        <v>0.200000000000045</v>
      </c>
      <c r="BJ293">
        <v>0</v>
      </c>
      <c r="BK293">
        <v>31.3</v>
      </c>
      <c r="BL293">
        <v>5.5999999999985501</v>
      </c>
      <c r="BN293">
        <v>0</v>
      </c>
      <c r="BP293">
        <v>9.1000000000058208</v>
      </c>
      <c r="BQ293">
        <v>1</v>
      </c>
      <c r="BR293">
        <v>0.100000000000023</v>
      </c>
      <c r="BW293">
        <v>0</v>
      </c>
      <c r="BY293">
        <v>11.5</v>
      </c>
      <c r="BZ293">
        <v>3.5</v>
      </c>
      <c r="CA293">
        <v>1.9</v>
      </c>
      <c r="CB293">
        <v>4</v>
      </c>
      <c r="CC293">
        <v>7.4</v>
      </c>
      <c r="CH293">
        <v>4</v>
      </c>
      <c r="CJ293">
        <v>0.5</v>
      </c>
      <c r="CK293">
        <v>17.100000000000001</v>
      </c>
      <c r="CQ293">
        <v>0.8</v>
      </c>
      <c r="CS293">
        <v>6</v>
      </c>
      <c r="CT293">
        <v>0.6</v>
      </c>
      <c r="CW293">
        <v>2.4</v>
      </c>
      <c r="CX293">
        <v>4.9000000000000004</v>
      </c>
      <c r="CY293">
        <v>3</v>
      </c>
      <c r="DA293">
        <v>4.2</v>
      </c>
      <c r="DB293">
        <v>4.4000000000000004</v>
      </c>
      <c r="DD293" s="5">
        <v>3.8</v>
      </c>
      <c r="DJ293" s="1">
        <v>41200</v>
      </c>
      <c r="DK293" s="2">
        <f t="shared" si="25"/>
        <v>6.102499999999595</v>
      </c>
      <c r="DL293" s="2">
        <f t="shared" si="26"/>
        <v>2.3699029126212019</v>
      </c>
      <c r="DM293" s="2">
        <f t="shared" si="27"/>
        <v>36.799999999988401</v>
      </c>
      <c r="DN293" s="3">
        <f t="shared" si="28"/>
        <v>0.38834951456310679</v>
      </c>
      <c r="DV293" s="2">
        <v>1450</v>
      </c>
      <c r="DW293">
        <v>0</v>
      </c>
      <c r="DX293">
        <f t="shared" si="30"/>
        <v>14794</v>
      </c>
      <c r="DY293">
        <f t="shared" si="29"/>
        <v>1</v>
      </c>
    </row>
    <row r="294" spans="1:129">
      <c r="A294" s="1">
        <v>41201</v>
      </c>
      <c r="B294" s="1"/>
      <c r="D294">
        <v>3.7</v>
      </c>
      <c r="G294">
        <v>0.4</v>
      </c>
      <c r="K294">
        <v>30.4</v>
      </c>
      <c r="L294">
        <v>6</v>
      </c>
      <c r="O294">
        <v>0.6</v>
      </c>
      <c r="R294">
        <v>6</v>
      </c>
      <c r="W294">
        <v>45.2</v>
      </c>
      <c r="Y294">
        <v>13.5</v>
      </c>
      <c r="Z294">
        <v>17.899999999994201</v>
      </c>
      <c r="AC294">
        <v>2.0999999999985399</v>
      </c>
      <c r="AF294">
        <v>1</v>
      </c>
      <c r="AG294">
        <v>5.8999999999941801</v>
      </c>
      <c r="AH294">
        <v>10.099999999991301</v>
      </c>
      <c r="AI294">
        <v>6.0999999999985501</v>
      </c>
      <c r="AL294">
        <v>14.299999999988399</v>
      </c>
      <c r="AM294">
        <v>10</v>
      </c>
      <c r="AP294">
        <v>13.799999999988399</v>
      </c>
      <c r="AR294">
        <v>5.5</v>
      </c>
      <c r="AX294">
        <v>31.899999999994201</v>
      </c>
      <c r="AZ294">
        <v>7.3999999999941801</v>
      </c>
      <c r="BC294">
        <v>2.6999999999970901</v>
      </c>
      <c r="BG294">
        <v>10.899999999994201</v>
      </c>
      <c r="BH294">
        <v>13.399999999994201</v>
      </c>
      <c r="BI294">
        <v>0.200000000000045</v>
      </c>
      <c r="BJ294">
        <v>0.100000000000023</v>
      </c>
      <c r="BK294">
        <v>4.5999999999999996</v>
      </c>
      <c r="BL294">
        <v>20.600000000005799</v>
      </c>
      <c r="BN294">
        <v>0.200000000000045</v>
      </c>
      <c r="BP294">
        <v>26.299999999988401</v>
      </c>
      <c r="BS294">
        <v>21.399999999994201</v>
      </c>
      <c r="BY294">
        <v>0.2</v>
      </c>
      <c r="CA294">
        <v>0</v>
      </c>
      <c r="CB294">
        <v>1.4</v>
      </c>
      <c r="CC294">
        <v>0.6</v>
      </c>
      <c r="CH294">
        <v>0</v>
      </c>
      <c r="CJ294">
        <v>3.8</v>
      </c>
      <c r="CM294">
        <v>9.5</v>
      </c>
      <c r="CP294">
        <v>12.2</v>
      </c>
      <c r="CQ294">
        <v>12</v>
      </c>
      <c r="CS294">
        <v>5.5</v>
      </c>
      <c r="CV294">
        <v>0.1</v>
      </c>
      <c r="CW294">
        <v>1</v>
      </c>
      <c r="CX294">
        <v>0.1</v>
      </c>
      <c r="CY294">
        <v>0.1</v>
      </c>
      <c r="DA294">
        <v>0.2</v>
      </c>
      <c r="DD294" s="5">
        <v>0.1</v>
      </c>
      <c r="DJ294" s="1">
        <v>41201</v>
      </c>
      <c r="DK294" s="2">
        <f t="shared" si="25"/>
        <v>8.2391304347807832</v>
      </c>
      <c r="DL294" s="2">
        <f t="shared" si="26"/>
        <v>3.6796116504846217</v>
      </c>
      <c r="DM294" s="2">
        <f t="shared" si="27"/>
        <v>45.2</v>
      </c>
      <c r="DN294" s="3">
        <f t="shared" si="28"/>
        <v>0.44660194174757284</v>
      </c>
      <c r="DV294" s="2">
        <v>1455</v>
      </c>
      <c r="DW294">
        <v>0</v>
      </c>
      <c r="DX294">
        <f t="shared" si="30"/>
        <v>14794</v>
      </c>
      <c r="DY294">
        <f t="shared" si="29"/>
        <v>1</v>
      </c>
    </row>
    <row r="295" spans="1:129">
      <c r="A295" s="1">
        <v>41202</v>
      </c>
      <c r="B295" s="1"/>
      <c r="D295">
        <v>21.4</v>
      </c>
      <c r="I295">
        <v>0.4</v>
      </c>
      <c r="K295">
        <v>3.2</v>
      </c>
      <c r="L295">
        <v>0.5</v>
      </c>
      <c r="Q295">
        <v>10.1</v>
      </c>
      <c r="R295">
        <v>1.5</v>
      </c>
      <c r="W295">
        <v>3.2</v>
      </c>
      <c r="AI295">
        <v>0.89999999999963598</v>
      </c>
      <c r="AL295">
        <v>2</v>
      </c>
      <c r="AM295">
        <v>1.5999999999985499</v>
      </c>
      <c r="AO295">
        <v>1.29999999999927</v>
      </c>
      <c r="AP295">
        <v>19.5</v>
      </c>
      <c r="AW295">
        <v>4.5</v>
      </c>
      <c r="AX295">
        <v>5.8999999999941801</v>
      </c>
      <c r="BB295">
        <v>20.699999999982499</v>
      </c>
      <c r="BG295">
        <v>5</v>
      </c>
      <c r="BH295">
        <v>18.600000000005799</v>
      </c>
      <c r="BI295">
        <v>0</v>
      </c>
      <c r="BJ295">
        <v>0.200000000000045</v>
      </c>
      <c r="BL295">
        <v>0</v>
      </c>
      <c r="BP295">
        <v>0.69999999999981799</v>
      </c>
      <c r="BS295">
        <v>2.5999999999985399</v>
      </c>
      <c r="BZ295">
        <v>5.6</v>
      </c>
      <c r="CA295">
        <v>0</v>
      </c>
      <c r="CB295">
        <v>0.7</v>
      </c>
      <c r="CH295">
        <v>8.1</v>
      </c>
      <c r="CK295">
        <v>4</v>
      </c>
      <c r="CN295">
        <v>19.5</v>
      </c>
      <c r="CP295">
        <v>0.2</v>
      </c>
      <c r="CQ295">
        <v>3.8</v>
      </c>
      <c r="CR295">
        <v>0.3</v>
      </c>
      <c r="CS295">
        <v>0.1</v>
      </c>
      <c r="CU295">
        <v>5.4</v>
      </c>
      <c r="CX295">
        <v>0.2</v>
      </c>
      <c r="CZ295">
        <v>2.4</v>
      </c>
      <c r="DC295">
        <v>4</v>
      </c>
      <c r="DD295" s="5"/>
      <c r="DJ295" s="1">
        <v>41202</v>
      </c>
      <c r="DK295" s="2">
        <f t="shared" si="25"/>
        <v>4.9472222222216207</v>
      </c>
      <c r="DL295" s="2">
        <f t="shared" si="26"/>
        <v>1.7291262135920227</v>
      </c>
      <c r="DM295" s="2">
        <f t="shared" si="27"/>
        <v>21.4</v>
      </c>
      <c r="DN295" s="3">
        <f t="shared" si="28"/>
        <v>0.34951456310679613</v>
      </c>
      <c r="DV295" s="2">
        <v>1460</v>
      </c>
      <c r="DW295">
        <v>0</v>
      </c>
      <c r="DX295">
        <f t="shared" si="30"/>
        <v>14794</v>
      </c>
      <c r="DY295">
        <f t="shared" si="29"/>
        <v>1</v>
      </c>
    </row>
    <row r="296" spans="1:129">
      <c r="A296" s="1">
        <v>41203</v>
      </c>
      <c r="B296" s="1"/>
      <c r="D296">
        <v>10.199999999999999</v>
      </c>
      <c r="G296">
        <v>0.6</v>
      </c>
      <c r="K296">
        <v>8.6</v>
      </c>
      <c r="L296">
        <v>2</v>
      </c>
      <c r="P296">
        <v>3.2</v>
      </c>
      <c r="X296">
        <v>0.5</v>
      </c>
      <c r="Y296">
        <v>5.8</v>
      </c>
      <c r="AB296">
        <v>22</v>
      </c>
      <c r="AD296">
        <v>21.099999999976699</v>
      </c>
      <c r="AE296">
        <v>9.9999999999908995E-2</v>
      </c>
      <c r="AH296">
        <v>0.5</v>
      </c>
      <c r="AI296">
        <v>0</v>
      </c>
      <c r="AK296">
        <v>2.5</v>
      </c>
      <c r="AM296">
        <v>6.79999999999563</v>
      </c>
      <c r="AO296">
        <v>0.19999999999981799</v>
      </c>
      <c r="AQ296">
        <v>3.1999999999970901</v>
      </c>
      <c r="AS296">
        <v>2.2999999999992702</v>
      </c>
      <c r="AW296">
        <v>1.5999999999985499</v>
      </c>
      <c r="AX296">
        <v>3.8999999999978199</v>
      </c>
      <c r="BB296">
        <v>6.79999999999563</v>
      </c>
      <c r="BC296">
        <v>1</v>
      </c>
      <c r="BE296">
        <v>20.600000000005799</v>
      </c>
      <c r="BG296">
        <v>0.100000000000023</v>
      </c>
      <c r="BH296">
        <v>1.29999999999927</v>
      </c>
      <c r="BI296">
        <v>18.299999999988401</v>
      </c>
      <c r="BJ296">
        <v>0.30000000000018201</v>
      </c>
      <c r="BK296">
        <v>0.1</v>
      </c>
      <c r="BN296">
        <v>0</v>
      </c>
      <c r="BO296">
        <v>20.200000000011599</v>
      </c>
      <c r="BR296">
        <v>14</v>
      </c>
      <c r="BS296">
        <v>6.0999999999985501</v>
      </c>
      <c r="BZ296">
        <v>16.5</v>
      </c>
      <c r="CA296">
        <v>30.9</v>
      </c>
      <c r="CB296">
        <v>4.4000000000000004</v>
      </c>
      <c r="CD296">
        <v>16.5</v>
      </c>
      <c r="CE296">
        <v>0.1</v>
      </c>
      <c r="CH296">
        <v>5.2</v>
      </c>
      <c r="CJ296">
        <v>0.5</v>
      </c>
      <c r="CL296">
        <v>0.8</v>
      </c>
      <c r="CN296">
        <v>22.5</v>
      </c>
      <c r="CU296">
        <v>3.4</v>
      </c>
      <c r="CW296">
        <v>0.1</v>
      </c>
      <c r="CX296">
        <v>4.7</v>
      </c>
      <c r="CY296">
        <v>0.2</v>
      </c>
      <c r="CZ296">
        <v>1.8</v>
      </c>
      <c r="DA296">
        <v>0.2</v>
      </c>
      <c r="DC296">
        <v>6</v>
      </c>
      <c r="DD296" s="5"/>
      <c r="DJ296" s="1">
        <v>41203</v>
      </c>
      <c r="DK296" s="2">
        <f t="shared" si="25"/>
        <v>6.3340425531907281</v>
      </c>
      <c r="DL296" s="2">
        <f t="shared" si="26"/>
        <v>2.890291262135575</v>
      </c>
      <c r="DM296" s="2">
        <f t="shared" si="27"/>
        <v>30.9</v>
      </c>
      <c r="DN296" s="3">
        <f t="shared" si="28"/>
        <v>0.4563106796116505</v>
      </c>
      <c r="DV296" s="2">
        <v>1465</v>
      </c>
      <c r="DW296">
        <v>0</v>
      </c>
      <c r="DX296">
        <f t="shared" si="30"/>
        <v>14794</v>
      </c>
      <c r="DY296">
        <f t="shared" si="29"/>
        <v>1</v>
      </c>
    </row>
    <row r="297" spans="1:129">
      <c r="A297" s="1">
        <v>41204</v>
      </c>
      <c r="B297" s="1"/>
      <c r="D297">
        <v>0.1</v>
      </c>
      <c r="F297">
        <v>2</v>
      </c>
      <c r="G297">
        <v>12.8</v>
      </c>
      <c r="H297">
        <v>0.4</v>
      </c>
      <c r="I297">
        <v>8.3000000000000007</v>
      </c>
      <c r="K297">
        <v>1.4</v>
      </c>
      <c r="L297">
        <v>4.5999999999999996</v>
      </c>
      <c r="N297">
        <v>0.9</v>
      </c>
      <c r="P297">
        <v>15.7</v>
      </c>
      <c r="V297">
        <v>6.3</v>
      </c>
      <c r="W297">
        <v>0.5</v>
      </c>
      <c r="Y297">
        <v>19</v>
      </c>
      <c r="AA297">
        <v>0.19999999999981799</v>
      </c>
      <c r="AD297">
        <v>20</v>
      </c>
      <c r="AF297">
        <v>14</v>
      </c>
      <c r="AK297">
        <v>0.39999999999963598</v>
      </c>
      <c r="AM297">
        <v>7.6999999999970896</v>
      </c>
      <c r="AN297">
        <v>1.5</v>
      </c>
      <c r="AS297">
        <v>0.29999999999972699</v>
      </c>
      <c r="BA297">
        <v>1.1999999999989099</v>
      </c>
      <c r="BD297">
        <v>0.60000000000036402</v>
      </c>
      <c r="BI297">
        <v>0.60000000000036402</v>
      </c>
      <c r="BJ297">
        <v>0</v>
      </c>
      <c r="BK297">
        <v>1.8</v>
      </c>
      <c r="BL297">
        <v>22.399999999994201</v>
      </c>
      <c r="BO297">
        <v>0.200000000000045</v>
      </c>
      <c r="BP297">
        <v>9.3000000000029104</v>
      </c>
      <c r="BR297">
        <v>4.5</v>
      </c>
      <c r="BS297">
        <v>9.1999999999970896</v>
      </c>
      <c r="BW297">
        <v>3.5</v>
      </c>
      <c r="BX297">
        <v>0.19999999999981799</v>
      </c>
      <c r="CA297">
        <v>0.5</v>
      </c>
      <c r="CD297">
        <v>18</v>
      </c>
      <c r="CF297">
        <v>3.6</v>
      </c>
      <c r="CH297">
        <v>0.1</v>
      </c>
      <c r="CI297">
        <v>2.1</v>
      </c>
      <c r="CJ297">
        <v>6.5</v>
      </c>
      <c r="CM297">
        <v>9</v>
      </c>
      <c r="CN297">
        <v>34.5</v>
      </c>
      <c r="CO297">
        <v>2.5</v>
      </c>
      <c r="CT297">
        <v>3.5</v>
      </c>
      <c r="CU297">
        <v>3.3</v>
      </c>
      <c r="DC297">
        <v>10.6</v>
      </c>
      <c r="DD297" s="5">
        <v>2.2000000000000002</v>
      </c>
      <c r="DJ297" s="1">
        <v>41204</v>
      </c>
      <c r="DK297" s="2">
        <f t="shared" si="25"/>
        <v>6.0454545454543167</v>
      </c>
      <c r="DL297" s="2">
        <f t="shared" si="26"/>
        <v>2.5825242718445627</v>
      </c>
      <c r="DM297" s="2">
        <f t="shared" si="27"/>
        <v>34.5</v>
      </c>
      <c r="DN297" s="3">
        <f t="shared" si="28"/>
        <v>0.42718446601941745</v>
      </c>
      <c r="DV297" s="2">
        <v>1470</v>
      </c>
      <c r="DW297">
        <v>0</v>
      </c>
      <c r="DX297">
        <f t="shared" si="30"/>
        <v>14794</v>
      </c>
      <c r="DY297">
        <f t="shared" si="29"/>
        <v>1</v>
      </c>
    </row>
    <row r="298" spans="1:129">
      <c r="A298" s="1">
        <v>41205</v>
      </c>
      <c r="B298" s="1"/>
      <c r="D298">
        <v>18.8</v>
      </c>
      <c r="F298">
        <v>0.5</v>
      </c>
      <c r="G298">
        <v>9.3000000000000007</v>
      </c>
      <c r="I298">
        <v>0.5</v>
      </c>
      <c r="L298">
        <v>5.3</v>
      </c>
      <c r="U298">
        <v>0.2</v>
      </c>
      <c r="Y298">
        <v>14.5</v>
      </c>
      <c r="AD298">
        <v>3.6999999999970901</v>
      </c>
      <c r="AF298">
        <v>2.1999999999970901</v>
      </c>
      <c r="AI298">
        <v>0.5</v>
      </c>
      <c r="AM298">
        <v>5.5999999999985501</v>
      </c>
      <c r="AT298">
        <v>0.19999999999981799</v>
      </c>
      <c r="AU298">
        <v>0.19999999999981799</v>
      </c>
      <c r="BA298">
        <v>0.59999999999945397</v>
      </c>
      <c r="BC298">
        <v>1.6999999999989099</v>
      </c>
      <c r="BE298">
        <v>1.39999999999964</v>
      </c>
      <c r="BF298">
        <v>2.2999999999992702</v>
      </c>
      <c r="BI298">
        <v>0.30000000000018201</v>
      </c>
      <c r="BJ298">
        <v>16</v>
      </c>
      <c r="BM298">
        <v>12.6999999999971</v>
      </c>
      <c r="BO298">
        <v>21.5</v>
      </c>
      <c r="BP298">
        <v>19.600000000005799</v>
      </c>
      <c r="BQ298">
        <v>0.100000000000023</v>
      </c>
      <c r="BS298">
        <v>1.5</v>
      </c>
      <c r="BW298">
        <v>1</v>
      </c>
      <c r="BX298">
        <v>0</v>
      </c>
      <c r="BY298">
        <v>1.5</v>
      </c>
      <c r="CA298">
        <v>3.1</v>
      </c>
      <c r="CD298">
        <v>16.8</v>
      </c>
      <c r="CE298">
        <v>0.1</v>
      </c>
      <c r="CF298">
        <v>22.3</v>
      </c>
      <c r="CH298">
        <v>5.6</v>
      </c>
      <c r="CI298">
        <v>5.7</v>
      </c>
      <c r="CJ298">
        <v>4.2</v>
      </c>
      <c r="CM298">
        <v>2.5</v>
      </c>
      <c r="CN298">
        <v>12.5</v>
      </c>
      <c r="CQ298">
        <v>1.7</v>
      </c>
      <c r="CU298">
        <v>4.2</v>
      </c>
      <c r="CX298">
        <v>0.6</v>
      </c>
      <c r="CY298">
        <v>0.1</v>
      </c>
      <c r="CZ298">
        <v>21.7</v>
      </c>
      <c r="DA298">
        <v>0.2</v>
      </c>
      <c r="DB298">
        <v>0.8</v>
      </c>
      <c r="DC298">
        <v>36</v>
      </c>
      <c r="DD298" s="5"/>
      <c r="DJ298" s="1">
        <v>41205</v>
      </c>
      <c r="DK298" s="2">
        <f t="shared" si="25"/>
        <v>6.3590909090907424</v>
      </c>
      <c r="DL298" s="2">
        <f t="shared" si="26"/>
        <v>2.716504854368861</v>
      </c>
      <c r="DM298" s="2">
        <f t="shared" si="27"/>
        <v>36</v>
      </c>
      <c r="DN298" s="3">
        <f t="shared" si="28"/>
        <v>0.42718446601941745</v>
      </c>
      <c r="DV298" s="2">
        <v>1475</v>
      </c>
      <c r="DW298">
        <v>0</v>
      </c>
      <c r="DX298">
        <f t="shared" si="30"/>
        <v>14794</v>
      </c>
      <c r="DY298">
        <f t="shared" si="29"/>
        <v>1</v>
      </c>
    </row>
    <row r="299" spans="1:129">
      <c r="A299" s="1">
        <v>41206</v>
      </c>
      <c r="B299" s="1"/>
      <c r="D299">
        <v>5.6</v>
      </c>
      <c r="E299">
        <v>3.2</v>
      </c>
      <c r="F299">
        <v>1.3</v>
      </c>
      <c r="G299">
        <v>9.6</v>
      </c>
      <c r="I299">
        <v>3.8</v>
      </c>
      <c r="N299">
        <v>36.5</v>
      </c>
      <c r="P299">
        <v>2.1</v>
      </c>
      <c r="U299">
        <v>0.6</v>
      </c>
      <c r="V299">
        <v>2.2000000000000002</v>
      </c>
      <c r="Z299">
        <v>7.5</v>
      </c>
      <c r="AA299">
        <v>3.5999999999985399</v>
      </c>
      <c r="AB299">
        <v>8.2999999999883602</v>
      </c>
      <c r="AD299">
        <v>11.599999999991301</v>
      </c>
      <c r="AE299">
        <v>6.1999999999970896</v>
      </c>
      <c r="AI299">
        <v>47</v>
      </c>
      <c r="AJ299">
        <v>2.6999999999970901</v>
      </c>
      <c r="AO299">
        <v>9.9999999999908995E-2</v>
      </c>
      <c r="AW299">
        <v>1</v>
      </c>
      <c r="AY299">
        <v>3.6999999999970901</v>
      </c>
      <c r="BA299">
        <v>5.6999999999970896</v>
      </c>
      <c r="BC299">
        <v>10</v>
      </c>
      <c r="BE299">
        <v>2.2999999999992702</v>
      </c>
      <c r="BH299">
        <v>0.100000000000023</v>
      </c>
      <c r="BJ299">
        <v>19.799999999988401</v>
      </c>
      <c r="BK299">
        <v>0.4</v>
      </c>
      <c r="BL299">
        <v>31.5</v>
      </c>
      <c r="BM299">
        <v>27.600000000005799</v>
      </c>
      <c r="BO299">
        <v>11.5</v>
      </c>
      <c r="BP299">
        <v>11.1999999999971</v>
      </c>
      <c r="BS299">
        <v>13.5</v>
      </c>
      <c r="BY299">
        <v>8</v>
      </c>
      <c r="CB299">
        <v>0.1</v>
      </c>
      <c r="CD299">
        <v>5.8</v>
      </c>
      <c r="CE299">
        <v>0.1</v>
      </c>
      <c r="CF299">
        <v>12</v>
      </c>
      <c r="CI299">
        <v>3.2</v>
      </c>
      <c r="CJ299">
        <v>12.6</v>
      </c>
      <c r="CK299">
        <v>40.299999999999997</v>
      </c>
      <c r="CM299">
        <v>0.5</v>
      </c>
      <c r="CN299">
        <v>0.5</v>
      </c>
      <c r="CP299">
        <v>9.5</v>
      </c>
      <c r="CQ299">
        <v>24.5</v>
      </c>
      <c r="CU299">
        <v>6.4</v>
      </c>
      <c r="CV299">
        <v>1</v>
      </c>
      <c r="CY299">
        <v>0.1</v>
      </c>
      <c r="DB299">
        <v>7</v>
      </c>
      <c r="DC299">
        <v>7</v>
      </c>
      <c r="DD299" s="5"/>
      <c r="DJ299" s="1">
        <v>41206</v>
      </c>
      <c r="DK299" s="2">
        <f t="shared" si="25"/>
        <v>9.1234042553182366</v>
      </c>
      <c r="DL299" s="2">
        <f t="shared" si="26"/>
        <v>4.1631067961160886</v>
      </c>
      <c r="DM299" s="2">
        <f t="shared" si="27"/>
        <v>47</v>
      </c>
      <c r="DN299" s="3">
        <f t="shared" si="28"/>
        <v>0.4563106796116505</v>
      </c>
      <c r="DV299" s="2">
        <v>1480</v>
      </c>
      <c r="DW299">
        <v>0</v>
      </c>
      <c r="DX299">
        <f t="shared" si="30"/>
        <v>14794</v>
      </c>
      <c r="DY299">
        <f t="shared" si="29"/>
        <v>1</v>
      </c>
    </row>
    <row r="300" spans="1:129">
      <c r="A300" s="1">
        <v>41207</v>
      </c>
      <c r="B300" s="1"/>
      <c r="F300">
        <v>3</v>
      </c>
      <c r="I300">
        <v>1.2</v>
      </c>
      <c r="K300">
        <v>7.6</v>
      </c>
      <c r="L300">
        <v>9.5</v>
      </c>
      <c r="M300">
        <v>3.1</v>
      </c>
      <c r="N300">
        <v>0.9</v>
      </c>
      <c r="P300">
        <v>0.7</v>
      </c>
      <c r="R300">
        <v>4.5999999999999996</v>
      </c>
      <c r="S300">
        <v>14</v>
      </c>
      <c r="U300">
        <v>4.9000000000000004</v>
      </c>
      <c r="V300">
        <v>47.7</v>
      </c>
      <c r="X300">
        <v>0.6</v>
      </c>
      <c r="Z300">
        <v>1.0999999999985499</v>
      </c>
      <c r="AB300">
        <v>9.9999999999908995E-2</v>
      </c>
      <c r="AD300">
        <v>9.9999999999908995E-2</v>
      </c>
      <c r="AE300">
        <v>6.0999999999985501</v>
      </c>
      <c r="AF300">
        <v>9.9999999999908995E-2</v>
      </c>
      <c r="AH300">
        <v>9.9999999999908995E-2</v>
      </c>
      <c r="AI300">
        <v>2.5</v>
      </c>
      <c r="AJ300">
        <v>0.69999999999981799</v>
      </c>
      <c r="AL300">
        <v>22.5</v>
      </c>
      <c r="AO300">
        <v>0.19999999999981799</v>
      </c>
      <c r="AU300">
        <v>0.89999999999963598</v>
      </c>
      <c r="AV300">
        <v>0.19999999999981799</v>
      </c>
      <c r="AW300">
        <v>11.5</v>
      </c>
      <c r="BA300">
        <v>43.5</v>
      </c>
      <c r="BC300">
        <v>5.0999999999985501</v>
      </c>
      <c r="BE300">
        <v>1.89999999999964</v>
      </c>
      <c r="BJ300">
        <v>6.5</v>
      </c>
      <c r="BL300">
        <v>8.3999999999941792</v>
      </c>
      <c r="BM300">
        <v>0.100000000000023</v>
      </c>
      <c r="BN300">
        <v>9.3000000000029104</v>
      </c>
      <c r="BO300">
        <v>3.7999999999992702</v>
      </c>
      <c r="BP300">
        <v>1</v>
      </c>
      <c r="BR300">
        <v>0.89999999999963598</v>
      </c>
      <c r="BS300">
        <v>3.4000000000014601</v>
      </c>
      <c r="BU300">
        <v>0.100000000000023</v>
      </c>
      <c r="BV300">
        <v>0</v>
      </c>
      <c r="BW300">
        <v>6.6</v>
      </c>
      <c r="BX300">
        <v>0</v>
      </c>
      <c r="BY300">
        <v>21.3</v>
      </c>
      <c r="BZ300">
        <v>23.3</v>
      </c>
      <c r="CB300">
        <v>16.7</v>
      </c>
      <c r="CE300">
        <v>3.8</v>
      </c>
      <c r="CF300">
        <v>3.4</v>
      </c>
      <c r="CH300">
        <v>5.8</v>
      </c>
      <c r="CI300">
        <v>0.2</v>
      </c>
      <c r="CJ300">
        <v>6.4</v>
      </c>
      <c r="CK300">
        <v>18.399999999999999</v>
      </c>
      <c r="CO300">
        <v>0.7</v>
      </c>
      <c r="CQ300">
        <v>15.2</v>
      </c>
      <c r="CU300">
        <v>0.2</v>
      </c>
      <c r="CV300">
        <v>55.8</v>
      </c>
      <c r="CX300">
        <v>0.5</v>
      </c>
      <c r="DA300">
        <v>0.2</v>
      </c>
      <c r="DB300">
        <v>0.2</v>
      </c>
      <c r="DD300" s="5"/>
      <c r="DJ300" s="1">
        <v>41207</v>
      </c>
      <c r="DK300" s="2">
        <f t="shared" si="25"/>
        <v>7.2607142857141316</v>
      </c>
      <c r="DL300" s="2">
        <f t="shared" si="26"/>
        <v>3.9475728155338969</v>
      </c>
      <c r="DM300" s="2">
        <f t="shared" si="27"/>
        <v>55.8</v>
      </c>
      <c r="DN300" s="3">
        <f t="shared" si="28"/>
        <v>0.5436893203883495</v>
      </c>
      <c r="DV300" s="2">
        <v>1485</v>
      </c>
      <c r="DW300">
        <v>0</v>
      </c>
      <c r="DX300">
        <f t="shared" si="30"/>
        <v>14794</v>
      </c>
      <c r="DY300">
        <f t="shared" si="29"/>
        <v>1</v>
      </c>
    </row>
    <row r="301" spans="1:129">
      <c r="A301" s="1">
        <v>41208</v>
      </c>
      <c r="B301" s="1"/>
      <c r="D301">
        <v>20.100000000000001</v>
      </c>
      <c r="G301">
        <v>2</v>
      </c>
      <c r="I301">
        <v>6.6</v>
      </c>
      <c r="K301">
        <v>1.6</v>
      </c>
      <c r="S301">
        <v>2.6</v>
      </c>
      <c r="U301">
        <v>9.6999999999999993</v>
      </c>
      <c r="X301">
        <v>1.4</v>
      </c>
      <c r="AE301">
        <v>18.299999999988401</v>
      </c>
      <c r="AH301">
        <v>0.29999999999972699</v>
      </c>
      <c r="AJ301">
        <v>0.19999999999981799</v>
      </c>
      <c r="AL301">
        <v>4.2999999999956398</v>
      </c>
      <c r="AM301">
        <v>0.19999999999981799</v>
      </c>
      <c r="AQ301">
        <v>11.299999999988399</v>
      </c>
      <c r="AU301">
        <v>19.899999999994201</v>
      </c>
      <c r="AW301">
        <v>3</v>
      </c>
      <c r="AX301">
        <v>0.29999999999972699</v>
      </c>
      <c r="BA301">
        <v>1.39999999999964</v>
      </c>
      <c r="BC301">
        <v>5.79999999999563</v>
      </c>
      <c r="BE301">
        <v>2.2999999999992702</v>
      </c>
      <c r="BI301">
        <v>0.200000000000045</v>
      </c>
      <c r="BJ301">
        <v>26</v>
      </c>
      <c r="BM301">
        <v>0.100000000000023</v>
      </c>
      <c r="BN301">
        <v>0</v>
      </c>
      <c r="BO301">
        <v>0.80000000000018201</v>
      </c>
      <c r="BP301">
        <v>0.30000000000018201</v>
      </c>
      <c r="BR301">
        <v>4.6999999999970896</v>
      </c>
      <c r="BS301">
        <v>0.30000000000018201</v>
      </c>
      <c r="BW301">
        <v>0.1</v>
      </c>
      <c r="BY301">
        <v>0.2</v>
      </c>
      <c r="CA301">
        <v>2.2999999999999998</v>
      </c>
      <c r="CB301">
        <v>19.3</v>
      </c>
      <c r="CE301">
        <v>2.2999999999999998</v>
      </c>
      <c r="CF301">
        <v>0.4</v>
      </c>
      <c r="CG301">
        <v>0.5</v>
      </c>
      <c r="CI301">
        <v>16.8</v>
      </c>
      <c r="CJ301">
        <v>26.9</v>
      </c>
      <c r="CK301">
        <v>0</v>
      </c>
      <c r="CL301">
        <v>59.5</v>
      </c>
      <c r="CQ301">
        <v>0.1</v>
      </c>
      <c r="CV301">
        <v>110</v>
      </c>
      <c r="CX301">
        <v>1.9</v>
      </c>
      <c r="DB301">
        <v>9.8000000000000007</v>
      </c>
      <c r="DD301" s="5"/>
      <c r="DJ301" s="1">
        <v>41208</v>
      </c>
      <c r="DK301" s="2">
        <f t="shared" si="25"/>
        <v>9.3761904761894783</v>
      </c>
      <c r="DL301" s="2">
        <f t="shared" si="26"/>
        <v>3.8233009708733792</v>
      </c>
      <c r="DM301" s="2">
        <f t="shared" si="27"/>
        <v>110</v>
      </c>
      <c r="DN301" s="3">
        <f t="shared" si="28"/>
        <v>0.40776699029126212</v>
      </c>
      <c r="DV301" s="2">
        <v>1490</v>
      </c>
      <c r="DW301">
        <v>0</v>
      </c>
      <c r="DX301">
        <f t="shared" si="30"/>
        <v>14794</v>
      </c>
      <c r="DY301">
        <f t="shared" si="29"/>
        <v>1</v>
      </c>
    </row>
    <row r="302" spans="1:129">
      <c r="A302" s="1">
        <v>41209</v>
      </c>
      <c r="B302" s="1"/>
      <c r="D302">
        <v>1.4</v>
      </c>
      <c r="E302">
        <v>0.2</v>
      </c>
      <c r="H302">
        <v>3.7</v>
      </c>
      <c r="J302">
        <v>1.7</v>
      </c>
      <c r="N302">
        <v>10.6</v>
      </c>
      <c r="R302">
        <v>23.4</v>
      </c>
      <c r="S302">
        <v>104.9</v>
      </c>
      <c r="V302">
        <v>21.8</v>
      </c>
      <c r="Y302">
        <v>26</v>
      </c>
      <c r="AA302">
        <v>10.599999999991301</v>
      </c>
      <c r="AG302">
        <v>14.6999999999971</v>
      </c>
      <c r="AI302">
        <v>0.29999999999972699</v>
      </c>
      <c r="AJ302">
        <v>4.8999999999941801</v>
      </c>
      <c r="AL302">
        <v>0.29999999999972699</v>
      </c>
      <c r="AM302">
        <v>2.6999999999970901</v>
      </c>
      <c r="AP302">
        <v>6.8999999999941801</v>
      </c>
      <c r="AQ302">
        <v>4.5999999999985501</v>
      </c>
      <c r="AT302">
        <v>0.19999999999981799</v>
      </c>
      <c r="AU302">
        <v>0.39999999999963598</v>
      </c>
      <c r="BC302">
        <v>13.099999999991301</v>
      </c>
      <c r="BI302">
        <v>0.100000000000023</v>
      </c>
      <c r="BJ302">
        <v>0.200000000000045</v>
      </c>
      <c r="BK302">
        <v>0.1</v>
      </c>
      <c r="BL302">
        <v>0.100000000000023</v>
      </c>
      <c r="BN302">
        <v>4.5</v>
      </c>
      <c r="BO302">
        <v>2.2999999999992702</v>
      </c>
      <c r="BP302">
        <v>0.69999999999981799</v>
      </c>
      <c r="BQ302">
        <v>0.100000000000023</v>
      </c>
      <c r="BR302">
        <v>1.5</v>
      </c>
      <c r="CA302">
        <v>27.8</v>
      </c>
      <c r="CB302">
        <v>3.2</v>
      </c>
      <c r="CE302">
        <v>0.1</v>
      </c>
      <c r="CF302">
        <v>10.4</v>
      </c>
      <c r="CG302">
        <v>0.1</v>
      </c>
      <c r="CI302">
        <v>0.5</v>
      </c>
      <c r="CJ302">
        <v>0.8</v>
      </c>
      <c r="CL302">
        <v>19.5</v>
      </c>
      <c r="CM302">
        <v>3.3</v>
      </c>
      <c r="CO302">
        <v>3.5</v>
      </c>
      <c r="CQ302">
        <v>16.2</v>
      </c>
      <c r="CV302">
        <v>4.0999999999999996</v>
      </c>
      <c r="CX302">
        <v>40.799999999999997</v>
      </c>
      <c r="DB302">
        <v>8.5</v>
      </c>
      <c r="DD302" s="5">
        <v>11.5</v>
      </c>
      <c r="DJ302" s="1">
        <v>41209</v>
      </c>
      <c r="DK302" s="2">
        <f t="shared" si="25"/>
        <v>9.3704545454536792</v>
      </c>
      <c r="DL302" s="2">
        <f t="shared" si="26"/>
        <v>4.0029126213588535</v>
      </c>
      <c r="DM302" s="2">
        <f t="shared" si="27"/>
        <v>104.9</v>
      </c>
      <c r="DN302" s="3">
        <f t="shared" si="28"/>
        <v>0.42718446601941745</v>
      </c>
      <c r="DV302" s="2">
        <v>1495</v>
      </c>
      <c r="DW302">
        <v>0</v>
      </c>
      <c r="DX302">
        <f t="shared" si="30"/>
        <v>14794</v>
      </c>
      <c r="DY302">
        <f t="shared" si="29"/>
        <v>1</v>
      </c>
    </row>
    <row r="303" spans="1:129">
      <c r="A303" s="1">
        <v>41210</v>
      </c>
      <c r="B303" s="1"/>
      <c r="F303">
        <v>0.8</v>
      </c>
      <c r="H303">
        <v>1.7</v>
      </c>
      <c r="J303">
        <v>0.2</v>
      </c>
      <c r="S303">
        <v>2</v>
      </c>
      <c r="V303">
        <v>11.4</v>
      </c>
      <c r="Y303">
        <v>0</v>
      </c>
      <c r="AA303">
        <v>2.8999999999978199</v>
      </c>
      <c r="AG303">
        <v>9.7999999999883602</v>
      </c>
      <c r="AJ303">
        <v>22.199999999982499</v>
      </c>
      <c r="AL303">
        <v>0</v>
      </c>
      <c r="AM303">
        <v>17</v>
      </c>
      <c r="AN303">
        <v>0.19999999999981799</v>
      </c>
      <c r="AO303">
        <v>9.9999999999908995E-2</v>
      </c>
      <c r="AP303">
        <v>2.0999999999985399</v>
      </c>
      <c r="AR303">
        <v>0.59999999999945397</v>
      </c>
      <c r="AT303">
        <v>0.19999999999981799</v>
      </c>
      <c r="BA303">
        <v>5.0999999999985501</v>
      </c>
      <c r="BC303">
        <v>18.599999999976699</v>
      </c>
      <c r="BH303">
        <v>1.20000000000073</v>
      </c>
      <c r="BJ303">
        <v>0.200000000000045</v>
      </c>
      <c r="BK303">
        <v>26.7</v>
      </c>
      <c r="BP303">
        <v>2.5999999999985399</v>
      </c>
      <c r="BQ303">
        <v>0.100000000000023</v>
      </c>
      <c r="BR303">
        <v>50.400000000023297</v>
      </c>
      <c r="BU303">
        <v>5.5</v>
      </c>
      <c r="BZ303">
        <v>3.1</v>
      </c>
      <c r="CA303">
        <v>17.8</v>
      </c>
      <c r="CB303">
        <v>0.6</v>
      </c>
      <c r="CC303">
        <v>0.1</v>
      </c>
      <c r="CI303">
        <v>6.1</v>
      </c>
      <c r="CJ303">
        <v>1.7</v>
      </c>
      <c r="CO303">
        <v>11</v>
      </c>
      <c r="CQ303">
        <v>12.3</v>
      </c>
      <c r="CS303">
        <v>3</v>
      </c>
      <c r="CW303">
        <v>5.6</v>
      </c>
      <c r="CX303">
        <v>50</v>
      </c>
      <c r="DB303">
        <v>2.2999999999999998</v>
      </c>
      <c r="DC303">
        <v>0.2</v>
      </c>
      <c r="DD303" s="5">
        <v>0.8</v>
      </c>
      <c r="DJ303" s="1">
        <v>41210</v>
      </c>
      <c r="DK303" s="2">
        <f t="shared" si="25"/>
        <v>7.5948717948708735</v>
      </c>
      <c r="DL303" s="2">
        <f t="shared" si="26"/>
        <v>2.8757281553394569</v>
      </c>
      <c r="DM303" s="2">
        <f t="shared" si="27"/>
        <v>50.400000000023297</v>
      </c>
      <c r="DN303" s="3">
        <f t="shared" si="28"/>
        <v>0.37864077669902912</v>
      </c>
      <c r="DV303" s="2">
        <v>1500</v>
      </c>
      <c r="DW303">
        <v>0</v>
      </c>
      <c r="DX303">
        <f t="shared" si="30"/>
        <v>14794</v>
      </c>
      <c r="DY303">
        <f t="shared" si="29"/>
        <v>1</v>
      </c>
    </row>
    <row r="304" spans="1:129">
      <c r="A304" s="1">
        <v>41211</v>
      </c>
      <c r="B304" s="1"/>
      <c r="J304">
        <v>8.1</v>
      </c>
      <c r="K304">
        <v>3.9</v>
      </c>
      <c r="L304">
        <v>9.6</v>
      </c>
      <c r="M304">
        <v>5.6</v>
      </c>
      <c r="O304">
        <v>0.2</v>
      </c>
      <c r="P304">
        <v>0.2</v>
      </c>
      <c r="U304">
        <v>0</v>
      </c>
      <c r="V304">
        <v>12</v>
      </c>
      <c r="AA304">
        <v>28.899999999994201</v>
      </c>
      <c r="AE304">
        <v>1.5999999999985499</v>
      </c>
      <c r="AF304">
        <v>1.79999999999927</v>
      </c>
      <c r="AG304">
        <v>0.29999999999972699</v>
      </c>
      <c r="AL304">
        <v>1</v>
      </c>
      <c r="AM304">
        <v>1.0999999999985499</v>
      </c>
      <c r="AN304">
        <v>9.9999999999908995E-2</v>
      </c>
      <c r="AT304">
        <v>0.39999999999963598</v>
      </c>
      <c r="AV304">
        <v>6.5</v>
      </c>
      <c r="AX304">
        <v>1.0999999999985499</v>
      </c>
      <c r="AY304">
        <v>1.0999999999985499</v>
      </c>
      <c r="BC304">
        <v>2.8999999999978199</v>
      </c>
      <c r="BH304">
        <v>1.39999999999964</v>
      </c>
      <c r="BK304">
        <v>64</v>
      </c>
      <c r="BO304">
        <v>1.70000000000073</v>
      </c>
      <c r="BQ304">
        <v>0.100000000000023</v>
      </c>
      <c r="BR304">
        <v>91</v>
      </c>
      <c r="BS304">
        <v>0.5</v>
      </c>
      <c r="BU304">
        <v>1.79999999999927</v>
      </c>
      <c r="BW304">
        <v>9.4</v>
      </c>
      <c r="CA304">
        <v>1.7</v>
      </c>
      <c r="CB304">
        <v>1</v>
      </c>
      <c r="CD304">
        <v>0.4</v>
      </c>
      <c r="CE304">
        <v>9.1999999999999993</v>
      </c>
      <c r="CK304">
        <v>2.5</v>
      </c>
      <c r="CM304">
        <v>0.6</v>
      </c>
      <c r="CS304">
        <v>6</v>
      </c>
      <c r="CU304">
        <v>4.5</v>
      </c>
      <c r="CW304">
        <v>2.6</v>
      </c>
      <c r="CX304">
        <v>1.5</v>
      </c>
      <c r="CZ304">
        <v>25</v>
      </c>
      <c r="DB304">
        <v>11.2</v>
      </c>
      <c r="DD304" s="5"/>
      <c r="DJ304" s="1">
        <v>41211</v>
      </c>
      <c r="DK304" s="2">
        <f t="shared" si="25"/>
        <v>8.0624999999996092</v>
      </c>
      <c r="DL304" s="2">
        <f t="shared" si="26"/>
        <v>3.1310679611648968</v>
      </c>
      <c r="DM304" s="2">
        <f t="shared" si="27"/>
        <v>91</v>
      </c>
      <c r="DN304" s="3">
        <f t="shared" si="28"/>
        <v>0.38834951456310679</v>
      </c>
      <c r="DV304" s="2">
        <v>1505</v>
      </c>
      <c r="DW304">
        <v>0</v>
      </c>
      <c r="DX304">
        <f t="shared" si="30"/>
        <v>14794</v>
      </c>
      <c r="DY304">
        <f t="shared" si="29"/>
        <v>1</v>
      </c>
    </row>
    <row r="305" spans="1:129">
      <c r="A305" s="1">
        <v>41212</v>
      </c>
      <c r="B305" s="1"/>
      <c r="F305">
        <v>1.7</v>
      </c>
      <c r="J305">
        <v>7.6</v>
      </c>
      <c r="L305">
        <v>2.4</v>
      </c>
      <c r="M305">
        <v>1</v>
      </c>
      <c r="N305">
        <v>0.4</v>
      </c>
      <c r="P305">
        <v>1.4</v>
      </c>
      <c r="U305">
        <v>3.2</v>
      </c>
      <c r="W305">
        <v>17</v>
      </c>
      <c r="AA305">
        <v>2.2999999999992702</v>
      </c>
      <c r="AC305">
        <v>2.8999999999978199</v>
      </c>
      <c r="AF305">
        <v>0.29999999999972699</v>
      </c>
      <c r="AG305">
        <v>0.29999999999972699</v>
      </c>
      <c r="AO305">
        <v>9.9999999999908995E-2</v>
      </c>
      <c r="AT305">
        <v>0.5</v>
      </c>
      <c r="AU305">
        <v>8.7999999999883602</v>
      </c>
      <c r="AV305">
        <v>4.5999999999985501</v>
      </c>
      <c r="AY305">
        <v>0.89999999999963598</v>
      </c>
      <c r="BC305">
        <v>7.6999999999970896</v>
      </c>
      <c r="BI305">
        <v>0.100000000000023</v>
      </c>
      <c r="BJ305">
        <v>0</v>
      </c>
      <c r="BK305">
        <v>5.5</v>
      </c>
      <c r="BN305">
        <v>7.1999999999970896</v>
      </c>
      <c r="BR305">
        <v>1</v>
      </c>
      <c r="BS305">
        <v>9.3000000000029104</v>
      </c>
      <c r="BU305">
        <v>0</v>
      </c>
      <c r="BW305">
        <v>0</v>
      </c>
      <c r="BX305">
        <v>5.3999999999941801</v>
      </c>
      <c r="BZ305">
        <v>1.6</v>
      </c>
      <c r="CA305">
        <v>2.4</v>
      </c>
      <c r="CD305">
        <v>8.8000000000000007</v>
      </c>
      <c r="CH305">
        <v>0.6</v>
      </c>
      <c r="CI305">
        <v>2.8</v>
      </c>
      <c r="CJ305">
        <v>0.2</v>
      </c>
      <c r="CM305">
        <v>3.1</v>
      </c>
      <c r="CO305">
        <v>0.1</v>
      </c>
      <c r="CQ305">
        <v>0.1</v>
      </c>
      <c r="CS305">
        <v>22</v>
      </c>
      <c r="CT305">
        <v>33.6</v>
      </c>
      <c r="CU305">
        <v>0.2</v>
      </c>
      <c r="CW305">
        <v>12.4</v>
      </c>
      <c r="CX305">
        <v>0.1</v>
      </c>
      <c r="CZ305">
        <v>0.2</v>
      </c>
      <c r="DB305">
        <v>32.200000000000003</v>
      </c>
      <c r="DD305" s="5"/>
      <c r="DJ305" s="1">
        <v>41212</v>
      </c>
      <c r="DK305" s="2">
        <f t="shared" si="25"/>
        <v>4.9302325581389361</v>
      </c>
      <c r="DL305" s="2">
        <f t="shared" si="26"/>
        <v>2.058252427184216</v>
      </c>
      <c r="DM305" s="2">
        <f t="shared" si="27"/>
        <v>33.6</v>
      </c>
      <c r="DN305" s="3">
        <f t="shared" si="28"/>
        <v>0.41747572815533979</v>
      </c>
      <c r="DV305" s="2">
        <v>1510</v>
      </c>
      <c r="DW305">
        <v>0</v>
      </c>
      <c r="DX305">
        <f t="shared" si="30"/>
        <v>14794</v>
      </c>
      <c r="DY305">
        <f t="shared" si="29"/>
        <v>1</v>
      </c>
    </row>
    <row r="306" spans="1:129">
      <c r="A306" s="1">
        <v>41213</v>
      </c>
      <c r="B306" s="1"/>
      <c r="G306">
        <v>8.3000000000000007</v>
      </c>
      <c r="J306">
        <v>4.7</v>
      </c>
      <c r="L306">
        <v>3.5</v>
      </c>
      <c r="M306">
        <v>7</v>
      </c>
      <c r="P306">
        <v>0.7</v>
      </c>
      <c r="Q306">
        <v>0.6</v>
      </c>
      <c r="AA306">
        <v>2</v>
      </c>
      <c r="AC306">
        <v>3.1999999999970901</v>
      </c>
      <c r="AD306">
        <v>1.29999999999927</v>
      </c>
      <c r="AE306">
        <v>0.19999999999981799</v>
      </c>
      <c r="AF306">
        <v>13.299999999988399</v>
      </c>
      <c r="AG306">
        <v>5.1999999999970896</v>
      </c>
      <c r="AJ306">
        <v>0</v>
      </c>
      <c r="AK306">
        <v>0.29999999999972699</v>
      </c>
      <c r="AM306">
        <v>0.19999999999981799</v>
      </c>
      <c r="AP306">
        <v>2</v>
      </c>
      <c r="BC306">
        <v>32</v>
      </c>
      <c r="BG306">
        <v>0.89999999999963598</v>
      </c>
      <c r="BH306">
        <v>0.100000000000023</v>
      </c>
      <c r="BI306">
        <v>7.6999999999970896</v>
      </c>
      <c r="BJ306">
        <v>0</v>
      </c>
      <c r="BK306">
        <v>0.1</v>
      </c>
      <c r="BM306">
        <v>2.0999999999985399</v>
      </c>
      <c r="BN306">
        <v>0.100000000000023</v>
      </c>
      <c r="BR306">
        <v>0.100000000000023</v>
      </c>
      <c r="BS306">
        <v>25</v>
      </c>
      <c r="BT306">
        <v>0</v>
      </c>
      <c r="BX306">
        <v>11.5</v>
      </c>
      <c r="BZ306">
        <v>25.6</v>
      </c>
      <c r="CA306">
        <v>14.3</v>
      </c>
      <c r="CB306">
        <v>8.5</v>
      </c>
      <c r="CE306">
        <v>7</v>
      </c>
      <c r="CJ306">
        <v>5.6</v>
      </c>
      <c r="CL306">
        <v>3.3</v>
      </c>
      <c r="CS306">
        <v>34</v>
      </c>
      <c r="CT306">
        <v>39.700000000000003</v>
      </c>
      <c r="CW306">
        <v>57.5</v>
      </c>
      <c r="DB306">
        <v>12</v>
      </c>
      <c r="DD306" s="5"/>
      <c r="DJ306" s="1">
        <v>41213</v>
      </c>
      <c r="DK306" s="2">
        <f t="shared" si="25"/>
        <v>8.9368421052625404</v>
      </c>
      <c r="DL306" s="2">
        <f t="shared" si="26"/>
        <v>3.297087378640549</v>
      </c>
      <c r="DM306" s="2">
        <f t="shared" si="27"/>
        <v>57.5</v>
      </c>
      <c r="DN306" s="3">
        <f t="shared" si="28"/>
        <v>0.36893203883495146</v>
      </c>
      <c r="DV306" s="2">
        <v>1515</v>
      </c>
      <c r="DW306">
        <v>0</v>
      </c>
      <c r="DX306">
        <f t="shared" si="30"/>
        <v>14794</v>
      </c>
      <c r="DY306">
        <f t="shared" si="29"/>
        <v>1</v>
      </c>
    </row>
    <row r="307" spans="1:129">
      <c r="A307" s="1">
        <v>41214</v>
      </c>
      <c r="B307" s="1"/>
      <c r="D307">
        <v>5.9</v>
      </c>
      <c r="G307">
        <v>2.7</v>
      </c>
      <c r="H307">
        <v>0.2</v>
      </c>
      <c r="L307">
        <v>10.1</v>
      </c>
      <c r="N307">
        <v>0.2</v>
      </c>
      <c r="O307">
        <v>0.2</v>
      </c>
      <c r="P307">
        <v>0.3</v>
      </c>
      <c r="U307">
        <v>0.1</v>
      </c>
      <c r="W307">
        <v>6.2</v>
      </c>
      <c r="X307">
        <v>1.7</v>
      </c>
      <c r="Y307">
        <v>2.5</v>
      </c>
      <c r="AA307">
        <v>15.5</v>
      </c>
      <c r="AB307">
        <v>2.0999999999985399</v>
      </c>
      <c r="AC307">
        <v>1.79999999999927</v>
      </c>
      <c r="AF307">
        <v>2.2999999999992702</v>
      </c>
      <c r="AG307">
        <v>0</v>
      </c>
      <c r="AH307">
        <v>0.2</v>
      </c>
      <c r="AK307">
        <v>0.19999999999981799</v>
      </c>
      <c r="AR307">
        <v>5</v>
      </c>
      <c r="AU307">
        <v>9.0999999999912706</v>
      </c>
      <c r="AY307">
        <v>2.5999999999985399</v>
      </c>
      <c r="AZ307">
        <v>0</v>
      </c>
      <c r="BB307">
        <v>0.19999999999981799</v>
      </c>
      <c r="BC307">
        <v>1.39999999999964</v>
      </c>
      <c r="BF307">
        <v>0.30000000000018201</v>
      </c>
      <c r="BI307">
        <v>0.100000000000023</v>
      </c>
      <c r="BJ307">
        <v>0.200000000000045</v>
      </c>
      <c r="BK307">
        <v>3.5</v>
      </c>
      <c r="BL307">
        <v>0</v>
      </c>
      <c r="BM307">
        <v>0.400000000000091</v>
      </c>
      <c r="BN307">
        <v>16.399999999994201</v>
      </c>
      <c r="BP307">
        <v>0.89999999999963598</v>
      </c>
      <c r="BQ307">
        <v>0.100000000000023</v>
      </c>
      <c r="BR307">
        <v>1.10000000000036</v>
      </c>
      <c r="BS307">
        <v>47</v>
      </c>
      <c r="BX307">
        <v>8</v>
      </c>
      <c r="BZ307">
        <v>3.3</v>
      </c>
      <c r="CA307">
        <v>19</v>
      </c>
      <c r="CB307">
        <v>15.9</v>
      </c>
      <c r="CE307">
        <v>2.5</v>
      </c>
      <c r="CM307">
        <v>0.1</v>
      </c>
      <c r="CR307">
        <v>0.1</v>
      </c>
      <c r="CS307">
        <v>0.8</v>
      </c>
      <c r="CT307">
        <v>3.7</v>
      </c>
      <c r="CW307">
        <v>6.2</v>
      </c>
      <c r="CX307">
        <v>0.1</v>
      </c>
      <c r="CY307">
        <v>0.1</v>
      </c>
      <c r="CZ307">
        <v>3.4</v>
      </c>
      <c r="DD307" s="5"/>
      <c r="DJ307" s="1">
        <v>41214</v>
      </c>
      <c r="DK307" s="2">
        <f t="shared" si="25"/>
        <v>4.243749999999598</v>
      </c>
      <c r="DL307" s="2">
        <f t="shared" si="26"/>
        <v>1.9776699029124341</v>
      </c>
      <c r="DM307" s="2">
        <f t="shared" si="27"/>
        <v>47</v>
      </c>
      <c r="DN307" s="3">
        <f t="shared" si="28"/>
        <v>0.46601941747572817</v>
      </c>
      <c r="DV307" s="2">
        <v>1520</v>
      </c>
      <c r="DW307">
        <v>0</v>
      </c>
      <c r="DX307">
        <f t="shared" si="30"/>
        <v>14794</v>
      </c>
      <c r="DY307">
        <f t="shared" si="29"/>
        <v>1</v>
      </c>
    </row>
    <row r="308" spans="1:129">
      <c r="A308" s="1">
        <v>41215</v>
      </c>
      <c r="B308" s="1"/>
      <c r="D308">
        <v>38.200000000000003</v>
      </c>
      <c r="E308">
        <v>0.7</v>
      </c>
      <c r="F308">
        <v>0.2</v>
      </c>
      <c r="H308">
        <v>2</v>
      </c>
      <c r="L308">
        <v>8.3000000000000007</v>
      </c>
      <c r="U308">
        <v>0.2</v>
      </c>
      <c r="W308">
        <v>5.2</v>
      </c>
      <c r="X308">
        <v>23.8</v>
      </c>
      <c r="Z308">
        <v>2.5</v>
      </c>
      <c r="AA308">
        <v>14.399999999994201</v>
      </c>
      <c r="AD308">
        <v>0.79999999999927196</v>
      </c>
      <c r="AE308">
        <v>1.79999999999927</v>
      </c>
      <c r="AH308">
        <v>0.19999999999981799</v>
      </c>
      <c r="AI308">
        <v>0</v>
      </c>
      <c r="AM308">
        <v>1.6999999999989099</v>
      </c>
      <c r="AO308">
        <v>9.9999999999908995E-2</v>
      </c>
      <c r="AP308">
        <v>1.5</v>
      </c>
      <c r="AR308">
        <v>34</v>
      </c>
      <c r="AU308">
        <v>0.69999999999981799</v>
      </c>
      <c r="BG308">
        <v>0.400000000000091</v>
      </c>
      <c r="BH308">
        <v>0.100000000000023</v>
      </c>
      <c r="BI308">
        <v>0.100000000000023</v>
      </c>
      <c r="BJ308">
        <v>0.100000000000023</v>
      </c>
      <c r="BK308">
        <v>17.600000000005799</v>
      </c>
      <c r="BL308">
        <v>0.100000000000023</v>
      </c>
      <c r="BM308">
        <v>0.100000000000023</v>
      </c>
      <c r="BN308">
        <v>0.30000000000018201</v>
      </c>
      <c r="BS308">
        <v>0.5</v>
      </c>
      <c r="BT308">
        <v>4.5</v>
      </c>
      <c r="BX308">
        <v>1.29999999999927</v>
      </c>
      <c r="BY308">
        <v>15.3</v>
      </c>
      <c r="BZ308">
        <v>0.7</v>
      </c>
      <c r="CA308">
        <v>0.6</v>
      </c>
      <c r="CE308">
        <v>11</v>
      </c>
      <c r="CM308">
        <v>2</v>
      </c>
      <c r="CO308">
        <v>25</v>
      </c>
      <c r="CS308">
        <v>1.4</v>
      </c>
      <c r="CT308">
        <v>8.3000000000000007</v>
      </c>
      <c r="CU308">
        <v>4.0999999999999996</v>
      </c>
      <c r="CW308">
        <v>6.7</v>
      </c>
      <c r="CX308">
        <v>0.2</v>
      </c>
      <c r="CY308">
        <v>2.2999999999999998</v>
      </c>
      <c r="CZ308">
        <v>8.9</v>
      </c>
      <c r="DB308">
        <v>0.2</v>
      </c>
      <c r="DD308" s="5"/>
      <c r="DJ308" s="1">
        <v>41215</v>
      </c>
      <c r="DK308" s="2">
        <f t="shared" si="25"/>
        <v>5.6386363636362873</v>
      </c>
      <c r="DL308" s="2">
        <f t="shared" si="26"/>
        <v>2.4087378640776373</v>
      </c>
      <c r="DM308" s="2">
        <f t="shared" si="27"/>
        <v>38.200000000000003</v>
      </c>
      <c r="DN308" s="3">
        <f t="shared" si="28"/>
        <v>0.42718446601941745</v>
      </c>
      <c r="DV308" s="2">
        <v>1525</v>
      </c>
      <c r="DW308">
        <v>0</v>
      </c>
      <c r="DX308">
        <f t="shared" si="30"/>
        <v>14794</v>
      </c>
      <c r="DY308">
        <f t="shared" si="29"/>
        <v>1</v>
      </c>
    </row>
    <row r="309" spans="1:129">
      <c r="A309" s="1">
        <v>41216</v>
      </c>
      <c r="B309" s="1"/>
      <c r="E309">
        <v>0.2</v>
      </c>
      <c r="K309">
        <v>0.9</v>
      </c>
      <c r="U309">
        <v>0.2</v>
      </c>
      <c r="W309">
        <v>0</v>
      </c>
      <c r="X309">
        <v>3.3</v>
      </c>
      <c r="AA309">
        <v>14.799999999988399</v>
      </c>
      <c r="AE309">
        <v>12.599999999991301</v>
      </c>
      <c r="AG309">
        <v>1.5</v>
      </c>
      <c r="AI309">
        <v>1.1999999999989099</v>
      </c>
      <c r="AO309">
        <v>2.5</v>
      </c>
      <c r="AP309">
        <v>7.0999999999985501</v>
      </c>
      <c r="AQ309">
        <v>5.79999999999563</v>
      </c>
      <c r="AR309">
        <v>5</v>
      </c>
      <c r="AU309">
        <v>1</v>
      </c>
      <c r="AY309">
        <v>3.5</v>
      </c>
      <c r="AZ309">
        <v>0.29999999999972699</v>
      </c>
      <c r="BB309">
        <v>44.5</v>
      </c>
      <c r="BG309">
        <v>2.7999999999992702</v>
      </c>
      <c r="BI309">
        <v>0.100000000000023</v>
      </c>
      <c r="BJ309">
        <v>0</v>
      </c>
      <c r="BK309">
        <v>9.6000000000058208</v>
      </c>
      <c r="BL309">
        <v>0.69999999999981799</v>
      </c>
      <c r="BM309">
        <v>1.79999999999927</v>
      </c>
      <c r="BN309">
        <v>0.30000000000018201</v>
      </c>
      <c r="BP309">
        <v>0.200000000000045</v>
      </c>
      <c r="BQ309">
        <v>0.100000000000023</v>
      </c>
      <c r="BS309">
        <v>12</v>
      </c>
      <c r="BT309">
        <v>3.2000000000007298</v>
      </c>
      <c r="BX309">
        <v>0</v>
      </c>
      <c r="BY309">
        <v>1.5</v>
      </c>
      <c r="CE309">
        <v>1.4</v>
      </c>
      <c r="CI309">
        <v>3.6</v>
      </c>
      <c r="CO309">
        <v>17.8</v>
      </c>
      <c r="CP309">
        <v>21</v>
      </c>
      <c r="CR309">
        <v>0.1</v>
      </c>
      <c r="CS309">
        <v>9.3000000000000007</v>
      </c>
      <c r="CT309">
        <v>15.4</v>
      </c>
      <c r="CW309">
        <v>5.3</v>
      </c>
      <c r="CX309">
        <v>0.1</v>
      </c>
      <c r="CY309">
        <v>1.7</v>
      </c>
      <c r="CZ309">
        <v>0.1</v>
      </c>
      <c r="DD309" s="5">
        <v>7.6</v>
      </c>
      <c r="DJ309" s="1">
        <v>41216</v>
      </c>
      <c r="DK309" s="2">
        <f t="shared" si="25"/>
        <v>5.2404761904756594</v>
      </c>
      <c r="DL309" s="2">
        <f t="shared" si="26"/>
        <v>2.1368932038832789</v>
      </c>
      <c r="DM309" s="2">
        <f t="shared" si="27"/>
        <v>44.5</v>
      </c>
      <c r="DN309" s="3">
        <f t="shared" si="28"/>
        <v>0.40776699029126212</v>
      </c>
      <c r="DV309" s="2">
        <v>1530</v>
      </c>
      <c r="DW309">
        <v>0</v>
      </c>
      <c r="DX309">
        <f t="shared" si="30"/>
        <v>14794</v>
      </c>
      <c r="DY309">
        <f t="shared" si="29"/>
        <v>1</v>
      </c>
    </row>
    <row r="310" spans="1:129">
      <c r="A310" s="1">
        <v>41217</v>
      </c>
      <c r="B310" s="1"/>
      <c r="D310">
        <v>4.0999999999999996</v>
      </c>
      <c r="G310">
        <v>0.1</v>
      </c>
      <c r="Q310">
        <v>0.3</v>
      </c>
      <c r="S310">
        <v>4.4000000000000004</v>
      </c>
      <c r="X310">
        <v>0.5</v>
      </c>
      <c r="AA310">
        <v>3.1999999999970901</v>
      </c>
      <c r="AC310">
        <v>0</v>
      </c>
      <c r="AE310">
        <v>1.29999999999927</v>
      </c>
      <c r="AG310">
        <v>3</v>
      </c>
      <c r="AH310">
        <v>0.1</v>
      </c>
      <c r="AI310">
        <v>4.1999999999970896</v>
      </c>
      <c r="AJ310">
        <v>11.299999999988399</v>
      </c>
      <c r="AK310">
        <v>9.9999999999908995E-2</v>
      </c>
      <c r="AN310">
        <v>9.9999999999908995E-2</v>
      </c>
      <c r="AO310">
        <v>3</v>
      </c>
      <c r="AQ310">
        <v>16.599999999976699</v>
      </c>
      <c r="AU310">
        <v>5.3999999999941801</v>
      </c>
      <c r="AV310">
        <v>29.299999999988401</v>
      </c>
      <c r="AX310">
        <v>2.2999999999992702</v>
      </c>
      <c r="AY310">
        <v>12.399999999994201</v>
      </c>
      <c r="BB310">
        <v>17</v>
      </c>
      <c r="BG310">
        <v>9.6000000000058208</v>
      </c>
      <c r="BJ310">
        <v>0</v>
      </c>
      <c r="BL310">
        <v>0.100000000000023</v>
      </c>
      <c r="BS310">
        <v>0</v>
      </c>
      <c r="BT310">
        <v>0.100000000000023</v>
      </c>
      <c r="BU310">
        <v>3.0999999999985399</v>
      </c>
      <c r="BW310">
        <v>1</v>
      </c>
      <c r="BX310">
        <v>1.39999999999964</v>
      </c>
      <c r="BY310">
        <v>15.5</v>
      </c>
      <c r="BZ310">
        <v>8.5</v>
      </c>
      <c r="CA310">
        <v>6.6</v>
      </c>
      <c r="CB310">
        <v>6.2</v>
      </c>
      <c r="CD310">
        <v>0.1</v>
      </c>
      <c r="CG310">
        <v>2.5</v>
      </c>
      <c r="CI310">
        <v>28.2</v>
      </c>
      <c r="CO310">
        <v>2.5</v>
      </c>
      <c r="CQ310">
        <v>2.9</v>
      </c>
      <c r="CS310">
        <v>0.8</v>
      </c>
      <c r="CT310">
        <v>7</v>
      </c>
      <c r="CU310">
        <v>4.4000000000000004</v>
      </c>
      <c r="CW310">
        <v>13.7</v>
      </c>
      <c r="CX310">
        <v>0.2</v>
      </c>
      <c r="CZ310">
        <v>0.1</v>
      </c>
      <c r="DD310" s="5">
        <v>5.7</v>
      </c>
      <c r="DJ310" s="1">
        <v>41217</v>
      </c>
      <c r="DK310" s="2">
        <f t="shared" si="25"/>
        <v>5.3088888888875205</v>
      </c>
      <c r="DL310" s="2">
        <f t="shared" si="26"/>
        <v>2.3194174757275574</v>
      </c>
      <c r="DM310" s="2">
        <f t="shared" si="27"/>
        <v>29.299999999988401</v>
      </c>
      <c r="DN310" s="3">
        <f t="shared" si="28"/>
        <v>0.43689320388349512</v>
      </c>
      <c r="DV310" s="2">
        <v>1535</v>
      </c>
      <c r="DW310">
        <v>0</v>
      </c>
      <c r="DX310">
        <f t="shared" si="30"/>
        <v>14794</v>
      </c>
      <c r="DY310">
        <f t="shared" si="29"/>
        <v>1</v>
      </c>
    </row>
    <row r="311" spans="1:129">
      <c r="A311" s="1">
        <v>41218</v>
      </c>
      <c r="B311" s="1"/>
      <c r="C311">
        <v>0.4</v>
      </c>
      <c r="D311">
        <v>10.3</v>
      </c>
      <c r="F311">
        <v>1</v>
      </c>
      <c r="G311">
        <v>0.2</v>
      </c>
      <c r="I311">
        <v>0.6</v>
      </c>
      <c r="L311">
        <v>19.600000000000001</v>
      </c>
      <c r="O311">
        <v>2.1</v>
      </c>
      <c r="T311">
        <v>6.6</v>
      </c>
      <c r="V311">
        <v>3.4</v>
      </c>
      <c r="X311">
        <v>3</v>
      </c>
      <c r="AB311">
        <v>1.0999999999985499</v>
      </c>
      <c r="AC311">
        <v>1.39999999999964</v>
      </c>
      <c r="AD311">
        <v>0.3</v>
      </c>
      <c r="AG311">
        <v>6.1999999999970896</v>
      </c>
      <c r="AI311">
        <v>0.5</v>
      </c>
      <c r="AJ311">
        <v>0.89999999999963598</v>
      </c>
      <c r="AK311">
        <v>2.6999999999970901</v>
      </c>
      <c r="AL311">
        <v>0.5</v>
      </c>
      <c r="AM311">
        <v>15</v>
      </c>
      <c r="AQ311">
        <v>1.5</v>
      </c>
      <c r="AU311">
        <v>0.19999999999981799</v>
      </c>
      <c r="AV311">
        <v>6</v>
      </c>
      <c r="AX311">
        <v>15</v>
      </c>
      <c r="AY311">
        <v>6.8999999999941801</v>
      </c>
      <c r="BD311">
        <v>0.200000000000045</v>
      </c>
      <c r="BJ311">
        <v>0.100000000000023</v>
      </c>
      <c r="BK311">
        <v>0.200000000000045</v>
      </c>
      <c r="BL311">
        <v>0.100000000000023</v>
      </c>
      <c r="BQ311">
        <v>0.100000000000023</v>
      </c>
      <c r="BR311">
        <v>0.200000000000045</v>
      </c>
      <c r="BS311">
        <v>0.5</v>
      </c>
      <c r="BV311">
        <v>16.100000000000001</v>
      </c>
      <c r="BW311">
        <v>4.5</v>
      </c>
      <c r="BY311">
        <v>2.6</v>
      </c>
      <c r="BZ311">
        <v>15.2</v>
      </c>
      <c r="CA311">
        <v>3.5</v>
      </c>
      <c r="CB311">
        <v>22</v>
      </c>
      <c r="CD311">
        <v>34</v>
      </c>
      <c r="CF311">
        <v>0.2</v>
      </c>
      <c r="CG311">
        <v>0.2</v>
      </c>
      <c r="CH311">
        <v>0.8</v>
      </c>
      <c r="CI311">
        <v>5.5</v>
      </c>
      <c r="CM311">
        <v>0.6</v>
      </c>
      <c r="CO311">
        <v>26.5</v>
      </c>
      <c r="CP311">
        <v>25.5</v>
      </c>
      <c r="CQ311">
        <v>5.7</v>
      </c>
      <c r="CS311">
        <v>3.5</v>
      </c>
      <c r="CU311">
        <v>32</v>
      </c>
      <c r="CX311">
        <v>0.1</v>
      </c>
      <c r="DD311" s="5">
        <v>0.3</v>
      </c>
      <c r="DJ311" s="1">
        <v>41218</v>
      </c>
      <c r="DK311" s="2">
        <f t="shared" si="25"/>
        <v>6.1119999999997239</v>
      </c>
      <c r="DL311" s="2">
        <f t="shared" si="26"/>
        <v>2.9669902912620021</v>
      </c>
      <c r="DM311" s="2">
        <f t="shared" si="27"/>
        <v>34</v>
      </c>
      <c r="DN311" s="3">
        <f t="shared" si="28"/>
        <v>0.4854368932038835</v>
      </c>
      <c r="DV311" s="2">
        <v>1540</v>
      </c>
      <c r="DW311">
        <v>0</v>
      </c>
      <c r="DX311">
        <f t="shared" si="30"/>
        <v>14794</v>
      </c>
      <c r="DY311">
        <f t="shared" si="29"/>
        <v>1</v>
      </c>
    </row>
    <row r="312" spans="1:129">
      <c r="A312" s="1">
        <v>41219</v>
      </c>
      <c r="B312" s="1"/>
      <c r="F312">
        <v>3</v>
      </c>
      <c r="L312">
        <v>2.1</v>
      </c>
      <c r="M312">
        <v>0.3</v>
      </c>
      <c r="N312">
        <v>7.6</v>
      </c>
      <c r="T312">
        <v>6.7</v>
      </c>
      <c r="V312">
        <v>0.3</v>
      </c>
      <c r="W312">
        <v>0</v>
      </c>
      <c r="X312">
        <v>32.5</v>
      </c>
      <c r="Y312">
        <v>0.1</v>
      </c>
      <c r="AD312">
        <v>13.599999999991301</v>
      </c>
      <c r="AE312">
        <v>4</v>
      </c>
      <c r="AG312">
        <v>14.1999999999971</v>
      </c>
      <c r="AJ312">
        <v>0.59999999999945397</v>
      </c>
      <c r="AL312">
        <v>8.6999999999970896</v>
      </c>
      <c r="AM312">
        <v>25.5</v>
      </c>
      <c r="AP312">
        <v>0.89999999999963598</v>
      </c>
      <c r="AQ312">
        <v>7.1999999999970896</v>
      </c>
      <c r="AS312">
        <v>3.8999999999978199</v>
      </c>
      <c r="AT312">
        <v>0.69999999999981799</v>
      </c>
      <c r="AV312">
        <v>9.5</v>
      </c>
      <c r="BB312">
        <v>0.59999999999945397</v>
      </c>
      <c r="BD312">
        <v>7.5</v>
      </c>
      <c r="BE312">
        <v>7.4000000000014596</v>
      </c>
      <c r="BH312">
        <v>0.69999999999981799</v>
      </c>
      <c r="BI312">
        <v>5.1999999999970896</v>
      </c>
      <c r="BK312">
        <v>0.100000000000023</v>
      </c>
      <c r="BR312">
        <v>0.60000000000036402</v>
      </c>
      <c r="BS312">
        <v>3</v>
      </c>
      <c r="BU312">
        <v>5.5</v>
      </c>
      <c r="BV312">
        <v>5.7</v>
      </c>
      <c r="BW312">
        <v>0.8</v>
      </c>
      <c r="BX312">
        <v>3.7999999999992702</v>
      </c>
      <c r="BY312">
        <v>16.5</v>
      </c>
      <c r="BZ312">
        <v>1.3</v>
      </c>
      <c r="CA312">
        <v>0</v>
      </c>
      <c r="CB312">
        <v>15</v>
      </c>
      <c r="CD312">
        <v>6.5</v>
      </c>
      <c r="CH312">
        <v>0.3</v>
      </c>
      <c r="CI312">
        <v>8.5</v>
      </c>
      <c r="CO312">
        <v>0.5</v>
      </c>
      <c r="CP312">
        <v>9.6</v>
      </c>
      <c r="CQ312">
        <v>22.9</v>
      </c>
      <c r="CS312">
        <v>0.7</v>
      </c>
      <c r="CT312">
        <v>2.9</v>
      </c>
      <c r="CU312">
        <v>2.5</v>
      </c>
      <c r="CX312">
        <v>0.1</v>
      </c>
      <c r="CZ312">
        <v>3.2</v>
      </c>
      <c r="DA312">
        <v>8.9</v>
      </c>
      <c r="DD312" s="5"/>
      <c r="DJ312" s="1">
        <v>41219</v>
      </c>
      <c r="DK312" s="2">
        <f t="shared" si="25"/>
        <v>5.8687499999995154</v>
      </c>
      <c r="DL312" s="2">
        <f t="shared" si="26"/>
        <v>2.734951456310454</v>
      </c>
      <c r="DM312" s="2">
        <f t="shared" si="27"/>
        <v>32.5</v>
      </c>
      <c r="DN312" s="3">
        <f t="shared" si="28"/>
        <v>0.46601941747572817</v>
      </c>
      <c r="DV312" s="2">
        <v>1545</v>
      </c>
      <c r="DW312">
        <v>0</v>
      </c>
      <c r="DX312">
        <f t="shared" si="30"/>
        <v>14794</v>
      </c>
      <c r="DY312">
        <f t="shared" si="29"/>
        <v>1</v>
      </c>
    </row>
    <row r="313" spans="1:129">
      <c r="A313" s="1">
        <v>41220</v>
      </c>
      <c r="B313" s="1"/>
      <c r="F313">
        <v>1.2</v>
      </c>
      <c r="G313">
        <v>0.3</v>
      </c>
      <c r="I313">
        <v>0.8</v>
      </c>
      <c r="J313">
        <v>1.3</v>
      </c>
      <c r="L313">
        <v>0.4</v>
      </c>
      <c r="M313">
        <v>0.6</v>
      </c>
      <c r="N313">
        <v>5.9</v>
      </c>
      <c r="P313">
        <v>0.4</v>
      </c>
      <c r="T313">
        <v>0.2</v>
      </c>
      <c r="U313">
        <v>0.1</v>
      </c>
      <c r="W313">
        <v>0</v>
      </c>
      <c r="X313">
        <v>12.5</v>
      </c>
      <c r="AB313">
        <v>0.59999999999945397</v>
      </c>
      <c r="AE313">
        <v>9.9999999999908995E-2</v>
      </c>
      <c r="AI313">
        <v>1</v>
      </c>
      <c r="AJ313">
        <v>9.9999999999908995E-2</v>
      </c>
      <c r="AK313">
        <v>0.39999999999963598</v>
      </c>
      <c r="AL313">
        <v>1.29999999999927</v>
      </c>
      <c r="AP313">
        <v>0.79999999999927196</v>
      </c>
      <c r="AS313">
        <v>1</v>
      </c>
      <c r="AT313">
        <v>3.5999999999985399</v>
      </c>
      <c r="AV313">
        <v>1.5999999999985499</v>
      </c>
      <c r="AW313">
        <v>0.5</v>
      </c>
      <c r="BA313">
        <v>6.3999999999941801</v>
      </c>
      <c r="BB313">
        <v>1.29999999999927</v>
      </c>
      <c r="BH313">
        <v>15.5</v>
      </c>
      <c r="BI313">
        <v>14.5</v>
      </c>
      <c r="BJ313">
        <v>5.1999999999970896</v>
      </c>
      <c r="BM313">
        <v>2.0999999999985399</v>
      </c>
      <c r="BR313">
        <v>9.6000000000058208</v>
      </c>
      <c r="BS313">
        <v>11.5</v>
      </c>
      <c r="BU313">
        <v>22.200000000011599</v>
      </c>
      <c r="BV313">
        <v>1.5</v>
      </c>
      <c r="BW313">
        <v>3.5</v>
      </c>
      <c r="BY313">
        <v>25</v>
      </c>
      <c r="BZ313">
        <v>10.6</v>
      </c>
      <c r="CE313">
        <v>3.9</v>
      </c>
      <c r="CI313">
        <v>4.0999999999999996</v>
      </c>
      <c r="CL313">
        <v>5.4</v>
      </c>
      <c r="CQ313">
        <v>4.0999999999999996</v>
      </c>
      <c r="CS313">
        <v>0.2</v>
      </c>
      <c r="CU313">
        <v>1.8</v>
      </c>
      <c r="CZ313">
        <v>35.299999999999997</v>
      </c>
      <c r="DA313">
        <v>7.2</v>
      </c>
      <c r="DD313" s="5"/>
      <c r="DJ313" s="1">
        <v>41220</v>
      </c>
      <c r="DK313" s="2">
        <f t="shared" ref="DK313:DK367" si="31">AVERAGE(C313:DD313)</f>
        <v>5.1272727272727501</v>
      </c>
      <c r="DL313" s="2">
        <f t="shared" ref="DL313:DL367" si="32">SUM(C313:DD313)/(COUNTA(C313:DA313)+COUNTBLANK(C313:DA313))</f>
        <v>2.1902912621359318</v>
      </c>
      <c r="DM313" s="2">
        <f t="shared" ref="DM313:DM367" si="33">MAX(C313:DD313)</f>
        <v>35.299999999999997</v>
      </c>
      <c r="DN313" s="3">
        <f t="shared" ref="DN313:DN367" si="34">(COUNTA(C313:DD313)/(COUNTA(C313:DA313)+COUNTBLANK(C313:DA313)))</f>
        <v>0.42718446601941745</v>
      </c>
      <c r="DV313" s="2">
        <v>1550</v>
      </c>
      <c r="DW313">
        <v>0</v>
      </c>
      <c r="DX313">
        <f t="shared" si="30"/>
        <v>14794</v>
      </c>
      <c r="DY313">
        <f t="shared" si="29"/>
        <v>1</v>
      </c>
    </row>
    <row r="314" spans="1:129">
      <c r="A314" s="1">
        <v>41221</v>
      </c>
      <c r="B314" s="1"/>
      <c r="E314">
        <v>18.7</v>
      </c>
      <c r="F314">
        <v>0.3</v>
      </c>
      <c r="L314">
        <v>0.2</v>
      </c>
      <c r="M314">
        <v>1.6</v>
      </c>
      <c r="N314">
        <v>0.2</v>
      </c>
      <c r="Y314">
        <v>1</v>
      </c>
      <c r="AB314">
        <v>2.0999999999985399</v>
      </c>
      <c r="AE314">
        <v>4.5999999999985501</v>
      </c>
      <c r="AF314">
        <v>1</v>
      </c>
      <c r="AH314">
        <v>2</v>
      </c>
      <c r="AI314">
        <v>12.6999999999971</v>
      </c>
      <c r="AJ314">
        <v>0.19999999999981799</v>
      </c>
      <c r="AK314">
        <v>2.2999999999992702</v>
      </c>
      <c r="AL314">
        <v>9.0999999999912706</v>
      </c>
      <c r="AM314">
        <v>0.29999999999972699</v>
      </c>
      <c r="AO314">
        <v>17.199999999982499</v>
      </c>
      <c r="AP314">
        <v>0.29999999999972699</v>
      </c>
      <c r="AS314">
        <v>1.1999999999989099</v>
      </c>
      <c r="AT314">
        <v>4.1999999999970896</v>
      </c>
      <c r="AU314">
        <v>1.29999999999927</v>
      </c>
      <c r="AV314">
        <v>3.5</v>
      </c>
      <c r="AY314">
        <v>10</v>
      </c>
      <c r="AZ314">
        <v>1.39999999999964</v>
      </c>
      <c r="BC314">
        <v>1</v>
      </c>
      <c r="BF314">
        <v>5.5</v>
      </c>
      <c r="BH314">
        <v>14.100000000005799</v>
      </c>
      <c r="BI314">
        <v>0.100000000000023</v>
      </c>
      <c r="BJ314">
        <v>0.89999999999963598</v>
      </c>
      <c r="BK314">
        <v>0.100000000000023</v>
      </c>
      <c r="BM314">
        <v>7.5999999999985501</v>
      </c>
      <c r="BN314">
        <v>3</v>
      </c>
      <c r="BP314">
        <v>0</v>
      </c>
      <c r="BQ314">
        <v>0</v>
      </c>
      <c r="BR314">
        <v>4.4000000000014596</v>
      </c>
      <c r="BS314">
        <v>0.89999999999963598</v>
      </c>
      <c r="BT314">
        <v>5.9000000000014596</v>
      </c>
      <c r="BU314">
        <v>23.600000000005799</v>
      </c>
      <c r="BV314">
        <v>0.7</v>
      </c>
      <c r="BW314">
        <v>10.6</v>
      </c>
      <c r="CC314">
        <v>0.4</v>
      </c>
      <c r="CD314">
        <v>4.0999999999999996</v>
      </c>
      <c r="CE314">
        <v>5.5</v>
      </c>
      <c r="CG314">
        <v>0.8</v>
      </c>
      <c r="CH314">
        <v>0.5</v>
      </c>
      <c r="CI314">
        <v>0</v>
      </c>
      <c r="CL314">
        <v>2</v>
      </c>
      <c r="CO314">
        <v>3</v>
      </c>
      <c r="CQ314">
        <v>1</v>
      </c>
      <c r="CU314">
        <v>10.9</v>
      </c>
      <c r="DD314" s="5"/>
      <c r="DJ314" s="1">
        <v>41221</v>
      </c>
      <c r="DK314" s="2">
        <f t="shared" si="31"/>
        <v>4.1224489795913017</v>
      </c>
      <c r="DL314" s="2">
        <f t="shared" si="32"/>
        <v>1.9611650485434347</v>
      </c>
      <c r="DM314" s="2">
        <f t="shared" si="33"/>
        <v>23.600000000005799</v>
      </c>
      <c r="DN314" s="3">
        <f t="shared" si="34"/>
        <v>0.47572815533980584</v>
      </c>
      <c r="DV314" s="2">
        <v>1555</v>
      </c>
      <c r="DW314">
        <v>0</v>
      </c>
      <c r="DX314">
        <f t="shared" si="30"/>
        <v>14794</v>
      </c>
      <c r="DY314">
        <f t="shared" si="29"/>
        <v>1</v>
      </c>
    </row>
    <row r="315" spans="1:129">
      <c r="A315" s="1">
        <v>41222</v>
      </c>
      <c r="B315" s="1"/>
      <c r="C315">
        <v>0.5</v>
      </c>
      <c r="F315">
        <v>8.9</v>
      </c>
      <c r="I315">
        <v>0.5</v>
      </c>
      <c r="J315">
        <v>14.5</v>
      </c>
      <c r="K315">
        <v>2.6</v>
      </c>
      <c r="L315">
        <v>3.4</v>
      </c>
      <c r="M315">
        <v>0.1</v>
      </c>
      <c r="N315">
        <v>2</v>
      </c>
      <c r="R315">
        <v>0.2</v>
      </c>
      <c r="U315">
        <v>0.2</v>
      </c>
      <c r="V315">
        <v>7.7</v>
      </c>
      <c r="Y315">
        <v>6.5</v>
      </c>
      <c r="Z315">
        <v>9.9999999999908995E-2</v>
      </c>
      <c r="AA315">
        <v>0.5</v>
      </c>
      <c r="AB315">
        <v>0.19999999999981799</v>
      </c>
      <c r="AE315">
        <v>1.29999999999927</v>
      </c>
      <c r="AH315">
        <v>0.29999999999972699</v>
      </c>
      <c r="AI315">
        <v>4.0999999999985501</v>
      </c>
      <c r="AL315">
        <v>0.19999999999981799</v>
      </c>
      <c r="AM315">
        <v>0.89999999999963598</v>
      </c>
      <c r="AN315">
        <v>22.399999999994201</v>
      </c>
      <c r="AO315">
        <v>21.5</v>
      </c>
      <c r="AP315">
        <v>30.699999999982499</v>
      </c>
      <c r="AR315">
        <v>9.6999999999970896</v>
      </c>
      <c r="AU315">
        <v>0.5</v>
      </c>
      <c r="AV315">
        <v>0</v>
      </c>
      <c r="AW315">
        <v>11</v>
      </c>
      <c r="AY315">
        <v>15.599999999991301</v>
      </c>
      <c r="BF315">
        <v>15.3000000000029</v>
      </c>
      <c r="BJ315">
        <v>0.80000000000018201</v>
      </c>
      <c r="BL315">
        <v>0.100000000000023</v>
      </c>
      <c r="BM315">
        <v>0.100000000000023</v>
      </c>
      <c r="BN315">
        <v>10.8000000000029</v>
      </c>
      <c r="BO315">
        <v>1.10000000000036</v>
      </c>
      <c r="BQ315">
        <v>0.200000000000045</v>
      </c>
      <c r="BU315">
        <v>7.1999999999970896</v>
      </c>
      <c r="BW315">
        <v>3</v>
      </c>
      <c r="BX315">
        <v>5.79999999999563</v>
      </c>
      <c r="CC315">
        <v>4.2</v>
      </c>
      <c r="CD315">
        <v>39.5</v>
      </c>
      <c r="CE315">
        <v>1.2</v>
      </c>
      <c r="CF315">
        <v>0.2</v>
      </c>
      <c r="CG315">
        <v>26.7</v>
      </c>
      <c r="CH315">
        <v>5.8</v>
      </c>
      <c r="CP315">
        <v>6.8</v>
      </c>
      <c r="CQ315">
        <v>25.9</v>
      </c>
      <c r="CR315">
        <v>0.1</v>
      </c>
      <c r="CY315">
        <v>0.1</v>
      </c>
      <c r="DD315" s="5">
        <v>3.7</v>
      </c>
      <c r="DJ315" s="1">
        <v>41222</v>
      </c>
      <c r="DK315" s="2">
        <f t="shared" si="31"/>
        <v>6.6265306122441023</v>
      </c>
      <c r="DL315" s="2">
        <f t="shared" si="32"/>
        <v>3.1524271844656409</v>
      </c>
      <c r="DM315" s="2">
        <f t="shared" si="33"/>
        <v>39.5</v>
      </c>
      <c r="DN315" s="3">
        <f t="shared" si="34"/>
        <v>0.47572815533980584</v>
      </c>
      <c r="DV315" s="2">
        <v>1560</v>
      </c>
      <c r="DW315">
        <v>0</v>
      </c>
      <c r="DX315">
        <f t="shared" si="30"/>
        <v>14794</v>
      </c>
      <c r="DY315">
        <f t="shared" si="29"/>
        <v>1</v>
      </c>
    </row>
    <row r="316" spans="1:129">
      <c r="A316" s="1">
        <v>41223</v>
      </c>
      <c r="B316" s="1"/>
      <c r="E316">
        <v>2.2999999999999998</v>
      </c>
      <c r="F316">
        <v>1.8</v>
      </c>
      <c r="N316">
        <v>2.1</v>
      </c>
      <c r="U316">
        <v>0.1</v>
      </c>
      <c r="V316">
        <v>0</v>
      </c>
      <c r="X316">
        <v>0.2</v>
      </c>
      <c r="Y316">
        <v>6.3</v>
      </c>
      <c r="Z316">
        <v>2.3999999999978199</v>
      </c>
      <c r="AF316">
        <v>16.399999999994201</v>
      </c>
      <c r="AH316">
        <v>5.8999999999941801</v>
      </c>
      <c r="AI316">
        <v>1.89999999999964</v>
      </c>
      <c r="AN316">
        <v>0.19999999999981799</v>
      </c>
      <c r="AO316">
        <v>6.5999999999985501</v>
      </c>
      <c r="AP316">
        <v>1.0999999999985499</v>
      </c>
      <c r="AR316">
        <v>30.5</v>
      </c>
      <c r="AS316">
        <v>0.89999999999963598</v>
      </c>
      <c r="AY316">
        <v>11.399999999994201</v>
      </c>
      <c r="BF316">
        <v>3.9000000000014601</v>
      </c>
      <c r="BG316">
        <v>0.200000000000045</v>
      </c>
      <c r="BJ316">
        <v>16.399999999994201</v>
      </c>
      <c r="BL316">
        <v>0.100000000000023</v>
      </c>
      <c r="BN316">
        <v>1.79999999999927</v>
      </c>
      <c r="BO316">
        <v>0.400000000000091</v>
      </c>
      <c r="BQ316">
        <v>0.400000000000091</v>
      </c>
      <c r="BR316">
        <v>0.30000000000018201</v>
      </c>
      <c r="BT316">
        <v>47.520000000018598</v>
      </c>
      <c r="BU316">
        <v>1.79999999999927</v>
      </c>
      <c r="BW316">
        <v>0.1</v>
      </c>
      <c r="BZ316">
        <v>2.9</v>
      </c>
      <c r="CB316">
        <v>1</v>
      </c>
      <c r="CC316">
        <v>11.8</v>
      </c>
      <c r="CD316">
        <v>5.9</v>
      </c>
      <c r="CF316">
        <v>0.4</v>
      </c>
      <c r="CG316">
        <v>25.2</v>
      </c>
      <c r="CO316">
        <v>0</v>
      </c>
      <c r="CP316">
        <v>24</v>
      </c>
      <c r="CQ316">
        <v>30.5</v>
      </c>
      <c r="CR316">
        <v>0.1</v>
      </c>
      <c r="CT316">
        <v>18</v>
      </c>
      <c r="CU316">
        <v>17.600000000000001</v>
      </c>
      <c r="CW316">
        <v>7.5</v>
      </c>
      <c r="CY316">
        <v>0.8</v>
      </c>
      <c r="CZ316">
        <v>9.1</v>
      </c>
      <c r="DD316" s="5">
        <v>1.7</v>
      </c>
      <c r="DJ316" s="1">
        <v>41223</v>
      </c>
      <c r="DK316" s="2">
        <f t="shared" si="31"/>
        <v>7.2618181818179526</v>
      </c>
      <c r="DL316" s="2">
        <f t="shared" si="32"/>
        <v>3.1021359223299991</v>
      </c>
      <c r="DM316" s="2">
        <f t="shared" si="33"/>
        <v>47.520000000018598</v>
      </c>
      <c r="DN316" s="3">
        <f t="shared" si="34"/>
        <v>0.42718446601941745</v>
      </c>
      <c r="DV316" s="2">
        <v>1565</v>
      </c>
      <c r="DW316">
        <v>0</v>
      </c>
      <c r="DX316">
        <f t="shared" si="30"/>
        <v>14794</v>
      </c>
      <c r="DY316">
        <f t="shared" si="29"/>
        <v>1</v>
      </c>
    </row>
    <row r="317" spans="1:129">
      <c r="A317" s="1">
        <v>41224</v>
      </c>
      <c r="B317" s="1"/>
      <c r="D317">
        <v>3.4</v>
      </c>
      <c r="G317">
        <v>55.5</v>
      </c>
      <c r="J317">
        <v>54.9</v>
      </c>
      <c r="N317">
        <v>2.2999999999999998</v>
      </c>
      <c r="U317">
        <v>0.1</v>
      </c>
      <c r="W317">
        <v>9</v>
      </c>
      <c r="Y317">
        <v>16.5</v>
      </c>
      <c r="Z317">
        <v>11</v>
      </c>
      <c r="AF317">
        <v>0.29999999999972699</v>
      </c>
      <c r="AG317">
        <v>1.29999999999927</v>
      </c>
      <c r="AI317">
        <v>0</v>
      </c>
      <c r="AJ317">
        <v>2</v>
      </c>
      <c r="AK317">
        <v>0.69999999999981799</v>
      </c>
      <c r="AM317">
        <v>4.79999999999563</v>
      </c>
      <c r="AR317">
        <v>17.099999999976699</v>
      </c>
      <c r="AS317">
        <v>0.89999999999963598</v>
      </c>
      <c r="AW317">
        <v>15.599999999991301</v>
      </c>
      <c r="AY317">
        <v>17.899999999994201</v>
      </c>
      <c r="AZ317">
        <v>2.8999999999978199</v>
      </c>
      <c r="BB317">
        <v>6.5</v>
      </c>
      <c r="BE317">
        <v>1.79999999999927</v>
      </c>
      <c r="BF317">
        <v>0.200000000000045</v>
      </c>
      <c r="BG317">
        <v>0.400000000000091</v>
      </c>
      <c r="BH317">
        <v>0.200000000000045</v>
      </c>
      <c r="BI317">
        <v>0.100000000000023</v>
      </c>
      <c r="BJ317">
        <v>9.3000000000029104</v>
      </c>
      <c r="BL317">
        <v>0.100000000000023</v>
      </c>
      <c r="BR317">
        <v>4.3000000000029104</v>
      </c>
      <c r="BT317">
        <v>36.799999999988401</v>
      </c>
      <c r="BU317">
        <v>0</v>
      </c>
      <c r="BW317">
        <v>0.1</v>
      </c>
      <c r="BX317">
        <v>8.7999999999883602</v>
      </c>
      <c r="BZ317">
        <v>0.2</v>
      </c>
      <c r="CA317">
        <v>1.7</v>
      </c>
      <c r="CB317">
        <v>7.6</v>
      </c>
      <c r="CC317">
        <v>0.3</v>
      </c>
      <c r="CD317">
        <v>5.3</v>
      </c>
      <c r="CG317">
        <v>4.4000000000000004</v>
      </c>
      <c r="CH317">
        <v>3.7</v>
      </c>
      <c r="CP317">
        <v>1.7</v>
      </c>
      <c r="CQ317">
        <v>9.6999999999999993</v>
      </c>
      <c r="CT317">
        <v>0.1</v>
      </c>
      <c r="CU317">
        <v>1.8</v>
      </c>
      <c r="CW317">
        <v>8.3000000000000007</v>
      </c>
      <c r="CY317">
        <v>5.8</v>
      </c>
      <c r="CZ317">
        <v>0.1</v>
      </c>
      <c r="DD317" s="5">
        <v>3.6</v>
      </c>
      <c r="DJ317" s="1">
        <v>41224</v>
      </c>
      <c r="DK317" s="2">
        <f t="shared" si="31"/>
        <v>7.2148936170199205</v>
      </c>
      <c r="DL317" s="2">
        <f t="shared" si="32"/>
        <v>3.2922330097081187</v>
      </c>
      <c r="DM317" s="2">
        <f t="shared" si="33"/>
        <v>55.5</v>
      </c>
      <c r="DN317" s="3">
        <f t="shared" si="34"/>
        <v>0.4563106796116505</v>
      </c>
      <c r="DV317" s="2">
        <v>1570</v>
      </c>
      <c r="DW317">
        <v>0</v>
      </c>
      <c r="DX317">
        <f t="shared" si="30"/>
        <v>14794</v>
      </c>
      <c r="DY317">
        <f t="shared" si="29"/>
        <v>1</v>
      </c>
    </row>
    <row r="318" spans="1:129">
      <c r="A318" s="1">
        <v>41225</v>
      </c>
      <c r="B318" s="1"/>
      <c r="G318">
        <v>7</v>
      </c>
      <c r="J318">
        <v>0.5</v>
      </c>
      <c r="M318">
        <v>1.1000000000000001</v>
      </c>
      <c r="N318">
        <v>2.5</v>
      </c>
      <c r="P318">
        <v>3.5</v>
      </c>
      <c r="U318">
        <v>0.1</v>
      </c>
      <c r="V318">
        <v>11.2</v>
      </c>
      <c r="W318">
        <v>3.7</v>
      </c>
      <c r="AA318">
        <v>0.39999999999963598</v>
      </c>
      <c r="AB318">
        <v>4.5</v>
      </c>
      <c r="AC318">
        <v>2.7999999999992702</v>
      </c>
      <c r="AD318">
        <v>0</v>
      </c>
      <c r="AG318">
        <v>0.19999999999981799</v>
      </c>
      <c r="AH318">
        <v>16.199999999982499</v>
      </c>
      <c r="AI318">
        <v>9.9999999999908995E-2</v>
      </c>
      <c r="AJ318">
        <v>3.1999999999970901</v>
      </c>
      <c r="AK318">
        <v>0.69999999999981799</v>
      </c>
      <c r="AL318">
        <v>31</v>
      </c>
      <c r="AN318">
        <v>1.29999999999927</v>
      </c>
      <c r="AP318">
        <v>0.29999999999972699</v>
      </c>
      <c r="AR318">
        <v>0.39999999999963598</v>
      </c>
      <c r="AS318">
        <v>2.8999999999978199</v>
      </c>
      <c r="AT318">
        <v>0.19999999999981799</v>
      </c>
      <c r="AW318">
        <v>5</v>
      </c>
      <c r="AX318">
        <v>0.39999999999963598</v>
      </c>
      <c r="BB318">
        <v>0.29999999999972699</v>
      </c>
      <c r="BF318">
        <v>0.200000000000045</v>
      </c>
      <c r="BH318">
        <v>0.100000000000023</v>
      </c>
      <c r="BI318">
        <v>0.100000000000023</v>
      </c>
      <c r="BJ318">
        <v>0.100000000000023</v>
      </c>
      <c r="BK318">
        <v>0</v>
      </c>
      <c r="BL318">
        <v>37.599999999976703</v>
      </c>
      <c r="BM318">
        <v>0.100000000000023</v>
      </c>
      <c r="BN318">
        <v>0</v>
      </c>
      <c r="BO318">
        <v>5.9000000000014596</v>
      </c>
      <c r="BR318">
        <v>2.2000000000007298</v>
      </c>
      <c r="BS318">
        <v>3</v>
      </c>
      <c r="BT318">
        <v>1</v>
      </c>
      <c r="BW318">
        <v>2.5</v>
      </c>
      <c r="BX318">
        <v>0.29999999999972699</v>
      </c>
      <c r="CA318">
        <v>0.8</v>
      </c>
      <c r="CB318">
        <v>0.5</v>
      </c>
      <c r="CC318">
        <v>3.6</v>
      </c>
      <c r="CF318">
        <v>0.4</v>
      </c>
      <c r="CG318">
        <v>1.2</v>
      </c>
      <c r="CH318">
        <v>32.1</v>
      </c>
      <c r="CL318">
        <v>2.5</v>
      </c>
      <c r="CM318">
        <v>0</v>
      </c>
      <c r="CQ318">
        <v>0.1</v>
      </c>
      <c r="CS318">
        <v>2.8</v>
      </c>
      <c r="CU318">
        <v>22.6</v>
      </c>
      <c r="CV318">
        <v>6.9</v>
      </c>
      <c r="CW318">
        <v>6.5</v>
      </c>
      <c r="CY318">
        <v>1.1000000000000001</v>
      </c>
      <c r="DA318">
        <v>0.1</v>
      </c>
      <c r="DD318" s="5">
        <v>8.6999999999999993</v>
      </c>
      <c r="DJ318" s="1">
        <v>41225</v>
      </c>
      <c r="DK318" s="2">
        <f t="shared" si="31"/>
        <v>4.3303571428562924</v>
      </c>
      <c r="DL318" s="2">
        <f t="shared" si="32"/>
        <v>2.3543689320383727</v>
      </c>
      <c r="DM318" s="2">
        <f t="shared" si="33"/>
        <v>37.599999999976703</v>
      </c>
      <c r="DN318" s="3">
        <f t="shared" si="34"/>
        <v>0.5436893203883495</v>
      </c>
      <c r="DV318" s="2">
        <v>1575</v>
      </c>
      <c r="DW318">
        <v>0</v>
      </c>
      <c r="DX318">
        <f t="shared" si="30"/>
        <v>14794</v>
      </c>
      <c r="DY318">
        <f t="shared" si="29"/>
        <v>1</v>
      </c>
    </row>
    <row r="319" spans="1:129">
      <c r="A319" s="1">
        <v>41226</v>
      </c>
      <c r="B319" s="1"/>
      <c r="J319">
        <v>10.4</v>
      </c>
      <c r="K319">
        <v>16</v>
      </c>
      <c r="N319">
        <v>2.9</v>
      </c>
      <c r="P319">
        <v>4.7</v>
      </c>
      <c r="S319">
        <v>1.5</v>
      </c>
      <c r="U319">
        <v>0.1</v>
      </c>
      <c r="V319">
        <v>10</v>
      </c>
      <c r="X319">
        <v>9</v>
      </c>
      <c r="Z319">
        <v>3.7</v>
      </c>
      <c r="AA319">
        <v>0.39999999999963598</v>
      </c>
      <c r="AC319">
        <v>18</v>
      </c>
      <c r="AD319">
        <v>0.79999999999927196</v>
      </c>
      <c r="AG319">
        <v>2.8999999999978199</v>
      </c>
      <c r="AI319">
        <v>37.5</v>
      </c>
      <c r="AJ319">
        <v>0.19999999999981799</v>
      </c>
      <c r="AL319">
        <v>17.5</v>
      </c>
      <c r="AN319">
        <v>2.0999999999985399</v>
      </c>
      <c r="AP319">
        <v>0.29999999999972699</v>
      </c>
      <c r="AR319">
        <v>10.5</v>
      </c>
      <c r="AT319">
        <v>0.5</v>
      </c>
      <c r="AW319">
        <v>2.5</v>
      </c>
      <c r="BB319">
        <v>7.1999999999970896</v>
      </c>
      <c r="BE319">
        <v>0.30000000000018201</v>
      </c>
      <c r="BF319">
        <v>1.29999999999927</v>
      </c>
      <c r="BH319">
        <v>17.200000000011599</v>
      </c>
      <c r="BI319">
        <v>0.30000000000018201</v>
      </c>
      <c r="BJ319">
        <v>0.100000000000023</v>
      </c>
      <c r="BL319">
        <v>5.9000000000014596</v>
      </c>
      <c r="BM319">
        <v>0</v>
      </c>
      <c r="BN319">
        <v>0.200000000000045</v>
      </c>
      <c r="BO319">
        <v>5.0999999999985501</v>
      </c>
      <c r="BR319">
        <v>2.2000000000007298</v>
      </c>
      <c r="BS319">
        <v>0.30000000000018201</v>
      </c>
      <c r="BW319">
        <v>0.3</v>
      </c>
      <c r="BX319">
        <v>31</v>
      </c>
      <c r="CC319">
        <v>1.2</v>
      </c>
      <c r="CF319">
        <v>22.9</v>
      </c>
      <c r="CG319">
        <v>3.8</v>
      </c>
      <c r="CH319">
        <v>20.100000000000001</v>
      </c>
      <c r="CL319">
        <v>5.5</v>
      </c>
      <c r="CS319">
        <v>12.1</v>
      </c>
      <c r="CT319">
        <v>18.8</v>
      </c>
      <c r="CU319">
        <v>1.5</v>
      </c>
      <c r="CV319">
        <v>0.2</v>
      </c>
      <c r="CY319">
        <v>2.8</v>
      </c>
      <c r="DB319">
        <v>1.1000000000000001</v>
      </c>
      <c r="DD319" s="5"/>
      <c r="DJ319" s="1">
        <v>41226</v>
      </c>
      <c r="DK319" s="2">
        <f t="shared" si="31"/>
        <v>6.8021739130435694</v>
      </c>
      <c r="DL319" s="2">
        <f t="shared" si="32"/>
        <v>3.0378640776699437</v>
      </c>
      <c r="DM319" s="2">
        <f t="shared" si="33"/>
        <v>37.5</v>
      </c>
      <c r="DN319" s="3">
        <f t="shared" si="34"/>
        <v>0.44660194174757284</v>
      </c>
      <c r="DV319" s="2">
        <v>1580</v>
      </c>
      <c r="DW319">
        <v>0</v>
      </c>
      <c r="DX319">
        <f t="shared" si="30"/>
        <v>14794</v>
      </c>
      <c r="DY319">
        <f t="shared" si="29"/>
        <v>1</v>
      </c>
    </row>
    <row r="320" spans="1:129">
      <c r="A320" s="1">
        <v>41227</v>
      </c>
      <c r="B320" s="1"/>
      <c r="F320">
        <v>10.199999999999999</v>
      </c>
      <c r="H320">
        <v>9.9</v>
      </c>
      <c r="I320">
        <v>1.3</v>
      </c>
      <c r="J320">
        <v>9.6</v>
      </c>
      <c r="N320">
        <v>40.5</v>
      </c>
      <c r="P320">
        <v>12.7</v>
      </c>
      <c r="S320">
        <v>4.2</v>
      </c>
      <c r="X320">
        <v>3.2</v>
      </c>
      <c r="Z320">
        <v>0.2</v>
      </c>
      <c r="AA320">
        <v>0.69999999999981799</v>
      </c>
      <c r="AE320">
        <v>0.19999999999981799</v>
      </c>
      <c r="AG320">
        <v>17.399999999994201</v>
      </c>
      <c r="AH320">
        <v>0.39999999999963598</v>
      </c>
      <c r="AK320">
        <v>9.9999999999908995E-2</v>
      </c>
      <c r="AN320">
        <v>9.5</v>
      </c>
      <c r="AP320">
        <v>0.19999999999981799</v>
      </c>
      <c r="AW320">
        <v>12</v>
      </c>
      <c r="BC320">
        <v>4.5</v>
      </c>
      <c r="BD320">
        <v>26.799999999988401</v>
      </c>
      <c r="BE320">
        <v>16.799999999988401</v>
      </c>
      <c r="BF320">
        <v>0.200000000000045</v>
      </c>
      <c r="BH320">
        <v>6.6999999999970896</v>
      </c>
      <c r="BI320">
        <v>0.100000000000023</v>
      </c>
      <c r="BJ320">
        <v>0.100000000000023</v>
      </c>
      <c r="BK320">
        <v>0</v>
      </c>
      <c r="BM320">
        <v>3.7999999999992702</v>
      </c>
      <c r="BN320">
        <v>0.100000000000023</v>
      </c>
      <c r="BO320">
        <v>0.60000000000036402</v>
      </c>
      <c r="BP320">
        <v>1</v>
      </c>
      <c r="BT320">
        <v>27.399999999994201</v>
      </c>
      <c r="BW320">
        <v>0.8</v>
      </c>
      <c r="BX320">
        <v>2.6999999999970901</v>
      </c>
      <c r="CB320">
        <v>36.299999999999997</v>
      </c>
      <c r="CC320">
        <v>15.3</v>
      </c>
      <c r="CF320">
        <v>15.5</v>
      </c>
      <c r="CG320">
        <v>16.7</v>
      </c>
      <c r="CI320">
        <v>0.7</v>
      </c>
      <c r="CK320">
        <v>0.4</v>
      </c>
      <c r="CL320">
        <v>24.1</v>
      </c>
      <c r="CO320">
        <v>7.5</v>
      </c>
      <c r="CR320">
        <v>1.4</v>
      </c>
      <c r="CS320">
        <v>2.7</v>
      </c>
      <c r="CU320">
        <v>2.2999999999999998</v>
      </c>
      <c r="CV320">
        <v>0.8</v>
      </c>
      <c r="CY320">
        <v>0.5</v>
      </c>
      <c r="DA320">
        <v>0.4</v>
      </c>
      <c r="DB320">
        <v>1.2</v>
      </c>
      <c r="DD320" s="5"/>
      <c r="DJ320" s="1">
        <v>41227</v>
      </c>
      <c r="DK320" s="2">
        <f t="shared" si="31"/>
        <v>7.440425531914002</v>
      </c>
      <c r="DL320" s="2">
        <f t="shared" si="32"/>
        <v>3.3951456310675545</v>
      </c>
      <c r="DM320" s="2">
        <f t="shared" si="33"/>
        <v>40.5</v>
      </c>
      <c r="DN320" s="3">
        <f t="shared" si="34"/>
        <v>0.4563106796116505</v>
      </c>
      <c r="DV320" s="2">
        <v>1585</v>
      </c>
      <c r="DW320">
        <v>0</v>
      </c>
      <c r="DX320">
        <f t="shared" si="30"/>
        <v>14794</v>
      </c>
      <c r="DY320">
        <f t="shared" si="29"/>
        <v>1</v>
      </c>
    </row>
    <row r="321" spans="1:129">
      <c r="A321" s="1">
        <v>41228</v>
      </c>
      <c r="B321" s="1"/>
      <c r="F321">
        <v>0.7</v>
      </c>
      <c r="G321">
        <v>1</v>
      </c>
      <c r="H321">
        <v>14.5</v>
      </c>
      <c r="I321">
        <v>4.2</v>
      </c>
      <c r="J321">
        <v>1.8</v>
      </c>
      <c r="N321">
        <v>8.1</v>
      </c>
      <c r="P321">
        <v>4</v>
      </c>
      <c r="S321">
        <v>3.8</v>
      </c>
      <c r="U321">
        <v>3.1</v>
      </c>
      <c r="W321">
        <v>3.4</v>
      </c>
      <c r="X321">
        <v>0.3</v>
      </c>
      <c r="AA321">
        <v>6</v>
      </c>
      <c r="AC321">
        <v>3.2999999999992702</v>
      </c>
      <c r="AE321">
        <v>2.9</v>
      </c>
      <c r="AG321">
        <v>1.1999999999989099</v>
      </c>
      <c r="AH321">
        <v>10</v>
      </c>
      <c r="AN321">
        <v>9.9999999999908995E-2</v>
      </c>
      <c r="AP321">
        <v>26</v>
      </c>
      <c r="AQ321">
        <v>3</v>
      </c>
      <c r="AT321">
        <v>0.59999999999945397</v>
      </c>
      <c r="AU321">
        <v>60.199999999953398</v>
      </c>
      <c r="AW321">
        <v>11.5</v>
      </c>
      <c r="AX321">
        <v>1.5</v>
      </c>
      <c r="AZ321">
        <v>8.2999999999883602</v>
      </c>
      <c r="BD321">
        <v>0.200000000000045</v>
      </c>
      <c r="BE321">
        <v>33.5</v>
      </c>
      <c r="BG321">
        <v>0.100000000000023</v>
      </c>
      <c r="BH321">
        <v>0.100000000000023</v>
      </c>
      <c r="BI321">
        <v>0.100000000000023</v>
      </c>
      <c r="BK321">
        <v>0.100000000000023</v>
      </c>
      <c r="BM321">
        <v>18.100000000005799</v>
      </c>
      <c r="BO321">
        <v>0.30000000000018201</v>
      </c>
      <c r="BP321">
        <v>3.0999999999985399</v>
      </c>
      <c r="BR321">
        <v>0.100000000000023</v>
      </c>
      <c r="BU321">
        <v>6.3000000000029104</v>
      </c>
      <c r="BV321">
        <v>3</v>
      </c>
      <c r="BW321">
        <v>22.5</v>
      </c>
      <c r="BX321">
        <v>0.19999999999981799</v>
      </c>
      <c r="BY321">
        <v>1.3</v>
      </c>
      <c r="BZ321">
        <v>0.6</v>
      </c>
      <c r="CB321">
        <v>0.8</v>
      </c>
      <c r="CC321">
        <v>0.2</v>
      </c>
      <c r="CG321">
        <v>0.3</v>
      </c>
      <c r="CI321">
        <v>0.9</v>
      </c>
      <c r="CK321">
        <v>6.1</v>
      </c>
      <c r="CL321">
        <v>4</v>
      </c>
      <c r="CM321">
        <v>1.5</v>
      </c>
      <c r="CO321">
        <v>6</v>
      </c>
      <c r="CR321">
        <v>22.3</v>
      </c>
      <c r="CV321">
        <v>0.3</v>
      </c>
      <c r="CW321">
        <v>6.5</v>
      </c>
      <c r="CY321">
        <v>6.1</v>
      </c>
      <c r="DA321">
        <v>0.1</v>
      </c>
      <c r="DB321">
        <v>2.2000000000000002</v>
      </c>
      <c r="DD321" s="5"/>
      <c r="DJ321" s="1">
        <v>41228</v>
      </c>
      <c r="DK321" s="2">
        <f t="shared" si="31"/>
        <v>6.0444444444434602</v>
      </c>
      <c r="DL321" s="2">
        <f t="shared" si="32"/>
        <v>3.1689320388344351</v>
      </c>
      <c r="DM321" s="2">
        <f t="shared" si="33"/>
        <v>60.199999999953398</v>
      </c>
      <c r="DN321" s="3">
        <f t="shared" si="34"/>
        <v>0.52427184466019416</v>
      </c>
      <c r="DV321" s="2">
        <v>1590</v>
      </c>
      <c r="DW321">
        <v>0</v>
      </c>
      <c r="DX321">
        <f t="shared" si="30"/>
        <v>14794</v>
      </c>
      <c r="DY321">
        <f t="shared" si="29"/>
        <v>1</v>
      </c>
    </row>
    <row r="322" spans="1:129">
      <c r="A322" s="1">
        <v>41229</v>
      </c>
      <c r="B322" s="1"/>
      <c r="E322">
        <v>9.6</v>
      </c>
      <c r="H322">
        <v>1.5</v>
      </c>
      <c r="I322">
        <v>4.3</v>
      </c>
      <c r="M322">
        <v>1.6</v>
      </c>
      <c r="N322">
        <v>16.899999999999999</v>
      </c>
      <c r="P322">
        <v>14.7</v>
      </c>
      <c r="S322">
        <v>15</v>
      </c>
      <c r="T322">
        <v>0.1</v>
      </c>
      <c r="U322">
        <v>7.2</v>
      </c>
      <c r="X322">
        <v>0.6</v>
      </c>
      <c r="AA322">
        <v>4.5</v>
      </c>
      <c r="AC322">
        <v>9.0999999999912706</v>
      </c>
      <c r="AE322">
        <v>0.5</v>
      </c>
      <c r="AH322">
        <v>5</v>
      </c>
      <c r="AJ322">
        <v>0.79999999999927196</v>
      </c>
      <c r="AK322">
        <v>0.19999999999981799</v>
      </c>
      <c r="AL322">
        <v>1.39999999999964</v>
      </c>
      <c r="AP322">
        <v>20.199999999982499</v>
      </c>
      <c r="AQ322">
        <v>9.1999999999970896</v>
      </c>
      <c r="AS322">
        <v>15.899999999994201</v>
      </c>
      <c r="AT322">
        <v>7.79999999999563</v>
      </c>
      <c r="AU322">
        <v>94.2</v>
      </c>
      <c r="AV322">
        <v>0.5</v>
      </c>
      <c r="AW322">
        <v>4.5999999999985501</v>
      </c>
      <c r="AX322">
        <v>0.29999999999972699</v>
      </c>
      <c r="AY322">
        <v>6.3999999999941801</v>
      </c>
      <c r="AZ322">
        <v>13</v>
      </c>
      <c r="BD322">
        <v>0.200000000000045</v>
      </c>
      <c r="BE322">
        <v>14.100000000005799</v>
      </c>
      <c r="BF322">
        <v>11.3000000000029</v>
      </c>
      <c r="BG322">
        <v>0.200000000000045</v>
      </c>
      <c r="BI322">
        <v>0.200000000000045</v>
      </c>
      <c r="BJ322">
        <v>3.2000000000007298</v>
      </c>
      <c r="BK322">
        <v>0.30000000000018201</v>
      </c>
      <c r="BL322">
        <v>2.9000000000014601</v>
      </c>
      <c r="BN322">
        <v>0.100000000000023</v>
      </c>
      <c r="BO322">
        <v>2.2999999999992702</v>
      </c>
      <c r="BP322">
        <v>0.100000000000023</v>
      </c>
      <c r="BR322">
        <v>0.100000000000023</v>
      </c>
      <c r="BS322" t="s">
        <v>0</v>
      </c>
      <c r="BU322">
        <v>6.6999999999970896</v>
      </c>
      <c r="BV322">
        <v>3.7</v>
      </c>
      <c r="BX322">
        <v>0</v>
      </c>
      <c r="BZ322">
        <v>0.7</v>
      </c>
      <c r="CB322">
        <v>9.3000000000000007</v>
      </c>
      <c r="CC322">
        <v>12.6</v>
      </c>
      <c r="CG322">
        <v>7.7</v>
      </c>
      <c r="CH322">
        <v>0.2</v>
      </c>
      <c r="CI322">
        <v>1.2</v>
      </c>
      <c r="CK322">
        <v>5.5</v>
      </c>
      <c r="CM322">
        <v>24</v>
      </c>
      <c r="CR322">
        <v>15.7</v>
      </c>
      <c r="CU322">
        <v>18.5</v>
      </c>
      <c r="CW322">
        <v>1</v>
      </c>
      <c r="CX322">
        <v>0.1</v>
      </c>
      <c r="CY322">
        <v>3.5</v>
      </c>
      <c r="DB322">
        <v>1.2</v>
      </c>
      <c r="DD322" s="5"/>
      <c r="DJ322" s="1">
        <v>41229</v>
      </c>
      <c r="DK322" s="2">
        <f t="shared" si="31"/>
        <v>7.3517857142849916</v>
      </c>
      <c r="DL322" s="2">
        <f t="shared" si="32"/>
        <v>3.9970873786403835</v>
      </c>
      <c r="DM322" s="2">
        <f t="shared" si="33"/>
        <v>94.2</v>
      </c>
      <c r="DN322" s="3">
        <f t="shared" si="34"/>
        <v>0.55339805825242716</v>
      </c>
      <c r="DV322" s="2">
        <v>1595</v>
      </c>
      <c r="DW322">
        <v>0</v>
      </c>
      <c r="DX322">
        <f t="shared" si="30"/>
        <v>14794</v>
      </c>
      <c r="DY322">
        <f t="shared" ref="DY322:DY378" si="35">DX322/(SUM(DW$1:DW$38))</f>
        <v>1</v>
      </c>
    </row>
    <row r="323" spans="1:129">
      <c r="A323" s="1">
        <v>41230</v>
      </c>
      <c r="B323" s="1"/>
      <c r="E323">
        <v>7.4</v>
      </c>
      <c r="G323">
        <v>4.5999999999999996</v>
      </c>
      <c r="H323">
        <v>13.8</v>
      </c>
      <c r="I323">
        <v>19.7</v>
      </c>
      <c r="J323">
        <v>0.6</v>
      </c>
      <c r="K323">
        <v>33.1</v>
      </c>
      <c r="M323">
        <v>0.5</v>
      </c>
      <c r="N323">
        <v>8.4</v>
      </c>
      <c r="S323">
        <v>3.5</v>
      </c>
      <c r="T323">
        <v>0.1</v>
      </c>
      <c r="U323">
        <v>0.1</v>
      </c>
      <c r="X323">
        <v>15</v>
      </c>
      <c r="AA323">
        <v>7</v>
      </c>
      <c r="AB323">
        <v>8.3999999999941792</v>
      </c>
      <c r="AE323">
        <v>21.299999999988401</v>
      </c>
      <c r="AG323">
        <v>0.19999999999981799</v>
      </c>
      <c r="AJ323">
        <v>18.599999999976699</v>
      </c>
      <c r="AK323">
        <v>0.29999999999972699</v>
      </c>
      <c r="AO323">
        <v>11</v>
      </c>
      <c r="AQ323">
        <v>7.3999999999941801</v>
      </c>
      <c r="AS323">
        <v>3.8999999999978199</v>
      </c>
      <c r="AT323">
        <v>2</v>
      </c>
      <c r="AU323">
        <v>15.399999999994201</v>
      </c>
      <c r="AW323">
        <v>7.6999999999970896</v>
      </c>
      <c r="AX323">
        <v>1.39999999999964</v>
      </c>
      <c r="AY323">
        <v>4.3999999999941801</v>
      </c>
      <c r="AZ323">
        <v>2.6999999999970901</v>
      </c>
      <c r="BA323">
        <v>14.1999999999971</v>
      </c>
      <c r="BB323">
        <v>15.099999999991301</v>
      </c>
      <c r="BD323">
        <v>0.200000000000045</v>
      </c>
      <c r="BG323">
        <v>1.89999999999964</v>
      </c>
      <c r="BJ323">
        <v>9.1000000000058208</v>
      </c>
      <c r="BK323">
        <v>0</v>
      </c>
      <c r="BL323">
        <v>0.100000000000023</v>
      </c>
      <c r="BM323">
        <v>0.200000000000045</v>
      </c>
      <c r="BN323">
        <v>3.0999999999985399</v>
      </c>
      <c r="BO323">
        <v>0</v>
      </c>
      <c r="BQ323">
        <v>19.100000000005799</v>
      </c>
      <c r="BS323">
        <v>0.100000000000023</v>
      </c>
      <c r="BX323">
        <v>0</v>
      </c>
      <c r="BY323">
        <v>2.1</v>
      </c>
      <c r="CA323">
        <v>0.1</v>
      </c>
      <c r="CB323">
        <v>1.1000000000000001</v>
      </c>
      <c r="CC323">
        <v>2.9</v>
      </c>
      <c r="CE323">
        <v>0.3</v>
      </c>
      <c r="CG323">
        <v>68.099999999999994</v>
      </c>
      <c r="CL323">
        <v>11.5</v>
      </c>
      <c r="CM323">
        <v>1</v>
      </c>
      <c r="CO323">
        <v>1</v>
      </c>
      <c r="CR323">
        <v>1.1000000000000001</v>
      </c>
      <c r="CS323">
        <v>10</v>
      </c>
      <c r="CV323">
        <v>1.4</v>
      </c>
      <c r="CW323">
        <v>0.8</v>
      </c>
      <c r="CY323">
        <v>2</v>
      </c>
      <c r="DB323">
        <v>1.1000000000000001</v>
      </c>
      <c r="DD323" s="5"/>
      <c r="DJ323" s="1">
        <v>41230</v>
      </c>
      <c r="DK323" s="2">
        <f t="shared" si="31"/>
        <v>7.0199999999987526</v>
      </c>
      <c r="DL323" s="2">
        <f t="shared" si="32"/>
        <v>3.7485436893197224</v>
      </c>
      <c r="DM323" s="2">
        <f t="shared" si="33"/>
        <v>68.099999999999994</v>
      </c>
      <c r="DN323" s="3">
        <f t="shared" si="34"/>
        <v>0.53398058252427183</v>
      </c>
      <c r="DV323" s="2">
        <v>1600</v>
      </c>
      <c r="DW323">
        <v>0</v>
      </c>
      <c r="DX323">
        <f t="shared" ref="DX323:DX378" si="36">DX322+DW323</f>
        <v>14794</v>
      </c>
      <c r="DY323">
        <f t="shared" si="35"/>
        <v>1</v>
      </c>
    </row>
    <row r="324" spans="1:129">
      <c r="A324" s="1">
        <v>41231</v>
      </c>
      <c r="B324" s="1"/>
      <c r="C324">
        <v>0.5</v>
      </c>
      <c r="E324">
        <v>0.4</v>
      </c>
      <c r="F324">
        <v>17.8</v>
      </c>
      <c r="H324">
        <v>0.4</v>
      </c>
      <c r="I324">
        <v>1.1000000000000001</v>
      </c>
      <c r="K324">
        <v>8.1</v>
      </c>
      <c r="M324">
        <v>32.700000000000003</v>
      </c>
      <c r="P324">
        <v>13.5</v>
      </c>
      <c r="Q324">
        <v>12.7</v>
      </c>
      <c r="T324">
        <v>4.0999999999999996</v>
      </c>
      <c r="X324">
        <v>0.7</v>
      </c>
      <c r="AB324">
        <v>0.79999999999927196</v>
      </c>
      <c r="AE324">
        <v>11</v>
      </c>
      <c r="AG324">
        <v>7.5999999999985501</v>
      </c>
      <c r="AH324">
        <v>1.1999999999989099</v>
      </c>
      <c r="AK324">
        <v>9.9999999999908995E-2</v>
      </c>
      <c r="AL324">
        <v>7.6999999999970896</v>
      </c>
      <c r="AM324">
        <v>6.5999999999985501</v>
      </c>
      <c r="AP324">
        <v>4.8999999999941801</v>
      </c>
      <c r="AQ324">
        <v>0.69999999999981799</v>
      </c>
      <c r="AS324">
        <v>0.59999999999945397</v>
      </c>
      <c r="AT324">
        <v>5</v>
      </c>
      <c r="AU324">
        <v>0.59999999999945397</v>
      </c>
      <c r="AW324">
        <v>5.6999999999970896</v>
      </c>
      <c r="AX324">
        <v>0.59999999999945397</v>
      </c>
      <c r="BA324">
        <v>14</v>
      </c>
      <c r="BB324">
        <v>1</v>
      </c>
      <c r="BD324">
        <v>15.8000000000029</v>
      </c>
      <c r="BE324">
        <v>1.79999999999927</v>
      </c>
      <c r="BI324">
        <v>0.200000000000045</v>
      </c>
      <c r="BM324">
        <v>0.100000000000023</v>
      </c>
      <c r="BN324">
        <v>0.200000000000045</v>
      </c>
      <c r="BP324">
        <v>0.200000000000045</v>
      </c>
      <c r="BQ324">
        <v>0.200000000000045</v>
      </c>
      <c r="BS324">
        <v>0.100000000000023</v>
      </c>
      <c r="BT324">
        <v>0.100000000000023</v>
      </c>
      <c r="BU324">
        <v>0</v>
      </c>
      <c r="BW324">
        <v>0.6</v>
      </c>
      <c r="BX324">
        <v>8</v>
      </c>
      <c r="BY324">
        <v>0.9</v>
      </c>
      <c r="CA324">
        <v>20.6</v>
      </c>
      <c r="CE324">
        <v>6.7</v>
      </c>
      <c r="CG324">
        <v>3.5</v>
      </c>
      <c r="CH324">
        <v>10.199999999999999</v>
      </c>
      <c r="CI324">
        <v>15.4</v>
      </c>
      <c r="CK324">
        <v>0</v>
      </c>
      <c r="CL324">
        <v>0.5</v>
      </c>
      <c r="CM324">
        <v>45</v>
      </c>
      <c r="CQ324">
        <v>7.3</v>
      </c>
      <c r="CS324">
        <v>9.6999999999999993</v>
      </c>
      <c r="CU324">
        <v>0.7</v>
      </c>
      <c r="CV324">
        <v>22.2</v>
      </c>
      <c r="CX324">
        <v>0.1</v>
      </c>
      <c r="CZ324">
        <v>0.3</v>
      </c>
      <c r="DC324">
        <v>0.1</v>
      </c>
      <c r="DD324" s="5"/>
      <c r="DJ324" s="1">
        <v>41231</v>
      </c>
      <c r="DK324" s="2">
        <f t="shared" si="31"/>
        <v>6.010909090908803</v>
      </c>
      <c r="DL324" s="2">
        <f t="shared" si="32"/>
        <v>3.2097087378639237</v>
      </c>
      <c r="DM324" s="2">
        <f t="shared" si="33"/>
        <v>45</v>
      </c>
      <c r="DN324" s="3">
        <f t="shared" si="34"/>
        <v>0.53398058252427183</v>
      </c>
      <c r="DV324" s="2">
        <v>1605</v>
      </c>
      <c r="DW324">
        <v>0</v>
      </c>
      <c r="DX324">
        <f t="shared" si="36"/>
        <v>14794</v>
      </c>
      <c r="DY324">
        <f t="shared" si="35"/>
        <v>1</v>
      </c>
    </row>
    <row r="325" spans="1:129">
      <c r="A325" s="1">
        <v>41232</v>
      </c>
      <c r="B325" s="1"/>
      <c r="C325">
        <v>5.7</v>
      </c>
      <c r="D325">
        <v>1.4</v>
      </c>
      <c r="E325">
        <v>1.3</v>
      </c>
      <c r="F325">
        <v>36.200000000000003</v>
      </c>
      <c r="I325">
        <v>0.4</v>
      </c>
      <c r="J325">
        <v>2</v>
      </c>
      <c r="M325">
        <v>2.2999999999999998</v>
      </c>
      <c r="N325">
        <v>30.8</v>
      </c>
      <c r="P325">
        <v>40.6</v>
      </c>
      <c r="Q325">
        <v>5.3</v>
      </c>
      <c r="T325">
        <v>16.2</v>
      </c>
      <c r="W325">
        <v>19</v>
      </c>
      <c r="Z325">
        <v>0.2</v>
      </c>
      <c r="AA325">
        <v>2.5</v>
      </c>
      <c r="AC325">
        <v>6.29999999999563</v>
      </c>
      <c r="AE325">
        <v>0.79999999999927196</v>
      </c>
      <c r="AG325">
        <v>0.59999999999945397</v>
      </c>
      <c r="AH325">
        <v>60</v>
      </c>
      <c r="AK325">
        <v>8.8999999999941792</v>
      </c>
      <c r="AL325">
        <v>13.599999999991301</v>
      </c>
      <c r="AM325">
        <v>0.69999999999981799</v>
      </c>
      <c r="AR325">
        <v>3.6999999999970901</v>
      </c>
      <c r="AS325">
        <v>2</v>
      </c>
      <c r="AT325">
        <v>7.5</v>
      </c>
      <c r="AU325">
        <v>1.39999999999964</v>
      </c>
      <c r="AV325">
        <v>2.7999999999992702</v>
      </c>
      <c r="AW325">
        <v>2.5</v>
      </c>
      <c r="AX325">
        <v>0.3</v>
      </c>
      <c r="BD325">
        <v>18.200000000011599</v>
      </c>
      <c r="BE325">
        <v>61</v>
      </c>
      <c r="BG325">
        <v>3.7999999999992702</v>
      </c>
      <c r="BI325">
        <v>7.9000000000014596</v>
      </c>
      <c r="BJ325">
        <v>0.100000000000023</v>
      </c>
      <c r="BL325">
        <v>6.5</v>
      </c>
      <c r="BN325">
        <v>0.200000000000045</v>
      </c>
      <c r="BP325">
        <v>0</v>
      </c>
      <c r="BQ325">
        <v>18.700000000011599</v>
      </c>
      <c r="BR325">
        <v>0.200000000000045</v>
      </c>
      <c r="BS325">
        <v>6.5</v>
      </c>
      <c r="BT325">
        <v>19</v>
      </c>
      <c r="BU325">
        <v>0.200000000000045</v>
      </c>
      <c r="BV325">
        <v>12.3</v>
      </c>
      <c r="BW325">
        <v>12.6</v>
      </c>
      <c r="BX325">
        <v>0.5</v>
      </c>
      <c r="BY325">
        <v>2.1</v>
      </c>
      <c r="CA325">
        <v>9.1</v>
      </c>
      <c r="CH325">
        <v>6.8</v>
      </c>
      <c r="CI325">
        <v>4.5999999999999996</v>
      </c>
      <c r="CJ325">
        <v>2.5</v>
      </c>
      <c r="CK325">
        <v>5</v>
      </c>
      <c r="CO325">
        <v>19</v>
      </c>
      <c r="CS325">
        <v>18.100000000000001</v>
      </c>
      <c r="CU325">
        <v>5.3</v>
      </c>
      <c r="CV325">
        <v>9.1</v>
      </c>
      <c r="DB325">
        <v>18.399999999999999</v>
      </c>
      <c r="DD325" s="5"/>
      <c r="DJ325" s="1">
        <v>41232</v>
      </c>
      <c r="DK325" s="2">
        <f t="shared" si="31"/>
        <v>9.8672727272727236</v>
      </c>
      <c r="DL325" s="2">
        <f t="shared" si="32"/>
        <v>5.2689320388349499</v>
      </c>
      <c r="DM325" s="2">
        <f t="shared" si="33"/>
        <v>61</v>
      </c>
      <c r="DN325" s="3">
        <f t="shared" si="34"/>
        <v>0.53398058252427183</v>
      </c>
      <c r="DV325" s="2">
        <v>1610</v>
      </c>
      <c r="DW325">
        <v>0</v>
      </c>
      <c r="DX325">
        <f t="shared" si="36"/>
        <v>14794</v>
      </c>
      <c r="DY325">
        <f t="shared" si="35"/>
        <v>1</v>
      </c>
    </row>
    <row r="326" spans="1:129">
      <c r="A326" s="1">
        <v>41233</v>
      </c>
      <c r="B326" s="1"/>
      <c r="E326">
        <v>2.2999999999999998</v>
      </c>
      <c r="F326">
        <v>8.9</v>
      </c>
      <c r="J326">
        <v>49.6</v>
      </c>
      <c r="L326">
        <v>27.5</v>
      </c>
      <c r="M326">
        <v>0.9</v>
      </c>
      <c r="N326">
        <v>3.9</v>
      </c>
      <c r="P326">
        <v>20.6</v>
      </c>
      <c r="Q326">
        <v>2.5</v>
      </c>
      <c r="T326">
        <v>17.7</v>
      </c>
      <c r="W326">
        <v>10.7</v>
      </c>
      <c r="Y326">
        <v>1</v>
      </c>
      <c r="Z326">
        <v>15.2</v>
      </c>
      <c r="AA326">
        <v>10.299999999988399</v>
      </c>
      <c r="AB326">
        <v>2.1999999999970901</v>
      </c>
      <c r="AD326">
        <v>0.39999999999963598</v>
      </c>
      <c r="AE326">
        <v>5.6999999999970896</v>
      </c>
      <c r="AH326">
        <v>15.1999999999971</v>
      </c>
      <c r="AK326">
        <v>2.6</v>
      </c>
      <c r="AT326">
        <v>2.8999999999978199</v>
      </c>
      <c r="AU326">
        <v>3.1999999999970901</v>
      </c>
      <c r="AV326">
        <v>6.5</v>
      </c>
      <c r="AW326">
        <v>1.6999999999989099</v>
      </c>
      <c r="AY326">
        <v>1.79999999999927</v>
      </c>
      <c r="AZ326">
        <v>3.5</v>
      </c>
      <c r="BA326">
        <v>5</v>
      </c>
      <c r="BB326">
        <v>2.1999999999970901</v>
      </c>
      <c r="BC326">
        <v>0.19999999999981799</v>
      </c>
      <c r="BD326">
        <v>4.1999999999970896</v>
      </c>
      <c r="BE326">
        <v>16.799999999988401</v>
      </c>
      <c r="BF326">
        <v>1.89999999999964</v>
      </c>
      <c r="BG326">
        <v>16.399999999994201</v>
      </c>
      <c r="BI326">
        <v>0.100000000000023</v>
      </c>
      <c r="BJ326">
        <v>0</v>
      </c>
      <c r="BK326">
        <v>2.4000000000014601</v>
      </c>
      <c r="BL326">
        <v>0.89999999999963598</v>
      </c>
      <c r="BM326">
        <v>0.100000000000023</v>
      </c>
      <c r="BN326">
        <v>0.100000000000023</v>
      </c>
      <c r="BO326">
        <v>15.5</v>
      </c>
      <c r="BP326">
        <v>1.10000000000036</v>
      </c>
      <c r="BQ326">
        <v>4.8000000000029104</v>
      </c>
      <c r="BS326">
        <v>0.100000000000023</v>
      </c>
      <c r="BT326">
        <v>4.5999999999985501</v>
      </c>
      <c r="BV326">
        <v>16.899999999999999</v>
      </c>
      <c r="BW326">
        <v>0.3</v>
      </c>
      <c r="BY326">
        <v>0.5</v>
      </c>
      <c r="CA326">
        <v>0.4</v>
      </c>
      <c r="CB326">
        <v>8.8000000000000007</v>
      </c>
      <c r="CD326">
        <v>0</v>
      </c>
      <c r="CF326">
        <v>25.7</v>
      </c>
      <c r="CG326">
        <v>0.1</v>
      </c>
      <c r="CH326">
        <v>6.9</v>
      </c>
      <c r="CI326">
        <v>1.5</v>
      </c>
      <c r="CJ326">
        <v>7.5</v>
      </c>
      <c r="CK326">
        <v>5</v>
      </c>
      <c r="CL326">
        <v>11</v>
      </c>
      <c r="CM326">
        <v>24.5</v>
      </c>
      <c r="CN326">
        <v>3.5</v>
      </c>
      <c r="CO326">
        <v>32.5</v>
      </c>
      <c r="CR326">
        <v>16.8</v>
      </c>
      <c r="CS326">
        <v>10.4</v>
      </c>
      <c r="CU326">
        <v>2.5</v>
      </c>
      <c r="DA326">
        <v>2</v>
      </c>
      <c r="DB326">
        <v>2.2000000000000002</v>
      </c>
      <c r="DD326" s="5"/>
      <c r="DJ326" s="1">
        <v>41233</v>
      </c>
      <c r="DK326" s="2">
        <f t="shared" si="31"/>
        <v>7.4952380952373252</v>
      </c>
      <c r="DL326" s="2">
        <f t="shared" si="32"/>
        <v>4.5844660194170048</v>
      </c>
      <c r="DM326" s="2">
        <f t="shared" si="33"/>
        <v>49.6</v>
      </c>
      <c r="DN326" s="3">
        <f t="shared" si="34"/>
        <v>0.61165048543689315</v>
      </c>
      <c r="DV326" s="2">
        <v>1615</v>
      </c>
      <c r="DW326">
        <v>0</v>
      </c>
      <c r="DX326">
        <f t="shared" si="36"/>
        <v>14794</v>
      </c>
      <c r="DY326">
        <f t="shared" si="35"/>
        <v>1</v>
      </c>
    </row>
    <row r="327" spans="1:129">
      <c r="A327" s="1">
        <v>41234</v>
      </c>
      <c r="B327" s="1"/>
      <c r="D327">
        <v>0.3</v>
      </c>
      <c r="F327">
        <v>2.2000000000000002</v>
      </c>
      <c r="G327">
        <v>2.2000000000000002</v>
      </c>
      <c r="J327">
        <v>4.4000000000000004</v>
      </c>
      <c r="K327">
        <v>10.5</v>
      </c>
      <c r="L327">
        <v>9.6</v>
      </c>
      <c r="M327">
        <v>3.1</v>
      </c>
      <c r="N327">
        <v>1.8</v>
      </c>
      <c r="P327">
        <v>0.3</v>
      </c>
      <c r="T327">
        <v>5.5</v>
      </c>
      <c r="U327">
        <v>0.5</v>
      </c>
      <c r="W327">
        <v>1.1000000000000001</v>
      </c>
      <c r="Y327">
        <v>2.2999999999999998</v>
      </c>
      <c r="Z327">
        <v>4</v>
      </c>
      <c r="AA327">
        <v>1.6999999999989099</v>
      </c>
      <c r="AB327">
        <v>3.1999999999970901</v>
      </c>
      <c r="AC327">
        <v>1.89999999999964</v>
      </c>
      <c r="AE327">
        <v>22.6</v>
      </c>
      <c r="AG327">
        <v>0.79999999999927196</v>
      </c>
      <c r="AR327">
        <v>1.0999999999985499</v>
      </c>
      <c r="AT327">
        <v>20.399999999994201</v>
      </c>
      <c r="AU327">
        <v>13.1999999999971</v>
      </c>
      <c r="AY327">
        <v>4</v>
      </c>
      <c r="BA327">
        <v>12.599999999991301</v>
      </c>
      <c r="BB327">
        <v>11.1999999999971</v>
      </c>
      <c r="BC327">
        <v>23.799999999988401</v>
      </c>
      <c r="BG327">
        <v>4</v>
      </c>
      <c r="BH327">
        <v>0.100000000000023</v>
      </c>
      <c r="BI327">
        <v>0.100000000000023</v>
      </c>
      <c r="BJ327">
        <v>0</v>
      </c>
      <c r="BK327">
        <v>37</v>
      </c>
      <c r="BM327">
        <v>0.89999999999963598</v>
      </c>
      <c r="BP327">
        <v>0.69999999999981799</v>
      </c>
      <c r="BQ327">
        <v>20.899999999994201</v>
      </c>
      <c r="BR327">
        <v>0.100000000000023</v>
      </c>
      <c r="BS327">
        <v>0.30000000000018201</v>
      </c>
      <c r="BX327">
        <v>11.599999999991301</v>
      </c>
      <c r="BZ327">
        <v>0.1</v>
      </c>
      <c r="CA327">
        <v>3.7</v>
      </c>
      <c r="CB327">
        <v>1.5</v>
      </c>
      <c r="CC327">
        <v>0</v>
      </c>
      <c r="CF327">
        <v>7.1</v>
      </c>
      <c r="CH327">
        <v>3.6</v>
      </c>
      <c r="CI327">
        <v>42.6</v>
      </c>
      <c r="CJ327">
        <v>7.6</v>
      </c>
      <c r="CK327">
        <v>11.5</v>
      </c>
      <c r="CL327">
        <v>2.6</v>
      </c>
      <c r="CM327">
        <v>6.5</v>
      </c>
      <c r="CO327">
        <v>0.8</v>
      </c>
      <c r="CR327">
        <v>17.600000000000001</v>
      </c>
      <c r="CS327">
        <v>1.8</v>
      </c>
      <c r="CX327">
        <v>0.2</v>
      </c>
      <c r="CZ327">
        <v>0.2</v>
      </c>
      <c r="DA327">
        <v>2.8</v>
      </c>
      <c r="DB327">
        <v>1</v>
      </c>
      <c r="DD327" s="5"/>
      <c r="DJ327" s="1">
        <v>41234</v>
      </c>
      <c r="DK327" s="2">
        <f t="shared" si="31"/>
        <v>6.3854545454535785</v>
      </c>
      <c r="DL327" s="2">
        <f t="shared" si="32"/>
        <v>3.4097087378635615</v>
      </c>
      <c r="DM327" s="2">
        <f t="shared" si="33"/>
        <v>42.6</v>
      </c>
      <c r="DN327" s="3">
        <f t="shared" si="34"/>
        <v>0.53398058252427183</v>
      </c>
      <c r="DV327" s="2">
        <v>1620</v>
      </c>
      <c r="DW327">
        <v>0</v>
      </c>
      <c r="DX327">
        <f t="shared" si="36"/>
        <v>14794</v>
      </c>
      <c r="DY327">
        <f t="shared" si="35"/>
        <v>1</v>
      </c>
    </row>
    <row r="328" spans="1:129">
      <c r="A328" s="1">
        <v>41235</v>
      </c>
      <c r="B328" s="1"/>
      <c r="F328">
        <v>14</v>
      </c>
      <c r="G328">
        <v>0.3</v>
      </c>
      <c r="I328">
        <v>7.2</v>
      </c>
      <c r="J328">
        <v>11.2</v>
      </c>
      <c r="K328">
        <v>27.1</v>
      </c>
      <c r="L328">
        <v>1.1000000000000001</v>
      </c>
      <c r="M328">
        <v>5.6</v>
      </c>
      <c r="N328">
        <v>17.899999999999999</v>
      </c>
      <c r="P328">
        <v>1.9</v>
      </c>
      <c r="T328">
        <v>30.2</v>
      </c>
      <c r="U328">
        <v>1.2</v>
      </c>
      <c r="W328">
        <v>4.3</v>
      </c>
      <c r="Z328">
        <v>23.799999999988401</v>
      </c>
      <c r="AB328">
        <v>6.79999999999563</v>
      </c>
      <c r="AC328">
        <v>0.29999999999972699</v>
      </c>
      <c r="AE328">
        <v>33.899999999965097</v>
      </c>
      <c r="AG328">
        <v>6</v>
      </c>
      <c r="AJ328">
        <v>6.79999999999563</v>
      </c>
      <c r="AK328">
        <v>5.3999999999941801</v>
      </c>
      <c r="AR328">
        <v>3.1999999999970901</v>
      </c>
      <c r="AT328">
        <v>0.79999999999927196</v>
      </c>
      <c r="AU328">
        <v>25.599999999976699</v>
      </c>
      <c r="AY328">
        <v>4.8999999999941801</v>
      </c>
      <c r="BB328">
        <v>0.59999999999945397</v>
      </c>
      <c r="BC328">
        <v>0.89999999999963598</v>
      </c>
      <c r="BD328">
        <v>16.200000000011599</v>
      </c>
      <c r="BF328">
        <v>0.200000000000045</v>
      </c>
      <c r="BG328">
        <v>2.7999999999992702</v>
      </c>
      <c r="BH328">
        <v>1.20000000000073</v>
      </c>
      <c r="BI328">
        <v>0.100000000000023</v>
      </c>
      <c r="BJ328">
        <v>1.79999999999927</v>
      </c>
      <c r="BK328">
        <v>1.70000000000073</v>
      </c>
      <c r="BM328">
        <v>0.400000000000091</v>
      </c>
      <c r="BO328">
        <v>3</v>
      </c>
      <c r="BR328">
        <v>0.100000000000023</v>
      </c>
      <c r="BS328">
        <v>0.5</v>
      </c>
      <c r="BU328">
        <v>0.200000000000045</v>
      </c>
      <c r="BW328">
        <v>21.2</v>
      </c>
      <c r="BX328">
        <v>1.1999999999989099</v>
      </c>
      <c r="BY328">
        <v>0.6</v>
      </c>
      <c r="CA328">
        <v>22.8</v>
      </c>
      <c r="CF328">
        <v>5.6</v>
      </c>
      <c r="CG328">
        <v>0.9</v>
      </c>
      <c r="CI328">
        <v>11</v>
      </c>
      <c r="CL328">
        <v>1</v>
      </c>
      <c r="CM328">
        <v>1</v>
      </c>
      <c r="CR328">
        <v>24.7</v>
      </c>
      <c r="CV328">
        <v>24.1</v>
      </c>
      <c r="CZ328">
        <v>8.4</v>
      </c>
      <c r="DA328">
        <v>0.8</v>
      </c>
      <c r="DB328">
        <v>1</v>
      </c>
      <c r="DD328" s="5"/>
      <c r="DJ328" s="1">
        <v>41235</v>
      </c>
      <c r="DK328" s="2">
        <f t="shared" si="31"/>
        <v>7.715686274508152</v>
      </c>
      <c r="DL328" s="2">
        <f t="shared" si="32"/>
        <v>3.8203883495137454</v>
      </c>
      <c r="DM328" s="2">
        <f t="shared" si="33"/>
        <v>33.899999999965097</v>
      </c>
      <c r="DN328" s="3">
        <f t="shared" si="34"/>
        <v>0.49514563106796117</v>
      </c>
      <c r="DV328" s="2">
        <v>1625</v>
      </c>
      <c r="DW328">
        <v>0</v>
      </c>
      <c r="DX328">
        <f t="shared" si="36"/>
        <v>14794</v>
      </c>
      <c r="DY328">
        <f t="shared" si="35"/>
        <v>1</v>
      </c>
    </row>
    <row r="329" spans="1:129">
      <c r="A329" s="1">
        <v>41236</v>
      </c>
      <c r="B329" s="1"/>
      <c r="D329">
        <v>2.4</v>
      </c>
      <c r="F329">
        <v>25.1</v>
      </c>
      <c r="H329">
        <v>0.4</v>
      </c>
      <c r="J329">
        <v>1.5</v>
      </c>
      <c r="K329">
        <v>27.8</v>
      </c>
      <c r="M329">
        <v>11</v>
      </c>
      <c r="O329">
        <v>3.6</v>
      </c>
      <c r="P329">
        <v>5.6</v>
      </c>
      <c r="T329">
        <v>18.5</v>
      </c>
      <c r="U329">
        <v>0</v>
      </c>
      <c r="W329">
        <v>1.5</v>
      </c>
      <c r="X329">
        <v>2.5</v>
      </c>
      <c r="Z329">
        <v>18.699999999982499</v>
      </c>
      <c r="AA329">
        <v>26.899999999994201</v>
      </c>
      <c r="AB329">
        <v>5.0999999999985501</v>
      </c>
      <c r="AC329">
        <v>0</v>
      </c>
      <c r="AE329">
        <v>12.099999999991301</v>
      </c>
      <c r="AG329">
        <v>1.0999999999985499</v>
      </c>
      <c r="AI329">
        <v>0</v>
      </c>
      <c r="AJ329">
        <v>7.5</v>
      </c>
      <c r="AK329">
        <v>0.69999999999981799</v>
      </c>
      <c r="AM329">
        <v>6.29999999999563</v>
      </c>
      <c r="AQ329">
        <v>1.6999999999989099</v>
      </c>
      <c r="AR329">
        <v>19</v>
      </c>
      <c r="AT329">
        <v>3</v>
      </c>
      <c r="AU329">
        <v>2.0999999999985399</v>
      </c>
      <c r="AV329">
        <v>4.5999999999985501</v>
      </c>
      <c r="AX329">
        <v>0.5</v>
      </c>
      <c r="BB329">
        <v>0.29999999999972699</v>
      </c>
      <c r="BD329">
        <v>6.1999999999970896</v>
      </c>
      <c r="BG329">
        <v>1.70000000000073</v>
      </c>
      <c r="BH329">
        <v>19</v>
      </c>
      <c r="BI329">
        <v>0.100000000000023</v>
      </c>
      <c r="BJ329">
        <v>13.399999999994201</v>
      </c>
      <c r="BK329" t="s">
        <v>0</v>
      </c>
      <c r="BO329">
        <v>21.200000000011599</v>
      </c>
      <c r="BP329">
        <v>29.700000000011599</v>
      </c>
      <c r="BS329">
        <v>6.1999999999970896</v>
      </c>
      <c r="BX329">
        <v>0.29999999999972699</v>
      </c>
      <c r="BY329">
        <v>0.2</v>
      </c>
      <c r="CB329">
        <v>28.9</v>
      </c>
      <c r="CC329">
        <v>26.2</v>
      </c>
      <c r="CF329">
        <v>3.2</v>
      </c>
      <c r="CG329">
        <v>2.4</v>
      </c>
      <c r="CI329">
        <v>1.3</v>
      </c>
      <c r="CL329">
        <v>6.5</v>
      </c>
      <c r="CM329">
        <v>16.5</v>
      </c>
      <c r="CO329">
        <v>5</v>
      </c>
      <c r="CP329">
        <v>10.8</v>
      </c>
      <c r="CR329">
        <v>0.9</v>
      </c>
      <c r="CS329">
        <v>14.4</v>
      </c>
      <c r="CV329">
        <v>4</v>
      </c>
      <c r="CX329">
        <v>5.6</v>
      </c>
      <c r="CY329">
        <v>0.9</v>
      </c>
      <c r="CZ329">
        <v>0.5</v>
      </c>
      <c r="DA329">
        <v>0.2</v>
      </c>
      <c r="DB329">
        <v>2.8</v>
      </c>
      <c r="DD329" s="5"/>
      <c r="DJ329" s="1">
        <v>41236</v>
      </c>
      <c r="DK329" s="2">
        <f t="shared" si="31"/>
        <v>7.8142857142851465</v>
      </c>
      <c r="DL329" s="2">
        <f t="shared" si="32"/>
        <v>4.2485436893200799</v>
      </c>
      <c r="DM329" s="2">
        <f t="shared" si="33"/>
        <v>29.700000000011599</v>
      </c>
      <c r="DN329" s="3">
        <f t="shared" si="34"/>
        <v>0.55339805825242716</v>
      </c>
      <c r="DV329" s="2">
        <v>1630</v>
      </c>
      <c r="DW329">
        <v>0</v>
      </c>
      <c r="DX329">
        <f t="shared" si="36"/>
        <v>14794</v>
      </c>
      <c r="DY329">
        <f t="shared" si="35"/>
        <v>1</v>
      </c>
    </row>
    <row r="330" spans="1:129">
      <c r="A330" s="1">
        <v>41237</v>
      </c>
      <c r="B330" s="1"/>
      <c r="F330">
        <v>0.4</v>
      </c>
      <c r="G330">
        <v>1.6</v>
      </c>
      <c r="J330">
        <v>2.8</v>
      </c>
      <c r="K330">
        <v>16.899999999999999</v>
      </c>
      <c r="L330">
        <v>8.3000000000000007</v>
      </c>
      <c r="M330">
        <v>1.7</v>
      </c>
      <c r="P330">
        <v>6.2</v>
      </c>
      <c r="Q330">
        <v>42.7</v>
      </c>
      <c r="T330">
        <v>0.3</v>
      </c>
      <c r="U330">
        <v>0.1</v>
      </c>
      <c r="V330">
        <v>18.100000000000001</v>
      </c>
      <c r="W330">
        <v>1.4</v>
      </c>
      <c r="X330">
        <v>31.1</v>
      </c>
      <c r="Y330">
        <v>16.2</v>
      </c>
      <c r="Z330">
        <v>2.2999999999992702</v>
      </c>
      <c r="AB330">
        <v>20.399999999999999</v>
      </c>
      <c r="AC330">
        <v>5.5</v>
      </c>
      <c r="AF330">
        <v>4.0999999999999996</v>
      </c>
      <c r="AH330">
        <v>44.5</v>
      </c>
      <c r="AI330">
        <v>25.199999999982499</v>
      </c>
      <c r="AM330">
        <v>1.39999999999964</v>
      </c>
      <c r="AQ330">
        <v>11.6999999999971</v>
      </c>
      <c r="AS330">
        <v>0.29999999999972699</v>
      </c>
      <c r="AV330">
        <v>2.8999999999978199</v>
      </c>
      <c r="AW330">
        <v>11.399999999994201</v>
      </c>
      <c r="BB330">
        <v>0.29999999999972699</v>
      </c>
      <c r="BD330">
        <v>0</v>
      </c>
      <c r="BE330">
        <v>0.69999999999981799</v>
      </c>
      <c r="BG330">
        <v>6.6999999999970896</v>
      </c>
      <c r="BH330">
        <v>9.3000000000029104</v>
      </c>
      <c r="BJ330">
        <v>19.799999999988401</v>
      </c>
      <c r="BK330">
        <v>20.299999999988401</v>
      </c>
      <c r="BN330">
        <v>4.1999999999970896</v>
      </c>
      <c r="BO330">
        <v>16.600000000005799</v>
      </c>
      <c r="BP330">
        <v>18.899999999994201</v>
      </c>
      <c r="BQ330">
        <v>0.69999999999981799</v>
      </c>
      <c r="BS330">
        <v>2</v>
      </c>
      <c r="CB330">
        <v>33.4</v>
      </c>
      <c r="CC330">
        <v>1.2</v>
      </c>
      <c r="CG330">
        <v>2.4</v>
      </c>
      <c r="CI330">
        <v>1.1000000000000001</v>
      </c>
      <c r="CK330">
        <v>0.2</v>
      </c>
      <c r="CL330">
        <v>0.4</v>
      </c>
      <c r="CM330">
        <v>8</v>
      </c>
      <c r="CO330">
        <v>31.2</v>
      </c>
      <c r="CP330">
        <v>0.3</v>
      </c>
      <c r="CR330">
        <v>7</v>
      </c>
      <c r="CS330">
        <v>4.5</v>
      </c>
      <c r="CZ330">
        <v>7.5</v>
      </c>
      <c r="DA330">
        <v>2.1</v>
      </c>
      <c r="DB330">
        <v>26.7</v>
      </c>
      <c r="DD330" s="5"/>
      <c r="DJ330" s="1">
        <v>41237</v>
      </c>
      <c r="DK330" s="2">
        <f t="shared" si="31"/>
        <v>9.862745098038106</v>
      </c>
      <c r="DL330" s="2">
        <f t="shared" si="32"/>
        <v>4.8834951456305191</v>
      </c>
      <c r="DM330" s="2">
        <f t="shared" si="33"/>
        <v>44.5</v>
      </c>
      <c r="DN330" s="3">
        <f t="shared" si="34"/>
        <v>0.49514563106796117</v>
      </c>
      <c r="DV330" s="2">
        <v>1635</v>
      </c>
      <c r="DW330">
        <v>0</v>
      </c>
      <c r="DX330">
        <f t="shared" si="36"/>
        <v>14794</v>
      </c>
      <c r="DY330">
        <f t="shared" si="35"/>
        <v>1</v>
      </c>
    </row>
    <row r="331" spans="1:129">
      <c r="A331" s="1">
        <v>41238</v>
      </c>
      <c r="B331" s="1"/>
      <c r="F331">
        <v>1</v>
      </c>
      <c r="G331">
        <v>4</v>
      </c>
      <c r="J331">
        <v>0.6</v>
      </c>
      <c r="K331">
        <v>0.3</v>
      </c>
      <c r="L331">
        <v>4.0999999999999996</v>
      </c>
      <c r="P331">
        <v>2.2999999999999998</v>
      </c>
      <c r="Q331">
        <v>0.5</v>
      </c>
      <c r="T331">
        <v>3.1</v>
      </c>
      <c r="U331">
        <v>58.2</v>
      </c>
      <c r="W331">
        <v>6</v>
      </c>
      <c r="X331">
        <v>13.6</v>
      </c>
      <c r="Z331">
        <v>17.399999999994201</v>
      </c>
      <c r="AA331">
        <v>2.6999999999970901</v>
      </c>
      <c r="AB331">
        <v>3.6999999999970901</v>
      </c>
      <c r="AC331">
        <v>6.1999999999970896</v>
      </c>
      <c r="AE331">
        <v>1.79999999999927</v>
      </c>
      <c r="AF331">
        <v>7.5999999999985501</v>
      </c>
      <c r="AG331">
        <v>8.3999999999941792</v>
      </c>
      <c r="AH331">
        <v>8.5</v>
      </c>
      <c r="AJ331">
        <v>1.0999999999985499</v>
      </c>
      <c r="AK331">
        <v>5.0999999999985501</v>
      </c>
      <c r="AM331">
        <v>38.099999999976703</v>
      </c>
      <c r="AN331">
        <v>13.3</v>
      </c>
      <c r="AQ331">
        <v>3.3999999999978199</v>
      </c>
      <c r="AS331">
        <v>6.5999999999985501</v>
      </c>
      <c r="AU331">
        <v>74.2</v>
      </c>
      <c r="AV331">
        <v>5.8999999999941801</v>
      </c>
      <c r="AW331">
        <v>2.5</v>
      </c>
      <c r="BB331">
        <v>1</v>
      </c>
      <c r="BE331">
        <v>24.299999999988401</v>
      </c>
      <c r="BF331">
        <v>3.4000000000014601</v>
      </c>
      <c r="BG331">
        <v>7.5</v>
      </c>
      <c r="BH331">
        <v>2.7000000000007298</v>
      </c>
      <c r="BI331">
        <v>0.30000000000018201</v>
      </c>
      <c r="BJ331">
        <v>9.6999999999970896</v>
      </c>
      <c r="BK331">
        <v>0.60000000000036402</v>
      </c>
      <c r="BL331">
        <v>43</v>
      </c>
      <c r="BN331">
        <v>0.100000000000023</v>
      </c>
      <c r="BO331">
        <v>1.10000000000036</v>
      </c>
      <c r="BP331">
        <v>0.400000000000091</v>
      </c>
      <c r="BS331" t="s">
        <v>0</v>
      </c>
      <c r="BU331">
        <v>3.2999999999992702</v>
      </c>
      <c r="BW331">
        <v>0.1</v>
      </c>
      <c r="BY331">
        <v>3.5</v>
      </c>
      <c r="CB331">
        <v>23.6</v>
      </c>
      <c r="CC331">
        <v>33.4</v>
      </c>
      <c r="CD331">
        <v>5.0999999999999996</v>
      </c>
      <c r="CE331">
        <v>0.1</v>
      </c>
      <c r="CG331">
        <v>2.2999999999999998</v>
      </c>
      <c r="CH331">
        <v>0.6</v>
      </c>
      <c r="CJ331">
        <v>13.5</v>
      </c>
      <c r="CK331">
        <v>0.5</v>
      </c>
      <c r="CM331">
        <v>2</v>
      </c>
      <c r="CO331">
        <v>5.7</v>
      </c>
      <c r="CR331">
        <v>2.6</v>
      </c>
      <c r="CS331">
        <v>8.6999999999999993</v>
      </c>
      <c r="CZ331">
        <v>0.1</v>
      </c>
      <c r="DA331">
        <v>5.4</v>
      </c>
      <c r="DB331">
        <v>7.9</v>
      </c>
      <c r="DC331">
        <v>4.5999999999999996</v>
      </c>
      <c r="DD331" s="5"/>
      <c r="DJ331" s="1">
        <v>41238</v>
      </c>
      <c r="DK331" s="2">
        <f t="shared" si="31"/>
        <v>8.767796610168304</v>
      </c>
      <c r="DL331" s="2">
        <f t="shared" si="32"/>
        <v>5.022330097086698</v>
      </c>
      <c r="DM331" s="2">
        <f t="shared" si="33"/>
        <v>74.2</v>
      </c>
      <c r="DN331" s="3">
        <f t="shared" si="34"/>
        <v>0.58252427184466016</v>
      </c>
      <c r="DV331" s="2">
        <v>1640</v>
      </c>
      <c r="DW331">
        <v>0</v>
      </c>
      <c r="DX331">
        <f t="shared" si="36"/>
        <v>14794</v>
      </c>
      <c r="DY331">
        <f t="shared" si="35"/>
        <v>1</v>
      </c>
    </row>
    <row r="332" spans="1:129">
      <c r="A332" s="1">
        <v>41239</v>
      </c>
      <c r="B332" s="1"/>
      <c r="C332">
        <v>13.5</v>
      </c>
      <c r="D332">
        <v>0.6</v>
      </c>
      <c r="F332">
        <v>2.5</v>
      </c>
      <c r="G332">
        <v>14.4</v>
      </c>
      <c r="H332">
        <v>0.3</v>
      </c>
      <c r="J332">
        <v>0.4</v>
      </c>
      <c r="L332">
        <v>1.5</v>
      </c>
      <c r="M332">
        <v>0.2</v>
      </c>
      <c r="N332">
        <v>0.7</v>
      </c>
      <c r="Q332">
        <v>27.5</v>
      </c>
      <c r="S332">
        <v>1.6</v>
      </c>
      <c r="T332">
        <v>29.1</v>
      </c>
      <c r="U332">
        <v>18.2</v>
      </c>
      <c r="W332">
        <v>0.8</v>
      </c>
      <c r="X332">
        <v>1.2</v>
      </c>
      <c r="AA332">
        <v>33.799999999988401</v>
      </c>
      <c r="AB332">
        <v>1.6999999999989099</v>
      </c>
      <c r="AC332">
        <v>6</v>
      </c>
      <c r="AE332">
        <v>14.599999999991301</v>
      </c>
      <c r="AF332">
        <v>5.79999999999563</v>
      </c>
      <c r="AG332">
        <v>24.899999999994201</v>
      </c>
      <c r="AI332">
        <v>1.8</v>
      </c>
      <c r="AK332">
        <v>2.3999999999978199</v>
      </c>
      <c r="AM332">
        <v>9.6999999999970896</v>
      </c>
      <c r="AN332">
        <v>9.1999999999999993</v>
      </c>
      <c r="AS332">
        <v>2.1</v>
      </c>
      <c r="AT332">
        <v>0.59999999999945397</v>
      </c>
      <c r="AU332">
        <v>37.199999999953398</v>
      </c>
      <c r="AX332">
        <v>6.6999999999970896</v>
      </c>
      <c r="BA332">
        <v>1</v>
      </c>
      <c r="BB332">
        <v>1.39999999999964</v>
      </c>
      <c r="BF332">
        <v>34.700000000011599</v>
      </c>
      <c r="BH332">
        <v>27.299999999988401</v>
      </c>
      <c r="BI332">
        <v>0.100000000000023</v>
      </c>
      <c r="BJ332">
        <v>1.39999999999964</v>
      </c>
      <c r="BK332">
        <v>2.5</v>
      </c>
      <c r="BL332">
        <v>12.3000000000029</v>
      </c>
      <c r="BN332">
        <v>0</v>
      </c>
      <c r="BO332">
        <v>0.69999999999981799</v>
      </c>
      <c r="BQ332">
        <v>0.30000000000018201</v>
      </c>
      <c r="BS332">
        <v>4.5999999999985501</v>
      </c>
      <c r="BU332">
        <v>7.0999999999985501</v>
      </c>
      <c r="BZ332">
        <v>3.3</v>
      </c>
      <c r="CB332">
        <v>5.6</v>
      </c>
      <c r="CC332">
        <v>8.1999999999999993</v>
      </c>
      <c r="CE332">
        <v>1.5</v>
      </c>
      <c r="CG332">
        <v>3.4</v>
      </c>
      <c r="CH332">
        <v>8.4</v>
      </c>
      <c r="CJ332">
        <v>11.7</v>
      </c>
      <c r="CN332">
        <v>1.5</v>
      </c>
      <c r="CO332">
        <v>3.7</v>
      </c>
      <c r="CS332">
        <v>1.7</v>
      </c>
      <c r="CU332">
        <v>1.7</v>
      </c>
      <c r="CV332">
        <v>21.2</v>
      </c>
      <c r="CX332">
        <v>2.2000000000000002</v>
      </c>
      <c r="CY332">
        <v>0.1</v>
      </c>
      <c r="DA332">
        <v>2.4</v>
      </c>
      <c r="DB332">
        <v>2.8</v>
      </c>
      <c r="DC332">
        <v>7.4</v>
      </c>
      <c r="DD332" s="5"/>
      <c r="DJ332" s="1">
        <v>41239</v>
      </c>
      <c r="DK332" s="2">
        <f t="shared" si="31"/>
        <v>7.6135593220324154</v>
      </c>
      <c r="DL332" s="2">
        <f t="shared" si="32"/>
        <v>4.3611650485428397</v>
      </c>
      <c r="DM332" s="2">
        <f t="shared" si="33"/>
        <v>37.199999999953398</v>
      </c>
      <c r="DN332" s="3">
        <f t="shared" si="34"/>
        <v>0.57281553398058249</v>
      </c>
      <c r="DV332" s="2">
        <v>1645</v>
      </c>
      <c r="DW332">
        <v>0</v>
      </c>
      <c r="DX332">
        <f t="shared" si="36"/>
        <v>14794</v>
      </c>
      <c r="DY332">
        <f t="shared" si="35"/>
        <v>1</v>
      </c>
    </row>
    <row r="333" spans="1:129">
      <c r="A333" s="1">
        <v>41240</v>
      </c>
      <c r="B333" s="1"/>
      <c r="D333">
        <v>0.5</v>
      </c>
      <c r="F333">
        <v>8.4</v>
      </c>
      <c r="G333">
        <v>27.5</v>
      </c>
      <c r="H333">
        <v>0.1</v>
      </c>
      <c r="J333">
        <v>0.1</v>
      </c>
      <c r="L333">
        <v>0.1</v>
      </c>
      <c r="P333">
        <v>0.8</v>
      </c>
      <c r="Q333">
        <v>3.3</v>
      </c>
      <c r="T333">
        <v>4.7</v>
      </c>
      <c r="U333">
        <v>5.3</v>
      </c>
      <c r="Y333">
        <v>3.6</v>
      </c>
      <c r="Z333">
        <v>0.19999999999981799</v>
      </c>
      <c r="AA333">
        <v>11.099999999991301</v>
      </c>
      <c r="AC333">
        <v>2.2999999999992702</v>
      </c>
      <c r="AF333">
        <v>0.1</v>
      </c>
      <c r="AG333">
        <v>18.599999999976699</v>
      </c>
      <c r="AH333">
        <v>1.89999999999964</v>
      </c>
      <c r="AK333">
        <v>6.5999999999985501</v>
      </c>
      <c r="AM333">
        <v>9.9999999999908995E-2</v>
      </c>
      <c r="AO333">
        <v>0.19999999999981799</v>
      </c>
      <c r="AP333">
        <v>19.5</v>
      </c>
      <c r="AQ333">
        <v>13.599999999991301</v>
      </c>
      <c r="AS333">
        <v>4.0999999999985501</v>
      </c>
      <c r="AT333">
        <v>0.39999999999963598</v>
      </c>
      <c r="AU333">
        <v>9.9999999999908995E-2</v>
      </c>
      <c r="AX333">
        <v>9</v>
      </c>
      <c r="BB333">
        <v>1.0999999999985499</v>
      </c>
      <c r="BE333">
        <v>0.30000000000018201</v>
      </c>
      <c r="BF333">
        <v>18.799999999988401</v>
      </c>
      <c r="BH333">
        <v>10.600000000005799</v>
      </c>
      <c r="BI333">
        <v>20.100000000005799</v>
      </c>
      <c r="BJ333">
        <v>0</v>
      </c>
      <c r="BK333" t="s">
        <v>0</v>
      </c>
      <c r="BL333">
        <v>0.100000000000023</v>
      </c>
      <c r="BM333">
        <v>23</v>
      </c>
      <c r="BN333">
        <v>12.100000000005799</v>
      </c>
      <c r="BP333">
        <v>14.100000000005799</v>
      </c>
      <c r="BQ333">
        <v>15.6999999999971</v>
      </c>
      <c r="BS333">
        <v>0.100000000000023</v>
      </c>
      <c r="BU333">
        <v>10.600000000005799</v>
      </c>
      <c r="BX333">
        <v>0.5</v>
      </c>
      <c r="BY333">
        <v>51.5</v>
      </c>
      <c r="CA333">
        <v>8.1</v>
      </c>
      <c r="CB333">
        <v>5.0999999999999996</v>
      </c>
      <c r="CD333">
        <v>0.1</v>
      </c>
      <c r="CE333">
        <v>6</v>
      </c>
      <c r="CF333">
        <v>0.3</v>
      </c>
      <c r="CG333">
        <v>1</v>
      </c>
      <c r="CH333">
        <v>4.7</v>
      </c>
      <c r="CL333">
        <v>2.5</v>
      </c>
      <c r="CN333">
        <v>3.4</v>
      </c>
      <c r="CQ333">
        <v>0.1</v>
      </c>
      <c r="CS333">
        <v>0.3</v>
      </c>
      <c r="CU333">
        <v>1.1000000000000001</v>
      </c>
      <c r="CV333">
        <v>6.8</v>
      </c>
      <c r="CY333">
        <v>0.1</v>
      </c>
      <c r="CZ333">
        <v>0.2</v>
      </c>
      <c r="DA333">
        <v>6</v>
      </c>
      <c r="DC333">
        <v>7.8</v>
      </c>
      <c r="DD333" s="5">
        <v>12.6</v>
      </c>
      <c r="DJ333" s="1">
        <v>41240</v>
      </c>
      <c r="DK333" s="2">
        <f t="shared" si="31"/>
        <v>6.55932203389776</v>
      </c>
      <c r="DL333" s="2">
        <f t="shared" si="32"/>
        <v>3.7572815533977457</v>
      </c>
      <c r="DM333" s="2">
        <f t="shared" si="33"/>
        <v>51.5</v>
      </c>
      <c r="DN333" s="3">
        <f t="shared" si="34"/>
        <v>0.58252427184466016</v>
      </c>
      <c r="DV333" s="2">
        <v>1650</v>
      </c>
      <c r="DW333">
        <v>0</v>
      </c>
      <c r="DX333">
        <f t="shared" si="36"/>
        <v>14794</v>
      </c>
      <c r="DY333">
        <f t="shared" si="35"/>
        <v>1</v>
      </c>
    </row>
    <row r="334" spans="1:129">
      <c r="A334" s="1">
        <v>41241</v>
      </c>
      <c r="B334" s="1"/>
      <c r="C334">
        <v>1.6</v>
      </c>
      <c r="D334">
        <v>0.7</v>
      </c>
      <c r="F334">
        <v>0.8</v>
      </c>
      <c r="G334">
        <v>16</v>
      </c>
      <c r="N334">
        <v>16.8</v>
      </c>
      <c r="P334">
        <v>2.2000000000000002</v>
      </c>
      <c r="S334">
        <v>10.8</v>
      </c>
      <c r="T334">
        <v>18</v>
      </c>
      <c r="U334">
        <v>38.799999999999997</v>
      </c>
      <c r="Y334">
        <v>26.8</v>
      </c>
      <c r="Z334">
        <v>0.4</v>
      </c>
      <c r="AA334">
        <v>2.5</v>
      </c>
      <c r="AC334">
        <v>14.799999999988399</v>
      </c>
      <c r="AF334">
        <v>9.9999999999908995E-2</v>
      </c>
      <c r="AH334">
        <v>10</v>
      </c>
      <c r="AI334">
        <v>29.199999999982499</v>
      </c>
      <c r="AK334">
        <v>28.599999999976699</v>
      </c>
      <c r="AL334">
        <v>1.5</v>
      </c>
      <c r="AN334">
        <v>0</v>
      </c>
      <c r="AP334">
        <v>2.1999999999970901</v>
      </c>
      <c r="AQ334">
        <v>1.29999999999927</v>
      </c>
      <c r="AS334">
        <v>4.1999999999970896</v>
      </c>
      <c r="AT334">
        <v>0.79999999999927196</v>
      </c>
      <c r="AW334">
        <v>2.5</v>
      </c>
      <c r="BC334">
        <v>2.6999999999970901</v>
      </c>
      <c r="BE334">
        <v>31.799999999988401</v>
      </c>
      <c r="BF334">
        <v>10.8000000000029</v>
      </c>
      <c r="BG334">
        <v>0.60000000000036402</v>
      </c>
      <c r="BH334">
        <v>17.700000000011599</v>
      </c>
      <c r="BJ334">
        <v>1.89999999999964</v>
      </c>
      <c r="BK334" t="s">
        <v>0</v>
      </c>
      <c r="BL334">
        <v>0.100000000000023</v>
      </c>
      <c r="BM334">
        <v>10.8000000000029</v>
      </c>
      <c r="BN334">
        <v>3</v>
      </c>
      <c r="BQ334">
        <v>0.100000000000023</v>
      </c>
      <c r="BR334">
        <v>40.200000000011599</v>
      </c>
      <c r="BS334">
        <v>17</v>
      </c>
      <c r="BT334">
        <v>8.5</v>
      </c>
      <c r="BU334">
        <v>0.60000000000036402</v>
      </c>
      <c r="BW334">
        <v>9.1999999999999993</v>
      </c>
      <c r="BX334">
        <v>0.59999999999945397</v>
      </c>
      <c r="BY334">
        <v>24.8</v>
      </c>
      <c r="CA334">
        <v>0.3</v>
      </c>
      <c r="CB334">
        <v>0.1</v>
      </c>
      <c r="CD334">
        <v>29.4</v>
      </c>
      <c r="CE334">
        <v>3.5</v>
      </c>
      <c r="CG334">
        <v>1</v>
      </c>
      <c r="CH334">
        <v>0</v>
      </c>
      <c r="CK334">
        <v>0.1</v>
      </c>
      <c r="CL334">
        <v>4.9000000000000004</v>
      </c>
      <c r="CN334">
        <v>25.6</v>
      </c>
      <c r="CS334">
        <v>2.9</v>
      </c>
      <c r="CU334">
        <v>0.2</v>
      </c>
      <c r="CW334">
        <v>1.3</v>
      </c>
      <c r="DA334">
        <v>1.5</v>
      </c>
      <c r="DC334">
        <v>20.399999999999999</v>
      </c>
      <c r="DD334" s="5">
        <v>84.5</v>
      </c>
      <c r="DJ334" s="1">
        <v>41241</v>
      </c>
      <c r="DK334" s="2">
        <f t="shared" si="31"/>
        <v>10.476785714284903</v>
      </c>
      <c r="DL334" s="2">
        <f t="shared" si="32"/>
        <v>5.6961165048539275</v>
      </c>
      <c r="DM334" s="2">
        <f t="shared" si="33"/>
        <v>84.5</v>
      </c>
      <c r="DN334" s="3">
        <f t="shared" si="34"/>
        <v>0.55339805825242716</v>
      </c>
      <c r="DV334" s="2">
        <v>1655</v>
      </c>
      <c r="DW334">
        <v>0</v>
      </c>
      <c r="DX334">
        <f t="shared" si="36"/>
        <v>14794</v>
      </c>
      <c r="DY334">
        <f t="shared" si="35"/>
        <v>1</v>
      </c>
    </row>
    <row r="335" spans="1:129">
      <c r="A335" s="1">
        <v>41242</v>
      </c>
      <c r="B335" s="1"/>
      <c r="D335">
        <v>1.1000000000000001</v>
      </c>
      <c r="G335">
        <v>2.6</v>
      </c>
      <c r="H335">
        <v>1.8</v>
      </c>
      <c r="J335">
        <v>0.8</v>
      </c>
      <c r="N335">
        <v>17.600000000000001</v>
      </c>
      <c r="Q335">
        <v>12.5</v>
      </c>
      <c r="T335">
        <v>11.5</v>
      </c>
      <c r="U335">
        <v>4.8</v>
      </c>
      <c r="Y335">
        <v>14.5</v>
      </c>
      <c r="AA335">
        <v>6.0999999999985501</v>
      </c>
      <c r="AC335">
        <v>13.599999999991301</v>
      </c>
      <c r="AF335">
        <v>1.1999999999989099</v>
      </c>
      <c r="AG335">
        <v>3.3999999999978199</v>
      </c>
      <c r="AH335">
        <v>3.1999999999970901</v>
      </c>
      <c r="AJ335">
        <v>0.39999999999963598</v>
      </c>
      <c r="AK335">
        <v>2.0999999999985399</v>
      </c>
      <c r="AL335">
        <v>2.6999999999970901</v>
      </c>
      <c r="AN335">
        <v>0.59999999999945397</v>
      </c>
      <c r="AQ335">
        <v>1.5</v>
      </c>
      <c r="AW335">
        <v>5.6999999999970896</v>
      </c>
      <c r="AZ335">
        <v>3.5999999999985399</v>
      </c>
      <c r="BB335">
        <v>0.29999999999972699</v>
      </c>
      <c r="BD335">
        <v>0.400000000000091</v>
      </c>
      <c r="BE335">
        <v>4.1999999999970896</v>
      </c>
      <c r="BF335">
        <v>1.5</v>
      </c>
      <c r="BG335">
        <v>1.39999999999964</v>
      </c>
      <c r="BH335">
        <v>2.5</v>
      </c>
      <c r="BK335">
        <v>3.7000000000007298</v>
      </c>
      <c r="BL335">
        <v>0.100000000000023</v>
      </c>
      <c r="BM335">
        <v>6.8000000000029104</v>
      </c>
      <c r="BN335">
        <v>7</v>
      </c>
      <c r="BO335">
        <v>0.200000000000045</v>
      </c>
      <c r="BP335">
        <v>7.8000000000029104</v>
      </c>
      <c r="BQ335">
        <v>2</v>
      </c>
      <c r="BR335">
        <v>10.1999999999971</v>
      </c>
      <c r="BS335">
        <v>0</v>
      </c>
      <c r="BT335">
        <v>0.200000000000045</v>
      </c>
      <c r="BU335">
        <v>17.399999999994201</v>
      </c>
      <c r="BY335">
        <v>13</v>
      </c>
      <c r="CC335">
        <v>3.7</v>
      </c>
      <c r="CD335">
        <v>4.9000000000000004</v>
      </c>
      <c r="CE335">
        <v>7.7</v>
      </c>
      <c r="CF335">
        <v>6</v>
      </c>
      <c r="CG335">
        <v>6.2</v>
      </c>
      <c r="CH335">
        <v>0.8</v>
      </c>
      <c r="CI335">
        <v>2.8</v>
      </c>
      <c r="CK335">
        <v>2</v>
      </c>
      <c r="CL335">
        <v>5.5</v>
      </c>
      <c r="CN335">
        <v>10.5</v>
      </c>
      <c r="CO335">
        <v>16.8</v>
      </c>
      <c r="CR335">
        <v>0.2</v>
      </c>
      <c r="CS335">
        <v>1.9</v>
      </c>
      <c r="CV335">
        <v>3.4</v>
      </c>
      <c r="CW335">
        <v>12.2</v>
      </c>
      <c r="DB335">
        <v>9.1</v>
      </c>
      <c r="DC335">
        <v>1.3</v>
      </c>
      <c r="DD335" s="5">
        <v>19</v>
      </c>
      <c r="DJ335" s="1">
        <v>41242</v>
      </c>
      <c r="DK335" s="2">
        <f t="shared" si="31"/>
        <v>5.3333333333327806</v>
      </c>
      <c r="DL335" s="2">
        <f t="shared" si="32"/>
        <v>2.9514563106793057</v>
      </c>
      <c r="DM335" s="2">
        <f t="shared" si="33"/>
        <v>19</v>
      </c>
      <c r="DN335" s="3">
        <f t="shared" si="34"/>
        <v>0.55339805825242716</v>
      </c>
      <c r="DV335" s="2">
        <v>1660</v>
      </c>
      <c r="DW335">
        <v>0</v>
      </c>
      <c r="DX335">
        <f t="shared" si="36"/>
        <v>14794</v>
      </c>
      <c r="DY335">
        <f t="shared" si="35"/>
        <v>1</v>
      </c>
    </row>
    <row r="336" spans="1:129">
      <c r="A336" s="1">
        <v>41243</v>
      </c>
      <c r="B336" s="1"/>
      <c r="D336">
        <v>4.7</v>
      </c>
      <c r="H336">
        <v>1.1000000000000001</v>
      </c>
      <c r="J336">
        <v>1.3</v>
      </c>
      <c r="M336">
        <v>0.8</v>
      </c>
      <c r="N336">
        <v>2.1</v>
      </c>
      <c r="Q336">
        <v>2.1</v>
      </c>
      <c r="T336">
        <v>14.5</v>
      </c>
      <c r="U336">
        <v>1.3</v>
      </c>
      <c r="W336">
        <v>54.5</v>
      </c>
      <c r="Y336">
        <v>0.5</v>
      </c>
      <c r="Z336">
        <v>0.79999999999927196</v>
      </c>
      <c r="AA336">
        <v>1.39999999999964</v>
      </c>
      <c r="AB336">
        <v>10.799999999988399</v>
      </c>
      <c r="AC336">
        <v>7.7</v>
      </c>
      <c r="AD336">
        <v>1</v>
      </c>
      <c r="AF336">
        <v>12</v>
      </c>
      <c r="AH336">
        <v>7.1999999999970896</v>
      </c>
      <c r="AJ336">
        <v>11.099999999991301</v>
      </c>
      <c r="AM336">
        <v>0.29999999999972699</v>
      </c>
      <c r="AN336">
        <v>9.7999999999883602</v>
      </c>
      <c r="AO336">
        <v>34.5</v>
      </c>
      <c r="AU336">
        <v>2.5</v>
      </c>
      <c r="AV336">
        <v>0.5</v>
      </c>
      <c r="AW336">
        <v>22</v>
      </c>
      <c r="AZ336">
        <v>3.2999999999992702</v>
      </c>
      <c r="BF336">
        <v>11.6999999999971</v>
      </c>
      <c r="BH336">
        <v>0.200000000000045</v>
      </c>
      <c r="BJ336">
        <v>0</v>
      </c>
      <c r="BK336">
        <v>0.100000000000023</v>
      </c>
      <c r="BL336">
        <v>0.100000000000023</v>
      </c>
      <c r="BM336">
        <v>12</v>
      </c>
      <c r="BN336">
        <v>22.299999999988401</v>
      </c>
      <c r="BP336">
        <v>0.89999999999963598</v>
      </c>
      <c r="BQ336">
        <v>0.100000000000023</v>
      </c>
      <c r="BR336">
        <v>4.5999999999985501</v>
      </c>
      <c r="BT336">
        <v>0</v>
      </c>
      <c r="BU336">
        <v>49.799999999988401</v>
      </c>
      <c r="BW336">
        <v>5.7</v>
      </c>
      <c r="BY336">
        <v>0.1</v>
      </c>
      <c r="BZ336">
        <v>1</v>
      </c>
      <c r="CA336">
        <v>0.8</v>
      </c>
      <c r="CC336">
        <v>7.5</v>
      </c>
      <c r="CD336">
        <v>10.3</v>
      </c>
      <c r="CE336">
        <v>12.4</v>
      </c>
      <c r="CF336">
        <v>20.8</v>
      </c>
      <c r="CG336">
        <v>4.5</v>
      </c>
      <c r="CH336">
        <v>6.4</v>
      </c>
      <c r="CI336">
        <v>1.5</v>
      </c>
      <c r="CL336">
        <v>4.5</v>
      </c>
      <c r="CN336">
        <v>0.5</v>
      </c>
      <c r="CO336">
        <v>6.2</v>
      </c>
      <c r="CT336">
        <v>0.1</v>
      </c>
      <c r="CU336">
        <v>7.3</v>
      </c>
      <c r="CZ336">
        <v>5.2</v>
      </c>
      <c r="DB336">
        <v>9.5</v>
      </c>
      <c r="DD336" s="5">
        <v>6.2</v>
      </c>
      <c r="DJ336" s="1">
        <v>41243</v>
      </c>
      <c r="DK336" s="2">
        <f t="shared" si="31"/>
        <v>7.5017857142845585</v>
      </c>
      <c r="DL336" s="2">
        <f t="shared" si="32"/>
        <v>4.0786407766984007</v>
      </c>
      <c r="DM336" s="2">
        <f t="shared" si="33"/>
        <v>54.5</v>
      </c>
      <c r="DN336" s="3">
        <f t="shared" si="34"/>
        <v>0.5436893203883495</v>
      </c>
      <c r="DV336" s="2">
        <v>1665</v>
      </c>
      <c r="DW336">
        <v>0</v>
      </c>
      <c r="DX336">
        <f t="shared" si="36"/>
        <v>14794</v>
      </c>
      <c r="DY336">
        <f t="shared" si="35"/>
        <v>1</v>
      </c>
    </row>
    <row r="337" spans="1:129">
      <c r="A337" s="1">
        <v>41244</v>
      </c>
      <c r="B337" s="1"/>
      <c r="C337">
        <v>0.1</v>
      </c>
      <c r="E337">
        <v>6.6</v>
      </c>
      <c r="F337">
        <v>0.1</v>
      </c>
      <c r="H337">
        <v>3</v>
      </c>
      <c r="J337">
        <v>9</v>
      </c>
      <c r="M337">
        <v>14</v>
      </c>
      <c r="N337">
        <v>0.8</v>
      </c>
      <c r="S337">
        <v>0.8</v>
      </c>
      <c r="T337">
        <v>23.5</v>
      </c>
      <c r="W337">
        <v>10.6</v>
      </c>
      <c r="AB337">
        <v>7.1999999999970896</v>
      </c>
      <c r="AE337">
        <v>1.5</v>
      </c>
      <c r="AF337">
        <v>16.099999999976699</v>
      </c>
      <c r="AG337">
        <v>0.7</v>
      </c>
      <c r="AH337">
        <v>1.79999999999927</v>
      </c>
      <c r="AJ337">
        <v>7.79999999999563</v>
      </c>
      <c r="AK337">
        <v>0.19999999999981799</v>
      </c>
      <c r="AL337">
        <v>8.5999999999912706</v>
      </c>
      <c r="AN337">
        <v>4.3999999999941801</v>
      </c>
      <c r="AV337">
        <v>1.5999999999985499</v>
      </c>
      <c r="AW337">
        <v>51.8</v>
      </c>
      <c r="AX337">
        <v>10.299999999988399</v>
      </c>
      <c r="BB337">
        <v>8.7999999999883602</v>
      </c>
      <c r="BC337">
        <v>2.2999999999992702</v>
      </c>
      <c r="BD337">
        <v>5.0999999999985501</v>
      </c>
      <c r="BF337">
        <v>0.200000000000045</v>
      </c>
      <c r="BG337">
        <v>1.39999999999964</v>
      </c>
      <c r="BH337">
        <v>1</v>
      </c>
      <c r="BI337">
        <v>0.5</v>
      </c>
      <c r="BK337">
        <v>0.200000000000045</v>
      </c>
      <c r="BM337">
        <v>7.5999999999985501</v>
      </c>
      <c r="BN337">
        <v>0.100000000000023</v>
      </c>
      <c r="BO337">
        <v>0</v>
      </c>
      <c r="BQ337">
        <v>22</v>
      </c>
      <c r="BS337">
        <v>0.100000000000023</v>
      </c>
      <c r="BU337">
        <v>5.9000000000014596</v>
      </c>
      <c r="BW337">
        <v>0.6</v>
      </c>
      <c r="BY337">
        <v>0.3</v>
      </c>
      <c r="BZ337">
        <v>7.2</v>
      </c>
      <c r="CA337">
        <v>0.7</v>
      </c>
      <c r="CB337">
        <v>0.7</v>
      </c>
      <c r="CC337">
        <v>4.5</v>
      </c>
      <c r="CD337">
        <v>23</v>
      </c>
      <c r="CE337">
        <v>5.9</v>
      </c>
      <c r="CF337">
        <v>2</v>
      </c>
      <c r="CG337">
        <v>4.5</v>
      </c>
      <c r="CH337">
        <v>15.6</v>
      </c>
      <c r="CI337">
        <v>0.2</v>
      </c>
      <c r="CJ337">
        <v>2.5</v>
      </c>
      <c r="CK337">
        <v>2.2000000000000002</v>
      </c>
      <c r="CO337">
        <v>32.9</v>
      </c>
      <c r="CS337">
        <v>0.5</v>
      </c>
      <c r="CT337">
        <v>0.1</v>
      </c>
      <c r="CU337">
        <v>0.4</v>
      </c>
      <c r="CZ337">
        <v>21.5</v>
      </c>
      <c r="DA337">
        <v>0.2</v>
      </c>
      <c r="DB337">
        <v>1.4</v>
      </c>
      <c r="DD337" s="5">
        <v>0.3</v>
      </c>
      <c r="DJ337" s="1">
        <v>41244</v>
      </c>
      <c r="DK337" s="2">
        <f t="shared" si="31"/>
        <v>6.2568965517228756</v>
      </c>
      <c r="DL337" s="2">
        <f t="shared" si="32"/>
        <v>3.5233009708730756</v>
      </c>
      <c r="DM337" s="2">
        <f t="shared" si="33"/>
        <v>51.8</v>
      </c>
      <c r="DN337" s="3">
        <f t="shared" si="34"/>
        <v>0.56310679611650483</v>
      </c>
      <c r="DV337" s="2">
        <v>1670</v>
      </c>
      <c r="DW337">
        <v>0</v>
      </c>
      <c r="DX337">
        <f t="shared" si="36"/>
        <v>14794</v>
      </c>
      <c r="DY337">
        <f t="shared" si="35"/>
        <v>1</v>
      </c>
    </row>
    <row r="338" spans="1:129">
      <c r="A338" s="1">
        <v>41245</v>
      </c>
      <c r="B338" s="1"/>
      <c r="C338">
        <v>2.1</v>
      </c>
      <c r="J338">
        <v>5</v>
      </c>
      <c r="M338">
        <v>0.8</v>
      </c>
      <c r="S338">
        <v>2.6</v>
      </c>
      <c r="T338">
        <v>37.1</v>
      </c>
      <c r="V338">
        <v>14.1</v>
      </c>
      <c r="W338">
        <v>1</v>
      </c>
      <c r="Y338">
        <v>25</v>
      </c>
      <c r="AA338">
        <v>2.1999999999970901</v>
      </c>
      <c r="AB338">
        <v>9.7999999999883602</v>
      </c>
      <c r="AF338">
        <v>13.3</v>
      </c>
      <c r="AG338">
        <v>0.3</v>
      </c>
      <c r="AH338">
        <v>0.19999999999981799</v>
      </c>
      <c r="AI338">
        <v>12.899999999994201</v>
      </c>
      <c r="AJ338">
        <v>7.1999999999970896</v>
      </c>
      <c r="AL338">
        <v>11</v>
      </c>
      <c r="AN338">
        <v>7</v>
      </c>
      <c r="AS338">
        <v>9.9999999999908995E-2</v>
      </c>
      <c r="AT338">
        <v>0.29999999999972699</v>
      </c>
      <c r="AV338">
        <v>1.29999999999927</v>
      </c>
      <c r="AW338">
        <v>1.29999999999927</v>
      </c>
      <c r="AX338">
        <v>16</v>
      </c>
      <c r="BB338">
        <v>36.199999999953398</v>
      </c>
      <c r="BC338">
        <v>14.399999999994201</v>
      </c>
      <c r="BD338">
        <v>6.3000000000029104</v>
      </c>
      <c r="BE338">
        <v>0.80000000000018201</v>
      </c>
      <c r="BG338">
        <v>1.29999999999927</v>
      </c>
      <c r="BH338">
        <v>4</v>
      </c>
      <c r="BI338">
        <v>27</v>
      </c>
      <c r="BJ338">
        <v>8.6999999999970896</v>
      </c>
      <c r="BK338">
        <v>13.5</v>
      </c>
      <c r="BM338">
        <v>8.8000000000029104</v>
      </c>
      <c r="BN338">
        <v>0</v>
      </c>
      <c r="BP338">
        <v>3.7000000000007298</v>
      </c>
      <c r="BQ338">
        <v>6</v>
      </c>
      <c r="BR338">
        <v>2.2000000000007298</v>
      </c>
      <c r="BS338">
        <v>0.100000000000023</v>
      </c>
      <c r="BT338">
        <v>5</v>
      </c>
      <c r="BU338">
        <v>10.399999999994201</v>
      </c>
      <c r="BV338">
        <v>0</v>
      </c>
      <c r="BW338">
        <v>0.3</v>
      </c>
      <c r="BZ338">
        <v>1.9</v>
      </c>
      <c r="CA338">
        <v>42.5</v>
      </c>
      <c r="CB338">
        <v>1.9</v>
      </c>
      <c r="CC338">
        <v>7.2</v>
      </c>
      <c r="CD338">
        <v>1.1000000000000001</v>
      </c>
      <c r="CE338">
        <v>1.8</v>
      </c>
      <c r="CG338">
        <v>1.5</v>
      </c>
      <c r="CH338">
        <v>16.600000000000001</v>
      </c>
      <c r="CJ338">
        <v>0.6</v>
      </c>
      <c r="CK338">
        <v>2</v>
      </c>
      <c r="CL338">
        <v>1.5</v>
      </c>
      <c r="CO338">
        <v>28.7</v>
      </c>
      <c r="CQ338">
        <v>6.8</v>
      </c>
      <c r="CS338">
        <v>7.7</v>
      </c>
      <c r="CZ338">
        <v>14.7</v>
      </c>
      <c r="DA338">
        <v>9.8000000000000007</v>
      </c>
      <c r="DB338">
        <v>1.6</v>
      </c>
      <c r="DD338" s="5">
        <v>6.2</v>
      </c>
      <c r="DJ338" s="1">
        <v>41245</v>
      </c>
      <c r="DK338" s="2">
        <f t="shared" si="31"/>
        <v>8.0237288135579732</v>
      </c>
      <c r="DL338" s="2">
        <f t="shared" si="32"/>
        <v>4.5961165048535957</v>
      </c>
      <c r="DM338" s="2">
        <f t="shared" si="33"/>
        <v>42.5</v>
      </c>
      <c r="DN338" s="3">
        <f t="shared" si="34"/>
        <v>0.57281553398058249</v>
      </c>
      <c r="DV338" s="2">
        <v>1675</v>
      </c>
      <c r="DW338">
        <v>0</v>
      </c>
      <c r="DX338">
        <f t="shared" si="36"/>
        <v>14794</v>
      </c>
      <c r="DY338">
        <f t="shared" si="35"/>
        <v>1</v>
      </c>
    </row>
    <row r="339" spans="1:129">
      <c r="A339" s="1">
        <v>41246</v>
      </c>
      <c r="B339" s="1"/>
      <c r="C339">
        <v>5.5</v>
      </c>
      <c r="E339">
        <v>0.4</v>
      </c>
      <c r="I339">
        <v>4.8</v>
      </c>
      <c r="J339">
        <v>6.8</v>
      </c>
      <c r="K339">
        <v>12.7</v>
      </c>
      <c r="L339">
        <v>0</v>
      </c>
      <c r="O339">
        <v>3.2</v>
      </c>
      <c r="S339">
        <v>0.2</v>
      </c>
      <c r="T339">
        <v>1.8</v>
      </c>
      <c r="V339">
        <v>2.2000000000000002</v>
      </c>
      <c r="W339">
        <v>1.3</v>
      </c>
      <c r="Y339">
        <v>7.1</v>
      </c>
      <c r="AA339">
        <v>9.5</v>
      </c>
      <c r="AB339">
        <v>1.0999999999985499</v>
      </c>
      <c r="AD339">
        <v>0.79999999999927196</v>
      </c>
      <c r="AH339">
        <v>9.9999999999908995E-2</v>
      </c>
      <c r="AL339">
        <v>1.29999999999927</v>
      </c>
      <c r="AM339">
        <v>4</v>
      </c>
      <c r="AN339">
        <v>4.6999999999970896</v>
      </c>
      <c r="AO339">
        <v>3.53999999999724</v>
      </c>
      <c r="AR339">
        <v>5</v>
      </c>
      <c r="AS339">
        <v>0.29999999999972699</v>
      </c>
      <c r="AT339">
        <v>7.79999999999563</v>
      </c>
      <c r="AW339">
        <v>1.1999999999989099</v>
      </c>
      <c r="AX339">
        <v>0</v>
      </c>
      <c r="BB339">
        <v>22.699999999982499</v>
      </c>
      <c r="BC339">
        <v>2.7999999999992702</v>
      </c>
      <c r="BE339">
        <v>0.30000000000018201</v>
      </c>
      <c r="BF339">
        <v>6.4000000000014596</v>
      </c>
      <c r="BH339">
        <v>9.5</v>
      </c>
      <c r="BI339">
        <v>24.799999999988401</v>
      </c>
      <c r="BJ339">
        <v>0.80000000000018201</v>
      </c>
      <c r="BK339">
        <v>0.100000000000023</v>
      </c>
      <c r="BL339">
        <v>0.100000000000023</v>
      </c>
      <c r="BM339">
        <v>2.0999999999985399</v>
      </c>
      <c r="BN339">
        <v>0.5</v>
      </c>
      <c r="BP339">
        <v>18.5</v>
      </c>
      <c r="BQ339">
        <v>20.5</v>
      </c>
      <c r="BR339">
        <v>0.5</v>
      </c>
      <c r="BT339">
        <v>8.5</v>
      </c>
      <c r="BU339">
        <v>13.600000000005799</v>
      </c>
      <c r="BV339">
        <v>1.1000000000002501</v>
      </c>
      <c r="BW339">
        <v>0</v>
      </c>
      <c r="CA339">
        <v>5.3</v>
      </c>
      <c r="CB339">
        <v>3</v>
      </c>
      <c r="CD339">
        <v>4</v>
      </c>
      <c r="CH339">
        <v>15</v>
      </c>
      <c r="CJ339">
        <v>5</v>
      </c>
      <c r="CK339">
        <v>5.3</v>
      </c>
      <c r="CO339">
        <v>30</v>
      </c>
      <c r="CP339">
        <v>0.4</v>
      </c>
      <c r="CQ339">
        <v>12.4</v>
      </c>
      <c r="CW339">
        <v>1.1000000000000001</v>
      </c>
      <c r="CZ339">
        <v>14.4</v>
      </c>
      <c r="DB339">
        <v>0.2</v>
      </c>
      <c r="DC339">
        <v>1.8</v>
      </c>
      <c r="DD339" s="5"/>
      <c r="DJ339" s="1">
        <v>41246</v>
      </c>
      <c r="DK339" s="2">
        <f t="shared" si="31"/>
        <v>5.6435714285707537</v>
      </c>
      <c r="DL339" s="2">
        <f t="shared" si="32"/>
        <v>3.06834951456274</v>
      </c>
      <c r="DM339" s="2">
        <f t="shared" si="33"/>
        <v>30</v>
      </c>
      <c r="DN339" s="3">
        <f t="shared" si="34"/>
        <v>0.5436893203883495</v>
      </c>
      <c r="DV339" s="2">
        <v>1680</v>
      </c>
      <c r="DW339">
        <v>0</v>
      </c>
      <c r="DX339">
        <f t="shared" si="36"/>
        <v>14794</v>
      </c>
      <c r="DY339">
        <f t="shared" si="35"/>
        <v>1</v>
      </c>
    </row>
    <row r="340" spans="1:129">
      <c r="A340" s="1">
        <v>41247</v>
      </c>
      <c r="B340" s="1"/>
      <c r="D340">
        <v>1.2</v>
      </c>
      <c r="G340">
        <v>0.8</v>
      </c>
      <c r="I340">
        <v>8.8000000000000007</v>
      </c>
      <c r="J340">
        <v>3.6</v>
      </c>
      <c r="K340">
        <v>2.4</v>
      </c>
      <c r="M340">
        <v>0.2</v>
      </c>
      <c r="N340">
        <v>12.8</v>
      </c>
      <c r="Q340">
        <v>46</v>
      </c>
      <c r="R340">
        <v>13.4</v>
      </c>
      <c r="T340">
        <v>16</v>
      </c>
      <c r="Y340">
        <v>0</v>
      </c>
      <c r="AB340">
        <v>13.099999999991301</v>
      </c>
      <c r="AH340">
        <v>3.3999999999978199</v>
      </c>
      <c r="AJ340">
        <v>0.29999999999972699</v>
      </c>
      <c r="AM340">
        <v>1.29999999999927</v>
      </c>
      <c r="AO340">
        <v>3</v>
      </c>
      <c r="AP340">
        <v>0.19999999999981799</v>
      </c>
      <c r="AQ340">
        <v>0.29999999999972699</v>
      </c>
      <c r="AS340">
        <v>0.19999999999981799</v>
      </c>
      <c r="AT340">
        <v>3</v>
      </c>
      <c r="AU340">
        <v>1.89999999999964</v>
      </c>
      <c r="AW340">
        <v>25</v>
      </c>
      <c r="BB340">
        <v>29.099999999976699</v>
      </c>
      <c r="BD340">
        <v>4.9000000000014596</v>
      </c>
      <c r="BE340">
        <v>55.099999999976703</v>
      </c>
      <c r="BF340">
        <v>9.1999999999970896</v>
      </c>
      <c r="BG340">
        <v>5.3000000000029104</v>
      </c>
      <c r="BH340">
        <v>1.10000000000036</v>
      </c>
      <c r="BI340">
        <v>0.5</v>
      </c>
      <c r="BJ340">
        <v>12</v>
      </c>
      <c r="BL340">
        <v>0</v>
      </c>
      <c r="BM340">
        <v>5.8000000000029104</v>
      </c>
      <c r="BN340">
        <v>0.200000000000045</v>
      </c>
      <c r="BP340">
        <v>0.60000000000036402</v>
      </c>
      <c r="BQ340">
        <v>4</v>
      </c>
      <c r="BT340">
        <v>10.5</v>
      </c>
      <c r="BU340">
        <v>12</v>
      </c>
      <c r="BV340">
        <v>1.1000000000002501</v>
      </c>
      <c r="BW340">
        <v>0</v>
      </c>
      <c r="BX340">
        <v>9.9999999999908995E-2</v>
      </c>
      <c r="CA340">
        <v>18.5</v>
      </c>
      <c r="CD340">
        <v>14.3</v>
      </c>
      <c r="CJ340">
        <v>12.5</v>
      </c>
      <c r="CK340">
        <v>8</v>
      </c>
      <c r="CL340">
        <v>0.5</v>
      </c>
      <c r="CO340">
        <v>9.6</v>
      </c>
      <c r="CR340">
        <v>3</v>
      </c>
      <c r="CS340">
        <v>0.4</v>
      </c>
      <c r="CU340">
        <v>27.3</v>
      </c>
      <c r="CW340">
        <v>0.4</v>
      </c>
      <c r="CX340">
        <v>9.1</v>
      </c>
      <c r="CZ340">
        <v>10</v>
      </c>
      <c r="DB340">
        <v>2.2000000000000002</v>
      </c>
      <c r="DD340" s="5"/>
      <c r="DJ340" s="1">
        <v>41247</v>
      </c>
      <c r="DK340" s="2">
        <f t="shared" si="31"/>
        <v>8.0037735849046374</v>
      </c>
      <c r="DL340" s="2">
        <f t="shared" si="32"/>
        <v>4.1184466019412218</v>
      </c>
      <c r="DM340" s="2">
        <f t="shared" si="33"/>
        <v>55.099999999976703</v>
      </c>
      <c r="DN340" s="3">
        <f t="shared" si="34"/>
        <v>0.5145631067961165</v>
      </c>
      <c r="DV340" s="2">
        <v>1685</v>
      </c>
      <c r="DW340">
        <v>0</v>
      </c>
      <c r="DX340">
        <f t="shared" si="36"/>
        <v>14794</v>
      </c>
      <c r="DY340">
        <f t="shared" si="35"/>
        <v>1</v>
      </c>
    </row>
    <row r="341" spans="1:129">
      <c r="A341" s="1">
        <v>41248</v>
      </c>
      <c r="B341" s="1"/>
      <c r="D341">
        <v>1.8</v>
      </c>
      <c r="G341">
        <v>0.2</v>
      </c>
      <c r="H341">
        <v>0.8</v>
      </c>
      <c r="J341">
        <v>20.2</v>
      </c>
      <c r="N341">
        <v>2.7</v>
      </c>
      <c r="O341">
        <v>12.8</v>
      </c>
      <c r="Q341">
        <v>28</v>
      </c>
      <c r="T341">
        <v>14.5</v>
      </c>
      <c r="W341">
        <v>2.2000000000000002</v>
      </c>
      <c r="X341">
        <v>0.4</v>
      </c>
      <c r="Z341">
        <v>0.5</v>
      </c>
      <c r="AA341">
        <v>11.5</v>
      </c>
      <c r="AB341">
        <v>2.1999999999970901</v>
      </c>
      <c r="AC341">
        <v>5.5</v>
      </c>
      <c r="AD341">
        <v>0.29999999999972699</v>
      </c>
      <c r="AE341">
        <v>1.5</v>
      </c>
      <c r="AF341">
        <v>5.5</v>
      </c>
      <c r="AG341">
        <v>0.19999999999981799</v>
      </c>
      <c r="AH341">
        <v>0.79999999999927196</v>
      </c>
      <c r="AK341">
        <v>4.5</v>
      </c>
      <c r="AM341">
        <v>0.19999999999981799</v>
      </c>
      <c r="AS341">
        <v>9.9999999999908995E-2</v>
      </c>
      <c r="AU341">
        <v>18.199999999982499</v>
      </c>
      <c r="AW341">
        <v>2.2999999999992702</v>
      </c>
      <c r="AY341">
        <v>4.8999999999941801</v>
      </c>
      <c r="BA341">
        <v>0.29999999999972699</v>
      </c>
      <c r="BB341">
        <v>1</v>
      </c>
      <c r="BC341">
        <v>32.599999999976703</v>
      </c>
      <c r="BD341">
        <v>13.8000000000029</v>
      </c>
      <c r="BE341">
        <v>34.099999999976703</v>
      </c>
      <c r="BF341">
        <v>0.100000000000023</v>
      </c>
      <c r="BG341">
        <v>0.400000000000091</v>
      </c>
      <c r="BH341">
        <v>0.80000000000018201</v>
      </c>
      <c r="BI341">
        <v>0.200000000000045</v>
      </c>
      <c r="BJ341">
        <v>26</v>
      </c>
      <c r="BK341">
        <v>3.5</v>
      </c>
      <c r="BL341">
        <v>0</v>
      </c>
      <c r="BM341">
        <v>11.5</v>
      </c>
      <c r="BN341">
        <v>1</v>
      </c>
      <c r="BQ341">
        <v>2.7000000000007298</v>
      </c>
      <c r="BR341">
        <v>6.8000000000029104</v>
      </c>
      <c r="BS341">
        <v>0.100000000000023</v>
      </c>
      <c r="BT341">
        <v>36.400000000023297</v>
      </c>
      <c r="BU341">
        <v>19.5</v>
      </c>
      <c r="BV341">
        <v>1.2000000000003901</v>
      </c>
      <c r="BW341">
        <v>0</v>
      </c>
      <c r="BX341">
        <v>0</v>
      </c>
      <c r="CB341">
        <v>10.3</v>
      </c>
      <c r="CD341">
        <v>1</v>
      </c>
      <c r="CE341">
        <v>2</v>
      </c>
      <c r="CI341">
        <v>1.2</v>
      </c>
      <c r="CJ341">
        <v>2.2000000000000002</v>
      </c>
      <c r="CK341">
        <v>1</v>
      </c>
      <c r="CL341">
        <v>3</v>
      </c>
      <c r="CO341">
        <v>9.3000000000000007</v>
      </c>
      <c r="CP341">
        <v>2.6</v>
      </c>
      <c r="CU341">
        <v>14.7</v>
      </c>
      <c r="CW341">
        <v>1.2</v>
      </c>
      <c r="CX341">
        <v>3.7</v>
      </c>
      <c r="CZ341">
        <v>7</v>
      </c>
      <c r="DB341">
        <v>1.8</v>
      </c>
      <c r="DD341" s="5"/>
      <c r="DJ341" s="1">
        <v>41248</v>
      </c>
      <c r="DK341" s="2">
        <f t="shared" si="31"/>
        <v>6.4721311475402512</v>
      </c>
      <c r="DL341" s="2">
        <f t="shared" si="32"/>
        <v>3.8330097087374306</v>
      </c>
      <c r="DM341" s="2">
        <f t="shared" si="33"/>
        <v>36.400000000023297</v>
      </c>
      <c r="DN341" s="3">
        <f t="shared" si="34"/>
        <v>0.59223300970873782</v>
      </c>
      <c r="DV341" s="2">
        <v>1690</v>
      </c>
      <c r="DW341">
        <v>0</v>
      </c>
      <c r="DX341">
        <f t="shared" si="36"/>
        <v>14794</v>
      </c>
      <c r="DY341">
        <f t="shared" si="35"/>
        <v>1</v>
      </c>
    </row>
    <row r="342" spans="1:129">
      <c r="A342" s="1">
        <v>41249</v>
      </c>
      <c r="B342" s="1"/>
      <c r="D342">
        <v>8.1999999999999993</v>
      </c>
      <c r="G342">
        <v>0.1</v>
      </c>
      <c r="I342">
        <v>6</v>
      </c>
      <c r="P342">
        <v>0.2</v>
      </c>
      <c r="Q342">
        <v>38.700000000000003</v>
      </c>
      <c r="T342">
        <v>6.4</v>
      </c>
      <c r="Z342">
        <v>0</v>
      </c>
      <c r="AC342">
        <v>3.1999999999970901</v>
      </c>
      <c r="AD342">
        <v>0.39999999999963598</v>
      </c>
      <c r="AE342">
        <v>0.19999999999981799</v>
      </c>
      <c r="AF342">
        <v>10.599999999991301</v>
      </c>
      <c r="AJ342">
        <v>0</v>
      </c>
      <c r="AK342">
        <v>1.1999999999989099</v>
      </c>
      <c r="AM342">
        <v>2</v>
      </c>
      <c r="AN342">
        <v>1.5</v>
      </c>
      <c r="AO342">
        <v>3.2999999999992702</v>
      </c>
      <c r="AS342">
        <v>0.29999999999972699</v>
      </c>
      <c r="AT342">
        <v>5.8999999999941801</v>
      </c>
      <c r="AV342">
        <v>0.5</v>
      </c>
      <c r="AW342">
        <v>30.299999999988401</v>
      </c>
      <c r="AX342">
        <v>10</v>
      </c>
      <c r="AY342">
        <v>0.29999999999972699</v>
      </c>
      <c r="BB342">
        <v>14.899999999994201</v>
      </c>
      <c r="BC342">
        <v>59.299999999988401</v>
      </c>
      <c r="BD342">
        <v>2.2000000000007298</v>
      </c>
      <c r="BH342">
        <v>4.8000000000029104</v>
      </c>
      <c r="BI342">
        <v>0.100000000000023</v>
      </c>
      <c r="BJ342">
        <v>2</v>
      </c>
      <c r="BK342">
        <v>16.5</v>
      </c>
      <c r="BL342">
        <v>0</v>
      </c>
      <c r="BM342">
        <v>0.100000000000023</v>
      </c>
      <c r="BN342">
        <v>10.3000000000029</v>
      </c>
      <c r="BP342">
        <v>5.8000000000029104</v>
      </c>
      <c r="BQ342">
        <v>0</v>
      </c>
      <c r="BR342">
        <v>21.299999999988401</v>
      </c>
      <c r="BU342">
        <v>0.400000000000091</v>
      </c>
      <c r="BV342">
        <v>0.60000000000036402</v>
      </c>
      <c r="BW342">
        <v>3.9</v>
      </c>
      <c r="CA342">
        <v>1.5</v>
      </c>
      <c r="CB342">
        <v>0.1</v>
      </c>
      <c r="CC342">
        <v>0.3</v>
      </c>
      <c r="CE342">
        <v>2.4</v>
      </c>
      <c r="CF342">
        <v>8.4</v>
      </c>
      <c r="CG342">
        <v>0.2</v>
      </c>
      <c r="CJ342">
        <v>4.5</v>
      </c>
      <c r="CK342">
        <v>24.5</v>
      </c>
      <c r="CL342">
        <v>9</v>
      </c>
      <c r="CM342">
        <v>3</v>
      </c>
      <c r="CO342">
        <v>3.7</v>
      </c>
      <c r="CP342">
        <v>2.6</v>
      </c>
      <c r="CR342">
        <v>6.4</v>
      </c>
      <c r="CU342">
        <v>21.6</v>
      </c>
      <c r="CW342">
        <v>1.3</v>
      </c>
      <c r="CX342">
        <v>0.1</v>
      </c>
      <c r="CY342">
        <v>3.5</v>
      </c>
      <c r="CZ342">
        <v>8.8000000000000007</v>
      </c>
      <c r="DA342">
        <v>8</v>
      </c>
      <c r="DB342">
        <v>11.8</v>
      </c>
      <c r="DD342" s="5"/>
      <c r="DJ342" s="1">
        <v>41249</v>
      </c>
      <c r="DK342" s="2">
        <f t="shared" si="31"/>
        <v>6.7793103448267082</v>
      </c>
      <c r="DL342" s="2">
        <f t="shared" si="32"/>
        <v>3.8174757281548453</v>
      </c>
      <c r="DM342" s="2">
        <f t="shared" si="33"/>
        <v>59.299999999988401</v>
      </c>
      <c r="DN342" s="3">
        <f t="shared" si="34"/>
        <v>0.56310679611650483</v>
      </c>
      <c r="DV342" s="2">
        <v>1695</v>
      </c>
      <c r="DW342">
        <v>0</v>
      </c>
      <c r="DX342">
        <f t="shared" si="36"/>
        <v>14794</v>
      </c>
      <c r="DY342">
        <f t="shared" si="35"/>
        <v>1</v>
      </c>
    </row>
    <row r="343" spans="1:129">
      <c r="A343" s="1">
        <v>41250</v>
      </c>
      <c r="B343" s="1"/>
      <c r="C343">
        <v>0.2</v>
      </c>
      <c r="D343">
        <v>0.5</v>
      </c>
      <c r="F343">
        <v>4.8</v>
      </c>
      <c r="G343">
        <v>0.1</v>
      </c>
      <c r="I343">
        <v>1.1000000000000001</v>
      </c>
      <c r="L343">
        <v>0.1</v>
      </c>
      <c r="M343">
        <v>0.6</v>
      </c>
      <c r="P343">
        <v>0.8</v>
      </c>
      <c r="Q343">
        <v>13.8</v>
      </c>
      <c r="R343">
        <v>21</v>
      </c>
      <c r="S343">
        <v>0.7</v>
      </c>
      <c r="T343">
        <v>6.7</v>
      </c>
      <c r="U343">
        <v>0.5</v>
      </c>
      <c r="V343">
        <v>3.4</v>
      </c>
      <c r="Y343">
        <v>3.5</v>
      </c>
      <c r="Z343">
        <v>12.299999999988399</v>
      </c>
      <c r="AD343">
        <v>0.5</v>
      </c>
      <c r="AF343">
        <v>1</v>
      </c>
      <c r="AJ343">
        <v>1.29999999999927</v>
      </c>
      <c r="AK343">
        <v>0.19999999999981799</v>
      </c>
      <c r="AM343">
        <v>16</v>
      </c>
      <c r="AR343">
        <v>10.599999999991301</v>
      </c>
      <c r="AS343">
        <v>0.19999999999981799</v>
      </c>
      <c r="AV343">
        <v>6.1999999999970896</v>
      </c>
      <c r="AW343">
        <v>9.6999999999970896</v>
      </c>
      <c r="AX343">
        <v>14</v>
      </c>
      <c r="AY343">
        <v>2.5</v>
      </c>
      <c r="BB343">
        <v>15.5</v>
      </c>
      <c r="BC343">
        <v>7.3</v>
      </c>
      <c r="BD343">
        <v>20.100000000005799</v>
      </c>
      <c r="BF343">
        <v>16.299999999988401</v>
      </c>
      <c r="BH343">
        <v>0.400000000000091</v>
      </c>
      <c r="BI343">
        <v>1.10000000000036</v>
      </c>
      <c r="BJ343">
        <v>0.200000000000045</v>
      </c>
      <c r="BK343">
        <v>19</v>
      </c>
      <c r="BL343">
        <v>0.100000000000023</v>
      </c>
      <c r="BN343">
        <v>5.3000000000029104</v>
      </c>
      <c r="BO343">
        <v>16.700000000011599</v>
      </c>
      <c r="BQ343">
        <v>6.5999999999985501</v>
      </c>
      <c r="BR343">
        <v>8.6999999999970896</v>
      </c>
      <c r="BT343">
        <v>0.200000000000045</v>
      </c>
      <c r="BW343">
        <v>4.8</v>
      </c>
      <c r="BZ343">
        <v>0.1</v>
      </c>
      <c r="CB343">
        <v>23.3</v>
      </c>
      <c r="CC343">
        <v>0.5</v>
      </c>
      <c r="CD343">
        <v>8.9</v>
      </c>
      <c r="CE343">
        <v>66</v>
      </c>
      <c r="CF343">
        <v>3.3</v>
      </c>
      <c r="CH343">
        <v>11</v>
      </c>
      <c r="CJ343">
        <v>8.3000000000000007</v>
      </c>
      <c r="CK343">
        <v>46</v>
      </c>
      <c r="CL343">
        <v>10</v>
      </c>
      <c r="CN343">
        <v>7.4</v>
      </c>
      <c r="CO343">
        <v>38.4</v>
      </c>
      <c r="CP343">
        <v>8.4</v>
      </c>
      <c r="CQ343">
        <v>19.7</v>
      </c>
      <c r="CR343">
        <v>8.8000000000000007</v>
      </c>
      <c r="CU343">
        <v>1.1000000000000001</v>
      </c>
      <c r="CV343">
        <v>1.4</v>
      </c>
      <c r="CY343">
        <v>26.6</v>
      </c>
      <c r="CZ343">
        <v>10.199999999999999</v>
      </c>
      <c r="DA343">
        <v>2.9</v>
      </c>
      <c r="DB343">
        <v>0.2</v>
      </c>
      <c r="DD343" s="5">
        <v>4.5999999999999996</v>
      </c>
      <c r="DJ343" s="1">
        <v>41250</v>
      </c>
      <c r="DK343" s="2">
        <f t="shared" si="31"/>
        <v>8.7765624999996508</v>
      </c>
      <c r="DL343" s="2">
        <f t="shared" si="32"/>
        <v>5.4533980582522101</v>
      </c>
      <c r="DM343" s="2">
        <f t="shared" si="33"/>
        <v>66</v>
      </c>
      <c r="DN343" s="3">
        <f t="shared" si="34"/>
        <v>0.62135922330097082</v>
      </c>
      <c r="DV343" s="2">
        <v>1700</v>
      </c>
      <c r="DW343">
        <v>0</v>
      </c>
      <c r="DX343">
        <f t="shared" si="36"/>
        <v>14794</v>
      </c>
      <c r="DY343">
        <f t="shared" si="35"/>
        <v>1</v>
      </c>
    </row>
    <row r="344" spans="1:129">
      <c r="A344" s="1">
        <v>41251</v>
      </c>
      <c r="B344" s="1"/>
      <c r="C344">
        <v>0.3</v>
      </c>
      <c r="D344">
        <v>8.6999999999999993</v>
      </c>
      <c r="E344">
        <v>0.4</v>
      </c>
      <c r="F344">
        <v>0.2</v>
      </c>
      <c r="I344">
        <v>2.6</v>
      </c>
      <c r="K344">
        <v>19.899999999999999</v>
      </c>
      <c r="M344">
        <v>1.5</v>
      </c>
      <c r="N344">
        <v>5.7</v>
      </c>
      <c r="P344">
        <v>5.3</v>
      </c>
      <c r="Q344">
        <v>20.100000000000001</v>
      </c>
      <c r="R344">
        <v>4</v>
      </c>
      <c r="S344">
        <v>1.7</v>
      </c>
      <c r="T344">
        <v>4</v>
      </c>
      <c r="U344">
        <v>0.5</v>
      </c>
      <c r="V344">
        <v>3.7</v>
      </c>
      <c r="W344">
        <v>2.7</v>
      </c>
      <c r="X344">
        <v>0</v>
      </c>
      <c r="Y344">
        <v>0.2</v>
      </c>
      <c r="AA344">
        <v>0.19999999999981799</v>
      </c>
      <c r="AD344">
        <v>4.5</v>
      </c>
      <c r="AE344">
        <v>24.599999999976699</v>
      </c>
      <c r="AF344">
        <v>9</v>
      </c>
      <c r="AG344">
        <v>1.39999999999964</v>
      </c>
      <c r="AJ344">
        <v>2.2999999999992702</v>
      </c>
      <c r="AK344">
        <v>4.1999999999970896</v>
      </c>
      <c r="AL344">
        <v>2.3999999999978199</v>
      </c>
      <c r="AM344">
        <v>9.3999999999941792</v>
      </c>
      <c r="AN344">
        <v>1.5</v>
      </c>
      <c r="AR344">
        <v>8.2999999999883602</v>
      </c>
      <c r="AT344">
        <v>24.099999999976699</v>
      </c>
      <c r="AV344">
        <v>5.29999999999563</v>
      </c>
      <c r="AY344">
        <v>0.39999999999963598</v>
      </c>
      <c r="BB344">
        <v>4.3999999999941801</v>
      </c>
      <c r="BC344">
        <v>9.9999999999908995E-2</v>
      </c>
      <c r="BD344">
        <v>29.200000000011599</v>
      </c>
      <c r="BF344">
        <v>19.5</v>
      </c>
      <c r="BH344">
        <v>0.200000000000045</v>
      </c>
      <c r="BI344">
        <v>0.200000000000045</v>
      </c>
      <c r="BJ344">
        <v>0.400000000000091</v>
      </c>
      <c r="BL344">
        <v>0.100000000000023</v>
      </c>
      <c r="BM344">
        <v>0.100000000000023</v>
      </c>
      <c r="BN344">
        <v>11</v>
      </c>
      <c r="BP344">
        <v>18.899999999994201</v>
      </c>
      <c r="BQ344">
        <v>6</v>
      </c>
      <c r="BR344">
        <v>17.5</v>
      </c>
      <c r="BT344">
        <v>13.6999999999971</v>
      </c>
      <c r="BW344">
        <v>0.1</v>
      </c>
      <c r="CA344">
        <v>1.9</v>
      </c>
      <c r="CB344">
        <v>28</v>
      </c>
      <c r="CD344">
        <v>8.5</v>
      </c>
      <c r="CE344">
        <v>7.5</v>
      </c>
      <c r="CG344">
        <v>11.9</v>
      </c>
      <c r="CI344">
        <v>0</v>
      </c>
      <c r="CJ344">
        <v>4.5</v>
      </c>
      <c r="CK344">
        <v>23.5</v>
      </c>
      <c r="CL344">
        <v>19</v>
      </c>
      <c r="CN344">
        <v>1</v>
      </c>
      <c r="CO344">
        <v>28.5</v>
      </c>
      <c r="CP344">
        <v>22</v>
      </c>
      <c r="CQ344">
        <v>0.2</v>
      </c>
      <c r="CS344">
        <v>2.4</v>
      </c>
      <c r="CV344">
        <v>2.5</v>
      </c>
      <c r="CW344">
        <v>3.2</v>
      </c>
      <c r="CY344">
        <v>1.8</v>
      </c>
      <c r="DA344">
        <v>1.8</v>
      </c>
      <c r="DD344" s="5"/>
      <c r="DJ344" s="1">
        <v>41251</v>
      </c>
      <c r="DK344" s="2">
        <f t="shared" si="31"/>
        <v>7.2107692307680304</v>
      </c>
      <c r="DL344" s="2">
        <f t="shared" si="32"/>
        <v>4.5504854368924468</v>
      </c>
      <c r="DM344" s="2">
        <f t="shared" si="33"/>
        <v>29.200000000011599</v>
      </c>
      <c r="DN344" s="3">
        <f t="shared" si="34"/>
        <v>0.6310679611650486</v>
      </c>
      <c r="DV344" s="2">
        <v>1705</v>
      </c>
      <c r="DW344">
        <v>0</v>
      </c>
      <c r="DX344">
        <f t="shared" si="36"/>
        <v>14794</v>
      </c>
      <c r="DY344">
        <f t="shared" si="35"/>
        <v>1</v>
      </c>
    </row>
    <row r="345" spans="1:129">
      <c r="A345" s="1">
        <v>41252</v>
      </c>
      <c r="B345" s="1"/>
      <c r="D345">
        <v>6.6</v>
      </c>
      <c r="E345">
        <v>29.3</v>
      </c>
      <c r="F345">
        <v>0.2</v>
      </c>
      <c r="H345">
        <v>1.8</v>
      </c>
      <c r="L345">
        <v>7.8</v>
      </c>
      <c r="N345">
        <v>10.7</v>
      </c>
      <c r="O345">
        <v>0.5</v>
      </c>
      <c r="P345">
        <v>33</v>
      </c>
      <c r="Q345">
        <v>2.7</v>
      </c>
      <c r="R345">
        <v>15.5</v>
      </c>
      <c r="S345">
        <v>15.8</v>
      </c>
      <c r="V345">
        <v>3</v>
      </c>
      <c r="Y345">
        <v>4</v>
      </c>
      <c r="Z345">
        <v>1</v>
      </c>
      <c r="AD345">
        <v>4.79999999999563</v>
      </c>
      <c r="AE345">
        <v>10</v>
      </c>
      <c r="AF345">
        <v>1</v>
      </c>
      <c r="AG345">
        <v>28.699999999982499</v>
      </c>
      <c r="AI345">
        <v>4.5</v>
      </c>
      <c r="AK345">
        <v>11.5</v>
      </c>
      <c r="AL345">
        <v>2.2999999999992702</v>
      </c>
      <c r="AM345">
        <v>0.39999999999963598</v>
      </c>
      <c r="AN345">
        <v>2.5999999999985399</v>
      </c>
      <c r="AQ345">
        <v>1</v>
      </c>
      <c r="AT345">
        <v>2.1999999999970901</v>
      </c>
      <c r="AV345">
        <v>3.1999999999970901</v>
      </c>
      <c r="AY345">
        <v>2.0999999999985399</v>
      </c>
      <c r="BA345">
        <v>19</v>
      </c>
      <c r="BB345">
        <v>8.0999999999912706</v>
      </c>
      <c r="BC345">
        <v>0.5</v>
      </c>
      <c r="BD345">
        <v>27.5</v>
      </c>
      <c r="BF345">
        <v>0.400000000000091</v>
      </c>
      <c r="BG345">
        <v>6.8000000000029104</v>
      </c>
      <c r="BH345">
        <v>36.799999999988401</v>
      </c>
      <c r="BI345">
        <v>3.0999999999985399</v>
      </c>
      <c r="BJ345">
        <v>1</v>
      </c>
      <c r="BK345">
        <v>2.7999999999992702</v>
      </c>
      <c r="BL345">
        <v>0.100000000000023</v>
      </c>
      <c r="BM345">
        <v>0.100000000000023</v>
      </c>
      <c r="BN345">
        <v>11</v>
      </c>
      <c r="BO345">
        <v>0.100000000000023</v>
      </c>
      <c r="BT345">
        <v>24.100000000005799</v>
      </c>
      <c r="BW345">
        <v>8.9</v>
      </c>
      <c r="CA345">
        <v>58.5</v>
      </c>
      <c r="CB345">
        <v>13</v>
      </c>
      <c r="CC345">
        <v>27.4</v>
      </c>
      <c r="CE345">
        <v>1.1000000000000001</v>
      </c>
      <c r="CF345">
        <v>4.3</v>
      </c>
      <c r="CI345">
        <v>3.4</v>
      </c>
      <c r="CJ345">
        <v>1</v>
      </c>
      <c r="CL345">
        <v>39</v>
      </c>
      <c r="CO345">
        <v>29.7</v>
      </c>
      <c r="CP345">
        <v>17</v>
      </c>
      <c r="CU345">
        <v>2.7</v>
      </c>
      <c r="CV345">
        <v>5</v>
      </c>
      <c r="CW345">
        <v>0.5</v>
      </c>
      <c r="CX345">
        <v>21.5</v>
      </c>
      <c r="CZ345">
        <v>9.5</v>
      </c>
      <c r="DA345">
        <v>4.9000000000000004</v>
      </c>
      <c r="DB345">
        <v>0.3</v>
      </c>
      <c r="DD345" s="5"/>
      <c r="DJ345" s="1">
        <v>41252</v>
      </c>
      <c r="DK345" s="2">
        <f t="shared" si="31"/>
        <v>9.9216666666659119</v>
      </c>
      <c r="DL345" s="2">
        <f t="shared" si="32"/>
        <v>5.7796116504849975</v>
      </c>
      <c r="DM345" s="2">
        <f t="shared" si="33"/>
        <v>58.5</v>
      </c>
      <c r="DN345" s="3">
        <f t="shared" si="34"/>
        <v>0.58252427184466016</v>
      </c>
      <c r="DV345" s="2">
        <v>1710</v>
      </c>
      <c r="DW345">
        <v>0</v>
      </c>
      <c r="DX345">
        <f t="shared" si="36"/>
        <v>14794</v>
      </c>
      <c r="DY345">
        <f t="shared" si="35"/>
        <v>1</v>
      </c>
    </row>
    <row r="346" spans="1:129">
      <c r="A346" s="1">
        <v>41253</v>
      </c>
      <c r="B346" s="1"/>
      <c r="E346">
        <v>2</v>
      </c>
      <c r="F346">
        <v>0.3</v>
      </c>
      <c r="J346">
        <v>0.2</v>
      </c>
      <c r="K346">
        <v>4.3</v>
      </c>
      <c r="L346">
        <v>0.8</v>
      </c>
      <c r="M346">
        <v>3.7</v>
      </c>
      <c r="P346">
        <v>11.5</v>
      </c>
      <c r="Q346">
        <v>2.2000000000000002</v>
      </c>
      <c r="R346">
        <v>6.5</v>
      </c>
      <c r="S346">
        <v>4.2</v>
      </c>
      <c r="U346">
        <v>0</v>
      </c>
      <c r="X346">
        <v>0.3</v>
      </c>
      <c r="Y346">
        <v>20.6</v>
      </c>
      <c r="AA346">
        <v>8.5</v>
      </c>
      <c r="AD346">
        <v>0.59999999999945397</v>
      </c>
      <c r="AE346">
        <v>22.5</v>
      </c>
      <c r="AF346">
        <v>13.899999999994201</v>
      </c>
      <c r="AG346">
        <v>1</v>
      </c>
      <c r="AH346">
        <v>0</v>
      </c>
      <c r="AI346">
        <v>0.29999999999972699</v>
      </c>
      <c r="AK346">
        <v>0.29999999999972699</v>
      </c>
      <c r="AL346">
        <v>1.1999999999989099</v>
      </c>
      <c r="AM346">
        <v>0.5</v>
      </c>
      <c r="AO346">
        <v>0.89999999999963598</v>
      </c>
      <c r="AQ346">
        <v>1.6999999999989099</v>
      </c>
      <c r="AR346">
        <v>1.0999999999985499</v>
      </c>
      <c r="AW346">
        <v>6.0999999999985501</v>
      </c>
      <c r="AY346">
        <v>5</v>
      </c>
      <c r="BA346">
        <v>10.099999999991301</v>
      </c>
      <c r="BB346">
        <v>0.5</v>
      </c>
      <c r="BC346">
        <v>1</v>
      </c>
      <c r="BD346">
        <v>4.1999999999970896</v>
      </c>
      <c r="BE346">
        <v>0.30000000000018201</v>
      </c>
      <c r="BG346">
        <v>4.3000000000029104</v>
      </c>
      <c r="BH346">
        <v>23.5</v>
      </c>
      <c r="BI346">
        <v>0.100000000000023</v>
      </c>
      <c r="BJ346">
        <v>6.5</v>
      </c>
      <c r="BK346">
        <v>12.1999999999971</v>
      </c>
      <c r="BL346">
        <v>0.100000000000023</v>
      </c>
      <c r="BM346">
        <v>6.6999999999970896</v>
      </c>
      <c r="BN346">
        <v>13.6999999999971</v>
      </c>
      <c r="BQ346">
        <v>5.4000000000014596</v>
      </c>
      <c r="BR346">
        <v>0.200000000000045</v>
      </c>
      <c r="BT346">
        <v>3.9000000000014601</v>
      </c>
      <c r="BW346">
        <v>0.1</v>
      </c>
      <c r="BY346">
        <v>1.6</v>
      </c>
      <c r="BZ346">
        <v>0.1</v>
      </c>
      <c r="CA346">
        <v>1.5</v>
      </c>
      <c r="CB346">
        <v>9.4</v>
      </c>
      <c r="CC346">
        <v>3.2</v>
      </c>
      <c r="CE346">
        <v>14.5</v>
      </c>
      <c r="CF346">
        <v>2.2999999999999998</v>
      </c>
      <c r="CH346">
        <v>0.5</v>
      </c>
      <c r="CI346">
        <v>5.5</v>
      </c>
      <c r="CO346">
        <v>0.8</v>
      </c>
      <c r="CP346">
        <v>5</v>
      </c>
      <c r="CS346">
        <v>0.9</v>
      </c>
      <c r="CU346">
        <v>0.7</v>
      </c>
      <c r="CW346">
        <v>6.7</v>
      </c>
      <c r="CX346">
        <v>28.5</v>
      </c>
      <c r="CZ346">
        <v>11.4</v>
      </c>
      <c r="DA346">
        <v>14</v>
      </c>
      <c r="DB346">
        <v>3.5</v>
      </c>
      <c r="DC346">
        <v>1.2</v>
      </c>
      <c r="DD346" s="5"/>
      <c r="DJ346" s="1">
        <v>41253</v>
      </c>
      <c r="DK346" s="2">
        <f t="shared" si="31"/>
        <v>5.0671874999995827</v>
      </c>
      <c r="DL346" s="2">
        <f t="shared" si="32"/>
        <v>3.1485436893201291</v>
      </c>
      <c r="DM346" s="2">
        <f t="shared" si="33"/>
        <v>28.5</v>
      </c>
      <c r="DN346" s="3">
        <f t="shared" si="34"/>
        <v>0.62135922330097082</v>
      </c>
      <c r="DV346" s="2">
        <v>1715</v>
      </c>
      <c r="DW346">
        <v>0</v>
      </c>
      <c r="DX346">
        <f t="shared" si="36"/>
        <v>14794</v>
      </c>
      <c r="DY346">
        <f t="shared" si="35"/>
        <v>1</v>
      </c>
    </row>
    <row r="347" spans="1:129">
      <c r="A347" s="1">
        <v>41254</v>
      </c>
      <c r="B347" s="1"/>
      <c r="E347">
        <v>1.3</v>
      </c>
      <c r="G347">
        <v>0.1</v>
      </c>
      <c r="K347">
        <v>1.1000000000000001</v>
      </c>
      <c r="M347">
        <v>38.6</v>
      </c>
      <c r="N347">
        <v>18.3</v>
      </c>
      <c r="O347">
        <v>47.2</v>
      </c>
      <c r="P347">
        <v>6.3</v>
      </c>
      <c r="R347">
        <v>11.9</v>
      </c>
      <c r="T347">
        <v>6</v>
      </c>
      <c r="V347">
        <v>12</v>
      </c>
      <c r="W347">
        <v>3.8</v>
      </c>
      <c r="X347">
        <v>4.5</v>
      </c>
      <c r="AA347">
        <v>7</v>
      </c>
      <c r="AE347">
        <v>3.2999999999992702</v>
      </c>
      <c r="AF347">
        <v>2</v>
      </c>
      <c r="AI347">
        <v>7.6999999999970896</v>
      </c>
      <c r="AJ347">
        <v>0.29999999999972699</v>
      </c>
      <c r="AK347">
        <v>7.5</v>
      </c>
      <c r="AO347">
        <v>1</v>
      </c>
      <c r="AP347">
        <v>0.69999999999981799</v>
      </c>
      <c r="AQ347">
        <v>22</v>
      </c>
      <c r="AS347">
        <v>2.3999999999978199</v>
      </c>
      <c r="AU347">
        <v>0.19999999999981799</v>
      </c>
      <c r="AV347">
        <v>4.3999999999941801</v>
      </c>
      <c r="AW347">
        <v>0.59999999999945397</v>
      </c>
      <c r="AX347">
        <v>1.1999999999989099</v>
      </c>
      <c r="AZ347">
        <v>1.0999999999985499</v>
      </c>
      <c r="BA347">
        <v>1.6999999999989099</v>
      </c>
      <c r="BD347">
        <v>0.30000000000018201</v>
      </c>
      <c r="BE347">
        <v>0.30000000000018201</v>
      </c>
      <c r="BF347">
        <v>1.79999999999927</v>
      </c>
      <c r="BG347">
        <v>0.5</v>
      </c>
      <c r="BH347">
        <v>0.200000000000045</v>
      </c>
      <c r="BI347">
        <v>14.1999999999971</v>
      </c>
      <c r="BJ347">
        <v>3.2000000000007298</v>
      </c>
      <c r="BK347">
        <v>37.5</v>
      </c>
      <c r="BL347">
        <v>0.69999999999981799</v>
      </c>
      <c r="BM347">
        <v>0.200000000000045</v>
      </c>
      <c r="BN347">
        <v>1.5</v>
      </c>
      <c r="BP347">
        <v>39.400000000023297</v>
      </c>
      <c r="BQ347">
        <v>3.5</v>
      </c>
      <c r="BR347">
        <v>0.200000000000045</v>
      </c>
      <c r="BS347">
        <v>0.100000000000023</v>
      </c>
      <c r="BU347">
        <v>0</v>
      </c>
      <c r="BV347">
        <v>0</v>
      </c>
      <c r="BX347">
        <v>13.5</v>
      </c>
      <c r="BY347">
        <v>0.4</v>
      </c>
      <c r="BZ347">
        <v>1.1000000000000001</v>
      </c>
      <c r="CF347">
        <v>0.8</v>
      </c>
      <c r="CH347">
        <v>4</v>
      </c>
      <c r="CI347">
        <v>0.3</v>
      </c>
      <c r="CL347">
        <v>16</v>
      </c>
      <c r="CN347">
        <v>7</v>
      </c>
      <c r="CO347">
        <v>0.7</v>
      </c>
      <c r="CP347">
        <v>5.6</v>
      </c>
      <c r="CT347">
        <v>2.1</v>
      </c>
      <c r="CU347">
        <v>0.6</v>
      </c>
      <c r="CW347">
        <v>26</v>
      </c>
      <c r="CX347">
        <v>13.6</v>
      </c>
      <c r="CZ347">
        <v>5.2</v>
      </c>
      <c r="DA347">
        <v>10.199999999999999</v>
      </c>
      <c r="DB347">
        <v>4.8</v>
      </c>
      <c r="DC347">
        <v>13.6</v>
      </c>
      <c r="DD347" s="5"/>
      <c r="DJ347" s="1">
        <v>41254</v>
      </c>
      <c r="DK347" s="2">
        <f t="shared" si="31"/>
        <v>7.0365079365080065</v>
      </c>
      <c r="DL347" s="2">
        <f t="shared" si="32"/>
        <v>4.3038834951456737</v>
      </c>
      <c r="DM347" s="2">
        <f t="shared" si="33"/>
        <v>47.2</v>
      </c>
      <c r="DN347" s="3">
        <f t="shared" si="34"/>
        <v>0.61165048543689315</v>
      </c>
      <c r="DV347" s="2">
        <v>1720</v>
      </c>
      <c r="DW347">
        <v>0</v>
      </c>
      <c r="DX347">
        <f t="shared" si="36"/>
        <v>14794</v>
      </c>
      <c r="DY347">
        <f t="shared" si="35"/>
        <v>1</v>
      </c>
    </row>
    <row r="348" spans="1:129">
      <c r="A348" s="1">
        <v>41255</v>
      </c>
      <c r="B348" s="1"/>
      <c r="C348">
        <v>21</v>
      </c>
      <c r="D348">
        <v>6</v>
      </c>
      <c r="E348">
        <v>18.399999999999999</v>
      </c>
      <c r="H348">
        <v>4</v>
      </c>
      <c r="K348">
        <v>11.5</v>
      </c>
      <c r="L348">
        <v>12.3</v>
      </c>
      <c r="N348">
        <v>25.9</v>
      </c>
      <c r="P348">
        <v>3.5</v>
      </c>
      <c r="Q348">
        <v>3.3</v>
      </c>
      <c r="R348">
        <v>0.9</v>
      </c>
      <c r="S348">
        <v>0.8</v>
      </c>
      <c r="T348">
        <v>0.3</v>
      </c>
      <c r="U348">
        <v>0.7</v>
      </c>
      <c r="V348">
        <v>17.899999999999999</v>
      </c>
      <c r="W348">
        <v>40.1</v>
      </c>
      <c r="X348">
        <v>2.5</v>
      </c>
      <c r="Y348">
        <v>10.5</v>
      </c>
      <c r="Z348">
        <v>1.79999999999927</v>
      </c>
      <c r="AA348">
        <v>5</v>
      </c>
      <c r="AC348">
        <v>0.39999999999963598</v>
      </c>
      <c r="AD348">
        <v>1.79999999999927</v>
      </c>
      <c r="AF348">
        <v>44.299999999988401</v>
      </c>
      <c r="AG348">
        <v>1</v>
      </c>
      <c r="AI348">
        <v>16.699999999982499</v>
      </c>
      <c r="AK348">
        <v>1.89999999999964</v>
      </c>
      <c r="AL348">
        <v>6</v>
      </c>
      <c r="AO348">
        <v>0</v>
      </c>
      <c r="AQ348">
        <v>41.599999999976703</v>
      </c>
      <c r="AS348">
        <v>1.89999999999964</v>
      </c>
      <c r="AU348">
        <v>6</v>
      </c>
      <c r="AV348">
        <v>2.5</v>
      </c>
      <c r="AW348">
        <v>1.89999999999964</v>
      </c>
      <c r="AX348">
        <v>9</v>
      </c>
      <c r="AZ348">
        <v>0.29999999999972699</v>
      </c>
      <c r="BA348">
        <v>2.5999999999985399</v>
      </c>
      <c r="BC348">
        <v>2.0999999999985399</v>
      </c>
      <c r="BD348">
        <v>10</v>
      </c>
      <c r="BE348">
        <v>4.6999999999970896</v>
      </c>
      <c r="BF348">
        <v>11.8000000000029</v>
      </c>
      <c r="BG348">
        <v>0.400000000000091</v>
      </c>
      <c r="BI348">
        <v>15.6999999999971</v>
      </c>
      <c r="BJ348">
        <v>17.299999999988401</v>
      </c>
      <c r="BL348">
        <v>0.100000000000023</v>
      </c>
      <c r="BN348">
        <v>0.100000000000023</v>
      </c>
      <c r="BP348">
        <v>13.8000000000029</v>
      </c>
      <c r="BQ348">
        <v>2.5</v>
      </c>
      <c r="BS348">
        <v>29</v>
      </c>
      <c r="BU348">
        <v>1.79999999999927</v>
      </c>
      <c r="BW348">
        <v>14.9</v>
      </c>
      <c r="BX348">
        <v>7.3999999999941801</v>
      </c>
      <c r="BY348">
        <v>1.5</v>
      </c>
      <c r="BZ348">
        <v>3.6</v>
      </c>
      <c r="CD348">
        <v>3</v>
      </c>
      <c r="CE348">
        <v>3</v>
      </c>
      <c r="CF348">
        <v>0.2</v>
      </c>
      <c r="CG348">
        <v>29.5</v>
      </c>
      <c r="CI348">
        <v>0</v>
      </c>
      <c r="CJ348">
        <v>2</v>
      </c>
      <c r="CL348">
        <v>1</v>
      </c>
      <c r="CN348">
        <v>5</v>
      </c>
      <c r="CO348">
        <v>5.5</v>
      </c>
      <c r="CP348">
        <v>0.1</v>
      </c>
      <c r="CS348">
        <v>0.1</v>
      </c>
      <c r="CT348">
        <v>1</v>
      </c>
      <c r="CU348">
        <v>1.4</v>
      </c>
      <c r="CV348">
        <v>3.2</v>
      </c>
      <c r="CW348">
        <v>31.3</v>
      </c>
      <c r="CZ348">
        <v>0.2</v>
      </c>
      <c r="DA348">
        <v>0.5</v>
      </c>
      <c r="DB348">
        <v>13</v>
      </c>
      <c r="DC348">
        <v>0.1</v>
      </c>
      <c r="DD348" s="5">
        <v>10.3</v>
      </c>
      <c r="DJ348" s="1">
        <v>41255</v>
      </c>
      <c r="DK348" s="2">
        <f t="shared" si="31"/>
        <v>7.9361111111100495</v>
      </c>
      <c r="DL348" s="2">
        <f t="shared" si="32"/>
        <v>5.5475728155332389</v>
      </c>
      <c r="DM348" s="2">
        <f t="shared" si="33"/>
        <v>44.299999999988401</v>
      </c>
      <c r="DN348" s="3">
        <f t="shared" si="34"/>
        <v>0.69902912621359226</v>
      </c>
      <c r="DV348" s="2">
        <v>1725</v>
      </c>
      <c r="DW348">
        <v>0</v>
      </c>
      <c r="DX348">
        <f t="shared" si="36"/>
        <v>14794</v>
      </c>
      <c r="DY348">
        <f t="shared" si="35"/>
        <v>1</v>
      </c>
    </row>
    <row r="349" spans="1:129">
      <c r="A349" s="1">
        <v>41256</v>
      </c>
      <c r="B349" s="1"/>
      <c r="E349">
        <v>10.8</v>
      </c>
      <c r="H349">
        <v>0.6</v>
      </c>
      <c r="K349">
        <v>4.5</v>
      </c>
      <c r="L349">
        <v>2</v>
      </c>
      <c r="M349">
        <v>0.7</v>
      </c>
      <c r="N349">
        <v>3.9</v>
      </c>
      <c r="P349">
        <v>3.2</v>
      </c>
      <c r="Q349">
        <v>13.4</v>
      </c>
      <c r="S349">
        <v>0.8</v>
      </c>
      <c r="T349">
        <v>5.7</v>
      </c>
      <c r="U349">
        <v>11.5</v>
      </c>
      <c r="V349">
        <v>2.8</v>
      </c>
      <c r="X349">
        <v>0.2</v>
      </c>
      <c r="Y349">
        <v>0.1</v>
      </c>
      <c r="AA349">
        <v>20.099999999976699</v>
      </c>
      <c r="AD349">
        <v>2.5</v>
      </c>
      <c r="AE349">
        <v>10.799999999988399</v>
      </c>
      <c r="AF349">
        <v>26.899999999994201</v>
      </c>
      <c r="AI349">
        <v>0.59999999999945397</v>
      </c>
      <c r="AJ349">
        <v>0.29999999999972699</v>
      </c>
      <c r="AK349">
        <v>0</v>
      </c>
      <c r="AL349">
        <v>25.799999999988401</v>
      </c>
      <c r="AM349">
        <v>7</v>
      </c>
      <c r="AN349">
        <v>6.3999999999941801</v>
      </c>
      <c r="AO349">
        <v>0.19999999999981799</v>
      </c>
      <c r="AQ349">
        <v>1</v>
      </c>
      <c r="AS349">
        <v>3.3999999999978199</v>
      </c>
      <c r="AU349">
        <v>1</v>
      </c>
      <c r="AX349">
        <v>4.5</v>
      </c>
      <c r="AZ349">
        <v>8</v>
      </c>
      <c r="BA349">
        <v>4.79999999999563</v>
      </c>
      <c r="BC349">
        <v>18.5</v>
      </c>
      <c r="BE349">
        <v>9.3999999999941792</v>
      </c>
      <c r="BG349">
        <v>22</v>
      </c>
      <c r="BH349">
        <v>5.0999999999985501</v>
      </c>
      <c r="BI349">
        <v>0.200000000000045</v>
      </c>
      <c r="BJ349">
        <v>0.200000000000045</v>
      </c>
      <c r="BK349">
        <v>5</v>
      </c>
      <c r="BL349">
        <v>0.60000000000036402</v>
      </c>
      <c r="BM349">
        <v>0.100000000000023</v>
      </c>
      <c r="BP349">
        <v>27</v>
      </c>
      <c r="BQ349">
        <v>16.299999999988401</v>
      </c>
      <c r="BR349">
        <v>7.5</v>
      </c>
      <c r="BS349">
        <v>18.600000000005799</v>
      </c>
      <c r="BT349">
        <v>0.100000000000023</v>
      </c>
      <c r="BU349">
        <v>10.399999999994201</v>
      </c>
      <c r="BV349">
        <v>0</v>
      </c>
      <c r="BX349">
        <v>9.9999999999908995E-2</v>
      </c>
      <c r="BY349">
        <v>0.2</v>
      </c>
      <c r="BZ349">
        <v>0.1</v>
      </c>
      <c r="CB349">
        <v>0.5</v>
      </c>
      <c r="CE349">
        <v>0.3</v>
      </c>
      <c r="CF349">
        <v>30</v>
      </c>
      <c r="CK349">
        <v>16.7</v>
      </c>
      <c r="CM349">
        <v>8.5</v>
      </c>
      <c r="CO349">
        <v>6.4</v>
      </c>
      <c r="CQ349">
        <v>2.9</v>
      </c>
      <c r="CU349">
        <v>2.6</v>
      </c>
      <c r="CV349">
        <v>0.1</v>
      </c>
      <c r="CW349">
        <v>11.4</v>
      </c>
      <c r="CX349">
        <v>5.3</v>
      </c>
      <c r="CY349">
        <v>0.1</v>
      </c>
      <c r="DA349">
        <v>1.7</v>
      </c>
      <c r="DB349">
        <v>0.3</v>
      </c>
      <c r="DD349" s="5">
        <v>6.2</v>
      </c>
      <c r="DJ349" s="1">
        <v>41256</v>
      </c>
      <c r="DK349" s="2">
        <f t="shared" si="31"/>
        <v>6.4292307692294752</v>
      </c>
      <c r="DL349" s="2">
        <f t="shared" si="32"/>
        <v>4.0572815533972415</v>
      </c>
      <c r="DM349" s="2">
        <f t="shared" si="33"/>
        <v>30</v>
      </c>
      <c r="DN349" s="3">
        <f t="shared" si="34"/>
        <v>0.6310679611650486</v>
      </c>
      <c r="DV349" s="2">
        <v>1730</v>
      </c>
      <c r="DW349">
        <v>0</v>
      </c>
      <c r="DX349">
        <f t="shared" si="36"/>
        <v>14794</v>
      </c>
      <c r="DY349">
        <f t="shared" si="35"/>
        <v>1</v>
      </c>
    </row>
    <row r="350" spans="1:129">
      <c r="A350" s="1">
        <v>41257</v>
      </c>
      <c r="B350" s="1"/>
      <c r="C350">
        <v>3.4</v>
      </c>
      <c r="J350">
        <v>8.4</v>
      </c>
      <c r="K350">
        <v>0.8</v>
      </c>
      <c r="L350">
        <v>0.8</v>
      </c>
      <c r="N350">
        <v>0.5</v>
      </c>
      <c r="O350">
        <v>3.2</v>
      </c>
      <c r="P350">
        <v>0.3</v>
      </c>
      <c r="Q350">
        <v>14.6</v>
      </c>
      <c r="S350">
        <v>26.4</v>
      </c>
      <c r="T350">
        <v>20.5</v>
      </c>
      <c r="U350">
        <v>9.9</v>
      </c>
      <c r="Y350">
        <v>48</v>
      </c>
      <c r="AA350">
        <v>2</v>
      </c>
      <c r="AC350">
        <v>3.3999999999978199</v>
      </c>
      <c r="AD350">
        <v>2</v>
      </c>
      <c r="AE350">
        <v>3.1999999999970901</v>
      </c>
      <c r="AF350">
        <v>17.599999999976699</v>
      </c>
      <c r="AG350">
        <v>2</v>
      </c>
      <c r="AI350">
        <v>1.5</v>
      </c>
      <c r="AJ350">
        <v>0.19999999999981799</v>
      </c>
      <c r="AL350">
        <v>4.5</v>
      </c>
      <c r="AN350">
        <v>4.1999999999970896</v>
      </c>
      <c r="AO350">
        <v>27</v>
      </c>
      <c r="AQ350">
        <v>4.9000000000000004</v>
      </c>
      <c r="AS350">
        <v>1.29999999999927</v>
      </c>
      <c r="AU350">
        <v>2.8999999999978199</v>
      </c>
      <c r="AV350">
        <v>1.1999999999989099</v>
      </c>
      <c r="AY350">
        <v>2.5</v>
      </c>
      <c r="AZ350">
        <v>9.0999999999912706</v>
      </c>
      <c r="BC350">
        <v>12.599999999991301</v>
      </c>
      <c r="BE350">
        <v>3.2999999999992702</v>
      </c>
      <c r="BF350">
        <v>9.8000000000029104</v>
      </c>
      <c r="BG350">
        <v>13.5</v>
      </c>
      <c r="BH350">
        <v>5.3000000000029104</v>
      </c>
      <c r="BK350">
        <v>0</v>
      </c>
      <c r="BM350">
        <v>0.69999999999981799</v>
      </c>
      <c r="BN350">
        <v>0.100000000000023</v>
      </c>
      <c r="BO350">
        <v>8.3999999999941792</v>
      </c>
      <c r="BP350">
        <v>0.30000000000018201</v>
      </c>
      <c r="BQ350">
        <v>4</v>
      </c>
      <c r="BR350">
        <v>19</v>
      </c>
      <c r="BS350">
        <v>0.100000000000023</v>
      </c>
      <c r="BU350">
        <v>36.700000000011599</v>
      </c>
      <c r="BV350">
        <v>1.20000000000073</v>
      </c>
      <c r="BX350">
        <v>0.59999999999945397</v>
      </c>
      <c r="BY350">
        <v>0.6</v>
      </c>
      <c r="CA350">
        <v>2.2999999999999998</v>
      </c>
      <c r="CB350">
        <v>2</v>
      </c>
      <c r="CD350">
        <v>19</v>
      </c>
      <c r="CF350">
        <v>4</v>
      </c>
      <c r="CH350">
        <v>1.6</v>
      </c>
      <c r="CI350">
        <v>0.3</v>
      </c>
      <c r="CJ350">
        <v>1</v>
      </c>
      <c r="CK350">
        <v>24.5</v>
      </c>
      <c r="CM350">
        <v>3.2</v>
      </c>
      <c r="CO350">
        <v>0</v>
      </c>
      <c r="CP350">
        <v>0.9</v>
      </c>
      <c r="CR350">
        <v>0.5</v>
      </c>
      <c r="CS350">
        <v>0.3</v>
      </c>
      <c r="CU350">
        <v>0.1</v>
      </c>
      <c r="DB350">
        <v>0.2</v>
      </c>
      <c r="DD350" s="5"/>
      <c r="DJ350" s="1">
        <v>41257</v>
      </c>
      <c r="DK350" s="2">
        <f t="shared" si="31"/>
        <v>6.5967213114747256</v>
      </c>
      <c r="DL350" s="2">
        <f t="shared" si="32"/>
        <v>3.9067961165044491</v>
      </c>
      <c r="DM350" s="2">
        <f t="shared" si="33"/>
        <v>48</v>
      </c>
      <c r="DN350" s="3">
        <f t="shared" si="34"/>
        <v>0.59223300970873782</v>
      </c>
      <c r="DV350" s="2">
        <v>1735</v>
      </c>
      <c r="DW350">
        <v>0</v>
      </c>
      <c r="DX350">
        <f t="shared" si="36"/>
        <v>14794</v>
      </c>
      <c r="DY350">
        <f t="shared" si="35"/>
        <v>1</v>
      </c>
    </row>
    <row r="351" spans="1:129">
      <c r="A351" s="1">
        <v>41258</v>
      </c>
      <c r="B351" s="1"/>
      <c r="E351">
        <v>4.8</v>
      </c>
      <c r="J351">
        <v>1.5</v>
      </c>
      <c r="K351">
        <v>15.2</v>
      </c>
      <c r="M351">
        <v>3.5</v>
      </c>
      <c r="O351">
        <v>14.2</v>
      </c>
      <c r="P351">
        <v>1.4</v>
      </c>
      <c r="Q351">
        <v>0.5</v>
      </c>
      <c r="S351">
        <v>0.8</v>
      </c>
      <c r="T351">
        <v>13.8</v>
      </c>
      <c r="U351">
        <v>5.8</v>
      </c>
      <c r="Y351">
        <v>21</v>
      </c>
      <c r="AA351">
        <v>3.5</v>
      </c>
      <c r="AD351">
        <v>6.5</v>
      </c>
      <c r="AF351">
        <v>27.5</v>
      </c>
      <c r="AI351">
        <v>11</v>
      </c>
      <c r="AJ351">
        <v>7.1999999999970896</v>
      </c>
      <c r="AL351">
        <v>4.79999999999563</v>
      </c>
      <c r="AM351">
        <v>9.3999999999941792</v>
      </c>
      <c r="AN351">
        <v>7.6999999999970896</v>
      </c>
      <c r="AQ351">
        <v>9.5999999999912706</v>
      </c>
      <c r="AS351">
        <v>13</v>
      </c>
      <c r="AW351">
        <v>5.5999999999985501</v>
      </c>
      <c r="AX351">
        <v>0.29999999999972699</v>
      </c>
      <c r="AY351">
        <v>2.0999999999985399</v>
      </c>
      <c r="BA351">
        <v>5</v>
      </c>
      <c r="BB351">
        <v>12.599999999991301</v>
      </c>
      <c r="BE351">
        <v>8.5</v>
      </c>
      <c r="BF351">
        <v>3.9000000000014601</v>
      </c>
      <c r="BG351">
        <v>11.100000000005799</v>
      </c>
      <c r="BI351">
        <v>1.60000000000036</v>
      </c>
      <c r="BK351">
        <v>2.5999999999985399</v>
      </c>
      <c r="BM351">
        <v>12</v>
      </c>
      <c r="BN351">
        <v>0.400000000000091</v>
      </c>
      <c r="BO351">
        <v>4.0999999999985501</v>
      </c>
      <c r="BQ351">
        <v>16.5</v>
      </c>
      <c r="BR351">
        <v>13.899999999994201</v>
      </c>
      <c r="BS351">
        <v>0.30000000000018201</v>
      </c>
      <c r="BU351">
        <v>35.299999999988401</v>
      </c>
      <c r="BV351">
        <v>36.6999999999964</v>
      </c>
      <c r="BX351">
        <v>2.1999999999970901</v>
      </c>
      <c r="BY351">
        <v>0.2</v>
      </c>
      <c r="CA351">
        <v>4.7</v>
      </c>
      <c r="CD351">
        <v>20.3</v>
      </c>
      <c r="CF351">
        <v>4.8</v>
      </c>
      <c r="CH351">
        <v>28.5</v>
      </c>
      <c r="CI351">
        <v>0.3</v>
      </c>
      <c r="CJ351">
        <v>2.5</v>
      </c>
      <c r="CK351">
        <v>7.5</v>
      </c>
      <c r="CL351">
        <v>0.5</v>
      </c>
      <c r="CO351">
        <v>0.2</v>
      </c>
      <c r="CP351">
        <v>1.9</v>
      </c>
      <c r="CQ351">
        <v>25.1</v>
      </c>
      <c r="CR351">
        <v>0.3</v>
      </c>
      <c r="CS351">
        <v>2.4</v>
      </c>
      <c r="CV351">
        <v>0.1</v>
      </c>
      <c r="CW351">
        <v>0.2</v>
      </c>
      <c r="CX351">
        <v>2.6</v>
      </c>
      <c r="DA351">
        <v>0.2</v>
      </c>
      <c r="DD351" s="5">
        <v>2.6</v>
      </c>
      <c r="DJ351" s="1">
        <v>41258</v>
      </c>
      <c r="DK351" s="2">
        <f t="shared" si="31"/>
        <v>7.8355932203380423</v>
      </c>
      <c r="DL351" s="2">
        <f t="shared" si="32"/>
        <v>4.488349514562568</v>
      </c>
      <c r="DM351" s="2">
        <f t="shared" si="33"/>
        <v>36.6999999999964</v>
      </c>
      <c r="DN351" s="3">
        <f t="shared" si="34"/>
        <v>0.57281553398058249</v>
      </c>
      <c r="DV351" s="2">
        <v>1740</v>
      </c>
      <c r="DW351">
        <v>0</v>
      </c>
      <c r="DX351">
        <f t="shared" si="36"/>
        <v>14794</v>
      </c>
      <c r="DY351">
        <f t="shared" si="35"/>
        <v>1</v>
      </c>
    </row>
    <row r="352" spans="1:129">
      <c r="A352" s="1">
        <v>41259</v>
      </c>
      <c r="B352" s="1"/>
      <c r="E352">
        <v>8.6999999999999993</v>
      </c>
      <c r="H352">
        <v>8.1999999999999993</v>
      </c>
      <c r="I352">
        <v>1.1000000000000001</v>
      </c>
      <c r="K352">
        <v>16.7</v>
      </c>
      <c r="M352">
        <v>3.7</v>
      </c>
      <c r="Q352">
        <v>11.1</v>
      </c>
      <c r="S352">
        <v>5.7</v>
      </c>
      <c r="T352">
        <v>1.5</v>
      </c>
      <c r="V352">
        <v>9.3000000000000007</v>
      </c>
      <c r="Y352">
        <v>26</v>
      </c>
      <c r="AA352">
        <v>1.5999999999985499</v>
      </c>
      <c r="AD352">
        <v>8.1999999999970896</v>
      </c>
      <c r="AE352">
        <v>13.5</v>
      </c>
      <c r="AF352">
        <v>0.19999999999981799</v>
      </c>
      <c r="AI352">
        <v>4</v>
      </c>
      <c r="AJ352">
        <v>28.599999999976699</v>
      </c>
      <c r="AL352">
        <v>6</v>
      </c>
      <c r="AM352">
        <v>8</v>
      </c>
      <c r="AN352">
        <v>35.5</v>
      </c>
      <c r="AO352">
        <v>5</v>
      </c>
      <c r="AQ352">
        <v>7.29999999999563</v>
      </c>
      <c r="AR352">
        <v>1.0999999999985499</v>
      </c>
      <c r="AS352">
        <v>7.1</v>
      </c>
      <c r="AT352">
        <v>1.29999999999927</v>
      </c>
      <c r="AU352">
        <v>14</v>
      </c>
      <c r="AW352">
        <v>0.39999999999963598</v>
      </c>
      <c r="AX352">
        <v>6.29999999999563</v>
      </c>
      <c r="AY352">
        <v>22.099999999976699</v>
      </c>
      <c r="BA352">
        <v>26.5</v>
      </c>
      <c r="BE352">
        <v>2.7000000000007298</v>
      </c>
      <c r="BF352">
        <v>50.599999999976703</v>
      </c>
      <c r="BG352">
        <v>1.39999999999964</v>
      </c>
      <c r="BH352">
        <v>0.400000000000091</v>
      </c>
      <c r="BI352">
        <v>13</v>
      </c>
      <c r="BJ352">
        <v>12</v>
      </c>
      <c r="BM352">
        <v>5.3000000000029104</v>
      </c>
      <c r="BN352">
        <v>21</v>
      </c>
      <c r="BQ352">
        <v>2.2999999999992702</v>
      </c>
      <c r="BS352">
        <v>0</v>
      </c>
      <c r="BU352">
        <v>2.9000000000014601</v>
      </c>
      <c r="BW352">
        <v>1.8</v>
      </c>
      <c r="BX352">
        <v>0.19999999999981799</v>
      </c>
      <c r="BY352">
        <v>1.3</v>
      </c>
      <c r="CA352">
        <v>8.3000000000000007</v>
      </c>
      <c r="CB352">
        <v>1.2</v>
      </c>
      <c r="CD352">
        <v>6.5</v>
      </c>
      <c r="CF352">
        <v>17.3</v>
      </c>
      <c r="CG352">
        <v>0.1</v>
      </c>
      <c r="CH352">
        <v>1.6</v>
      </c>
      <c r="CI352">
        <v>0.8</v>
      </c>
      <c r="CK352">
        <v>22.5</v>
      </c>
      <c r="CL352">
        <v>0.3</v>
      </c>
      <c r="CN352">
        <v>8.6</v>
      </c>
      <c r="CO352">
        <v>30</v>
      </c>
      <c r="CQ352">
        <v>17.2</v>
      </c>
      <c r="CS352">
        <v>10.4</v>
      </c>
      <c r="CU352">
        <v>2.8</v>
      </c>
      <c r="CV352">
        <v>0.1</v>
      </c>
      <c r="CW352">
        <v>5.9</v>
      </c>
      <c r="CY352">
        <v>5.6</v>
      </c>
      <c r="CZ352">
        <v>4.9000000000000004</v>
      </c>
      <c r="DA352">
        <v>9.5</v>
      </c>
      <c r="DC352">
        <v>1.5</v>
      </c>
      <c r="DD352" s="5">
        <v>10.3</v>
      </c>
      <c r="DJ352" s="1">
        <v>41259</v>
      </c>
      <c r="DK352" s="2">
        <f t="shared" si="31"/>
        <v>8.8906249999987228</v>
      </c>
      <c r="DL352" s="2">
        <f t="shared" si="32"/>
        <v>5.5242718446594008</v>
      </c>
      <c r="DM352" s="2">
        <f t="shared" si="33"/>
        <v>50.599999999976703</v>
      </c>
      <c r="DN352" s="3">
        <f t="shared" si="34"/>
        <v>0.62135922330097082</v>
      </c>
      <c r="DV352" s="2">
        <v>1745</v>
      </c>
      <c r="DW352">
        <v>0</v>
      </c>
      <c r="DX352">
        <f t="shared" si="36"/>
        <v>14794</v>
      </c>
      <c r="DY352">
        <f t="shared" si="35"/>
        <v>1</v>
      </c>
    </row>
    <row r="353" spans="1:129">
      <c r="A353" s="1">
        <v>41260</v>
      </c>
      <c r="B353" s="1"/>
      <c r="K353">
        <v>17.3</v>
      </c>
      <c r="M353">
        <v>0.1</v>
      </c>
      <c r="O353">
        <v>4.4000000000000004</v>
      </c>
      <c r="P353">
        <v>2.8</v>
      </c>
      <c r="Q353">
        <v>22.2</v>
      </c>
      <c r="S353">
        <v>12.4</v>
      </c>
      <c r="T353">
        <v>4.9000000000000004</v>
      </c>
      <c r="U353">
        <v>4.3</v>
      </c>
      <c r="V353">
        <v>2.7</v>
      </c>
      <c r="W353">
        <v>1</v>
      </c>
      <c r="X353">
        <v>1.5</v>
      </c>
      <c r="Y353">
        <v>2</v>
      </c>
      <c r="Z353">
        <v>2</v>
      </c>
      <c r="AA353">
        <v>5</v>
      </c>
      <c r="AD353">
        <v>7.5</v>
      </c>
      <c r="AE353">
        <v>3.7999999999992702</v>
      </c>
      <c r="AF353">
        <v>4.3999999999941801</v>
      </c>
      <c r="AI353">
        <v>17</v>
      </c>
      <c r="AJ353">
        <v>1.39999999999964</v>
      </c>
      <c r="AL353">
        <v>2.0999999999985399</v>
      </c>
      <c r="AM353">
        <v>16.5</v>
      </c>
      <c r="AN353">
        <v>30.3</v>
      </c>
      <c r="AO353">
        <v>7.1999999999970896</v>
      </c>
      <c r="AQ353">
        <v>16</v>
      </c>
      <c r="AR353">
        <v>1.89999999999964</v>
      </c>
      <c r="AS353">
        <v>14.7</v>
      </c>
      <c r="AT353">
        <v>4.5</v>
      </c>
      <c r="AW353">
        <v>4.5999999999985501</v>
      </c>
      <c r="BA353">
        <v>3.5</v>
      </c>
      <c r="BB353">
        <v>4.79999999999563</v>
      </c>
      <c r="BC353">
        <v>56.899999999965097</v>
      </c>
      <c r="BF353">
        <v>2.5</v>
      </c>
      <c r="BH353">
        <v>0</v>
      </c>
      <c r="BI353">
        <v>18</v>
      </c>
      <c r="BJ353">
        <v>7.1999999999970896</v>
      </c>
      <c r="BK353">
        <v>9.3999999999941792</v>
      </c>
      <c r="BN353">
        <v>2</v>
      </c>
      <c r="BP353">
        <v>0.5</v>
      </c>
      <c r="BQ353">
        <v>3.7000000000007298</v>
      </c>
      <c r="BS353">
        <v>3.5</v>
      </c>
      <c r="BU353">
        <v>9.8000000000029104</v>
      </c>
      <c r="BW353">
        <v>0.5</v>
      </c>
      <c r="BZ353">
        <v>18.5</v>
      </c>
      <c r="CA353">
        <v>0.3</v>
      </c>
      <c r="CB353">
        <v>67</v>
      </c>
      <c r="CF353">
        <v>8.6999999999999993</v>
      </c>
      <c r="CG353">
        <v>0.2</v>
      </c>
      <c r="CH353">
        <v>0.2</v>
      </c>
      <c r="CI353">
        <v>0.2</v>
      </c>
      <c r="CK353">
        <v>7</v>
      </c>
      <c r="CL353">
        <v>0.7</v>
      </c>
      <c r="CO353">
        <v>34.6</v>
      </c>
      <c r="CQ353">
        <v>5.5</v>
      </c>
      <c r="CS353">
        <v>23.3</v>
      </c>
      <c r="CU353">
        <v>2.6</v>
      </c>
      <c r="CW353">
        <v>2.1</v>
      </c>
      <c r="CX353">
        <v>3</v>
      </c>
      <c r="CY353">
        <v>6.5</v>
      </c>
      <c r="CZ353">
        <v>8.5</v>
      </c>
      <c r="DA353">
        <v>2.8</v>
      </c>
      <c r="DB353">
        <v>4.2</v>
      </c>
      <c r="DC353">
        <v>5.7</v>
      </c>
      <c r="DD353" s="5"/>
      <c r="DJ353" s="1">
        <v>41260</v>
      </c>
      <c r="DK353" s="2">
        <f t="shared" si="31"/>
        <v>8.6838709677410097</v>
      </c>
      <c r="DL353" s="2">
        <f t="shared" si="32"/>
        <v>5.2271844660188602</v>
      </c>
      <c r="DM353" s="2">
        <f t="shared" si="33"/>
        <v>67</v>
      </c>
      <c r="DN353" s="3">
        <f t="shared" si="34"/>
        <v>0.60194174757281549</v>
      </c>
      <c r="DV353" s="2">
        <v>1750</v>
      </c>
      <c r="DW353">
        <v>0</v>
      </c>
      <c r="DX353">
        <f t="shared" si="36"/>
        <v>14794</v>
      </c>
      <c r="DY353">
        <f t="shared" si="35"/>
        <v>1</v>
      </c>
    </row>
    <row r="354" spans="1:129">
      <c r="A354" s="1">
        <v>41261</v>
      </c>
      <c r="B354" s="1"/>
      <c r="F354">
        <v>2.2999999999999998</v>
      </c>
      <c r="G354">
        <v>0.3</v>
      </c>
      <c r="H354">
        <v>1.1000000000000001</v>
      </c>
      <c r="K354">
        <v>2.4</v>
      </c>
      <c r="P354">
        <v>2</v>
      </c>
      <c r="Q354">
        <v>1.3</v>
      </c>
      <c r="S354">
        <v>35.4</v>
      </c>
      <c r="T354">
        <v>3.4</v>
      </c>
      <c r="U354">
        <v>9.3000000000000007</v>
      </c>
      <c r="W354">
        <v>7.9</v>
      </c>
      <c r="X354">
        <v>9.8000000000000007</v>
      </c>
      <c r="Y354">
        <v>2</v>
      </c>
      <c r="Z354">
        <v>4.5</v>
      </c>
      <c r="AB354">
        <v>13.099999999991301</v>
      </c>
      <c r="AD354">
        <v>13.299999999988399</v>
      </c>
      <c r="AF354">
        <v>14.5</v>
      </c>
      <c r="AG354">
        <v>2.7999999999992702</v>
      </c>
      <c r="AI354">
        <v>13</v>
      </c>
      <c r="AJ354">
        <v>6.8999999999941801</v>
      </c>
      <c r="AL354">
        <v>5.79999999999563</v>
      </c>
      <c r="AM354">
        <v>10.6999999999971</v>
      </c>
      <c r="AN354">
        <v>2.1999999999970901</v>
      </c>
      <c r="AO354">
        <v>1.79999999999927</v>
      </c>
      <c r="AQ354">
        <v>8.7999999999883602</v>
      </c>
      <c r="AS354">
        <v>2.5</v>
      </c>
      <c r="AT354">
        <v>4.6999999999970896</v>
      </c>
      <c r="AU354">
        <v>1</v>
      </c>
      <c r="AV354">
        <v>4</v>
      </c>
      <c r="AW354">
        <v>9.5999999999912706</v>
      </c>
      <c r="AY354">
        <v>9.9999999999908995E-2</v>
      </c>
      <c r="BA354">
        <v>0.5</v>
      </c>
      <c r="BB354">
        <v>34.799999999988401</v>
      </c>
      <c r="BC354">
        <v>58.199999999953398</v>
      </c>
      <c r="BF354">
        <v>4.9000000000014596</v>
      </c>
      <c r="BG354">
        <v>1.89999999999964</v>
      </c>
      <c r="BJ354">
        <v>0.100000000000023</v>
      </c>
      <c r="BM354">
        <v>0.200000000000045</v>
      </c>
      <c r="BN354">
        <v>0.89999999999963598</v>
      </c>
      <c r="BO354">
        <v>28</v>
      </c>
      <c r="BQ354">
        <v>0.200000000000045</v>
      </c>
      <c r="BR354">
        <v>0.5</v>
      </c>
      <c r="BS354" t="s">
        <v>0</v>
      </c>
      <c r="BV354">
        <v>4.50000000000023</v>
      </c>
      <c r="BW354">
        <v>1.9</v>
      </c>
      <c r="BY354">
        <v>0.6</v>
      </c>
      <c r="BZ354">
        <v>10.6</v>
      </c>
      <c r="CB354">
        <v>2.6</v>
      </c>
      <c r="CE354">
        <v>1.2</v>
      </c>
      <c r="CF354">
        <v>1</v>
      </c>
      <c r="CH354">
        <v>17.5</v>
      </c>
      <c r="CK354">
        <v>16</v>
      </c>
      <c r="CN354">
        <v>8.5</v>
      </c>
      <c r="CO354">
        <v>12.4</v>
      </c>
      <c r="CQ354">
        <v>0.3</v>
      </c>
      <c r="CS354">
        <v>41.3</v>
      </c>
      <c r="CV354">
        <v>0.5</v>
      </c>
      <c r="CW354">
        <v>40.6</v>
      </c>
      <c r="CY354">
        <v>8.6</v>
      </c>
      <c r="CZ354">
        <v>6</v>
      </c>
      <c r="DA354">
        <v>0.2</v>
      </c>
      <c r="DB354">
        <v>0.2</v>
      </c>
      <c r="DC354">
        <v>0.2</v>
      </c>
      <c r="DD354" s="5"/>
      <c r="DJ354" s="1">
        <v>41261</v>
      </c>
      <c r="DK354" s="2">
        <f t="shared" si="31"/>
        <v>8.219672131145602</v>
      </c>
      <c r="DL354" s="2">
        <f t="shared" si="32"/>
        <v>4.8679611650473955</v>
      </c>
      <c r="DM354" s="2">
        <f t="shared" si="33"/>
        <v>58.199999999953398</v>
      </c>
      <c r="DN354" s="3">
        <f t="shared" si="34"/>
        <v>0.60194174757281549</v>
      </c>
      <c r="DV354" s="2">
        <v>1755</v>
      </c>
      <c r="DW354">
        <v>0</v>
      </c>
      <c r="DX354">
        <f t="shared" si="36"/>
        <v>14794</v>
      </c>
      <c r="DY354">
        <f t="shared" si="35"/>
        <v>1</v>
      </c>
    </row>
    <row r="355" spans="1:129">
      <c r="A355" s="1">
        <v>41262</v>
      </c>
      <c r="B355" s="1"/>
      <c r="C355">
        <v>7.4</v>
      </c>
      <c r="F355">
        <v>2.8</v>
      </c>
      <c r="H355">
        <v>1.6</v>
      </c>
      <c r="I355">
        <v>2.4</v>
      </c>
      <c r="L355">
        <v>0.4</v>
      </c>
      <c r="N355">
        <v>0.7</v>
      </c>
      <c r="O355">
        <v>0.7</v>
      </c>
      <c r="P355">
        <v>10</v>
      </c>
      <c r="S355">
        <v>3.1</v>
      </c>
      <c r="T355">
        <v>2.7</v>
      </c>
      <c r="U355">
        <v>14.5</v>
      </c>
      <c r="V355">
        <v>0</v>
      </c>
      <c r="W355">
        <v>8</v>
      </c>
      <c r="X355">
        <v>11.5</v>
      </c>
      <c r="Y355">
        <v>9</v>
      </c>
      <c r="AA355">
        <v>4.79999999999563</v>
      </c>
      <c r="AB355">
        <v>0.79999999999927196</v>
      </c>
      <c r="AC355">
        <v>7.79999999999563</v>
      </c>
      <c r="AD355">
        <v>5.1999999999970896</v>
      </c>
      <c r="AE355">
        <v>0</v>
      </c>
      <c r="AF355">
        <v>2.0999999999985399</v>
      </c>
      <c r="AI355">
        <v>2</v>
      </c>
      <c r="AJ355">
        <v>2.6999999999970901</v>
      </c>
      <c r="AL355">
        <v>3.5</v>
      </c>
      <c r="AM355">
        <v>5.29999999999563</v>
      </c>
      <c r="AN355">
        <v>7</v>
      </c>
      <c r="AO355">
        <v>8.8999999999941792</v>
      </c>
      <c r="AP355">
        <v>5</v>
      </c>
      <c r="AQ355">
        <v>13</v>
      </c>
      <c r="AS355">
        <v>2.8999999999978199</v>
      </c>
      <c r="AT355">
        <v>0.29999999999972699</v>
      </c>
      <c r="AV355">
        <v>4.3999999999941801</v>
      </c>
      <c r="AW355">
        <v>13.5</v>
      </c>
      <c r="AY355">
        <v>2.5</v>
      </c>
      <c r="AZ355">
        <v>16</v>
      </c>
      <c r="BA355">
        <v>0.39999999999963598</v>
      </c>
      <c r="BB355">
        <v>7.1999999999970896</v>
      </c>
      <c r="BC355">
        <v>3.0999999999985399</v>
      </c>
      <c r="BE355">
        <v>4.6999999999970896</v>
      </c>
      <c r="BF355">
        <v>13.3000000000029</v>
      </c>
      <c r="BG355">
        <v>7.7</v>
      </c>
      <c r="BI355">
        <v>5.1999999999970896</v>
      </c>
      <c r="BK355">
        <v>0.100000000000023</v>
      </c>
      <c r="BL355">
        <v>4.3000000000029104</v>
      </c>
      <c r="BM355">
        <v>0.100000000000023</v>
      </c>
      <c r="BN355">
        <v>6.1999999999970896</v>
      </c>
      <c r="BO355">
        <v>28.799999999988401</v>
      </c>
      <c r="BQ355">
        <v>0.100000000000023</v>
      </c>
      <c r="BR355">
        <v>0.400000000000091</v>
      </c>
      <c r="BV355">
        <v>2.900000000001</v>
      </c>
      <c r="BW355">
        <v>0</v>
      </c>
      <c r="BZ355">
        <v>2.8</v>
      </c>
      <c r="CA355">
        <v>0.4</v>
      </c>
      <c r="CE355">
        <v>0.3</v>
      </c>
      <c r="CF355">
        <v>0.2</v>
      </c>
      <c r="CH355">
        <v>3.7</v>
      </c>
      <c r="CI355">
        <v>12.4</v>
      </c>
      <c r="CL355">
        <v>4.8</v>
      </c>
      <c r="CN355">
        <v>3.5</v>
      </c>
      <c r="CO355">
        <v>0.1</v>
      </c>
      <c r="CP355">
        <v>8.6999999999999993</v>
      </c>
      <c r="CQ355">
        <v>0.1</v>
      </c>
      <c r="CR355">
        <v>0.3</v>
      </c>
      <c r="CS355">
        <v>1.8</v>
      </c>
      <c r="CU355">
        <v>0.7</v>
      </c>
      <c r="CV355">
        <v>6.6</v>
      </c>
      <c r="CX355">
        <v>4.5999999999999996</v>
      </c>
      <c r="CY355">
        <v>2.2999999999999998</v>
      </c>
      <c r="CZ355">
        <v>0.9</v>
      </c>
      <c r="DD355" s="5"/>
      <c r="DJ355" s="1">
        <v>41262</v>
      </c>
      <c r="DK355" s="2">
        <f t="shared" si="31"/>
        <v>4.6550724637673451</v>
      </c>
      <c r="DL355" s="2">
        <f t="shared" si="32"/>
        <v>3.1184466019412307</v>
      </c>
      <c r="DM355" s="2">
        <f t="shared" si="33"/>
        <v>28.799999999988401</v>
      </c>
      <c r="DN355" s="3">
        <f t="shared" si="34"/>
        <v>0.66990291262135926</v>
      </c>
      <c r="DV355" s="2">
        <v>1760</v>
      </c>
      <c r="DW355">
        <v>0</v>
      </c>
      <c r="DX355">
        <f t="shared" si="36"/>
        <v>14794</v>
      </c>
      <c r="DY355">
        <f t="shared" si="35"/>
        <v>1</v>
      </c>
    </row>
    <row r="356" spans="1:129">
      <c r="A356" s="1">
        <v>41263</v>
      </c>
      <c r="B356" s="1"/>
      <c r="E356">
        <v>0.6</v>
      </c>
      <c r="F356">
        <v>8.6</v>
      </c>
      <c r="H356">
        <v>0.4</v>
      </c>
      <c r="I356">
        <v>0.6</v>
      </c>
      <c r="J356">
        <v>10.8</v>
      </c>
      <c r="O356">
        <v>4.5</v>
      </c>
      <c r="R356">
        <v>5</v>
      </c>
      <c r="T356">
        <v>2.6</v>
      </c>
      <c r="U356">
        <v>1.6</v>
      </c>
      <c r="V356">
        <v>1.6</v>
      </c>
      <c r="X356">
        <v>5</v>
      </c>
      <c r="Y356">
        <v>21</v>
      </c>
      <c r="Z356">
        <v>1.29999999999927</v>
      </c>
      <c r="AA356">
        <v>1.1999999999989099</v>
      </c>
      <c r="AB356">
        <v>7.29999999999563</v>
      </c>
      <c r="AC356">
        <v>0.79999999999927196</v>
      </c>
      <c r="AE356">
        <v>0.5</v>
      </c>
      <c r="AF356">
        <v>9.5</v>
      </c>
      <c r="AJ356">
        <v>9.7999999999883602</v>
      </c>
      <c r="AM356">
        <v>3.5</v>
      </c>
      <c r="AN356">
        <v>5.79999999999563</v>
      </c>
      <c r="AO356">
        <v>0.69999999999981799</v>
      </c>
      <c r="AP356">
        <v>21.5</v>
      </c>
      <c r="AQ356">
        <v>18.299999999988401</v>
      </c>
      <c r="AS356">
        <v>1.0999999999985499</v>
      </c>
      <c r="AT356">
        <v>1</v>
      </c>
      <c r="AV356">
        <v>12.799999999988399</v>
      </c>
      <c r="AW356">
        <v>1.5999999999985499</v>
      </c>
      <c r="AY356">
        <v>0.69999999999981799</v>
      </c>
      <c r="AZ356">
        <v>8.2999999999883602</v>
      </c>
      <c r="BA356">
        <v>0.39999999999963598</v>
      </c>
      <c r="BB356">
        <v>1.5999999999985499</v>
      </c>
      <c r="BC356">
        <v>0.39999999999963598</v>
      </c>
      <c r="BD356">
        <v>16.200000000011599</v>
      </c>
      <c r="BG356">
        <v>12.399999999994201</v>
      </c>
      <c r="BI356">
        <v>3.2000000000007298</v>
      </c>
      <c r="BJ356">
        <v>0</v>
      </c>
      <c r="BL356">
        <v>4.5</v>
      </c>
      <c r="BM356">
        <v>0.100000000000023</v>
      </c>
      <c r="BN356">
        <v>0.89999999999963598</v>
      </c>
      <c r="BO356">
        <v>11.8000000000029</v>
      </c>
      <c r="BQ356">
        <v>0</v>
      </c>
      <c r="BR356">
        <v>4.8000000000029104</v>
      </c>
      <c r="BU356">
        <v>27.700000000011599</v>
      </c>
      <c r="BV356">
        <v>8.4999999999980709</v>
      </c>
      <c r="BY356">
        <v>16.600000000000001</v>
      </c>
      <c r="BZ356">
        <v>11.8</v>
      </c>
      <c r="CA356">
        <v>5.5</v>
      </c>
      <c r="CD356">
        <v>10.5</v>
      </c>
      <c r="CE356">
        <v>0.6</v>
      </c>
      <c r="CF356">
        <v>0.9</v>
      </c>
      <c r="CH356">
        <v>2.4</v>
      </c>
      <c r="CI356">
        <v>15.3</v>
      </c>
      <c r="CM356">
        <v>3.5</v>
      </c>
      <c r="CN356">
        <v>18.5</v>
      </c>
      <c r="CP356">
        <v>3</v>
      </c>
      <c r="CR356">
        <v>4.5</v>
      </c>
      <c r="CT356">
        <v>21.1</v>
      </c>
      <c r="CU356">
        <v>0.2</v>
      </c>
      <c r="CV356">
        <v>23.9</v>
      </c>
      <c r="CW356">
        <v>28.2</v>
      </c>
      <c r="CY356">
        <v>9.8000000000000007</v>
      </c>
      <c r="CZ356">
        <v>14.7</v>
      </c>
      <c r="DD356" s="5">
        <v>13.7</v>
      </c>
      <c r="DJ356" s="1">
        <v>41263</v>
      </c>
      <c r="DK356" s="2">
        <f t="shared" si="31"/>
        <v>7.2687499999993515</v>
      </c>
      <c r="DL356" s="2">
        <f t="shared" si="32"/>
        <v>4.5165048543685291</v>
      </c>
      <c r="DM356" s="2">
        <f t="shared" si="33"/>
        <v>28.2</v>
      </c>
      <c r="DN356" s="3">
        <f t="shared" si="34"/>
        <v>0.62135922330097082</v>
      </c>
      <c r="DV356" s="2">
        <v>1765</v>
      </c>
      <c r="DW356">
        <v>0</v>
      </c>
      <c r="DX356">
        <f t="shared" si="36"/>
        <v>14794</v>
      </c>
      <c r="DY356">
        <f t="shared" si="35"/>
        <v>1</v>
      </c>
    </row>
    <row r="357" spans="1:129">
      <c r="A357" s="1">
        <v>41264</v>
      </c>
      <c r="B357" s="1"/>
      <c r="C357">
        <v>5.2</v>
      </c>
      <c r="F357">
        <v>0.6</v>
      </c>
      <c r="G357">
        <v>14.3</v>
      </c>
      <c r="H357">
        <v>4.2</v>
      </c>
      <c r="J357">
        <v>43.3</v>
      </c>
      <c r="O357">
        <v>14.7</v>
      </c>
      <c r="Q357">
        <v>2.2000000000000002</v>
      </c>
      <c r="R357">
        <v>12.8</v>
      </c>
      <c r="T357">
        <v>7.9</v>
      </c>
      <c r="U357">
        <v>7</v>
      </c>
      <c r="V357">
        <v>0</v>
      </c>
      <c r="W357">
        <v>5.5</v>
      </c>
      <c r="Y357">
        <v>0</v>
      </c>
      <c r="Z357">
        <v>7.79999999999563</v>
      </c>
      <c r="AA357">
        <v>0.39999999999963598</v>
      </c>
      <c r="AB357">
        <v>14.799999999988399</v>
      </c>
      <c r="AC357">
        <v>37</v>
      </c>
      <c r="AD357">
        <v>9.0999999999912706</v>
      </c>
      <c r="AE357">
        <v>28.199999999982499</v>
      </c>
      <c r="AF357">
        <v>1.39999999999964</v>
      </c>
      <c r="AG357">
        <v>7.79999999999563</v>
      </c>
      <c r="AJ357">
        <v>13.3</v>
      </c>
      <c r="AM357">
        <v>27.299999999988401</v>
      </c>
      <c r="AN357">
        <v>0.5</v>
      </c>
      <c r="AO357">
        <v>0.5</v>
      </c>
      <c r="AP357">
        <v>8.8999999999941792</v>
      </c>
      <c r="AR357">
        <v>0</v>
      </c>
      <c r="AT357">
        <v>0.89999999999963598</v>
      </c>
      <c r="AV357">
        <v>0</v>
      </c>
      <c r="AY357">
        <v>0.89999999999963598</v>
      </c>
      <c r="BA357">
        <v>2.7999999999992702</v>
      </c>
      <c r="BB357">
        <v>2.2999999999992702</v>
      </c>
      <c r="BD357">
        <v>14.6999999999971</v>
      </c>
      <c r="BF357">
        <v>5.4000000000014596</v>
      </c>
      <c r="BG357">
        <v>14.7</v>
      </c>
      <c r="BH357">
        <v>0.5</v>
      </c>
      <c r="BI357">
        <v>2.4000000000014601</v>
      </c>
      <c r="BK357">
        <v>9.1999999999970896</v>
      </c>
      <c r="BL357">
        <v>0</v>
      </c>
      <c r="BO357">
        <v>1.5</v>
      </c>
      <c r="BQ357">
        <v>2.4000000000014601</v>
      </c>
      <c r="BR357" t="s">
        <v>0</v>
      </c>
      <c r="BS357">
        <v>0.100000000000023</v>
      </c>
      <c r="BT357">
        <v>1.29999999999927</v>
      </c>
      <c r="BU357">
        <v>0.100000000000023</v>
      </c>
      <c r="BV357">
        <v>2</v>
      </c>
      <c r="BX357">
        <v>4.2999999999956398</v>
      </c>
      <c r="BY357">
        <v>6.4</v>
      </c>
      <c r="CA357">
        <v>0.2</v>
      </c>
      <c r="CB357">
        <v>16.100000000000001</v>
      </c>
      <c r="CC357">
        <v>0.1</v>
      </c>
      <c r="CD357">
        <v>2</v>
      </c>
      <c r="CE357">
        <v>0.3</v>
      </c>
      <c r="CH357">
        <v>5.4</v>
      </c>
      <c r="CJ357">
        <v>10.8</v>
      </c>
      <c r="CK357">
        <v>5</v>
      </c>
      <c r="CM357">
        <v>17</v>
      </c>
      <c r="CN357">
        <v>2.5</v>
      </c>
      <c r="CO357">
        <v>9.4</v>
      </c>
      <c r="CR357">
        <v>14.8</v>
      </c>
      <c r="CT357">
        <v>1.3</v>
      </c>
      <c r="CV357">
        <v>11.9</v>
      </c>
      <c r="CY357">
        <v>2.5</v>
      </c>
      <c r="CZ357">
        <v>0.3</v>
      </c>
      <c r="DB357">
        <v>8.3000000000000007</v>
      </c>
      <c r="DD357" s="5">
        <v>3.8</v>
      </c>
      <c r="DJ357" s="1">
        <v>41264</v>
      </c>
      <c r="DK357" s="2">
        <f t="shared" si="31"/>
        <v>7.0507692307681022</v>
      </c>
      <c r="DL357" s="2">
        <f t="shared" si="32"/>
        <v>4.4495145631060842</v>
      </c>
      <c r="DM357" s="2">
        <f t="shared" si="33"/>
        <v>43.3</v>
      </c>
      <c r="DN357" s="3">
        <f t="shared" si="34"/>
        <v>0.64077669902912626</v>
      </c>
      <c r="DV357" s="2">
        <v>1770</v>
      </c>
      <c r="DW357">
        <v>0</v>
      </c>
      <c r="DX357">
        <f t="shared" si="36"/>
        <v>14794</v>
      </c>
      <c r="DY357">
        <f t="shared" si="35"/>
        <v>1</v>
      </c>
    </row>
    <row r="358" spans="1:129">
      <c r="A358" s="1">
        <v>41265</v>
      </c>
      <c r="B358" s="1"/>
      <c r="C358">
        <v>10.4</v>
      </c>
      <c r="G358">
        <v>3.6</v>
      </c>
      <c r="H358">
        <v>3.5</v>
      </c>
      <c r="J358">
        <v>20.5</v>
      </c>
      <c r="K358">
        <v>15</v>
      </c>
      <c r="O358">
        <v>30.5</v>
      </c>
      <c r="P358">
        <v>3.9</v>
      </c>
      <c r="T358">
        <v>16.7</v>
      </c>
      <c r="U358">
        <v>6</v>
      </c>
      <c r="W358">
        <v>10.5</v>
      </c>
      <c r="Y358">
        <v>20</v>
      </c>
      <c r="Z358">
        <v>17.899999999994201</v>
      </c>
      <c r="AA358">
        <v>19.199999999982499</v>
      </c>
      <c r="AB358">
        <v>5.1999999999970896</v>
      </c>
      <c r="AC358">
        <v>24.799999999988401</v>
      </c>
      <c r="AD358">
        <v>1.29999999999927</v>
      </c>
      <c r="AE358">
        <v>3</v>
      </c>
      <c r="AF358">
        <v>0</v>
      </c>
      <c r="AG358">
        <v>1.29999999999927</v>
      </c>
      <c r="AH358">
        <v>3.7999999999992702</v>
      </c>
      <c r="AI358">
        <v>9.9999999999908995E-2</v>
      </c>
      <c r="AJ358">
        <v>15</v>
      </c>
      <c r="AM358">
        <v>1.89999999999964</v>
      </c>
      <c r="AN358">
        <v>2.3999999999978199</v>
      </c>
      <c r="AR358">
        <v>7.79999999999563</v>
      </c>
      <c r="AS358">
        <v>9.9999999999908995E-2</v>
      </c>
      <c r="AT358">
        <v>1.1999999999989099</v>
      </c>
      <c r="AU358">
        <v>4.79999999999563</v>
      </c>
      <c r="AY358">
        <v>3.3999999999978199</v>
      </c>
      <c r="AZ358">
        <v>4</v>
      </c>
      <c r="BB358">
        <v>9.5</v>
      </c>
      <c r="BC358">
        <v>9.9999999999908995E-2</v>
      </c>
      <c r="BD358">
        <v>3.2000000000007298</v>
      </c>
      <c r="BE358">
        <v>0.69999999999981799</v>
      </c>
      <c r="BF358">
        <v>9.1999999999970896</v>
      </c>
      <c r="BG358">
        <v>0.5</v>
      </c>
      <c r="BH358">
        <v>0.60000000000036402</v>
      </c>
      <c r="BI358">
        <v>8.3999999999941792</v>
      </c>
      <c r="BJ358">
        <v>0.200000000000045</v>
      </c>
      <c r="BK358">
        <v>0</v>
      </c>
      <c r="BL358">
        <v>0.60000000000036402</v>
      </c>
      <c r="BO358">
        <v>0</v>
      </c>
      <c r="BP358">
        <v>2.7999999999992702</v>
      </c>
      <c r="BQ358">
        <v>1.79999999999927</v>
      </c>
      <c r="BR358">
        <v>0.100000000000023</v>
      </c>
      <c r="BS358">
        <v>0.100000000000023</v>
      </c>
      <c r="BT358">
        <v>1.89999999999964</v>
      </c>
      <c r="BX358">
        <v>0.69999999999981799</v>
      </c>
      <c r="BY358">
        <v>5.5</v>
      </c>
      <c r="BZ358">
        <v>19.8</v>
      </c>
      <c r="CA358">
        <v>10.1</v>
      </c>
      <c r="CE358">
        <v>4</v>
      </c>
      <c r="CF358">
        <v>1.9</v>
      </c>
      <c r="CG358">
        <v>1.2</v>
      </c>
      <c r="CH358">
        <v>0.8</v>
      </c>
      <c r="CJ358">
        <v>5.5</v>
      </c>
      <c r="CK358">
        <v>1</v>
      </c>
      <c r="CL358">
        <v>7.4</v>
      </c>
      <c r="CM358">
        <v>50.1</v>
      </c>
      <c r="CN358">
        <v>10</v>
      </c>
      <c r="CO358">
        <v>1</v>
      </c>
      <c r="CR358">
        <v>10.4</v>
      </c>
      <c r="CS358">
        <v>1</v>
      </c>
      <c r="CT358">
        <v>0.1</v>
      </c>
      <c r="CV358">
        <v>7.9</v>
      </c>
      <c r="CY358">
        <v>1.4</v>
      </c>
      <c r="CZ358">
        <v>3.9</v>
      </c>
      <c r="DD358" s="5">
        <v>8.8000000000000007</v>
      </c>
      <c r="DJ358" s="1">
        <v>41265</v>
      </c>
      <c r="DK358" s="2">
        <f t="shared" si="31"/>
        <v>6.6176470588225857</v>
      </c>
      <c r="DL358" s="2">
        <f t="shared" si="32"/>
        <v>4.3689320388343287</v>
      </c>
      <c r="DM358" s="2">
        <f t="shared" si="33"/>
        <v>50.1</v>
      </c>
      <c r="DN358" s="3">
        <f t="shared" si="34"/>
        <v>0.66019417475728159</v>
      </c>
      <c r="DV358" s="2">
        <v>1775</v>
      </c>
      <c r="DW358">
        <v>0</v>
      </c>
      <c r="DX358">
        <f t="shared" si="36"/>
        <v>14794</v>
      </c>
      <c r="DY358">
        <f t="shared" si="35"/>
        <v>1</v>
      </c>
    </row>
    <row r="359" spans="1:129">
      <c r="A359" s="1">
        <v>41266</v>
      </c>
      <c r="B359" s="1"/>
      <c r="G359">
        <v>2.5</v>
      </c>
      <c r="H359">
        <v>2.1</v>
      </c>
      <c r="I359">
        <v>2.7</v>
      </c>
      <c r="K359">
        <v>10</v>
      </c>
      <c r="O359">
        <v>1</v>
      </c>
      <c r="R359">
        <v>18.5</v>
      </c>
      <c r="V359">
        <v>2.7</v>
      </c>
      <c r="W359">
        <v>2.5</v>
      </c>
      <c r="Y359">
        <v>0</v>
      </c>
      <c r="Z359">
        <v>6.5</v>
      </c>
      <c r="AC359">
        <v>3.8</v>
      </c>
      <c r="AD359">
        <v>2.6999999999970901</v>
      </c>
      <c r="AF359">
        <v>9.1999999999970896</v>
      </c>
      <c r="AH359">
        <v>0.29999999999972699</v>
      </c>
      <c r="AJ359">
        <v>1.6999999999989099</v>
      </c>
      <c r="AM359">
        <v>0.39999999999963598</v>
      </c>
      <c r="AN359">
        <v>0</v>
      </c>
      <c r="AO359">
        <v>14.599999999991301</v>
      </c>
      <c r="AR359">
        <v>12.6999999999971</v>
      </c>
      <c r="AS359">
        <v>9.5</v>
      </c>
      <c r="AT359">
        <v>8.7999999999883602</v>
      </c>
      <c r="AU359">
        <v>13.5</v>
      </c>
      <c r="AY359">
        <v>4.5999999999985501</v>
      </c>
      <c r="AZ359">
        <v>3.5</v>
      </c>
      <c r="BB359">
        <v>7.3</v>
      </c>
      <c r="BC359">
        <v>2</v>
      </c>
      <c r="BD359">
        <v>0.200000000000045</v>
      </c>
      <c r="BE359">
        <v>9.3999999999941792</v>
      </c>
      <c r="BF359">
        <v>1.10000000000036</v>
      </c>
      <c r="BH359">
        <v>8</v>
      </c>
      <c r="BI359">
        <v>1.10000000000036</v>
      </c>
      <c r="BJ359">
        <v>3.0999999999985399</v>
      </c>
      <c r="BK359">
        <v>0</v>
      </c>
      <c r="BL359">
        <v>0.100000000000023</v>
      </c>
      <c r="BN359">
        <v>0.100000000000023</v>
      </c>
      <c r="BO359">
        <v>0.100000000000023</v>
      </c>
      <c r="BP359">
        <v>1</v>
      </c>
      <c r="BT359">
        <v>1</v>
      </c>
      <c r="BU359">
        <v>0</v>
      </c>
      <c r="BW359">
        <v>0</v>
      </c>
      <c r="BX359">
        <v>1</v>
      </c>
      <c r="BY359">
        <v>4</v>
      </c>
      <c r="BZ359">
        <v>6.4</v>
      </c>
      <c r="CA359">
        <v>14.3</v>
      </c>
      <c r="CC359">
        <v>0.1</v>
      </c>
      <c r="CD359">
        <v>23.8</v>
      </c>
      <c r="CE359">
        <v>1.4</v>
      </c>
      <c r="CF359">
        <v>5.3</v>
      </c>
      <c r="CG359">
        <v>0.3</v>
      </c>
      <c r="CH359">
        <v>4.4000000000000004</v>
      </c>
      <c r="CK359">
        <v>3.5</v>
      </c>
      <c r="CL359">
        <v>25.5</v>
      </c>
      <c r="CM359">
        <v>22.5</v>
      </c>
      <c r="CN359">
        <v>11</v>
      </c>
      <c r="CO359">
        <v>10.6</v>
      </c>
      <c r="CP359">
        <v>8.8000000000000007</v>
      </c>
      <c r="CQ359">
        <v>1.7</v>
      </c>
      <c r="CR359">
        <v>1.2</v>
      </c>
      <c r="CS359">
        <v>2.8</v>
      </c>
      <c r="CT359">
        <v>0.4</v>
      </c>
      <c r="CV359">
        <v>2.5</v>
      </c>
      <c r="CY359">
        <v>36.6</v>
      </c>
      <c r="CZ359">
        <v>0.4</v>
      </c>
      <c r="DD359" s="5">
        <v>17.2</v>
      </c>
      <c r="DJ359" s="1">
        <v>41266</v>
      </c>
      <c r="DK359" s="2">
        <f t="shared" si="31"/>
        <v>5.8437499999993969</v>
      </c>
      <c r="DL359" s="2">
        <f t="shared" si="32"/>
        <v>3.6310679611646739</v>
      </c>
      <c r="DM359" s="2">
        <f t="shared" si="33"/>
        <v>36.6</v>
      </c>
      <c r="DN359" s="3">
        <f t="shared" si="34"/>
        <v>0.62135922330097082</v>
      </c>
      <c r="DV359" s="2">
        <v>1780</v>
      </c>
      <c r="DW359">
        <v>0</v>
      </c>
      <c r="DX359">
        <f t="shared" si="36"/>
        <v>14794</v>
      </c>
      <c r="DY359">
        <f t="shared" si="35"/>
        <v>1</v>
      </c>
    </row>
    <row r="360" spans="1:129">
      <c r="A360" s="1">
        <v>41267</v>
      </c>
      <c r="B360" s="1"/>
      <c r="D360">
        <v>8.1</v>
      </c>
      <c r="F360">
        <v>3.7</v>
      </c>
      <c r="G360">
        <v>14.6</v>
      </c>
      <c r="I360">
        <v>5.8</v>
      </c>
      <c r="L360">
        <v>1</v>
      </c>
      <c r="O360">
        <v>21.5</v>
      </c>
      <c r="P360">
        <v>2.8</v>
      </c>
      <c r="Q360">
        <v>1.4</v>
      </c>
      <c r="R360">
        <v>10.199999999999999</v>
      </c>
      <c r="S360">
        <v>9.1999999999999993</v>
      </c>
      <c r="T360">
        <v>1.7</v>
      </c>
      <c r="V360">
        <v>3.6</v>
      </c>
      <c r="X360">
        <v>0.6</v>
      </c>
      <c r="Z360">
        <v>0.19999999999981799</v>
      </c>
      <c r="AB360">
        <v>2.6999999999970901</v>
      </c>
      <c r="AC360">
        <v>0.3</v>
      </c>
      <c r="AD360">
        <v>2.0999999999985399</v>
      </c>
      <c r="AF360">
        <v>4</v>
      </c>
      <c r="AH360">
        <v>4</v>
      </c>
      <c r="AJ360">
        <v>2.0999999999985399</v>
      </c>
      <c r="AL360">
        <v>5.6999999999970896</v>
      </c>
      <c r="AO360">
        <v>15.299999999988399</v>
      </c>
      <c r="AR360">
        <v>10.1999999999971</v>
      </c>
      <c r="AS360">
        <v>3.7999999999992702</v>
      </c>
      <c r="AT360">
        <v>16</v>
      </c>
      <c r="AU360">
        <v>0.89999999999963598</v>
      </c>
      <c r="AV360">
        <v>1.79999999999927</v>
      </c>
      <c r="AZ360">
        <v>8.7999999999883602</v>
      </c>
      <c r="BA360">
        <v>10.6999999999971</v>
      </c>
      <c r="BB360">
        <v>3.9</v>
      </c>
      <c r="BE360">
        <v>2.0999999999985399</v>
      </c>
      <c r="BF360">
        <v>6.8000000000029104</v>
      </c>
      <c r="BH360">
        <v>4.4000000000014596</v>
      </c>
      <c r="BI360">
        <v>0.200000000000045</v>
      </c>
      <c r="BJ360">
        <v>0.5</v>
      </c>
      <c r="BK360">
        <v>0.69999999999981799</v>
      </c>
      <c r="BL360">
        <v>0.100000000000023</v>
      </c>
      <c r="BN360">
        <v>0.100000000000023</v>
      </c>
      <c r="BP360">
        <v>0.5</v>
      </c>
      <c r="BR360">
        <v>0.69999999999981799</v>
      </c>
      <c r="BT360">
        <v>1.5</v>
      </c>
      <c r="BU360">
        <v>0.30000000000018201</v>
      </c>
      <c r="BV360">
        <v>4.5999999999996799</v>
      </c>
      <c r="BW360">
        <v>1.1000000000000001</v>
      </c>
      <c r="BX360">
        <v>0.19999999999981799</v>
      </c>
      <c r="BZ360">
        <v>2.9</v>
      </c>
      <c r="CA360">
        <v>13.2</v>
      </c>
      <c r="CC360">
        <v>2.2000000000000002</v>
      </c>
      <c r="CD360">
        <v>9.5</v>
      </c>
      <c r="CE360">
        <v>0.2</v>
      </c>
      <c r="CF360">
        <v>2.5</v>
      </c>
      <c r="CJ360">
        <v>6.1</v>
      </c>
      <c r="CK360">
        <v>1.5</v>
      </c>
      <c r="CL360">
        <v>11.5</v>
      </c>
      <c r="CM360">
        <v>5.5</v>
      </c>
      <c r="CO360">
        <v>38.299999999999997</v>
      </c>
      <c r="CP360">
        <v>1.7</v>
      </c>
      <c r="CQ360">
        <v>2.4</v>
      </c>
      <c r="CS360">
        <v>12.6</v>
      </c>
      <c r="CT360">
        <v>0.3</v>
      </c>
      <c r="CU360">
        <v>0.1</v>
      </c>
      <c r="CV360">
        <v>3.8</v>
      </c>
      <c r="CY360">
        <v>1.8</v>
      </c>
      <c r="CZ360">
        <v>0.2</v>
      </c>
      <c r="DD360" s="5">
        <v>1.6</v>
      </c>
      <c r="DJ360" s="1">
        <v>41267</v>
      </c>
      <c r="DK360" s="2">
        <f t="shared" si="31"/>
        <v>4.8984615384609622</v>
      </c>
      <c r="DL360" s="2">
        <f t="shared" si="32"/>
        <v>3.0912621359219661</v>
      </c>
      <c r="DM360" s="2">
        <f t="shared" si="33"/>
        <v>38.299999999999997</v>
      </c>
      <c r="DN360" s="3">
        <f t="shared" si="34"/>
        <v>0.6310679611650486</v>
      </c>
      <c r="DV360" s="2">
        <v>1785</v>
      </c>
      <c r="DW360">
        <v>0</v>
      </c>
      <c r="DX360">
        <f t="shared" si="36"/>
        <v>14794</v>
      </c>
      <c r="DY360">
        <f t="shared" si="35"/>
        <v>1</v>
      </c>
    </row>
    <row r="361" spans="1:129">
      <c r="A361" s="1">
        <v>41268</v>
      </c>
      <c r="B361" s="1"/>
      <c r="C361">
        <v>0.8</v>
      </c>
      <c r="I361">
        <v>4.8</v>
      </c>
      <c r="L361">
        <v>0.9</v>
      </c>
      <c r="O361">
        <v>12.5</v>
      </c>
      <c r="P361">
        <v>1.7</v>
      </c>
      <c r="R361">
        <v>0.9</v>
      </c>
      <c r="S361">
        <v>16.2</v>
      </c>
      <c r="V361">
        <v>0.4</v>
      </c>
      <c r="X361">
        <v>11.2</v>
      </c>
      <c r="AB361">
        <v>3.3999999999978199</v>
      </c>
      <c r="AC361">
        <v>5.9</v>
      </c>
      <c r="AF361">
        <v>28.599999999976699</v>
      </c>
      <c r="AJ361">
        <v>3.5999999999985399</v>
      </c>
      <c r="AL361">
        <v>1</v>
      </c>
      <c r="AN361">
        <v>0</v>
      </c>
      <c r="AO361">
        <v>2.8999999999978199</v>
      </c>
      <c r="AP361">
        <v>2</v>
      </c>
      <c r="AR361">
        <v>32</v>
      </c>
      <c r="AS361">
        <v>7</v>
      </c>
      <c r="AU361">
        <v>1.29999999999927</v>
      </c>
      <c r="AV361">
        <v>1.89999999999964</v>
      </c>
      <c r="AX361">
        <v>13.6999999999971</v>
      </c>
      <c r="AY361">
        <v>3</v>
      </c>
      <c r="BA361">
        <v>27.299999999988401</v>
      </c>
      <c r="BB361">
        <v>1.0999999999985499</v>
      </c>
      <c r="BD361">
        <v>1</v>
      </c>
      <c r="BE361">
        <v>12.1999999999971</v>
      </c>
      <c r="BF361">
        <v>4.5</v>
      </c>
      <c r="BH361">
        <v>30.799999999988401</v>
      </c>
      <c r="BI361">
        <v>6.0999999999985501</v>
      </c>
      <c r="BJ361">
        <v>2</v>
      </c>
      <c r="BN361">
        <v>0.30000000000018201</v>
      </c>
      <c r="BO361">
        <v>3.7999999999992702</v>
      </c>
      <c r="BP361">
        <v>0.100000000000023</v>
      </c>
      <c r="BQ361">
        <v>5.3000000000029104</v>
      </c>
      <c r="BR361">
        <v>0.30000000000018201</v>
      </c>
      <c r="BS361">
        <v>9</v>
      </c>
      <c r="BU361">
        <v>19.399999999994201</v>
      </c>
      <c r="BV361">
        <v>0.50000000000011402</v>
      </c>
      <c r="BX361">
        <v>2.0999999999985399</v>
      </c>
      <c r="BY361">
        <v>0</v>
      </c>
      <c r="BZ361">
        <v>18.3</v>
      </c>
      <c r="CA361">
        <v>2</v>
      </c>
      <c r="CB361">
        <v>3</v>
      </c>
      <c r="CC361">
        <v>9.6999999999999993</v>
      </c>
      <c r="CD361">
        <v>1.2</v>
      </c>
      <c r="CE361">
        <v>12.2</v>
      </c>
      <c r="CF361">
        <v>0.5</v>
      </c>
      <c r="CG361">
        <v>0.3</v>
      </c>
      <c r="CH361">
        <v>4.5</v>
      </c>
      <c r="CI361">
        <v>0.6</v>
      </c>
      <c r="CJ361">
        <v>41.3</v>
      </c>
      <c r="CM361">
        <v>3.5</v>
      </c>
      <c r="CO361">
        <v>23.1</v>
      </c>
      <c r="CP361">
        <v>0</v>
      </c>
      <c r="CQ361">
        <v>24</v>
      </c>
      <c r="CT361">
        <v>1.9</v>
      </c>
      <c r="CW361">
        <v>0.5</v>
      </c>
      <c r="CX361">
        <v>10.6</v>
      </c>
      <c r="DD361" s="5">
        <v>1.8</v>
      </c>
      <c r="DJ361" s="1">
        <v>41268</v>
      </c>
      <c r="DK361" s="2">
        <f t="shared" si="31"/>
        <v>7.3416666666655557</v>
      </c>
      <c r="DL361" s="2">
        <f t="shared" si="32"/>
        <v>4.2766990291255667</v>
      </c>
      <c r="DM361" s="2">
        <f t="shared" si="33"/>
        <v>41.3</v>
      </c>
      <c r="DN361" s="3">
        <f t="shared" si="34"/>
        <v>0.58252427184466016</v>
      </c>
      <c r="DV361" s="2">
        <v>1790</v>
      </c>
      <c r="DW361">
        <v>0</v>
      </c>
      <c r="DX361">
        <f t="shared" si="36"/>
        <v>14794</v>
      </c>
      <c r="DY361">
        <f t="shared" si="35"/>
        <v>1</v>
      </c>
    </row>
    <row r="362" spans="1:129">
      <c r="A362" s="1">
        <v>41269</v>
      </c>
      <c r="B362" s="1"/>
      <c r="E362">
        <v>68</v>
      </c>
      <c r="G362">
        <v>3.2</v>
      </c>
      <c r="L362">
        <v>0.2</v>
      </c>
      <c r="N362">
        <v>0.2</v>
      </c>
      <c r="Q362">
        <v>2.2000000000000002</v>
      </c>
      <c r="R362">
        <v>11</v>
      </c>
      <c r="U362">
        <v>0.5</v>
      </c>
      <c r="V362">
        <v>0.5</v>
      </c>
      <c r="X362">
        <v>14.1</v>
      </c>
      <c r="Z362">
        <v>10.399999999994201</v>
      </c>
      <c r="AB362">
        <v>6.5999999999985501</v>
      </c>
      <c r="AC362">
        <v>12.599999999991301</v>
      </c>
      <c r="AD362">
        <v>7.79999999999563</v>
      </c>
      <c r="AE362">
        <v>1.5999999999985499</v>
      </c>
      <c r="AF362">
        <v>14.599999999991301</v>
      </c>
      <c r="AG362">
        <v>17.2</v>
      </c>
      <c r="AH362">
        <v>0.59999999999945397</v>
      </c>
      <c r="AJ362">
        <v>7.5</v>
      </c>
      <c r="AK362">
        <v>0.79999999999927196</v>
      </c>
      <c r="AL362">
        <v>3.1999999999970901</v>
      </c>
      <c r="AM362">
        <v>0.79999999999927196</v>
      </c>
      <c r="AN362">
        <v>6</v>
      </c>
      <c r="AO362">
        <v>3</v>
      </c>
      <c r="AR362">
        <v>2.1999999999970901</v>
      </c>
      <c r="AT362">
        <v>9.9999999999908995E-2</v>
      </c>
      <c r="AU362">
        <v>3.1999999999970901</v>
      </c>
      <c r="AV362">
        <v>7.5</v>
      </c>
      <c r="AX362">
        <v>12.899999999994201</v>
      </c>
      <c r="AY362">
        <v>2.8999999999978199</v>
      </c>
      <c r="BA362">
        <v>21.899999999994201</v>
      </c>
      <c r="BB362">
        <v>9.8999999999941792</v>
      </c>
      <c r="BD362">
        <v>5.5</v>
      </c>
      <c r="BE362">
        <v>6.4000000000014596</v>
      </c>
      <c r="BF362">
        <v>12.600000000005799</v>
      </c>
      <c r="BH362">
        <v>0.100000000000023</v>
      </c>
      <c r="BI362">
        <v>8.3000000000029104</v>
      </c>
      <c r="BJ362">
        <v>12.100000000005799</v>
      </c>
      <c r="BK362">
        <v>0.100000000000023</v>
      </c>
      <c r="BL362">
        <v>0.100000000000023</v>
      </c>
      <c r="BN362">
        <v>0.100000000000023</v>
      </c>
      <c r="BO362">
        <v>6.5</v>
      </c>
      <c r="BQ362">
        <v>4</v>
      </c>
      <c r="BS362">
        <v>8</v>
      </c>
      <c r="BT362">
        <v>8.6000000000058208</v>
      </c>
      <c r="BU362">
        <v>5.5999999999985501</v>
      </c>
      <c r="BV362">
        <v>6.3000000000009804</v>
      </c>
      <c r="BX362">
        <v>1.6999999999989099</v>
      </c>
      <c r="BZ362">
        <v>6.3</v>
      </c>
      <c r="CA362">
        <v>0.7</v>
      </c>
      <c r="CB362">
        <v>0.4</v>
      </c>
      <c r="CC362">
        <v>0.3</v>
      </c>
      <c r="CE362">
        <v>0</v>
      </c>
      <c r="CF362">
        <v>1.7</v>
      </c>
      <c r="CJ362">
        <v>26.2</v>
      </c>
      <c r="CN362">
        <v>0.5</v>
      </c>
      <c r="CQ362">
        <v>9.4</v>
      </c>
      <c r="CS362">
        <v>0.9</v>
      </c>
      <c r="CT362">
        <v>1</v>
      </c>
      <c r="CV362">
        <v>4.4000000000000004</v>
      </c>
      <c r="CW362">
        <v>9.6</v>
      </c>
      <c r="CX362">
        <v>13.3</v>
      </c>
      <c r="DB362">
        <v>13.5</v>
      </c>
      <c r="DD362" s="5">
        <v>2.2000000000000002</v>
      </c>
      <c r="DJ362" s="1">
        <v>41269</v>
      </c>
      <c r="DK362" s="2">
        <f t="shared" si="31"/>
        <v>6.819047619046974</v>
      </c>
      <c r="DL362" s="2">
        <f t="shared" si="32"/>
        <v>4.1708737864073724</v>
      </c>
      <c r="DM362" s="2">
        <f t="shared" si="33"/>
        <v>68</v>
      </c>
      <c r="DN362" s="3">
        <f t="shared" si="34"/>
        <v>0.61165048543689315</v>
      </c>
      <c r="DV362" s="2">
        <v>1795</v>
      </c>
      <c r="DW362">
        <v>0</v>
      </c>
      <c r="DX362">
        <f t="shared" si="36"/>
        <v>14794</v>
      </c>
      <c r="DY362">
        <f t="shared" si="35"/>
        <v>1</v>
      </c>
    </row>
    <row r="363" spans="1:129">
      <c r="A363" s="1">
        <v>41270</v>
      </c>
      <c r="B363" s="1"/>
      <c r="D363">
        <v>8.6</v>
      </c>
      <c r="E363">
        <v>3.4</v>
      </c>
      <c r="G363">
        <v>1</v>
      </c>
      <c r="K363">
        <v>17.5</v>
      </c>
      <c r="M363">
        <v>0.7</v>
      </c>
      <c r="N363">
        <v>4.4000000000000004</v>
      </c>
      <c r="O363">
        <v>7.5</v>
      </c>
      <c r="Q363">
        <v>2</v>
      </c>
      <c r="S363">
        <v>5.0999999999999996</v>
      </c>
      <c r="V363">
        <v>2.1</v>
      </c>
      <c r="X363">
        <v>0.5</v>
      </c>
      <c r="Y363">
        <v>9</v>
      </c>
      <c r="Z363">
        <v>6.3999999999941801</v>
      </c>
      <c r="AA363">
        <v>0.19999999999981799</v>
      </c>
      <c r="AB363">
        <v>3.4</v>
      </c>
      <c r="AC363">
        <v>14.599999999991301</v>
      </c>
      <c r="AD363">
        <v>3.6999999999970901</v>
      </c>
      <c r="AE363">
        <v>56.5</v>
      </c>
      <c r="AF363">
        <v>6.29999999999563</v>
      </c>
      <c r="AG363">
        <v>3</v>
      </c>
      <c r="AI363">
        <v>10</v>
      </c>
      <c r="AJ363">
        <v>8.6999999999970896</v>
      </c>
      <c r="AK363">
        <v>1.6999999999989099</v>
      </c>
      <c r="AL363">
        <v>10.799999999988399</v>
      </c>
      <c r="AM363">
        <v>7</v>
      </c>
      <c r="AN363">
        <v>31</v>
      </c>
      <c r="AO363">
        <v>0.2</v>
      </c>
      <c r="AU363">
        <v>9.0999999999912706</v>
      </c>
      <c r="AX363">
        <v>3.2999999999992702</v>
      </c>
      <c r="AZ363">
        <v>26.899999999994201</v>
      </c>
      <c r="BB363">
        <v>22.899999999994201</v>
      </c>
      <c r="BD363">
        <v>25.700000000011599</v>
      </c>
      <c r="BH363">
        <v>9.3000000000029104</v>
      </c>
      <c r="BI363">
        <v>0.5</v>
      </c>
      <c r="BJ363">
        <v>0.100000000000023</v>
      </c>
      <c r="BL363">
        <v>9.1000000000058208</v>
      </c>
      <c r="BM363">
        <v>0</v>
      </c>
      <c r="BO363">
        <v>0.80000000000018201</v>
      </c>
      <c r="BP363">
        <v>1</v>
      </c>
      <c r="BS363">
        <v>43</v>
      </c>
      <c r="BT363">
        <v>0.69999999999981799</v>
      </c>
      <c r="BU363">
        <v>11.399999999994201</v>
      </c>
      <c r="BV363">
        <v>15.600000000005799</v>
      </c>
      <c r="BX363">
        <v>0.5</v>
      </c>
      <c r="BY363">
        <v>36</v>
      </c>
      <c r="BZ363">
        <v>0.8</v>
      </c>
      <c r="CC363">
        <v>5.6</v>
      </c>
      <c r="CD363">
        <v>0.3</v>
      </c>
      <c r="CE363">
        <v>24.5</v>
      </c>
      <c r="CG363">
        <v>10.199999999999999</v>
      </c>
      <c r="CH363">
        <v>12.4</v>
      </c>
      <c r="CJ363">
        <v>15.5</v>
      </c>
      <c r="CM363">
        <v>15</v>
      </c>
      <c r="CO363">
        <v>3.6</v>
      </c>
      <c r="CS363">
        <v>1.2</v>
      </c>
      <c r="CV363">
        <v>2</v>
      </c>
      <c r="CW363">
        <v>2</v>
      </c>
      <c r="CX363">
        <v>7.8</v>
      </c>
      <c r="DB363">
        <v>9.1999999999999993</v>
      </c>
      <c r="DD363" s="5">
        <v>1.8</v>
      </c>
      <c r="DJ363" s="1">
        <v>41270</v>
      </c>
      <c r="DK363" s="2">
        <f t="shared" si="31"/>
        <v>9.218333333332696</v>
      </c>
      <c r="DL363" s="2">
        <f t="shared" si="32"/>
        <v>5.3699029126209874</v>
      </c>
      <c r="DM363" s="2">
        <f t="shared" si="33"/>
        <v>56.5</v>
      </c>
      <c r="DN363" s="3">
        <f t="shared" si="34"/>
        <v>0.58252427184466016</v>
      </c>
      <c r="DV363" s="2">
        <v>1800</v>
      </c>
      <c r="DW363">
        <v>0</v>
      </c>
      <c r="DX363">
        <f t="shared" si="36"/>
        <v>14794</v>
      </c>
      <c r="DY363">
        <f t="shared" si="35"/>
        <v>1</v>
      </c>
    </row>
    <row r="364" spans="1:129">
      <c r="A364" s="1">
        <v>41271</v>
      </c>
      <c r="B364" s="1"/>
      <c r="C364">
        <v>17.899999999999999</v>
      </c>
      <c r="F364">
        <v>0.4</v>
      </c>
      <c r="H364">
        <v>6.8</v>
      </c>
      <c r="J364">
        <v>1</v>
      </c>
      <c r="N364">
        <v>1.9</v>
      </c>
      <c r="O364">
        <v>20</v>
      </c>
      <c r="Q364">
        <v>1.5</v>
      </c>
      <c r="U364">
        <v>0</v>
      </c>
      <c r="V364">
        <v>8.9</v>
      </c>
      <c r="X364">
        <v>0.3</v>
      </c>
      <c r="Y364">
        <v>0.2</v>
      </c>
      <c r="Z364">
        <v>2.8999999999978199</v>
      </c>
      <c r="AB364">
        <v>0</v>
      </c>
      <c r="AC364">
        <v>4.3999999999941801</v>
      </c>
      <c r="AD364">
        <v>10.1999999999971</v>
      </c>
      <c r="AE364">
        <v>9</v>
      </c>
      <c r="AF364">
        <v>8.5</v>
      </c>
      <c r="AG364">
        <v>11.6</v>
      </c>
      <c r="AH364">
        <v>3.8999999999978199</v>
      </c>
      <c r="AI364">
        <v>4.3999999999941801</v>
      </c>
      <c r="AJ364">
        <v>27.7</v>
      </c>
      <c r="AK364">
        <v>2.1999999999970901</v>
      </c>
      <c r="AL364">
        <v>1.5</v>
      </c>
      <c r="AN364">
        <v>0</v>
      </c>
      <c r="AO364">
        <v>15.5</v>
      </c>
      <c r="AP364">
        <v>18</v>
      </c>
      <c r="AU364">
        <v>6.6999999999970896</v>
      </c>
      <c r="AV364">
        <v>0.39999999999963598</v>
      </c>
      <c r="AY364">
        <v>0.69999999999981799</v>
      </c>
      <c r="AZ364">
        <v>6.6999999999970896</v>
      </c>
      <c r="BB364">
        <v>27.299999999988401</v>
      </c>
      <c r="BC364">
        <v>4.2999999999956398</v>
      </c>
      <c r="BG364">
        <v>12</v>
      </c>
      <c r="BH364">
        <v>34</v>
      </c>
      <c r="BI364">
        <v>1.79999999999927</v>
      </c>
      <c r="BL364">
        <v>25</v>
      </c>
      <c r="BM364">
        <v>0.100000000000023</v>
      </c>
      <c r="BO364">
        <v>0.100000000000023</v>
      </c>
      <c r="BP364">
        <v>0.200000000000045</v>
      </c>
      <c r="BS364">
        <v>2.0999999999985399</v>
      </c>
      <c r="BT364">
        <v>0.5</v>
      </c>
      <c r="BU364">
        <v>0.30000000000018201</v>
      </c>
      <c r="BV364">
        <v>0.30000000000018201</v>
      </c>
      <c r="BW364">
        <v>0.1</v>
      </c>
      <c r="BX364">
        <v>1.89999999999964</v>
      </c>
      <c r="CA364">
        <v>1</v>
      </c>
      <c r="CB364">
        <v>1.3</v>
      </c>
      <c r="CC364">
        <v>0.2</v>
      </c>
      <c r="CD364">
        <v>0.6</v>
      </c>
      <c r="CE364">
        <v>10</v>
      </c>
      <c r="CF364">
        <v>1.3</v>
      </c>
      <c r="CH364">
        <v>0.2</v>
      </c>
      <c r="CI364">
        <v>11.8</v>
      </c>
      <c r="CJ364">
        <v>22.4</v>
      </c>
      <c r="CK364">
        <v>1</v>
      </c>
      <c r="CM364">
        <v>8.5</v>
      </c>
      <c r="CO364">
        <v>19</v>
      </c>
      <c r="CR364">
        <v>4.8</v>
      </c>
      <c r="CS364">
        <v>1.6</v>
      </c>
      <c r="CU364">
        <v>0.2</v>
      </c>
      <c r="CV364">
        <v>17.3</v>
      </c>
      <c r="CW364">
        <v>10.3</v>
      </c>
      <c r="CX364">
        <v>6.8</v>
      </c>
      <c r="DB364">
        <v>2</v>
      </c>
      <c r="DD364" s="5">
        <v>13.8</v>
      </c>
      <c r="DJ364" s="1">
        <v>41271</v>
      </c>
      <c r="DK364" s="2">
        <f t="shared" si="31"/>
        <v>6.7276923076915978</v>
      </c>
      <c r="DL364" s="2">
        <f t="shared" si="32"/>
        <v>4.2456310679607174</v>
      </c>
      <c r="DM364" s="2">
        <f t="shared" si="33"/>
        <v>34</v>
      </c>
      <c r="DN364" s="3">
        <f t="shared" si="34"/>
        <v>0.6310679611650486</v>
      </c>
      <c r="DV364" s="2">
        <v>1805</v>
      </c>
      <c r="DW364">
        <v>0</v>
      </c>
      <c r="DX364">
        <f t="shared" si="36"/>
        <v>14794</v>
      </c>
      <c r="DY364">
        <f t="shared" si="35"/>
        <v>1</v>
      </c>
    </row>
    <row r="365" spans="1:129">
      <c r="A365" s="1">
        <v>41272</v>
      </c>
      <c r="B365" s="1"/>
      <c r="F365">
        <v>0.1</v>
      </c>
      <c r="H365">
        <v>3.6</v>
      </c>
      <c r="L365">
        <v>0.5</v>
      </c>
      <c r="N365">
        <v>7.4</v>
      </c>
      <c r="Q365">
        <v>1.5</v>
      </c>
      <c r="R365">
        <v>5.5</v>
      </c>
      <c r="S365">
        <v>0.7</v>
      </c>
      <c r="U365">
        <v>0.7</v>
      </c>
      <c r="V365">
        <v>0.2</v>
      </c>
      <c r="W365">
        <v>0.9</v>
      </c>
      <c r="Z365">
        <v>1.89999999999964</v>
      </c>
      <c r="AB365">
        <v>0.29999999999972699</v>
      </c>
      <c r="AC365">
        <v>5.3999999999941801</v>
      </c>
      <c r="AD365">
        <v>11.799999999988399</v>
      </c>
      <c r="AE365">
        <v>32.599999999976703</v>
      </c>
      <c r="AF365">
        <v>0</v>
      </c>
      <c r="AG365">
        <v>4</v>
      </c>
      <c r="AH365">
        <v>1</v>
      </c>
      <c r="AI365">
        <v>6.5</v>
      </c>
      <c r="AJ365">
        <v>2.0999999999985399</v>
      </c>
      <c r="AK365">
        <v>0.5</v>
      </c>
      <c r="AL365">
        <v>4.5999999999985501</v>
      </c>
      <c r="AO365">
        <v>1.5</v>
      </c>
      <c r="AP365">
        <v>20.2</v>
      </c>
      <c r="AS365">
        <v>1</v>
      </c>
      <c r="AV365">
        <v>4.1999999999970896</v>
      </c>
      <c r="AW365">
        <v>1</v>
      </c>
      <c r="AX365">
        <v>2.2999999999992702</v>
      </c>
      <c r="AY365">
        <v>18.399999999994201</v>
      </c>
      <c r="AZ365">
        <v>16.799999999988401</v>
      </c>
      <c r="BB365">
        <v>1.1999999999989099</v>
      </c>
      <c r="BC365">
        <v>5.5999999999985501</v>
      </c>
      <c r="BG365">
        <v>2.4000000000014601</v>
      </c>
      <c r="BH365">
        <v>2.7999999999992702</v>
      </c>
      <c r="BI365">
        <v>5</v>
      </c>
      <c r="BK365" t="s">
        <v>0</v>
      </c>
      <c r="BL365">
        <v>0.89999999999963598</v>
      </c>
      <c r="BM365">
        <v>6.9000000000014596</v>
      </c>
      <c r="BO365">
        <v>0.200000000000045</v>
      </c>
      <c r="BQ365">
        <v>0.100000000000023</v>
      </c>
      <c r="BR365">
        <v>0.100000000000023</v>
      </c>
      <c r="BS365">
        <v>9</v>
      </c>
      <c r="BT365">
        <v>2.9000000000014601</v>
      </c>
      <c r="BV365">
        <v>34.700000000011599</v>
      </c>
      <c r="BX365">
        <v>0.79999999999927196</v>
      </c>
      <c r="CC365">
        <v>9.4</v>
      </c>
      <c r="CD365">
        <v>16</v>
      </c>
      <c r="CE365">
        <v>20.7</v>
      </c>
      <c r="CI365">
        <v>25.3</v>
      </c>
      <c r="CJ365">
        <v>0.9</v>
      </c>
      <c r="CK365">
        <v>3</v>
      </c>
      <c r="CM365">
        <v>1.5</v>
      </c>
      <c r="CR365">
        <v>0.1</v>
      </c>
      <c r="CS365">
        <v>2.8</v>
      </c>
      <c r="CV365">
        <v>7.4</v>
      </c>
      <c r="CX365">
        <v>1</v>
      </c>
      <c r="CZ365">
        <v>4</v>
      </c>
      <c r="DB365">
        <v>18.3</v>
      </c>
      <c r="DC365">
        <v>3</v>
      </c>
      <c r="DD365" s="5">
        <v>38</v>
      </c>
      <c r="DJ365" s="1">
        <v>41272</v>
      </c>
      <c r="DK365" s="2">
        <f t="shared" si="31"/>
        <v>6.4610169491516336</v>
      </c>
      <c r="DL365" s="2">
        <f t="shared" si="32"/>
        <v>3.7009708737858871</v>
      </c>
      <c r="DM365" s="2">
        <f t="shared" si="33"/>
        <v>38</v>
      </c>
      <c r="DN365" s="3">
        <f t="shared" si="34"/>
        <v>0.58252427184466016</v>
      </c>
      <c r="DV365" s="2">
        <v>1810</v>
      </c>
      <c r="DW365">
        <v>0</v>
      </c>
      <c r="DX365">
        <f t="shared" si="36"/>
        <v>14794</v>
      </c>
      <c r="DY365">
        <f t="shared" si="35"/>
        <v>1</v>
      </c>
    </row>
    <row r="366" spans="1:129">
      <c r="A366" s="1">
        <v>41273</v>
      </c>
      <c r="B366" s="1"/>
      <c r="C366">
        <v>23.7</v>
      </c>
      <c r="M366">
        <v>1.4</v>
      </c>
      <c r="N366">
        <v>0.2</v>
      </c>
      <c r="O366">
        <v>34.5</v>
      </c>
      <c r="P366">
        <v>1</v>
      </c>
      <c r="R366">
        <v>1.4</v>
      </c>
      <c r="S366">
        <v>8.1999999999999993</v>
      </c>
      <c r="T366">
        <v>0.6</v>
      </c>
      <c r="U366">
        <v>2.8</v>
      </c>
      <c r="V366">
        <v>0</v>
      </c>
      <c r="W366">
        <v>0.5</v>
      </c>
      <c r="X366">
        <v>0.2</v>
      </c>
      <c r="Z366">
        <v>3.5</v>
      </c>
      <c r="AB366">
        <v>0.19999999999981799</v>
      </c>
      <c r="AC366">
        <v>11.299999999988399</v>
      </c>
      <c r="AD366">
        <v>7.79999999999563</v>
      </c>
      <c r="AE366">
        <v>26.5</v>
      </c>
      <c r="AI366">
        <v>3.5</v>
      </c>
      <c r="AJ366">
        <v>16.799999999988401</v>
      </c>
      <c r="AK366">
        <v>22</v>
      </c>
      <c r="AL366">
        <v>2.8999999999978199</v>
      </c>
      <c r="AP366">
        <v>1.5</v>
      </c>
      <c r="AS366">
        <v>6.5</v>
      </c>
      <c r="AT366">
        <v>4</v>
      </c>
      <c r="AV366">
        <v>5.8999999999941801</v>
      </c>
      <c r="AW366">
        <v>1.6999999999989099</v>
      </c>
      <c r="AY366">
        <v>6.5999999999985501</v>
      </c>
      <c r="AZ366">
        <v>1.39999999999964</v>
      </c>
      <c r="BA366">
        <v>5.6999999999970896</v>
      </c>
      <c r="BB366">
        <v>5.1999999999970896</v>
      </c>
      <c r="BE366">
        <v>8.3000000000029104</v>
      </c>
      <c r="BH366">
        <v>0.100000000000023</v>
      </c>
      <c r="BI366">
        <v>12.5</v>
      </c>
      <c r="BJ366">
        <v>1.20000000000073</v>
      </c>
      <c r="BK366">
        <v>0.100000000000023</v>
      </c>
      <c r="BL366">
        <v>0.100000000000023</v>
      </c>
      <c r="BM366">
        <v>2.5999999999985399</v>
      </c>
      <c r="BN366">
        <v>0.200000000000045</v>
      </c>
      <c r="BO366">
        <v>0.100000000000023</v>
      </c>
      <c r="BQ366">
        <v>0.60000000000036402</v>
      </c>
      <c r="BR366">
        <v>0.100000000000023</v>
      </c>
      <c r="BS366">
        <v>5.4000000000014596</v>
      </c>
      <c r="BT366">
        <v>0.200000000000045</v>
      </c>
      <c r="BU366">
        <v>3.7000000000007298</v>
      </c>
      <c r="BV366">
        <v>4.1999999999993598</v>
      </c>
      <c r="BW366">
        <v>0</v>
      </c>
      <c r="BX366">
        <v>0.5</v>
      </c>
      <c r="BY366">
        <v>0.1</v>
      </c>
      <c r="CC366">
        <v>3.7</v>
      </c>
      <c r="CE366">
        <v>0.8</v>
      </c>
      <c r="CI366">
        <v>12.6</v>
      </c>
      <c r="CJ366">
        <v>6.7</v>
      </c>
      <c r="CL366">
        <v>5</v>
      </c>
      <c r="CM366">
        <v>1.5</v>
      </c>
      <c r="CN366">
        <v>0.7</v>
      </c>
      <c r="CS366">
        <v>15.2</v>
      </c>
      <c r="CV366">
        <v>3.5</v>
      </c>
      <c r="DB366">
        <v>27.1</v>
      </c>
      <c r="DC366">
        <v>18.8</v>
      </c>
      <c r="DD366" s="5">
        <v>27.8</v>
      </c>
      <c r="DJ366" s="1">
        <v>41273</v>
      </c>
      <c r="DK366" s="2">
        <f t="shared" si="31"/>
        <v>6.1816666666659961</v>
      </c>
      <c r="DL366" s="2">
        <f t="shared" si="32"/>
        <v>3.6009708737860175</v>
      </c>
      <c r="DM366" s="2">
        <f t="shared" si="33"/>
        <v>34.5</v>
      </c>
      <c r="DN366" s="3">
        <f t="shared" si="34"/>
        <v>0.58252427184466016</v>
      </c>
      <c r="DV366" s="2">
        <v>1815</v>
      </c>
      <c r="DW366">
        <v>0</v>
      </c>
      <c r="DX366">
        <f t="shared" si="36"/>
        <v>14794</v>
      </c>
      <c r="DY366">
        <f t="shared" si="35"/>
        <v>1</v>
      </c>
    </row>
    <row r="367" spans="1:129">
      <c r="A367" s="1">
        <v>41274</v>
      </c>
      <c r="B367" s="1"/>
      <c r="E367">
        <v>0.7</v>
      </c>
      <c r="F367">
        <v>14</v>
      </c>
      <c r="H367">
        <v>5.8</v>
      </c>
      <c r="I367">
        <v>9.4</v>
      </c>
      <c r="J367">
        <v>0.2</v>
      </c>
      <c r="M367">
        <v>0.1</v>
      </c>
      <c r="N367">
        <v>0.2</v>
      </c>
      <c r="O367">
        <v>1.1000000000000001</v>
      </c>
      <c r="S367">
        <v>0.7</v>
      </c>
      <c r="T367">
        <v>1.9</v>
      </c>
      <c r="U367">
        <v>4.2</v>
      </c>
      <c r="V367">
        <v>1.6</v>
      </c>
      <c r="W367">
        <v>0.5</v>
      </c>
      <c r="X367">
        <v>0.4</v>
      </c>
      <c r="Z367">
        <v>4</v>
      </c>
      <c r="AC367">
        <v>1</v>
      </c>
      <c r="AD367">
        <v>7.1999999999970896</v>
      </c>
      <c r="AE367">
        <v>9</v>
      </c>
      <c r="AG367">
        <v>0</v>
      </c>
      <c r="AJ367">
        <v>0.29999999999972699</v>
      </c>
      <c r="AK367">
        <v>7.0999999999985501</v>
      </c>
      <c r="AL367">
        <v>2.0999999999985399</v>
      </c>
      <c r="AO367">
        <v>37</v>
      </c>
      <c r="AS367">
        <v>10.1999999999971</v>
      </c>
      <c r="AT367">
        <v>0.59999999999945397</v>
      </c>
      <c r="AV367">
        <v>2.7999999999992702</v>
      </c>
      <c r="AW367">
        <v>12.599999999991301</v>
      </c>
      <c r="AY367">
        <v>8</v>
      </c>
      <c r="AZ367">
        <v>6.5</v>
      </c>
      <c r="BA367">
        <v>1.5</v>
      </c>
      <c r="BE367">
        <v>0.80000000000018201</v>
      </c>
      <c r="BI367">
        <v>0.100000000000023</v>
      </c>
      <c r="BK367">
        <v>1.20000000000073</v>
      </c>
      <c r="BL367">
        <v>0.100000000000023</v>
      </c>
      <c r="BN367">
        <v>21.600000000005799</v>
      </c>
      <c r="BO367">
        <v>0.200000000000045</v>
      </c>
      <c r="BP367">
        <v>8.6000000000058208</v>
      </c>
      <c r="BQ367">
        <v>42.4</v>
      </c>
      <c r="BV367">
        <v>5.5999999999985501</v>
      </c>
      <c r="BX367">
        <v>0.69999999999981799</v>
      </c>
      <c r="BY367">
        <v>0.1</v>
      </c>
      <c r="CC367">
        <v>8.4</v>
      </c>
      <c r="CE367">
        <v>2.7</v>
      </c>
      <c r="CH367">
        <v>2.1</v>
      </c>
      <c r="CJ367">
        <v>4.5999999999999996</v>
      </c>
      <c r="CM367">
        <v>1</v>
      </c>
      <c r="CN367">
        <v>3.5</v>
      </c>
      <c r="CO367">
        <v>25.7</v>
      </c>
      <c r="CR367">
        <v>1.4</v>
      </c>
      <c r="CV367">
        <v>14.5</v>
      </c>
      <c r="CY367">
        <v>8.9</v>
      </c>
      <c r="DA367">
        <v>1.4</v>
      </c>
      <c r="DB367">
        <v>22.8</v>
      </c>
      <c r="DC367">
        <v>15.7</v>
      </c>
      <c r="DD367" s="5">
        <v>18.2</v>
      </c>
      <c r="DJ367" s="1">
        <v>41274</v>
      </c>
      <c r="DK367" s="2">
        <f t="shared" si="31"/>
        <v>6.5999999999998531</v>
      </c>
      <c r="DL367" s="2">
        <f t="shared" si="32"/>
        <v>3.5242718446601158</v>
      </c>
      <c r="DM367" s="2">
        <f t="shared" si="33"/>
        <v>42.4</v>
      </c>
      <c r="DN367" s="3">
        <f t="shared" si="34"/>
        <v>0.53398058252427183</v>
      </c>
      <c r="DV367" s="2">
        <v>1820</v>
      </c>
      <c r="DW367">
        <v>0</v>
      </c>
      <c r="DX367">
        <f t="shared" si="36"/>
        <v>14794</v>
      </c>
      <c r="DY367">
        <f t="shared" si="35"/>
        <v>1</v>
      </c>
    </row>
    <row r="368" spans="1:129">
      <c r="A368" s="1"/>
      <c r="B368" s="1"/>
      <c r="DD368" s="5"/>
      <c r="DV368" s="2">
        <v>1825</v>
      </c>
      <c r="DW368">
        <v>0</v>
      </c>
      <c r="DX368">
        <f t="shared" si="36"/>
        <v>14794</v>
      </c>
      <c r="DY368">
        <f t="shared" si="35"/>
        <v>1</v>
      </c>
    </row>
    <row r="369" spans="1:129" s="2" customFormat="1">
      <c r="A369"/>
      <c r="B369"/>
      <c r="C369">
        <v>1911</v>
      </c>
      <c r="D369">
        <v>1912</v>
      </c>
      <c r="E369">
        <v>1913</v>
      </c>
      <c r="F369">
        <v>1914</v>
      </c>
      <c r="G369">
        <v>1915</v>
      </c>
      <c r="H369">
        <v>1916</v>
      </c>
      <c r="I369">
        <v>1917</v>
      </c>
      <c r="J369">
        <v>1918</v>
      </c>
      <c r="K369">
        <v>1919</v>
      </c>
      <c r="L369">
        <v>1920</v>
      </c>
      <c r="M369">
        <v>1921</v>
      </c>
      <c r="N369">
        <v>1922</v>
      </c>
      <c r="O369">
        <v>1923</v>
      </c>
      <c r="P369">
        <v>1924</v>
      </c>
      <c r="Q369">
        <v>1925</v>
      </c>
      <c r="R369">
        <v>1926</v>
      </c>
      <c r="S369">
        <v>1927</v>
      </c>
      <c r="T369">
        <v>1928</v>
      </c>
      <c r="U369">
        <v>1929</v>
      </c>
      <c r="V369">
        <v>1930</v>
      </c>
      <c r="W369">
        <v>1931</v>
      </c>
      <c r="X369">
        <v>1932</v>
      </c>
      <c r="Y369">
        <v>1933</v>
      </c>
      <c r="Z369">
        <v>1934</v>
      </c>
      <c r="AA369">
        <v>1935</v>
      </c>
      <c r="AB369">
        <v>1936</v>
      </c>
      <c r="AC369">
        <v>1937</v>
      </c>
      <c r="AD369">
        <v>1938</v>
      </c>
      <c r="AE369">
        <v>1939</v>
      </c>
      <c r="AF369">
        <v>1940</v>
      </c>
      <c r="AG369">
        <v>1941</v>
      </c>
      <c r="AH369">
        <v>1942</v>
      </c>
      <c r="AI369">
        <v>1943</v>
      </c>
      <c r="AJ369">
        <v>1944</v>
      </c>
      <c r="AK369">
        <v>1945</v>
      </c>
      <c r="AL369">
        <v>1946</v>
      </c>
      <c r="AM369">
        <v>1947</v>
      </c>
      <c r="AN369">
        <v>1948</v>
      </c>
      <c r="AO369">
        <v>1949</v>
      </c>
      <c r="AP369">
        <v>1950</v>
      </c>
      <c r="AQ369">
        <v>1951</v>
      </c>
      <c r="AR369">
        <v>1952</v>
      </c>
      <c r="AS369">
        <v>1953</v>
      </c>
      <c r="AT369">
        <v>1954</v>
      </c>
      <c r="AU369">
        <v>1955</v>
      </c>
      <c r="AV369">
        <v>1956</v>
      </c>
      <c r="AW369">
        <v>1957</v>
      </c>
      <c r="AX369">
        <v>1958</v>
      </c>
      <c r="AY369">
        <v>1959</v>
      </c>
      <c r="AZ369">
        <v>1960</v>
      </c>
      <c r="BA369">
        <v>1961</v>
      </c>
      <c r="BB369">
        <v>1962</v>
      </c>
      <c r="BC369">
        <v>1963</v>
      </c>
      <c r="BD369">
        <v>1964</v>
      </c>
      <c r="BE369">
        <v>1965</v>
      </c>
      <c r="BF369">
        <v>1966</v>
      </c>
      <c r="BG369">
        <v>1967</v>
      </c>
      <c r="BH369">
        <v>1968</v>
      </c>
      <c r="BI369">
        <v>1969</v>
      </c>
      <c r="BJ369">
        <v>1970</v>
      </c>
      <c r="BK369">
        <v>1971</v>
      </c>
      <c r="BL369">
        <v>1972</v>
      </c>
      <c r="BM369">
        <v>1973</v>
      </c>
      <c r="BN369">
        <v>1974</v>
      </c>
      <c r="BO369">
        <v>1975</v>
      </c>
      <c r="BP369">
        <v>1976</v>
      </c>
      <c r="BQ369">
        <v>1977</v>
      </c>
      <c r="BR369">
        <v>1978</v>
      </c>
      <c r="BS369">
        <v>1979</v>
      </c>
      <c r="BT369">
        <v>1980</v>
      </c>
      <c r="BU369">
        <v>1981</v>
      </c>
      <c r="BV369">
        <v>1982</v>
      </c>
      <c r="BW369">
        <v>1983</v>
      </c>
      <c r="BX369">
        <v>1984</v>
      </c>
      <c r="BY369">
        <v>1985</v>
      </c>
      <c r="BZ369">
        <v>1986</v>
      </c>
      <c r="CA369">
        <v>1987</v>
      </c>
      <c r="CB369">
        <v>1988</v>
      </c>
      <c r="CC369">
        <v>1989</v>
      </c>
      <c r="CD369">
        <v>1990</v>
      </c>
      <c r="CE369">
        <v>1991</v>
      </c>
      <c r="CF369">
        <v>1992</v>
      </c>
      <c r="CG369">
        <v>1993</v>
      </c>
      <c r="CH369">
        <v>1994</v>
      </c>
      <c r="CI369">
        <v>1995</v>
      </c>
      <c r="CJ369">
        <v>1996</v>
      </c>
      <c r="CK369">
        <v>1997</v>
      </c>
      <c r="CL369">
        <v>1998</v>
      </c>
      <c r="CM369">
        <v>1999</v>
      </c>
      <c r="CN369">
        <v>2000</v>
      </c>
      <c r="CO369">
        <v>2001</v>
      </c>
      <c r="CP369">
        <v>2002</v>
      </c>
      <c r="CQ369">
        <v>2003</v>
      </c>
      <c r="CR369">
        <v>2004</v>
      </c>
      <c r="CS369">
        <v>2005</v>
      </c>
      <c r="CT369">
        <v>2006</v>
      </c>
      <c r="CU369">
        <v>2007</v>
      </c>
      <c r="CV369">
        <v>2008</v>
      </c>
      <c r="CW369">
        <v>2009</v>
      </c>
      <c r="CX369">
        <v>2010</v>
      </c>
      <c r="CY369">
        <v>2011</v>
      </c>
      <c r="CZ369">
        <v>2012</v>
      </c>
      <c r="DA369">
        <v>2013</v>
      </c>
      <c r="DB369">
        <v>2014</v>
      </c>
      <c r="DC369">
        <v>2015</v>
      </c>
      <c r="DD369">
        <v>2016</v>
      </c>
      <c r="DN369" s="3"/>
      <c r="DV369" s="2">
        <v>1830</v>
      </c>
      <c r="DW369" s="2">
        <v>0</v>
      </c>
      <c r="DX369">
        <f t="shared" si="36"/>
        <v>14794</v>
      </c>
      <c r="DY369">
        <f t="shared" si="35"/>
        <v>1</v>
      </c>
    </row>
    <row r="370" spans="1:129">
      <c r="A370" t="s">
        <v>2</v>
      </c>
      <c r="C370" s="2">
        <f>SUM(C2:C367)</f>
        <v>316.2999999999999</v>
      </c>
      <c r="D370" s="2">
        <f t="shared" ref="D370:BO370" si="37">SUM(D2:D367)</f>
        <v>602.4</v>
      </c>
      <c r="E370" s="2">
        <f t="shared" si="37"/>
        <v>967.20000000000027</v>
      </c>
      <c r="F370" s="2">
        <f t="shared" si="37"/>
        <v>769.59999999999957</v>
      </c>
      <c r="G370" s="2">
        <f t="shared" si="37"/>
        <v>660.30000000000007</v>
      </c>
      <c r="H370" s="2">
        <f t="shared" si="37"/>
        <v>453.9</v>
      </c>
      <c r="I370" s="2">
        <f t="shared" si="37"/>
        <v>463.80000000000007</v>
      </c>
      <c r="J370" s="2">
        <f t="shared" si="37"/>
        <v>705.59999999999991</v>
      </c>
      <c r="K370" s="2">
        <f t="shared" si="37"/>
        <v>926</v>
      </c>
      <c r="L370" s="2">
        <f t="shared" si="37"/>
        <v>679.8</v>
      </c>
      <c r="M370" s="2">
        <f t="shared" si="37"/>
        <v>448.7000000000001</v>
      </c>
      <c r="N370" s="2">
        <f t="shared" si="37"/>
        <v>1006.9000000000001</v>
      </c>
      <c r="O370" s="2">
        <f t="shared" si="37"/>
        <v>693.70000000000016</v>
      </c>
      <c r="P370" s="2">
        <f t="shared" si="37"/>
        <v>990.1</v>
      </c>
      <c r="Q370" s="2">
        <f t="shared" si="37"/>
        <v>807.9000000000002</v>
      </c>
      <c r="R370" s="2">
        <f t="shared" si="37"/>
        <v>620.09999999999991</v>
      </c>
      <c r="S370" s="2">
        <f t="shared" si="37"/>
        <v>793.10000000000025</v>
      </c>
      <c r="T370" s="2">
        <f t="shared" si="37"/>
        <v>688.95</v>
      </c>
      <c r="U370" s="2">
        <f t="shared" si="37"/>
        <v>765.24000000000069</v>
      </c>
      <c r="V370" s="2">
        <f t="shared" si="37"/>
        <v>722.40000000000009</v>
      </c>
      <c r="W370" s="2">
        <f t="shared" si="37"/>
        <v>879.40000000000032</v>
      </c>
      <c r="X370" s="2">
        <f t="shared" si="37"/>
        <v>644.30000000000018</v>
      </c>
      <c r="Y370" s="2">
        <f t="shared" si="37"/>
        <v>949.90000000000032</v>
      </c>
      <c r="Z370" s="2">
        <f t="shared" si="37"/>
        <v>538.99999999985585</v>
      </c>
      <c r="AA370" s="2">
        <f t="shared" si="37"/>
        <v>761.13999999960686</v>
      </c>
      <c r="AB370" s="2">
        <f t="shared" si="37"/>
        <v>881.99999999963541</v>
      </c>
      <c r="AC370" s="2">
        <f t="shared" si="37"/>
        <v>887.9999999996005</v>
      </c>
      <c r="AD370" s="2">
        <f t="shared" si="37"/>
        <v>902.99999999953036</v>
      </c>
      <c r="AE370" s="2">
        <f t="shared" si="37"/>
        <v>1010.0999999996059</v>
      </c>
      <c r="AF370" s="2">
        <f t="shared" si="37"/>
        <v>1041.9999999994948</v>
      </c>
      <c r="AG370" s="2">
        <f t="shared" si="37"/>
        <v>783.19999999962943</v>
      </c>
      <c r="AH370" s="2">
        <f t="shared" si="37"/>
        <v>870.79999999956658</v>
      </c>
      <c r="AI370" s="2">
        <f t="shared" si="37"/>
        <v>928.09999999962167</v>
      </c>
      <c r="AJ370" s="2">
        <f t="shared" si="37"/>
        <v>871.39999999952954</v>
      </c>
      <c r="AK370" s="2">
        <f t="shared" si="37"/>
        <v>751.43999999974483</v>
      </c>
      <c r="AL370" s="2">
        <f t="shared" si="37"/>
        <v>657.49999999971772</v>
      </c>
      <c r="AM370" s="2">
        <f t="shared" si="37"/>
        <v>721.69999999978609</v>
      </c>
      <c r="AN370" s="2">
        <f t="shared" si="37"/>
        <v>961.72999999978492</v>
      </c>
      <c r="AO370" s="2">
        <f t="shared" si="37"/>
        <v>961.03999999965743</v>
      </c>
      <c r="AP370" s="2">
        <f t="shared" si="37"/>
        <v>743.59999999971774</v>
      </c>
      <c r="AQ370" s="2">
        <f t="shared" si="37"/>
        <v>1064.2999999993951</v>
      </c>
      <c r="AR370" s="2">
        <f t="shared" si="37"/>
        <v>772.59999999972183</v>
      </c>
      <c r="AS370" s="2">
        <f t="shared" si="37"/>
        <v>914.89999999963106</v>
      </c>
      <c r="AT370" s="2">
        <f t="shared" si="37"/>
        <v>614.69999999975653</v>
      </c>
      <c r="AU370" s="2">
        <f t="shared" si="37"/>
        <v>1055.6999999995489</v>
      </c>
      <c r="AV370" s="2">
        <f t="shared" si="37"/>
        <v>725.69999999979495</v>
      </c>
      <c r="AW370" s="2">
        <f t="shared" si="37"/>
        <v>653.21999999980119</v>
      </c>
      <c r="AX370" s="2">
        <f t="shared" si="37"/>
        <v>894.79999999962899</v>
      </c>
      <c r="AY370" s="2">
        <f t="shared" si="37"/>
        <v>861.19999999963568</v>
      </c>
      <c r="AZ370" s="2">
        <f t="shared" si="37"/>
        <v>759.19999999966467</v>
      </c>
      <c r="BA370" s="2">
        <f t="shared" si="37"/>
        <v>1139.1999999994935</v>
      </c>
      <c r="BB370" s="2">
        <f t="shared" si="37"/>
        <v>1136.1999999994571</v>
      </c>
      <c r="BC370" s="2">
        <f t="shared" si="37"/>
        <v>1005.6999999994572</v>
      </c>
      <c r="BD370" s="2">
        <f t="shared" si="37"/>
        <v>885.70000000002199</v>
      </c>
      <c r="BE370" s="2">
        <f t="shared" si="37"/>
        <v>1101.9999999999211</v>
      </c>
      <c r="BF370" s="2">
        <f t="shared" si="37"/>
        <v>897.99999999989257</v>
      </c>
      <c r="BG370" s="2">
        <f t="shared" si="37"/>
        <v>694.80000000000791</v>
      </c>
      <c r="BH370" s="2">
        <f t="shared" si="37"/>
        <v>1035.2000000000426</v>
      </c>
      <c r="BI370" s="2">
        <f t="shared" si="37"/>
        <v>864.29999999996176</v>
      </c>
      <c r="BJ370" s="2">
        <f t="shared" si="37"/>
        <v>965.89999999998042</v>
      </c>
      <c r="BK370" s="2">
        <f t="shared" si="37"/>
        <v>911.72999999998797</v>
      </c>
      <c r="BL370" s="2">
        <f t="shared" si="37"/>
        <v>801.19999999983008</v>
      </c>
      <c r="BM370" s="2">
        <f t="shared" si="37"/>
        <v>761.29999999999575</v>
      </c>
      <c r="BN370" s="2">
        <f t="shared" si="37"/>
        <v>918.30000000000348</v>
      </c>
      <c r="BO370" s="2">
        <f t="shared" si="37"/>
        <v>869.90000000001351</v>
      </c>
      <c r="BP370" s="2">
        <f>SUM(BP2:BP367)</f>
        <v>734.79999999998734</v>
      </c>
      <c r="BQ370" s="2">
        <f>SUM(BQ2:BQ367)</f>
        <v>736.30000000001371</v>
      </c>
      <c r="BR370" s="2">
        <f>SUM(BR2:BR367)</f>
        <v>929.90000000006182</v>
      </c>
      <c r="BS370" s="2">
        <f>SUM(BS2:BS367)</f>
        <v>899.59999999999161</v>
      </c>
      <c r="BT370" s="2">
        <f>SUM(BT2:BT367)</f>
        <v>921.5200000000558</v>
      </c>
      <c r="BU370" s="2">
        <f>SUM(BU2:BU367)</f>
        <v>1289.3999999998946</v>
      </c>
      <c r="BV370" s="2">
        <f>SUM(BV2:BV367)</f>
        <v>759.6999999999573</v>
      </c>
      <c r="BW370" s="2">
        <f>SUM(BW2:BW367)</f>
        <v>738.29999999996539</v>
      </c>
      <c r="BX370" s="2">
        <f>SUM(BX2:BX367)</f>
        <v>818.39999999972474</v>
      </c>
      <c r="BY370" s="2">
        <f>SUM(BY2:BY367)</f>
        <v>984.3000000000003</v>
      </c>
      <c r="BZ370" s="2">
        <f>SUM(BZ2:BZ367)</f>
        <v>745.90000000000043</v>
      </c>
      <c r="CA370" s="2">
        <f>SUM(CA2:CA367)</f>
        <v>1119.2999999999997</v>
      </c>
      <c r="CB370" s="2">
        <f>SUM(CB2:CB367)</f>
        <v>846.69999999999982</v>
      </c>
      <c r="CC370" s="2">
        <f>SUM(CC2:CC367)</f>
        <v>556.10000000000014</v>
      </c>
      <c r="CD370" s="2">
        <f>SUM(CD2:CD367)</f>
        <v>867.6999999999997</v>
      </c>
      <c r="CE370" s="2">
        <f>SUM(CE2:CE367)</f>
        <v>866.2</v>
      </c>
      <c r="CF370" s="2">
        <f>SUM(CF2:CF367)</f>
        <v>754.09999999999991</v>
      </c>
      <c r="CG370" s="2">
        <f>SUM(CG2:CG367)</f>
        <v>652.30000000001735</v>
      </c>
      <c r="CH370" s="2">
        <f>SUM(CH2:CH367)</f>
        <v>777.7000000000038</v>
      </c>
      <c r="CI370" s="2">
        <f>SUM(CI2:CI367)</f>
        <v>872.30000000001132</v>
      </c>
      <c r="CJ370" s="2">
        <f>SUM(CJ2:CJ367)</f>
        <v>874.7</v>
      </c>
      <c r="CK370" s="2">
        <f>SUM(CK2:CK367)</f>
        <v>1169.7</v>
      </c>
      <c r="CL370" s="2">
        <f>SUM(CL2:CL367)</f>
        <v>877.79999999999984</v>
      </c>
      <c r="CM370" s="2">
        <f>SUM(CM2:CM367)</f>
        <v>801.50000000000011</v>
      </c>
      <c r="CN370" s="2">
        <f>SUM(CN2:CN367)</f>
        <v>809.7</v>
      </c>
      <c r="CO370" s="2">
        <f>SUM(CO2:CO367)</f>
        <v>1049.8000000000004</v>
      </c>
      <c r="CP370" s="2">
        <f>SUM(CP2:CP367)</f>
        <v>846.00000000000034</v>
      </c>
      <c r="CQ370" s="2">
        <f>SUM(CQ2:CQ367)</f>
        <v>829.10000000000036</v>
      </c>
      <c r="CR370" s="2">
        <f>SUM(CR2:CR367)</f>
        <v>950.00000000000023</v>
      </c>
      <c r="CS370" s="2">
        <f>SUM(CS2:CS367)</f>
        <v>889.5</v>
      </c>
      <c r="CT370" s="2">
        <f>SUM(CT2:CT367)</f>
        <v>840.20000000000016</v>
      </c>
      <c r="CU370" s="2">
        <f>SUM(CU2:CU367)</f>
        <v>575.3000000000003</v>
      </c>
      <c r="CV370" s="2">
        <f>SUM(CV2:CV367)</f>
        <v>899.19999999999993</v>
      </c>
      <c r="CW370" s="2">
        <f>SUM(CW2:CW367)</f>
        <v>930.80000000000052</v>
      </c>
      <c r="CX370" s="2">
        <f>SUM(CX2:CX367)</f>
        <v>1198.8999999999992</v>
      </c>
      <c r="CY370" s="2">
        <f>SUM(CY2:CY367)</f>
        <v>615.40000000000009</v>
      </c>
      <c r="CZ370" s="2">
        <f>SUM(CZ2:CZ367)</f>
        <v>810.2</v>
      </c>
      <c r="DA370" s="2">
        <f>SUM(DA2:DA367)</f>
        <v>553.00000000000011</v>
      </c>
      <c r="DB370" s="2">
        <f t="shared" ref="DB370:DD370" si="38">SUM(DB2:DB367)</f>
        <v>967.80000000000041</v>
      </c>
      <c r="DC370" s="2">
        <f t="shared" si="38"/>
        <v>919.40000000000032</v>
      </c>
      <c r="DD370" s="2">
        <f t="shared" si="38"/>
        <v>912.0200000000001</v>
      </c>
      <c r="DV370" s="2">
        <v>1835</v>
      </c>
      <c r="DW370">
        <v>0</v>
      </c>
      <c r="DX370">
        <f t="shared" si="36"/>
        <v>14794</v>
      </c>
      <c r="DY370">
        <f t="shared" si="35"/>
        <v>1</v>
      </c>
    </row>
    <row r="371" spans="1:129">
      <c r="A371" t="s">
        <v>24</v>
      </c>
      <c r="D371">
        <f t="shared" ref="D371:BO373" si="39">COUNTIF(D$2:D$367,$A371)</f>
        <v>12</v>
      </c>
      <c r="E371">
        <f t="shared" si="39"/>
        <v>11</v>
      </c>
      <c r="F371">
        <f t="shared" si="39"/>
        <v>49</v>
      </c>
      <c r="G371">
        <f t="shared" si="39"/>
        <v>36</v>
      </c>
      <c r="H371">
        <f t="shared" si="39"/>
        <v>28</v>
      </c>
      <c r="I371">
        <f t="shared" si="39"/>
        <v>2</v>
      </c>
      <c r="J371">
        <f t="shared" si="39"/>
        <v>11</v>
      </c>
      <c r="K371">
        <f t="shared" si="39"/>
        <v>8</v>
      </c>
      <c r="L371">
        <f t="shared" si="39"/>
        <v>19</v>
      </c>
      <c r="M371">
        <f t="shared" si="39"/>
        <v>28</v>
      </c>
      <c r="N371">
        <f t="shared" si="39"/>
        <v>27</v>
      </c>
      <c r="O371">
        <f t="shared" si="39"/>
        <v>23</v>
      </c>
      <c r="P371">
        <f t="shared" si="39"/>
        <v>14</v>
      </c>
      <c r="Q371">
        <f t="shared" si="39"/>
        <v>19</v>
      </c>
      <c r="R371">
        <f t="shared" si="39"/>
        <v>16</v>
      </c>
      <c r="S371">
        <f t="shared" si="39"/>
        <v>9</v>
      </c>
      <c r="T371">
        <f t="shared" si="39"/>
        <v>16</v>
      </c>
      <c r="U371">
        <f t="shared" si="39"/>
        <v>57</v>
      </c>
      <c r="V371">
        <f t="shared" si="39"/>
        <v>31</v>
      </c>
      <c r="W371">
        <f t="shared" si="39"/>
        <v>24</v>
      </c>
      <c r="X371">
        <f t="shared" si="39"/>
        <v>31</v>
      </c>
      <c r="Y371">
        <f t="shared" si="39"/>
        <v>37</v>
      </c>
      <c r="Z371">
        <f t="shared" si="39"/>
        <v>22</v>
      </c>
      <c r="AA371">
        <f t="shared" si="39"/>
        <v>23</v>
      </c>
      <c r="AB371">
        <f t="shared" si="39"/>
        <v>15</v>
      </c>
      <c r="AC371">
        <f t="shared" si="39"/>
        <v>19</v>
      </c>
      <c r="AD371">
        <f t="shared" si="39"/>
        <v>24</v>
      </c>
      <c r="AE371">
        <f t="shared" si="39"/>
        <v>46</v>
      </c>
      <c r="AF371">
        <f t="shared" si="39"/>
        <v>36</v>
      </c>
      <c r="AG371">
        <f t="shared" si="39"/>
        <v>33</v>
      </c>
      <c r="AH371">
        <f t="shared" si="39"/>
        <v>44</v>
      </c>
      <c r="AI371">
        <f t="shared" si="39"/>
        <v>24</v>
      </c>
      <c r="AJ371">
        <f t="shared" si="39"/>
        <v>31</v>
      </c>
      <c r="AK371">
        <f t="shared" si="39"/>
        <v>26</v>
      </c>
      <c r="AL371">
        <f t="shared" si="39"/>
        <v>22</v>
      </c>
      <c r="AM371">
        <f t="shared" si="39"/>
        <v>14</v>
      </c>
      <c r="AN371">
        <f t="shared" si="39"/>
        <v>17</v>
      </c>
      <c r="AO371">
        <f t="shared" si="39"/>
        <v>29</v>
      </c>
      <c r="AP371">
        <f t="shared" si="39"/>
        <v>18</v>
      </c>
      <c r="AQ371">
        <f t="shared" si="39"/>
        <v>14</v>
      </c>
      <c r="AR371">
        <f t="shared" si="39"/>
        <v>11</v>
      </c>
      <c r="AS371">
        <f t="shared" si="39"/>
        <v>30</v>
      </c>
      <c r="AT371">
        <f t="shared" si="39"/>
        <v>25</v>
      </c>
      <c r="AU371">
        <f t="shared" si="39"/>
        <v>22</v>
      </c>
      <c r="AV371">
        <f t="shared" si="39"/>
        <v>11</v>
      </c>
      <c r="AW371">
        <f t="shared" si="39"/>
        <v>20</v>
      </c>
      <c r="AX371">
        <f t="shared" si="39"/>
        <v>30</v>
      </c>
      <c r="AY371">
        <f t="shared" si="39"/>
        <v>12</v>
      </c>
      <c r="AZ371">
        <f t="shared" si="39"/>
        <v>13</v>
      </c>
      <c r="BA371">
        <f t="shared" si="39"/>
        <v>14</v>
      </c>
      <c r="BB371">
        <f t="shared" si="39"/>
        <v>19</v>
      </c>
      <c r="BC371">
        <f t="shared" si="39"/>
        <v>19</v>
      </c>
      <c r="BD371">
        <f t="shared" si="39"/>
        <v>20</v>
      </c>
      <c r="BE371">
        <f t="shared" si="39"/>
        <v>11</v>
      </c>
      <c r="BF371">
        <f t="shared" si="39"/>
        <v>11</v>
      </c>
      <c r="BG371">
        <f t="shared" si="39"/>
        <v>18</v>
      </c>
      <c r="BH371">
        <f t="shared" si="39"/>
        <v>38</v>
      </c>
      <c r="BI371">
        <f t="shared" si="39"/>
        <v>75</v>
      </c>
      <c r="BJ371">
        <f t="shared" si="39"/>
        <v>100</v>
      </c>
      <c r="BK371">
        <f t="shared" si="39"/>
        <v>107</v>
      </c>
      <c r="BL371">
        <f t="shared" si="39"/>
        <v>82</v>
      </c>
      <c r="BM371">
        <f t="shared" si="39"/>
        <v>77</v>
      </c>
      <c r="BN371">
        <f t="shared" si="39"/>
        <v>98</v>
      </c>
      <c r="BO371">
        <f t="shared" si="39"/>
        <v>59</v>
      </c>
      <c r="BP371">
        <f t="shared" ref="BP371:DB373" si="40">COUNTIF(BP$2:BP$367,$A371)</f>
        <v>43</v>
      </c>
      <c r="BQ371">
        <f t="shared" si="40"/>
        <v>51</v>
      </c>
      <c r="BR371">
        <f t="shared" si="40"/>
        <v>52</v>
      </c>
      <c r="BS371">
        <f t="shared" si="40"/>
        <v>53</v>
      </c>
      <c r="BT371">
        <f t="shared" si="40"/>
        <v>53</v>
      </c>
      <c r="BU371">
        <f t="shared" si="40"/>
        <v>47</v>
      </c>
      <c r="BV371">
        <f t="shared" si="40"/>
        <v>59</v>
      </c>
      <c r="BW371">
        <f t="shared" si="40"/>
        <v>75</v>
      </c>
      <c r="BX371">
        <f t="shared" si="40"/>
        <v>51</v>
      </c>
      <c r="BY371">
        <f t="shared" si="40"/>
        <v>51</v>
      </c>
      <c r="BZ371">
        <f t="shared" si="40"/>
        <v>41</v>
      </c>
      <c r="CA371">
        <f t="shared" si="40"/>
        <v>43</v>
      </c>
      <c r="CB371">
        <f t="shared" si="40"/>
        <v>27</v>
      </c>
      <c r="CC371">
        <f t="shared" si="40"/>
        <v>32</v>
      </c>
      <c r="CD371">
        <f t="shared" si="40"/>
        <v>25</v>
      </c>
      <c r="CE371">
        <f t="shared" si="40"/>
        <v>40</v>
      </c>
      <c r="CF371">
        <f t="shared" si="40"/>
        <v>21</v>
      </c>
      <c r="CG371">
        <f t="shared" si="40"/>
        <v>34</v>
      </c>
      <c r="CH371">
        <f t="shared" si="40"/>
        <v>36</v>
      </c>
      <c r="CI371">
        <f t="shared" si="40"/>
        <v>34</v>
      </c>
      <c r="CJ371">
        <f t="shared" si="40"/>
        <v>13</v>
      </c>
      <c r="CK371">
        <f t="shared" si="40"/>
        <v>17</v>
      </c>
      <c r="CL371">
        <f t="shared" si="40"/>
        <v>17</v>
      </c>
      <c r="CM371">
        <f t="shared" si="40"/>
        <v>11</v>
      </c>
      <c r="CN371">
        <f t="shared" si="40"/>
        <v>18</v>
      </c>
      <c r="CO371">
        <f t="shared" si="40"/>
        <v>12</v>
      </c>
      <c r="CP371">
        <f t="shared" si="40"/>
        <v>16</v>
      </c>
      <c r="CQ371">
        <f t="shared" si="40"/>
        <v>29</v>
      </c>
      <c r="CR371">
        <f t="shared" si="40"/>
        <v>34</v>
      </c>
      <c r="CS371">
        <f t="shared" si="40"/>
        <v>27</v>
      </c>
      <c r="CT371">
        <f t="shared" si="40"/>
        <v>22</v>
      </c>
      <c r="CU371">
        <f t="shared" si="40"/>
        <v>38</v>
      </c>
      <c r="CV371">
        <f t="shared" si="40"/>
        <v>30</v>
      </c>
      <c r="CW371">
        <f t="shared" si="40"/>
        <v>22</v>
      </c>
      <c r="CX371">
        <f t="shared" si="40"/>
        <v>36</v>
      </c>
      <c r="CY371">
        <f t="shared" si="40"/>
        <v>34</v>
      </c>
      <c r="CZ371">
        <f t="shared" si="40"/>
        <v>35</v>
      </c>
      <c r="DA371">
        <f t="shared" si="40"/>
        <v>41</v>
      </c>
      <c r="DB371">
        <f t="shared" si="40"/>
        <v>36</v>
      </c>
      <c r="DC371">
        <f t="shared" ref="DB371:DD373" si="41">COUNTIF(DC$2:DC$367,$A371)</f>
        <v>24</v>
      </c>
      <c r="DD371">
        <f t="shared" si="41"/>
        <v>27</v>
      </c>
      <c r="DV371" s="2">
        <v>1840</v>
      </c>
      <c r="DW371">
        <v>0</v>
      </c>
      <c r="DX371">
        <f t="shared" si="36"/>
        <v>14794</v>
      </c>
      <c r="DY371">
        <f t="shared" si="35"/>
        <v>1</v>
      </c>
    </row>
    <row r="372" spans="1:129">
      <c r="A372" t="s">
        <v>23</v>
      </c>
      <c r="C372">
        <f t="shared" ref="C372:C373" si="42">COUNTIF(C$2:C$367,$A372)</f>
        <v>34</v>
      </c>
      <c r="D372">
        <f t="shared" si="39"/>
        <v>107</v>
      </c>
      <c r="E372">
        <f t="shared" si="39"/>
        <v>118</v>
      </c>
      <c r="F372">
        <f t="shared" si="39"/>
        <v>135</v>
      </c>
      <c r="G372">
        <f t="shared" si="39"/>
        <v>117</v>
      </c>
      <c r="H372">
        <f t="shared" si="39"/>
        <v>109</v>
      </c>
      <c r="I372">
        <f t="shared" si="39"/>
        <v>100</v>
      </c>
      <c r="J372">
        <f t="shared" si="39"/>
        <v>97</v>
      </c>
      <c r="K372">
        <f t="shared" si="39"/>
        <v>122</v>
      </c>
      <c r="L372">
        <f t="shared" si="39"/>
        <v>106</v>
      </c>
      <c r="M372">
        <f t="shared" si="39"/>
        <v>102</v>
      </c>
      <c r="N372">
        <f t="shared" si="39"/>
        <v>124</v>
      </c>
      <c r="O372">
        <f t="shared" si="39"/>
        <v>88</v>
      </c>
      <c r="P372">
        <f t="shared" si="39"/>
        <v>118</v>
      </c>
      <c r="Q372">
        <f t="shared" si="39"/>
        <v>111</v>
      </c>
      <c r="R372">
        <f t="shared" si="39"/>
        <v>89</v>
      </c>
      <c r="S372">
        <f t="shared" si="39"/>
        <v>93</v>
      </c>
      <c r="T372">
        <f t="shared" si="39"/>
        <v>107</v>
      </c>
      <c r="U372">
        <f t="shared" si="39"/>
        <v>100</v>
      </c>
      <c r="V372">
        <f t="shared" si="39"/>
        <v>105</v>
      </c>
      <c r="W372">
        <f t="shared" si="39"/>
        <v>113</v>
      </c>
      <c r="X372">
        <f t="shared" si="39"/>
        <v>91</v>
      </c>
      <c r="Y372">
        <f t="shared" si="39"/>
        <v>131</v>
      </c>
      <c r="Z372">
        <f t="shared" si="39"/>
        <v>79</v>
      </c>
      <c r="AA372">
        <f t="shared" si="39"/>
        <v>114</v>
      </c>
      <c r="AB372">
        <f t="shared" si="39"/>
        <v>123</v>
      </c>
      <c r="AC372">
        <f t="shared" si="39"/>
        <v>112</v>
      </c>
      <c r="AD372">
        <f t="shared" si="39"/>
        <v>112</v>
      </c>
      <c r="AE372">
        <f t="shared" si="39"/>
        <v>116</v>
      </c>
      <c r="AF372">
        <f t="shared" si="39"/>
        <v>118</v>
      </c>
      <c r="AG372">
        <f t="shared" si="39"/>
        <v>116</v>
      </c>
      <c r="AH372">
        <f t="shared" si="39"/>
        <v>104</v>
      </c>
      <c r="AI372">
        <f t="shared" si="39"/>
        <v>116</v>
      </c>
      <c r="AJ372">
        <f t="shared" si="39"/>
        <v>120</v>
      </c>
      <c r="AK372">
        <f t="shared" si="39"/>
        <v>109</v>
      </c>
      <c r="AL372">
        <f t="shared" si="39"/>
        <v>110</v>
      </c>
      <c r="AM372">
        <f t="shared" si="39"/>
        <v>113</v>
      </c>
      <c r="AN372">
        <f t="shared" si="39"/>
        <v>112</v>
      </c>
      <c r="AO372">
        <f t="shared" si="39"/>
        <v>113</v>
      </c>
      <c r="AP372">
        <f t="shared" si="39"/>
        <v>98</v>
      </c>
      <c r="AQ372">
        <f t="shared" si="39"/>
        <v>114</v>
      </c>
      <c r="AR372">
        <f t="shared" si="39"/>
        <v>102</v>
      </c>
      <c r="AS372">
        <f t="shared" si="39"/>
        <v>121</v>
      </c>
      <c r="AT372">
        <f t="shared" si="39"/>
        <v>120</v>
      </c>
      <c r="AU372">
        <f t="shared" si="39"/>
        <v>121</v>
      </c>
      <c r="AV372">
        <f t="shared" si="39"/>
        <v>117</v>
      </c>
      <c r="AW372">
        <f t="shared" si="39"/>
        <v>108</v>
      </c>
      <c r="AX372">
        <f t="shared" si="39"/>
        <v>103</v>
      </c>
      <c r="AY372">
        <f t="shared" si="39"/>
        <v>129</v>
      </c>
      <c r="AZ372">
        <f t="shared" si="39"/>
        <v>119</v>
      </c>
      <c r="BA372">
        <f t="shared" si="39"/>
        <v>124</v>
      </c>
      <c r="BB372">
        <f t="shared" si="39"/>
        <v>127</v>
      </c>
      <c r="BC372">
        <f t="shared" si="39"/>
        <v>123</v>
      </c>
      <c r="BD372">
        <f t="shared" si="39"/>
        <v>114</v>
      </c>
      <c r="BE372">
        <f t="shared" si="39"/>
        <v>137</v>
      </c>
      <c r="BF372">
        <f t="shared" si="39"/>
        <v>111</v>
      </c>
      <c r="BG372">
        <f t="shared" si="39"/>
        <v>119</v>
      </c>
      <c r="BH372">
        <f t="shared" si="39"/>
        <v>129</v>
      </c>
      <c r="BI372">
        <f t="shared" si="39"/>
        <v>112</v>
      </c>
      <c r="BJ372">
        <f t="shared" si="39"/>
        <v>120</v>
      </c>
      <c r="BK372">
        <f t="shared" si="39"/>
        <v>125</v>
      </c>
      <c r="BL372">
        <f t="shared" si="39"/>
        <v>113</v>
      </c>
      <c r="BM372">
        <f t="shared" si="39"/>
        <v>122</v>
      </c>
      <c r="BN372">
        <f t="shared" si="39"/>
        <v>118</v>
      </c>
      <c r="BO372">
        <f t="shared" si="39"/>
        <v>118</v>
      </c>
      <c r="BP372">
        <f t="shared" si="40"/>
        <v>122</v>
      </c>
      <c r="BQ372">
        <f t="shared" si="40"/>
        <v>116</v>
      </c>
      <c r="BR372">
        <f t="shared" si="40"/>
        <v>132</v>
      </c>
      <c r="BS372">
        <f t="shared" si="40"/>
        <v>126</v>
      </c>
      <c r="BT372">
        <f t="shared" si="40"/>
        <v>120</v>
      </c>
      <c r="BU372">
        <f t="shared" si="40"/>
        <v>129</v>
      </c>
      <c r="BV372">
        <f t="shared" si="40"/>
        <v>118</v>
      </c>
      <c r="BW372">
        <f t="shared" si="40"/>
        <v>114</v>
      </c>
      <c r="BX372">
        <f t="shared" si="40"/>
        <v>123</v>
      </c>
      <c r="BY372">
        <f t="shared" si="40"/>
        <v>116</v>
      </c>
      <c r="BZ372">
        <f t="shared" si="40"/>
        <v>106</v>
      </c>
      <c r="CA372">
        <f t="shared" si="40"/>
        <v>126</v>
      </c>
      <c r="CB372">
        <f t="shared" si="40"/>
        <v>117</v>
      </c>
      <c r="CC372">
        <f t="shared" si="40"/>
        <v>99</v>
      </c>
      <c r="CD372">
        <f t="shared" si="40"/>
        <v>102</v>
      </c>
      <c r="CE372">
        <f t="shared" si="40"/>
        <v>133</v>
      </c>
      <c r="CF372">
        <f t="shared" si="40"/>
        <v>114</v>
      </c>
      <c r="CG372">
        <f t="shared" si="40"/>
        <v>98</v>
      </c>
      <c r="CH372">
        <f t="shared" si="40"/>
        <v>108</v>
      </c>
      <c r="CI372">
        <f t="shared" si="40"/>
        <v>131</v>
      </c>
      <c r="CJ372">
        <f t="shared" si="40"/>
        <v>132</v>
      </c>
      <c r="CK372">
        <f t="shared" si="40"/>
        <v>126</v>
      </c>
      <c r="CL372">
        <f t="shared" si="40"/>
        <v>121</v>
      </c>
      <c r="CM372">
        <f t="shared" si="40"/>
        <v>109</v>
      </c>
      <c r="CN372">
        <f t="shared" si="40"/>
        <v>108</v>
      </c>
      <c r="CO372">
        <f t="shared" si="40"/>
        <v>115</v>
      </c>
      <c r="CP372">
        <f t="shared" si="40"/>
        <v>113</v>
      </c>
      <c r="CQ372">
        <f t="shared" si="40"/>
        <v>117</v>
      </c>
      <c r="CR372">
        <f t="shared" si="40"/>
        <v>100</v>
      </c>
      <c r="CS372">
        <f t="shared" si="40"/>
        <v>143</v>
      </c>
      <c r="CT372">
        <f t="shared" si="40"/>
        <v>104</v>
      </c>
      <c r="CU372">
        <f t="shared" si="40"/>
        <v>104</v>
      </c>
      <c r="CV372">
        <f t="shared" si="40"/>
        <v>104</v>
      </c>
      <c r="CW372">
        <f t="shared" si="40"/>
        <v>128</v>
      </c>
      <c r="CX372">
        <f t="shared" si="40"/>
        <v>124</v>
      </c>
      <c r="CY372">
        <f t="shared" si="40"/>
        <v>103</v>
      </c>
      <c r="CZ372">
        <f t="shared" si="40"/>
        <v>114</v>
      </c>
      <c r="DA372">
        <f t="shared" si="40"/>
        <v>114</v>
      </c>
      <c r="DB372">
        <f t="shared" si="41"/>
        <v>129</v>
      </c>
      <c r="DC372">
        <f t="shared" si="41"/>
        <v>116</v>
      </c>
      <c r="DD372">
        <f t="shared" si="41"/>
        <v>125</v>
      </c>
      <c r="DV372" s="2">
        <v>1845</v>
      </c>
      <c r="DW372">
        <v>0</v>
      </c>
      <c r="DX372">
        <f t="shared" si="36"/>
        <v>14794</v>
      </c>
      <c r="DY372">
        <f t="shared" si="35"/>
        <v>1</v>
      </c>
    </row>
    <row r="373" spans="1:129">
      <c r="A373" t="s">
        <v>22</v>
      </c>
      <c r="C373">
        <f t="shared" si="42"/>
        <v>2</v>
      </c>
      <c r="D373">
        <f t="shared" si="39"/>
        <v>4</v>
      </c>
      <c r="E373">
        <f t="shared" si="39"/>
        <v>6</v>
      </c>
      <c r="F373">
        <f t="shared" si="39"/>
        <v>7</v>
      </c>
      <c r="G373">
        <f t="shared" si="39"/>
        <v>3</v>
      </c>
      <c r="H373">
        <f t="shared" si="39"/>
        <v>0</v>
      </c>
      <c r="I373">
        <f t="shared" si="39"/>
        <v>3</v>
      </c>
      <c r="J373">
        <f t="shared" si="39"/>
        <v>7</v>
      </c>
      <c r="K373">
        <f t="shared" si="39"/>
        <v>8</v>
      </c>
      <c r="L373">
        <f t="shared" si="39"/>
        <v>4</v>
      </c>
      <c r="M373">
        <f t="shared" si="39"/>
        <v>4</v>
      </c>
      <c r="N373">
        <f t="shared" si="39"/>
        <v>10</v>
      </c>
      <c r="O373">
        <f t="shared" si="39"/>
        <v>7</v>
      </c>
      <c r="P373">
        <f t="shared" si="39"/>
        <v>9</v>
      </c>
      <c r="Q373">
        <f t="shared" si="39"/>
        <v>10</v>
      </c>
      <c r="R373">
        <f t="shared" si="39"/>
        <v>2</v>
      </c>
      <c r="S373">
        <f t="shared" si="39"/>
        <v>7</v>
      </c>
      <c r="T373">
        <f t="shared" si="39"/>
        <v>3</v>
      </c>
      <c r="U373">
        <f t="shared" si="39"/>
        <v>7</v>
      </c>
      <c r="V373">
        <f t="shared" si="39"/>
        <v>3</v>
      </c>
      <c r="W373">
        <f t="shared" si="39"/>
        <v>6</v>
      </c>
      <c r="X373">
        <f t="shared" si="39"/>
        <v>5</v>
      </c>
      <c r="Y373">
        <f t="shared" si="39"/>
        <v>7</v>
      </c>
      <c r="Z373">
        <f t="shared" si="39"/>
        <v>3</v>
      </c>
      <c r="AA373">
        <f t="shared" si="39"/>
        <v>7</v>
      </c>
      <c r="AB373">
        <f t="shared" si="39"/>
        <v>5</v>
      </c>
      <c r="AC373">
        <f t="shared" si="39"/>
        <v>7</v>
      </c>
      <c r="AD373">
        <f t="shared" si="39"/>
        <v>6</v>
      </c>
      <c r="AE373">
        <f t="shared" si="39"/>
        <v>9</v>
      </c>
      <c r="AF373">
        <f t="shared" si="39"/>
        <v>10</v>
      </c>
      <c r="AG373">
        <f t="shared" si="39"/>
        <v>5</v>
      </c>
      <c r="AH373">
        <f t="shared" si="39"/>
        <v>7</v>
      </c>
      <c r="AI373">
        <f t="shared" si="39"/>
        <v>9</v>
      </c>
      <c r="AJ373">
        <f t="shared" si="39"/>
        <v>5</v>
      </c>
      <c r="AK373">
        <f t="shared" si="39"/>
        <v>7</v>
      </c>
      <c r="AL373">
        <f t="shared" si="39"/>
        <v>3</v>
      </c>
      <c r="AM373">
        <f t="shared" si="39"/>
        <v>4</v>
      </c>
      <c r="AN373">
        <f t="shared" si="39"/>
        <v>10</v>
      </c>
      <c r="AO373">
        <f t="shared" si="39"/>
        <v>7</v>
      </c>
      <c r="AP373">
        <f t="shared" si="39"/>
        <v>4</v>
      </c>
      <c r="AQ373">
        <f t="shared" si="39"/>
        <v>6</v>
      </c>
      <c r="AR373">
        <f t="shared" si="39"/>
        <v>5</v>
      </c>
      <c r="AS373">
        <f t="shared" si="39"/>
        <v>8</v>
      </c>
      <c r="AT373">
        <f t="shared" si="39"/>
        <v>3</v>
      </c>
      <c r="AU373">
        <f t="shared" si="39"/>
        <v>9</v>
      </c>
      <c r="AV373">
        <f t="shared" si="39"/>
        <v>4</v>
      </c>
      <c r="AW373">
        <f t="shared" si="39"/>
        <v>2</v>
      </c>
      <c r="AX373">
        <f t="shared" si="39"/>
        <v>7</v>
      </c>
      <c r="AY373">
        <f t="shared" si="39"/>
        <v>6</v>
      </c>
      <c r="AZ373">
        <f t="shared" si="39"/>
        <v>3</v>
      </c>
      <c r="BA373">
        <f t="shared" si="39"/>
        <v>9</v>
      </c>
      <c r="BB373">
        <f t="shared" si="39"/>
        <v>11</v>
      </c>
      <c r="BC373">
        <f t="shared" si="39"/>
        <v>6</v>
      </c>
      <c r="BD373">
        <f t="shared" si="39"/>
        <v>9</v>
      </c>
      <c r="BE373">
        <f t="shared" si="39"/>
        <v>10</v>
      </c>
      <c r="BF373">
        <f t="shared" si="39"/>
        <v>7</v>
      </c>
      <c r="BG373">
        <f t="shared" si="39"/>
        <v>1</v>
      </c>
      <c r="BH373">
        <f t="shared" si="39"/>
        <v>9</v>
      </c>
      <c r="BI373">
        <f t="shared" si="39"/>
        <v>5</v>
      </c>
      <c r="BJ373">
        <f t="shared" si="39"/>
        <v>7</v>
      </c>
      <c r="BK373">
        <f t="shared" si="39"/>
        <v>7</v>
      </c>
      <c r="BL373">
        <f t="shared" si="39"/>
        <v>7</v>
      </c>
      <c r="BM373">
        <f t="shared" si="39"/>
        <v>5</v>
      </c>
      <c r="BN373">
        <f t="shared" si="39"/>
        <v>5</v>
      </c>
      <c r="BO373">
        <f t="shared" si="39"/>
        <v>7</v>
      </c>
      <c r="BP373">
        <f t="shared" si="40"/>
        <v>7</v>
      </c>
      <c r="BQ373">
        <f t="shared" si="40"/>
        <v>3</v>
      </c>
      <c r="BR373">
        <f t="shared" si="40"/>
        <v>7</v>
      </c>
      <c r="BS373">
        <f t="shared" si="40"/>
        <v>9</v>
      </c>
      <c r="BT373">
        <f t="shared" si="40"/>
        <v>10</v>
      </c>
      <c r="BU373">
        <f t="shared" si="40"/>
        <v>13</v>
      </c>
      <c r="BV373">
        <f t="shared" si="40"/>
        <v>5</v>
      </c>
      <c r="BW373">
        <f t="shared" si="40"/>
        <v>5</v>
      </c>
      <c r="BX373">
        <f t="shared" si="40"/>
        <v>6</v>
      </c>
      <c r="BY373">
        <f t="shared" si="40"/>
        <v>7</v>
      </c>
      <c r="BZ373">
        <f t="shared" si="40"/>
        <v>4</v>
      </c>
      <c r="CA373">
        <f t="shared" si="40"/>
        <v>9</v>
      </c>
      <c r="CB373">
        <f t="shared" si="40"/>
        <v>6</v>
      </c>
      <c r="CC373">
        <f t="shared" si="40"/>
        <v>5</v>
      </c>
      <c r="CD373">
        <f t="shared" si="40"/>
        <v>8</v>
      </c>
      <c r="CE373">
        <f t="shared" si="40"/>
        <v>5</v>
      </c>
      <c r="CF373">
        <f t="shared" si="40"/>
        <v>5</v>
      </c>
      <c r="CG373">
        <f t="shared" si="40"/>
        <v>5</v>
      </c>
      <c r="CH373">
        <f t="shared" si="40"/>
        <v>6</v>
      </c>
      <c r="CI373">
        <f t="shared" si="40"/>
        <v>6</v>
      </c>
      <c r="CJ373">
        <f t="shared" si="40"/>
        <v>7</v>
      </c>
      <c r="CK373">
        <f t="shared" si="40"/>
        <v>11</v>
      </c>
      <c r="CL373">
        <f t="shared" si="40"/>
        <v>3</v>
      </c>
      <c r="CM373">
        <f t="shared" si="40"/>
        <v>4</v>
      </c>
      <c r="CN373">
        <f t="shared" si="40"/>
        <v>5</v>
      </c>
      <c r="CO373">
        <f t="shared" si="40"/>
        <v>13</v>
      </c>
      <c r="CP373">
        <f t="shared" si="40"/>
        <v>6</v>
      </c>
      <c r="CQ373">
        <f t="shared" si="40"/>
        <v>4</v>
      </c>
      <c r="CR373">
        <f t="shared" si="40"/>
        <v>7</v>
      </c>
      <c r="CS373">
        <f t="shared" si="40"/>
        <v>5</v>
      </c>
      <c r="CT373">
        <f t="shared" si="40"/>
        <v>8</v>
      </c>
      <c r="CU373">
        <f t="shared" si="40"/>
        <v>3</v>
      </c>
      <c r="CV373">
        <f t="shared" si="40"/>
        <v>7</v>
      </c>
      <c r="CW373">
        <f t="shared" si="40"/>
        <v>9</v>
      </c>
      <c r="CX373">
        <f t="shared" si="40"/>
        <v>14</v>
      </c>
      <c r="CY373">
        <f t="shared" si="40"/>
        <v>3</v>
      </c>
      <c r="CZ373">
        <f t="shared" si="40"/>
        <v>2</v>
      </c>
      <c r="DA373">
        <f t="shared" si="40"/>
        <v>1</v>
      </c>
      <c r="DB373">
        <f t="shared" si="41"/>
        <v>8</v>
      </c>
      <c r="DC373">
        <f t="shared" si="41"/>
        <v>7</v>
      </c>
      <c r="DD373">
        <f t="shared" si="41"/>
        <v>7</v>
      </c>
      <c r="DV373" s="2">
        <v>1850</v>
      </c>
      <c r="DW373">
        <v>0</v>
      </c>
      <c r="DX373">
        <f t="shared" si="36"/>
        <v>14794</v>
      </c>
      <c r="DY373">
        <f t="shared" si="35"/>
        <v>1</v>
      </c>
    </row>
    <row r="374" spans="1:129">
      <c r="C374">
        <f>C370/5</f>
        <v>63.259999999999977</v>
      </c>
      <c r="D374">
        <f t="shared" ref="D374:BO374" si="43">D370/5</f>
        <v>120.47999999999999</v>
      </c>
      <c r="E374">
        <f t="shared" si="43"/>
        <v>193.44000000000005</v>
      </c>
      <c r="F374">
        <f t="shared" si="43"/>
        <v>153.9199999999999</v>
      </c>
      <c r="G374">
        <f t="shared" si="43"/>
        <v>132.06</v>
      </c>
      <c r="H374">
        <f t="shared" si="43"/>
        <v>90.78</v>
      </c>
      <c r="I374">
        <f t="shared" si="43"/>
        <v>92.760000000000019</v>
      </c>
      <c r="J374">
        <f t="shared" si="43"/>
        <v>141.11999999999998</v>
      </c>
      <c r="K374">
        <f t="shared" si="43"/>
        <v>185.2</v>
      </c>
      <c r="L374">
        <f t="shared" si="43"/>
        <v>135.95999999999998</v>
      </c>
      <c r="M374">
        <f t="shared" si="43"/>
        <v>89.740000000000023</v>
      </c>
      <c r="N374">
        <f t="shared" si="43"/>
        <v>201.38000000000002</v>
      </c>
      <c r="O374">
        <f t="shared" si="43"/>
        <v>138.74000000000004</v>
      </c>
      <c r="P374">
        <f t="shared" si="43"/>
        <v>198.02</v>
      </c>
      <c r="Q374">
        <f t="shared" si="43"/>
        <v>161.58000000000004</v>
      </c>
      <c r="R374">
        <f t="shared" si="43"/>
        <v>124.01999999999998</v>
      </c>
      <c r="S374">
        <f t="shared" si="43"/>
        <v>158.62000000000006</v>
      </c>
      <c r="T374">
        <f t="shared" si="43"/>
        <v>137.79000000000002</v>
      </c>
      <c r="U374">
        <f t="shared" si="43"/>
        <v>153.04800000000014</v>
      </c>
      <c r="V374">
        <f t="shared" si="43"/>
        <v>144.48000000000002</v>
      </c>
      <c r="W374">
        <f t="shared" si="43"/>
        <v>175.88000000000005</v>
      </c>
      <c r="X374">
        <f t="shared" si="43"/>
        <v>128.86000000000004</v>
      </c>
      <c r="Y374">
        <f t="shared" si="43"/>
        <v>189.98000000000008</v>
      </c>
      <c r="Z374">
        <f t="shared" si="43"/>
        <v>107.79999999997116</v>
      </c>
      <c r="AA374">
        <f t="shared" si="43"/>
        <v>152.22799999992137</v>
      </c>
      <c r="AB374">
        <f t="shared" si="43"/>
        <v>176.39999999992708</v>
      </c>
      <c r="AC374">
        <f t="shared" si="43"/>
        <v>177.5999999999201</v>
      </c>
      <c r="AD374">
        <f t="shared" si="43"/>
        <v>180.59999999990606</v>
      </c>
      <c r="AE374">
        <f t="shared" si="43"/>
        <v>202.01999999992117</v>
      </c>
      <c r="AF374">
        <f t="shared" si="43"/>
        <v>208.39999999989897</v>
      </c>
      <c r="AG374">
        <f t="shared" si="43"/>
        <v>156.63999999992589</v>
      </c>
      <c r="AH374">
        <f t="shared" si="43"/>
        <v>174.15999999991331</v>
      </c>
      <c r="AI374">
        <f t="shared" si="43"/>
        <v>185.61999999992435</v>
      </c>
      <c r="AJ374">
        <f t="shared" si="43"/>
        <v>174.2799999999059</v>
      </c>
      <c r="AK374">
        <f t="shared" si="43"/>
        <v>150.28799999994897</v>
      </c>
      <c r="AL374">
        <f t="shared" si="43"/>
        <v>131.49999999994355</v>
      </c>
      <c r="AM374">
        <f t="shared" si="43"/>
        <v>144.33999999995723</v>
      </c>
      <c r="AN374">
        <f t="shared" si="43"/>
        <v>192.34599999995697</v>
      </c>
      <c r="AO374">
        <f t="shared" si="43"/>
        <v>192.20799999993147</v>
      </c>
      <c r="AP374">
        <f t="shared" si="43"/>
        <v>148.71999999994355</v>
      </c>
      <c r="AQ374">
        <f t="shared" si="43"/>
        <v>212.85999999987902</v>
      </c>
      <c r="AR374">
        <f t="shared" si="43"/>
        <v>154.51999999994436</v>
      </c>
      <c r="AS374">
        <f t="shared" si="43"/>
        <v>182.97999999992621</v>
      </c>
      <c r="AT374">
        <f t="shared" si="43"/>
        <v>122.93999999995131</v>
      </c>
      <c r="AU374">
        <f t="shared" si="43"/>
        <v>211.13999999990978</v>
      </c>
      <c r="AV374">
        <f t="shared" si="43"/>
        <v>145.139999999959</v>
      </c>
      <c r="AW374">
        <f t="shared" si="43"/>
        <v>130.64399999996024</v>
      </c>
      <c r="AX374">
        <f t="shared" si="43"/>
        <v>178.9599999999258</v>
      </c>
      <c r="AY374">
        <f t="shared" si="43"/>
        <v>172.23999999992714</v>
      </c>
      <c r="AZ374">
        <f t="shared" si="43"/>
        <v>151.83999999993293</v>
      </c>
      <c r="BA374">
        <f t="shared" si="43"/>
        <v>227.83999999989868</v>
      </c>
      <c r="BB374">
        <f t="shared" si="43"/>
        <v>227.23999999989141</v>
      </c>
      <c r="BC374">
        <f t="shared" si="43"/>
        <v>201.13999999989144</v>
      </c>
      <c r="BD374">
        <f t="shared" si="43"/>
        <v>177.14000000000439</v>
      </c>
      <c r="BE374">
        <f t="shared" si="43"/>
        <v>220.39999999998423</v>
      </c>
      <c r="BF374">
        <f t="shared" si="43"/>
        <v>179.59999999997851</v>
      </c>
      <c r="BG374">
        <f t="shared" si="43"/>
        <v>138.96000000000157</v>
      </c>
      <c r="BH374">
        <f t="shared" si="43"/>
        <v>207.04000000000852</v>
      </c>
      <c r="BI374">
        <f t="shared" si="43"/>
        <v>172.85999999999234</v>
      </c>
      <c r="BJ374">
        <f t="shared" si="43"/>
        <v>193.17999999999608</v>
      </c>
      <c r="BK374">
        <f t="shared" si="43"/>
        <v>182.34599999999759</v>
      </c>
      <c r="BL374">
        <f t="shared" si="43"/>
        <v>160.23999999996602</v>
      </c>
      <c r="BM374">
        <f t="shared" si="43"/>
        <v>152.25999999999914</v>
      </c>
      <c r="BN374">
        <f t="shared" si="43"/>
        <v>183.66000000000071</v>
      </c>
      <c r="BO374">
        <f t="shared" si="43"/>
        <v>173.98000000000269</v>
      </c>
      <c r="BP374">
        <f t="shared" ref="BP374:DB374" si="44">BP370/5</f>
        <v>146.95999999999748</v>
      </c>
      <c r="BQ374">
        <f t="shared" si="44"/>
        <v>147.26000000000275</v>
      </c>
      <c r="BR374">
        <f t="shared" si="44"/>
        <v>185.98000000001235</v>
      </c>
      <c r="BS374">
        <f t="shared" si="44"/>
        <v>179.91999999999831</v>
      </c>
      <c r="BT374">
        <f t="shared" si="44"/>
        <v>184.30400000001117</v>
      </c>
      <c r="BU374">
        <f t="shared" si="44"/>
        <v>257.87999999997891</v>
      </c>
      <c r="BV374">
        <f t="shared" si="44"/>
        <v>151.93999999999147</v>
      </c>
      <c r="BW374">
        <f t="shared" si="44"/>
        <v>147.65999999999309</v>
      </c>
      <c r="BX374">
        <f t="shared" si="44"/>
        <v>163.67999999994495</v>
      </c>
      <c r="BY374">
        <f t="shared" si="44"/>
        <v>196.86000000000007</v>
      </c>
      <c r="BZ374">
        <f t="shared" si="44"/>
        <v>149.18000000000009</v>
      </c>
      <c r="CA374">
        <f t="shared" si="44"/>
        <v>223.85999999999996</v>
      </c>
      <c r="CB374">
        <f t="shared" si="44"/>
        <v>169.33999999999997</v>
      </c>
      <c r="CC374">
        <f t="shared" si="44"/>
        <v>111.22000000000003</v>
      </c>
      <c r="CD374">
        <f t="shared" si="44"/>
        <v>173.53999999999994</v>
      </c>
      <c r="CE374">
        <f t="shared" si="44"/>
        <v>173.24</v>
      </c>
      <c r="CF374">
        <f t="shared" si="44"/>
        <v>150.82</v>
      </c>
      <c r="CG374">
        <f t="shared" si="44"/>
        <v>130.46000000000348</v>
      </c>
      <c r="CH374">
        <f t="shared" si="44"/>
        <v>155.54000000000076</v>
      </c>
      <c r="CI374">
        <f t="shared" si="44"/>
        <v>174.46000000000225</v>
      </c>
      <c r="CJ374">
        <f t="shared" si="44"/>
        <v>174.94</v>
      </c>
      <c r="CK374">
        <f t="shared" si="44"/>
        <v>233.94</v>
      </c>
      <c r="CL374">
        <f t="shared" si="44"/>
        <v>175.55999999999997</v>
      </c>
      <c r="CM374">
        <f t="shared" si="44"/>
        <v>160.30000000000001</v>
      </c>
      <c r="CN374">
        <f t="shared" si="44"/>
        <v>161.94</v>
      </c>
      <c r="CO374">
        <f t="shared" si="44"/>
        <v>209.96000000000009</v>
      </c>
      <c r="CP374">
        <f t="shared" si="44"/>
        <v>169.20000000000007</v>
      </c>
      <c r="CQ374">
        <f t="shared" si="44"/>
        <v>165.82000000000008</v>
      </c>
      <c r="CR374">
        <f t="shared" si="44"/>
        <v>190.00000000000006</v>
      </c>
      <c r="CS374">
        <f t="shared" si="44"/>
        <v>177.9</v>
      </c>
      <c r="CT374">
        <f t="shared" si="44"/>
        <v>168.04000000000002</v>
      </c>
      <c r="CU374">
        <f t="shared" si="44"/>
        <v>115.06000000000006</v>
      </c>
      <c r="CV374">
        <f t="shared" si="44"/>
        <v>179.83999999999997</v>
      </c>
      <c r="CW374">
        <f t="shared" si="44"/>
        <v>186.16000000000011</v>
      </c>
      <c r="CX374">
        <f t="shared" si="44"/>
        <v>239.77999999999983</v>
      </c>
      <c r="CY374">
        <f t="shared" si="44"/>
        <v>123.08000000000001</v>
      </c>
      <c r="CZ374">
        <f t="shared" si="44"/>
        <v>162.04000000000002</v>
      </c>
      <c r="DA374">
        <f t="shared" si="44"/>
        <v>110.60000000000002</v>
      </c>
      <c r="DB374">
        <f t="shared" ref="DB374:DD374" si="45">DB370/5</f>
        <v>193.56000000000009</v>
      </c>
      <c r="DC374">
        <f t="shared" si="45"/>
        <v>183.88000000000005</v>
      </c>
      <c r="DD374">
        <f t="shared" si="45"/>
        <v>182.40400000000002</v>
      </c>
      <c r="DV374" s="2">
        <v>1855</v>
      </c>
      <c r="DW374">
        <v>0</v>
      </c>
      <c r="DX374">
        <f t="shared" si="36"/>
        <v>14794</v>
      </c>
      <c r="DY374">
        <f t="shared" si="35"/>
        <v>1</v>
      </c>
    </row>
    <row r="375" spans="1:129" s="2" customFormat="1">
      <c r="A375"/>
      <c r="B375"/>
      <c r="C375"/>
      <c r="D375">
        <f>(D371/D372)*100</f>
        <v>11.214953271028037</v>
      </c>
      <c r="E375">
        <f t="shared" ref="E375:BP375" si="46">(E371/E372)*100</f>
        <v>9.3220338983050848</v>
      </c>
      <c r="F375">
        <f t="shared" si="46"/>
        <v>36.296296296296298</v>
      </c>
      <c r="G375">
        <f t="shared" si="46"/>
        <v>30.76923076923077</v>
      </c>
      <c r="H375">
        <f t="shared" si="46"/>
        <v>25.688073394495415</v>
      </c>
      <c r="I375">
        <f t="shared" si="46"/>
        <v>2</v>
      </c>
      <c r="J375">
        <f t="shared" si="46"/>
        <v>11.340206185567011</v>
      </c>
      <c r="K375">
        <f t="shared" si="46"/>
        <v>6.557377049180328</v>
      </c>
      <c r="L375">
        <f t="shared" si="46"/>
        <v>17.924528301886792</v>
      </c>
      <c r="M375">
        <f t="shared" si="46"/>
        <v>27.450980392156865</v>
      </c>
      <c r="N375">
        <f t="shared" si="46"/>
        <v>21.774193548387096</v>
      </c>
      <c r="O375">
        <f t="shared" si="46"/>
        <v>26.136363636363637</v>
      </c>
      <c r="P375">
        <f t="shared" si="46"/>
        <v>11.864406779661017</v>
      </c>
      <c r="Q375">
        <f t="shared" si="46"/>
        <v>17.117117117117118</v>
      </c>
      <c r="R375">
        <f t="shared" si="46"/>
        <v>17.977528089887642</v>
      </c>
      <c r="S375">
        <f t="shared" si="46"/>
        <v>9.67741935483871</v>
      </c>
      <c r="T375">
        <f t="shared" si="46"/>
        <v>14.953271028037381</v>
      </c>
      <c r="U375">
        <f t="shared" si="46"/>
        <v>56.999999999999993</v>
      </c>
      <c r="V375">
        <f t="shared" si="46"/>
        <v>29.523809523809526</v>
      </c>
      <c r="W375">
        <f t="shared" si="46"/>
        <v>21.238938053097346</v>
      </c>
      <c r="X375">
        <f t="shared" si="46"/>
        <v>34.065934065934066</v>
      </c>
      <c r="Y375">
        <f t="shared" si="46"/>
        <v>28.244274809160309</v>
      </c>
      <c r="Z375">
        <f t="shared" si="46"/>
        <v>27.848101265822784</v>
      </c>
      <c r="AA375">
        <f t="shared" si="46"/>
        <v>20.175438596491226</v>
      </c>
      <c r="AB375">
        <f t="shared" si="46"/>
        <v>12.195121951219512</v>
      </c>
      <c r="AC375">
        <f t="shared" si="46"/>
        <v>16.964285714285715</v>
      </c>
      <c r="AD375">
        <f t="shared" si="46"/>
        <v>21.428571428571427</v>
      </c>
      <c r="AE375">
        <f t="shared" si="46"/>
        <v>39.655172413793103</v>
      </c>
      <c r="AF375">
        <f t="shared" si="46"/>
        <v>30.508474576271187</v>
      </c>
      <c r="AG375">
        <f t="shared" si="46"/>
        <v>28.448275862068968</v>
      </c>
      <c r="AH375">
        <f t="shared" si="46"/>
        <v>42.307692307692307</v>
      </c>
      <c r="AI375">
        <f t="shared" si="46"/>
        <v>20.689655172413794</v>
      </c>
      <c r="AJ375">
        <f t="shared" si="46"/>
        <v>25.833333333333336</v>
      </c>
      <c r="AK375">
        <f t="shared" si="46"/>
        <v>23.853211009174313</v>
      </c>
      <c r="AL375">
        <f t="shared" si="46"/>
        <v>20</v>
      </c>
      <c r="AM375">
        <f t="shared" si="46"/>
        <v>12.389380530973451</v>
      </c>
      <c r="AN375">
        <f t="shared" si="46"/>
        <v>15.178571428571427</v>
      </c>
      <c r="AO375">
        <f t="shared" si="46"/>
        <v>25.663716814159294</v>
      </c>
      <c r="AP375">
        <f t="shared" si="46"/>
        <v>18.367346938775512</v>
      </c>
      <c r="AQ375">
        <f t="shared" si="46"/>
        <v>12.280701754385964</v>
      </c>
      <c r="AR375">
        <f t="shared" si="46"/>
        <v>10.784313725490197</v>
      </c>
      <c r="AS375">
        <f t="shared" si="46"/>
        <v>24.793388429752067</v>
      </c>
      <c r="AT375">
        <f t="shared" si="46"/>
        <v>20.833333333333336</v>
      </c>
      <c r="AU375">
        <f t="shared" si="46"/>
        <v>18.181818181818183</v>
      </c>
      <c r="AV375">
        <f t="shared" si="46"/>
        <v>9.4017094017094021</v>
      </c>
      <c r="AW375">
        <f t="shared" si="46"/>
        <v>18.518518518518519</v>
      </c>
      <c r="AX375">
        <f t="shared" si="46"/>
        <v>29.126213592233007</v>
      </c>
      <c r="AY375">
        <f t="shared" si="46"/>
        <v>9.3023255813953494</v>
      </c>
      <c r="AZ375">
        <f t="shared" si="46"/>
        <v>10.92436974789916</v>
      </c>
      <c r="BA375">
        <f t="shared" si="46"/>
        <v>11.29032258064516</v>
      </c>
      <c r="BB375">
        <f t="shared" si="46"/>
        <v>14.960629921259844</v>
      </c>
      <c r="BC375">
        <f t="shared" si="46"/>
        <v>15.447154471544716</v>
      </c>
      <c r="BD375">
        <f t="shared" si="46"/>
        <v>17.543859649122805</v>
      </c>
      <c r="BE375">
        <f t="shared" si="46"/>
        <v>8.0291970802919703</v>
      </c>
      <c r="BF375">
        <f t="shared" si="46"/>
        <v>9.9099099099099099</v>
      </c>
      <c r="BG375">
        <f t="shared" si="46"/>
        <v>15.126050420168067</v>
      </c>
      <c r="BH375">
        <f t="shared" si="46"/>
        <v>29.457364341085274</v>
      </c>
      <c r="BI375">
        <f t="shared" si="46"/>
        <v>66.964285714285708</v>
      </c>
      <c r="BJ375">
        <f t="shared" si="46"/>
        <v>83.333333333333343</v>
      </c>
      <c r="BK375">
        <f t="shared" si="46"/>
        <v>85.6</v>
      </c>
      <c r="BL375">
        <f t="shared" si="46"/>
        <v>72.56637168141593</v>
      </c>
      <c r="BM375">
        <f t="shared" si="46"/>
        <v>63.114754098360656</v>
      </c>
      <c r="BN375">
        <f t="shared" si="46"/>
        <v>83.050847457627114</v>
      </c>
      <c r="BO375">
        <f t="shared" si="46"/>
        <v>50</v>
      </c>
      <c r="BP375">
        <f t="shared" si="46"/>
        <v>35.245901639344261</v>
      </c>
      <c r="BQ375">
        <f t="shared" ref="BQ375:DB375" si="47">(BQ371/BQ372)*100</f>
        <v>43.96551724137931</v>
      </c>
      <c r="BR375">
        <f t="shared" si="47"/>
        <v>39.393939393939391</v>
      </c>
      <c r="BS375">
        <f t="shared" si="47"/>
        <v>42.063492063492063</v>
      </c>
      <c r="BT375">
        <f t="shared" si="47"/>
        <v>44.166666666666664</v>
      </c>
      <c r="BU375">
        <f t="shared" si="47"/>
        <v>36.434108527131784</v>
      </c>
      <c r="BV375">
        <f t="shared" si="47"/>
        <v>50</v>
      </c>
      <c r="BW375">
        <f t="shared" si="47"/>
        <v>65.789473684210535</v>
      </c>
      <c r="BX375">
        <f t="shared" si="47"/>
        <v>41.463414634146339</v>
      </c>
      <c r="BY375">
        <f t="shared" si="47"/>
        <v>43.96551724137931</v>
      </c>
      <c r="BZ375">
        <f t="shared" si="47"/>
        <v>38.679245283018872</v>
      </c>
      <c r="CA375">
        <f t="shared" si="47"/>
        <v>34.126984126984127</v>
      </c>
      <c r="CB375">
        <f t="shared" si="47"/>
        <v>23.076923076923077</v>
      </c>
      <c r="CC375">
        <f t="shared" si="47"/>
        <v>32.323232323232325</v>
      </c>
      <c r="CD375">
        <f t="shared" si="47"/>
        <v>24.509803921568626</v>
      </c>
      <c r="CE375">
        <f t="shared" si="47"/>
        <v>30.075187969924812</v>
      </c>
      <c r="CF375">
        <f t="shared" si="47"/>
        <v>18.421052631578945</v>
      </c>
      <c r="CG375">
        <f t="shared" si="47"/>
        <v>34.693877551020407</v>
      </c>
      <c r="CH375">
        <f t="shared" si="47"/>
        <v>33.333333333333329</v>
      </c>
      <c r="CI375">
        <f t="shared" si="47"/>
        <v>25.954198473282442</v>
      </c>
      <c r="CJ375">
        <f t="shared" si="47"/>
        <v>9.8484848484848477</v>
      </c>
      <c r="CK375">
        <f t="shared" si="47"/>
        <v>13.492063492063492</v>
      </c>
      <c r="CL375">
        <f t="shared" si="47"/>
        <v>14.049586776859504</v>
      </c>
      <c r="CM375">
        <f t="shared" si="47"/>
        <v>10.091743119266056</v>
      </c>
      <c r="CN375">
        <f t="shared" si="47"/>
        <v>16.666666666666664</v>
      </c>
      <c r="CO375">
        <f t="shared" si="47"/>
        <v>10.434782608695652</v>
      </c>
      <c r="CP375">
        <f t="shared" si="47"/>
        <v>14.159292035398231</v>
      </c>
      <c r="CQ375">
        <f t="shared" si="47"/>
        <v>24.786324786324787</v>
      </c>
      <c r="CR375">
        <f t="shared" si="47"/>
        <v>34</v>
      </c>
      <c r="CS375">
        <f t="shared" si="47"/>
        <v>18.88111888111888</v>
      </c>
      <c r="CT375">
        <f t="shared" si="47"/>
        <v>21.153846153846153</v>
      </c>
      <c r="CU375">
        <f t="shared" si="47"/>
        <v>36.538461538461533</v>
      </c>
      <c r="CV375">
        <f t="shared" si="47"/>
        <v>28.846153846153843</v>
      </c>
      <c r="CW375">
        <f t="shared" si="47"/>
        <v>17.1875</v>
      </c>
      <c r="CX375">
        <f t="shared" si="47"/>
        <v>29.032258064516132</v>
      </c>
      <c r="CY375">
        <f t="shared" si="47"/>
        <v>33.009708737864081</v>
      </c>
      <c r="CZ375">
        <f t="shared" si="47"/>
        <v>30.701754385964914</v>
      </c>
      <c r="DA375">
        <f t="shared" si="47"/>
        <v>35.964912280701753</v>
      </c>
      <c r="DB375">
        <f t="shared" ref="DB375:DD375" si="48">(DB371/DB372)*100</f>
        <v>27.906976744186046</v>
      </c>
      <c r="DC375">
        <f t="shared" si="48"/>
        <v>20.689655172413794</v>
      </c>
      <c r="DD375">
        <f t="shared" si="48"/>
        <v>21.6</v>
      </c>
      <c r="DV375" s="2">
        <v>1860</v>
      </c>
      <c r="DW375" s="2">
        <v>0</v>
      </c>
      <c r="DX375" s="2">
        <f t="shared" si="36"/>
        <v>14794</v>
      </c>
      <c r="DY375" s="2">
        <f t="shared" si="35"/>
        <v>1</v>
      </c>
    </row>
    <row r="376" spans="1:129">
      <c r="A376" s="2"/>
      <c r="B376" s="2"/>
      <c r="C376" s="2">
        <f>MAX(C2:C367)</f>
        <v>70.099999999999994</v>
      </c>
      <c r="D376" s="2">
        <f>MAX(D2:D367)</f>
        <v>42.5</v>
      </c>
      <c r="E376" s="2">
        <f>MAX(E2:E367)</f>
        <v>85.7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V376" s="2">
        <v>1865</v>
      </c>
      <c r="DW376">
        <v>0</v>
      </c>
      <c r="DX376">
        <f t="shared" si="36"/>
        <v>14794</v>
      </c>
      <c r="DY376">
        <f t="shared" si="35"/>
        <v>1</v>
      </c>
    </row>
    <row r="377" spans="1:129">
      <c r="DV377" s="2">
        <v>1870</v>
      </c>
      <c r="DW377">
        <v>0</v>
      </c>
      <c r="DX377">
        <f t="shared" si="36"/>
        <v>14794</v>
      </c>
      <c r="DY377">
        <f t="shared" si="35"/>
        <v>1</v>
      </c>
    </row>
    <row r="378" spans="1:129">
      <c r="D378" s="4">
        <f>D370/COUNTIF(D2:D367,"&gt;=0")</f>
        <v>5.1487179487179482</v>
      </c>
      <c r="E378" s="4">
        <f>E370/COUNTIF(E2:E367,"&gt;=0")</f>
        <v>7.6761904761904782</v>
      </c>
      <c r="F378" s="4">
        <f>F370/COUNTIF(F2:F367,"&gt;=0")</f>
        <v>4.448554913294795</v>
      </c>
      <c r="G378" s="4">
        <f>G370/COUNTIF(G2:G367,"&gt;=0")</f>
        <v>4.5854166666666671</v>
      </c>
      <c r="H378" s="4">
        <f>H370/COUNTIF(H2:H367,"&gt;=0")</f>
        <v>3.4648854961832058</v>
      </c>
      <c r="I378" s="4">
        <f>I370/COUNTIF(I2:I367,"&gt;=0")</f>
        <v>4.6380000000000008</v>
      </c>
      <c r="J378" s="4">
        <f>J370/COUNTIF(J2:J367,"&gt;=0")</f>
        <v>6.8504854368932033</v>
      </c>
      <c r="K378" s="4">
        <f>K370/COUNTIF(K2:K367,"&gt;=0")</f>
        <v>7.2913385826771657</v>
      </c>
      <c r="L378" s="4">
        <f>L370/COUNTIF(L2:L367,"&gt;=0")</f>
        <v>5.5721311475409836</v>
      </c>
      <c r="M378" s="4">
        <f>M370/COUNTIF(M2:M367,"&gt;=0")</f>
        <v>3.5330708661417329</v>
      </c>
      <c r="N378" s="4">
        <f>N370/COUNTIF(N2:N367,"&gt;=0")</f>
        <v>6.9441379310344837</v>
      </c>
      <c r="O378" s="4">
        <f>O370/COUNTIF(O2:O367,"&gt;=0")</f>
        <v>6.42314814814815</v>
      </c>
      <c r="P378" s="4">
        <f>P370/COUNTIF(P2:P367,"&gt;=0")</f>
        <v>7.9207999999999998</v>
      </c>
      <c r="Q378" s="4">
        <f>Q370/COUNTIF(Q2:Q367,"&gt;=0")</f>
        <v>6.6768595041322332</v>
      </c>
      <c r="R378" s="4">
        <f>R370/COUNTIF(R2:R367,"&gt;=0")</f>
        <v>6.2636363636363628</v>
      </c>
      <c r="S378" s="4">
        <f>S370/COUNTIF(S2:S367,"&gt;=0")</f>
        <v>8.0111111111111128</v>
      </c>
      <c r="T378" s="4">
        <f>T370/COUNTIF(T2:T367,"&gt;=0")</f>
        <v>5.8884615384615389</v>
      </c>
      <c r="U378" s="4">
        <f>U370/COUNTIF(U2:U367,"&gt;=0")</f>
        <v>5.0344736842105311</v>
      </c>
      <c r="V378" s="4">
        <f>V370/COUNTIF(V2:V367,"&gt;=0")</f>
        <v>5.5145038167938942</v>
      </c>
      <c r="W378" s="4">
        <f>W370/COUNTIF(W2:W367,"&gt;=0")</f>
        <v>6.6120300751879721</v>
      </c>
      <c r="X378" s="4">
        <f>X370/COUNTIF(X2:X367,"&gt;=0")</f>
        <v>5.5068376068376086</v>
      </c>
      <c r="Y378" s="4">
        <f>Y370/COUNTIF(Y2:Y367,"&gt;=0")</f>
        <v>5.8276073619631923</v>
      </c>
      <c r="Z378" s="4">
        <f>Z370/COUNTIF(Z2:Z367,"&gt;=0")</f>
        <v>5.3899999999985582</v>
      </c>
      <c r="AA378" s="4">
        <f>AA370/COUNTIF(AA2:AA367,"&gt;=0")</f>
        <v>5.555766423354795</v>
      </c>
      <c r="AB378" s="4">
        <f>AB370/COUNTIF(AB2:AB367,"&gt;=0")</f>
        <v>6.3913043478234446</v>
      </c>
      <c r="AC378" s="4">
        <f>AC370/COUNTIF(AC2:AC367,"&gt;=0")</f>
        <v>6.8307692307661574</v>
      </c>
      <c r="AD378" s="4">
        <f>AD370/COUNTIF(AD2:AD367,"&gt;=0")</f>
        <v>6.6888888888854101</v>
      </c>
      <c r="AE378" s="4">
        <f>AE370/COUNTIF(AE2:AE367,"&gt;=0")</f>
        <v>6.2351851851827522</v>
      </c>
      <c r="AF378" s="4">
        <f>AF370/COUNTIF(AF2:AF367,"&gt;=0")</f>
        <v>6.8104575163365668</v>
      </c>
      <c r="AG378" s="4">
        <f>AG370/COUNTIF(AG2:AG367,"&gt;=0")</f>
        <v>5.2918918918893878</v>
      </c>
      <c r="AH378" s="4">
        <f>AH370/COUNTIF(AH2:AH367,"&gt;=0")</f>
        <v>5.8837837837808555</v>
      </c>
      <c r="AI378" s="4">
        <f>AI370/COUNTIF(AI2:AI367,"&gt;=0")</f>
        <v>6.6292857142830117</v>
      </c>
      <c r="AJ378" s="4">
        <f>AJ370/COUNTIF(AJ2:AJ367,"&gt;=0")</f>
        <v>5.7708609271492026</v>
      </c>
      <c r="AK378" s="4">
        <f>AK370/COUNTIF(AK2:AK367,"&gt;=0")</f>
        <v>5.5662222222203317</v>
      </c>
      <c r="AL378" s="4">
        <f>AL370/COUNTIF(AL2:AL367,"&gt;=0")</f>
        <v>4.9810606060584677</v>
      </c>
      <c r="AM378" s="4">
        <f>AM370/COUNTIF(AM2:AM367,"&gt;=0")</f>
        <v>5.6826771653526462</v>
      </c>
      <c r="AN378" s="4">
        <f>AN370/COUNTIF(AN2:AN367,"&gt;=0")</f>
        <v>7.4552713178277905</v>
      </c>
      <c r="AO378" s="4">
        <f>AO370/COUNTIF(AO2:AO367,"&gt;=0")</f>
        <v>6.7678873239412498</v>
      </c>
      <c r="AP378" s="4">
        <f>AP370/COUNTIF(AP2:AP367,"&gt;=0")</f>
        <v>6.4103448275837733</v>
      </c>
      <c r="AQ378" s="4">
        <f>AQ370/COUNTIF(AQ2:AQ367,"&gt;=0")</f>
        <v>8.3148437499952745</v>
      </c>
      <c r="AR378" s="4">
        <f>AR370/COUNTIF(AR2:AR367,"&gt;=0")</f>
        <v>6.8982142857118021</v>
      </c>
      <c r="AS378" s="4">
        <f>AS370/COUNTIF(AS2:AS367,"&gt;=0")</f>
        <v>6.0589403973485503</v>
      </c>
      <c r="AT378" s="4">
        <f>AT370/COUNTIF(AT2:AT367,"&gt;=0")</f>
        <v>4.2687499999983096</v>
      </c>
      <c r="AU378" s="4">
        <f>AU370/COUNTIF(AU2:AU367,"&gt;=0")</f>
        <v>7.4345070422503445</v>
      </c>
      <c r="AV378" s="4">
        <f>AV370/COUNTIF(AV2:AV367,"&gt;=0")</f>
        <v>5.6695312499983981</v>
      </c>
      <c r="AW378" s="4">
        <f>AW370/COUNTIF(AW2:AW367,"&gt;=0")</f>
        <v>5.1032812499984468</v>
      </c>
      <c r="AX378" s="4">
        <f>AX370/COUNTIF(AX2:AX367,"&gt;=0")</f>
        <v>6.7787878787850682</v>
      </c>
      <c r="AY378" s="4">
        <f>AY370/COUNTIF(AY2:AY367,"&gt;=0")</f>
        <v>6.1078014184371323</v>
      </c>
      <c r="AZ378" s="4">
        <f>AZ370/COUNTIF(AZ2:AZ367,"&gt;=0")</f>
        <v>5.7515151515126108</v>
      </c>
      <c r="BA378" s="4">
        <f>BA370/COUNTIF(BA2:BA367,"&gt;=0")</f>
        <v>8.2550724637644457</v>
      </c>
      <c r="BB378" s="4">
        <f>BB370/COUNTIF(BB2:BB367,"&gt;=0")</f>
        <v>7.7821917808181995</v>
      </c>
      <c r="BC378" s="4">
        <f>BC370/COUNTIF(BC2:BC367,"&gt;=0")</f>
        <v>7.0823943661933608</v>
      </c>
      <c r="BD378" s="4">
        <f>BD370/COUNTIF(BD2:BD367,"&gt;=0")</f>
        <v>6.6097014925374777</v>
      </c>
      <c r="BE378" s="4">
        <f>BE370/COUNTIF(BE2:BE367,"&gt;=0")</f>
        <v>7.4459459459454127</v>
      </c>
      <c r="BF378" s="4">
        <f>BF370/COUNTIF(BF2:BF367,"&gt;=0")</f>
        <v>7.3606557377040378</v>
      </c>
      <c r="BG378" s="4">
        <f>BG370/COUNTIF(BG2:BG367,"&gt;=0")</f>
        <v>5.0715328467153862</v>
      </c>
      <c r="BH378" s="4">
        <f>BH370/COUNTIF(BH2:BH367,"&gt;=0")</f>
        <v>6.2361445783135094</v>
      </c>
      <c r="BI378" s="4">
        <f>BI370/COUNTIF(BI2:BI367,"&gt;=0")</f>
        <v>4.6467741935481817</v>
      </c>
      <c r="BJ378" s="4">
        <f>BJ370/COUNTIF(BJ2:BJ367,"&gt;=0")</f>
        <v>4.3904545454544568</v>
      </c>
      <c r="BK378" s="4">
        <f>BK370/COUNTIF(BK2:BK367,"&gt;=0")</f>
        <v>3.9468831168830647</v>
      </c>
      <c r="BL378" s="4">
        <f>BL370/COUNTIF(BL2:BL367,"&gt;=0")</f>
        <v>4.1512953367866841</v>
      </c>
      <c r="BM378" s="4">
        <f>BM370/COUNTIF(BM2:BM367,"&gt;=0")</f>
        <v>3.8256281407034964</v>
      </c>
      <c r="BN378" s="4">
        <f>BN370/COUNTIF(BN2:BN367,"&gt;=0")</f>
        <v>4.2513888888889051</v>
      </c>
      <c r="BO378" s="4">
        <f>BO370/COUNTIF(BO2:BO367,"&gt;=0")</f>
        <v>4.9146892655367997</v>
      </c>
      <c r="BP378" s="4">
        <f>BP370/COUNTIF(BP2:BP367,"&gt;=0")</f>
        <v>4.4533333333332568</v>
      </c>
      <c r="BQ378" s="4">
        <f>BQ370/COUNTIF(BQ2:BQ367,"&gt;=0")</f>
        <v>4.4089820359282257</v>
      </c>
      <c r="BR378" s="4">
        <f>BR370/COUNTIF(BR2:BR367,"&gt;=0")</f>
        <v>5.1093406593409991</v>
      </c>
      <c r="BS378" s="4">
        <f>BS370/COUNTIF(BS2:BS367,"&gt;=0")</f>
        <v>5.0256983240222999</v>
      </c>
      <c r="BT378" s="4">
        <f>BT370/COUNTIF(BT2:BT367,"&gt;=0")</f>
        <v>5.3267052023124615</v>
      </c>
      <c r="BU378" s="4">
        <f>BU370/COUNTIF(BU2:BU367,"&gt;=0")</f>
        <v>7.326136363635765</v>
      </c>
      <c r="BV378" s="4">
        <f>BV370/COUNTIF(BV2:BV367,"&gt;=0")</f>
        <v>4.2920903954799847</v>
      </c>
      <c r="BW378" s="4">
        <f>BW370/COUNTIF(BW2:BW367,"&gt;=0")</f>
        <v>4.034426229508008</v>
      </c>
      <c r="BX378" s="4">
        <f>BX370/COUNTIF(BX2:BX367,"&gt;=0")</f>
        <v>4.7306358381486984</v>
      </c>
      <c r="BY378" s="4">
        <f>BY370/COUNTIF(BY2:BY367,"&gt;=0")</f>
        <v>6.2297468354430396</v>
      </c>
      <c r="BZ378" s="4">
        <f>BZ370/COUNTIF(BZ2:BZ367,"&gt;=0")</f>
        <v>5.1089041095890444</v>
      </c>
      <c r="CA378" s="4">
        <f>CA370/COUNTIF(CA2:CA367,"&gt;=0")</f>
        <v>7.0396226415094318</v>
      </c>
      <c r="CB378" s="4">
        <f>CB370/COUNTIF(CB2:CB367,"&gt;=0")</f>
        <v>5.9626760563380268</v>
      </c>
      <c r="CC378" s="4">
        <f>CC370/COUNTIF(CC2:CC367,"&gt;=0")</f>
        <v>4.4846774193548402</v>
      </c>
      <c r="CD378" s="4">
        <f>CD370/COUNTIF(CD2:CD367,"&gt;=0")</f>
        <v>7.1122950819672104</v>
      </c>
      <c r="CE378" s="4">
        <f>CE370/COUNTIF(CE2:CE367,"&gt;=0")</f>
        <v>5.3469135802469134</v>
      </c>
      <c r="CF378" s="4">
        <f>CF370/COUNTIF(CF2:CF367,"&gt;=0")</f>
        <v>5.7564885496183198</v>
      </c>
      <c r="CG378" s="4">
        <f>CG370/COUNTIF(CG2:CG367,"&gt;=0")</f>
        <v>5.1769841269842649</v>
      </c>
      <c r="CH378" s="4">
        <f>CH370/COUNTIF(CH2:CH367,"&gt;=0")</f>
        <v>5.6355072463768394</v>
      </c>
      <c r="CI378" s="4">
        <f>CI370/COUNTIF(CI2:CI367,"&gt;=0")</f>
        <v>5.4518750000000704</v>
      </c>
      <c r="CJ378" s="4">
        <f>CJ370/COUNTIF(CJ2:CJ367,"&gt;=0")</f>
        <v>6.116783216783217</v>
      </c>
      <c r="CK378" s="4">
        <f>CK370/COUNTIF(CK2:CK367,"&gt;=0")</f>
        <v>8.4151079136690647</v>
      </c>
      <c r="CL378" s="4">
        <f>CL370/COUNTIF(CL2:CL367,"&gt;=0")</f>
        <v>6.4544117647058812</v>
      </c>
      <c r="CM378" s="4">
        <f>CM370/COUNTIF(CM2:CM367,"&gt;=0")</f>
        <v>6.850427350427351</v>
      </c>
      <c r="CN378" s="4">
        <f>CN370/COUNTIF(CN2:CN367,"&gt;=0")</f>
        <v>6.6368852459016399</v>
      </c>
      <c r="CO378" s="4">
        <f>CO370/COUNTIF(CO2:CO367,"&gt;=0")</f>
        <v>8.2661417322834669</v>
      </c>
      <c r="CP378" s="4">
        <f>CP370/COUNTIF(CP2:CP367,"&gt;=0")</f>
        <v>6.661417322834648</v>
      </c>
      <c r="CQ378" s="4">
        <f>CQ370/COUNTIF(CQ2:CQ367,"&gt;=0")</f>
        <v>6.0518248175182512</v>
      </c>
      <c r="CR378" s="4">
        <f>CR370/COUNTIF(CR2:CR367,"&gt;=0")</f>
        <v>7.3643410852713194</v>
      </c>
      <c r="CS378" s="4">
        <f>CS370/COUNTIF(CS2:CS367,"&gt;=0")</f>
        <v>5.4237804878048781</v>
      </c>
      <c r="CT378" s="4">
        <f>CT370/COUNTIF(CT2:CT367,"&gt;=0")</f>
        <v>7.0016666666666678</v>
      </c>
      <c r="CU378" s="4">
        <f>CU370/COUNTIF(CU2:CU367,"&gt;=0")</f>
        <v>4.2614814814814839</v>
      </c>
      <c r="CV378" s="4">
        <f>CV370/COUNTIF(CV2:CV367,"&gt;=0")</f>
        <v>7.0249999999999995</v>
      </c>
      <c r="CW378" s="4">
        <f>CW370/COUNTIF(CW2:CW367,"&gt;=0")</f>
        <v>6.3319727891156496</v>
      </c>
      <c r="CX378" s="4">
        <f>CX370/COUNTIF(CX2:CX367,"&gt;=0")</f>
        <v>7.5402515723270387</v>
      </c>
      <c r="CY378" s="4">
        <f>CY370/COUNTIF(CY2:CY367,"&gt;=0")</f>
        <v>4.5925373134328362</v>
      </c>
      <c r="CZ378" s="4">
        <f>CZ370/COUNTIF(CZ2:CZ367,"&gt;=0")</f>
        <v>5.5875862068965523</v>
      </c>
      <c r="DA378" s="4">
        <f>DA370/COUNTIF(DA2:DA367,"&gt;=0")</f>
        <v>3.6866666666666674</v>
      </c>
      <c r="DB378" s="4">
        <f>DB370/COUNTIF(DB2:DB367,"&gt;=0")</f>
        <v>6.0487500000000027</v>
      </c>
      <c r="DC378" s="4">
        <f t="shared" ref="DC378:DD378" si="49">DC370/COUNTIF(DC2:DC367,"&gt;=0")</f>
        <v>6.760294117647061</v>
      </c>
      <c r="DD378" s="4">
        <f t="shared" si="49"/>
        <v>6.2467123287671242</v>
      </c>
      <c r="DW378">
        <v>0</v>
      </c>
      <c r="DX378">
        <f t="shared" si="36"/>
        <v>14794</v>
      </c>
      <c r="DY378">
        <f t="shared" si="35"/>
        <v>1</v>
      </c>
    </row>
    <row r="379" spans="1:129">
      <c r="A379" t="s">
        <v>20</v>
      </c>
      <c r="D379">
        <f>D370/D372</f>
        <v>5.6299065420560748</v>
      </c>
      <c r="E379">
        <f t="shared" ref="E379:BP379" si="50">E370/E372</f>
        <v>8.1966101694915281</v>
      </c>
      <c r="F379">
        <f t="shared" si="50"/>
        <v>5.7007407407407378</v>
      </c>
      <c r="G379">
        <f t="shared" si="50"/>
        <v>5.643589743589744</v>
      </c>
      <c r="H379">
        <f t="shared" si="50"/>
        <v>4.164220183486238</v>
      </c>
      <c r="I379">
        <f t="shared" si="50"/>
        <v>4.6380000000000008</v>
      </c>
      <c r="J379">
        <f t="shared" si="50"/>
        <v>7.2742268041237104</v>
      </c>
      <c r="K379">
        <f t="shared" si="50"/>
        <v>7.5901639344262293</v>
      </c>
      <c r="L379">
        <f t="shared" si="50"/>
        <v>6.4132075471698107</v>
      </c>
      <c r="M379">
        <f t="shared" si="50"/>
        <v>4.3990196078431385</v>
      </c>
      <c r="N379">
        <f t="shared" si="50"/>
        <v>8.1201612903225815</v>
      </c>
      <c r="O379">
        <f t="shared" si="50"/>
        <v>7.8829545454545471</v>
      </c>
      <c r="P379">
        <f t="shared" si="50"/>
        <v>8.3906779661016948</v>
      </c>
      <c r="Q379">
        <f t="shared" si="50"/>
        <v>7.2783783783783802</v>
      </c>
      <c r="R379">
        <f t="shared" si="50"/>
        <v>6.9674157303370778</v>
      </c>
      <c r="S379">
        <f t="shared" si="50"/>
        <v>8.5279569892473148</v>
      </c>
      <c r="T379">
        <f t="shared" si="50"/>
        <v>6.438785046728972</v>
      </c>
      <c r="U379">
        <f t="shared" si="50"/>
        <v>7.6524000000000072</v>
      </c>
      <c r="V379">
        <f t="shared" si="50"/>
        <v>6.8800000000000008</v>
      </c>
      <c r="W379">
        <f t="shared" si="50"/>
        <v>7.7823008849557551</v>
      </c>
      <c r="X379">
        <f t="shared" si="50"/>
        <v>7.0802197802197826</v>
      </c>
      <c r="Y379">
        <f t="shared" si="50"/>
        <v>7.251145038167941</v>
      </c>
      <c r="Z379">
        <f t="shared" si="50"/>
        <v>6.8227848101247579</v>
      </c>
      <c r="AA379">
        <f t="shared" si="50"/>
        <v>6.676666666663218</v>
      </c>
      <c r="AB379">
        <f t="shared" si="50"/>
        <v>7.1707317073141086</v>
      </c>
      <c r="AC379">
        <f t="shared" si="50"/>
        <v>7.9285714285678619</v>
      </c>
      <c r="AD379">
        <f t="shared" si="50"/>
        <v>8.062499999995806</v>
      </c>
      <c r="AE379">
        <f t="shared" si="50"/>
        <v>8.7077586206862581</v>
      </c>
      <c r="AF379">
        <f t="shared" si="50"/>
        <v>8.8305084745719888</v>
      </c>
      <c r="AG379">
        <f t="shared" si="50"/>
        <v>6.7517241379278401</v>
      </c>
      <c r="AH379">
        <f t="shared" si="50"/>
        <v>8.3730769230727553</v>
      </c>
      <c r="AI379">
        <f t="shared" si="50"/>
        <v>8.000862068962256</v>
      </c>
      <c r="AJ379">
        <f t="shared" si="50"/>
        <v>7.2616666666627463</v>
      </c>
      <c r="AK379">
        <f t="shared" si="50"/>
        <v>6.8939449541260993</v>
      </c>
      <c r="AL379">
        <f t="shared" si="50"/>
        <v>5.9772727272701607</v>
      </c>
      <c r="AM379">
        <f t="shared" si="50"/>
        <v>6.3867256637149215</v>
      </c>
      <c r="AN379">
        <f t="shared" si="50"/>
        <v>8.5868749999980789</v>
      </c>
      <c r="AO379">
        <f t="shared" si="50"/>
        <v>8.5047787610589154</v>
      </c>
      <c r="AP379">
        <f t="shared" si="50"/>
        <v>7.5877551020379359</v>
      </c>
      <c r="AQ379">
        <f t="shared" si="50"/>
        <v>9.3359649122753954</v>
      </c>
      <c r="AR379">
        <f t="shared" si="50"/>
        <v>7.5745098039188417</v>
      </c>
      <c r="AS379">
        <f t="shared" si="50"/>
        <v>7.5611570247903392</v>
      </c>
      <c r="AT379">
        <f t="shared" si="50"/>
        <v>5.122499999997971</v>
      </c>
      <c r="AU379">
        <f t="shared" si="50"/>
        <v>8.7247933884260238</v>
      </c>
      <c r="AV379">
        <f t="shared" si="50"/>
        <v>6.2025641025623504</v>
      </c>
      <c r="AW379">
        <f t="shared" si="50"/>
        <v>6.0483333333314926</v>
      </c>
      <c r="AX379">
        <f t="shared" si="50"/>
        <v>8.6873786407730975</v>
      </c>
      <c r="AY379">
        <f t="shared" si="50"/>
        <v>6.6759689922452381</v>
      </c>
      <c r="AZ379">
        <f t="shared" si="50"/>
        <v>6.3798319327702915</v>
      </c>
      <c r="BA379">
        <f t="shared" si="50"/>
        <v>9.1870967741894631</v>
      </c>
      <c r="BB379">
        <f t="shared" si="50"/>
        <v>8.9464566929091109</v>
      </c>
      <c r="BC379">
        <f t="shared" si="50"/>
        <v>8.1764227642232292</v>
      </c>
      <c r="BD379">
        <f t="shared" si="50"/>
        <v>7.7692982456142277</v>
      </c>
      <c r="BE379">
        <f t="shared" si="50"/>
        <v>8.0437956204373808</v>
      </c>
      <c r="BF379">
        <f t="shared" si="50"/>
        <v>8.0900900900891219</v>
      </c>
      <c r="BG379">
        <f t="shared" si="50"/>
        <v>5.8386554621849402</v>
      </c>
      <c r="BH379">
        <f t="shared" si="50"/>
        <v>8.0248062015507173</v>
      </c>
      <c r="BI379">
        <f t="shared" si="50"/>
        <v>7.716964285713944</v>
      </c>
      <c r="BJ379">
        <f t="shared" si="50"/>
        <v>8.0491666666665029</v>
      </c>
      <c r="BK379">
        <f t="shared" si="50"/>
        <v>7.2938399999999035</v>
      </c>
      <c r="BL379">
        <f t="shared" si="50"/>
        <v>7.0902654867241601</v>
      </c>
      <c r="BM379">
        <f t="shared" si="50"/>
        <v>6.240163934426195</v>
      </c>
      <c r="BN379">
        <f t="shared" si="50"/>
        <v>7.7822033898305376</v>
      </c>
      <c r="BO379">
        <f t="shared" si="50"/>
        <v>7.3720338983051992</v>
      </c>
      <c r="BP379">
        <f t="shared" si="50"/>
        <v>6.0229508196720269</v>
      </c>
      <c r="BQ379">
        <f t="shared" ref="BQ379:DB379" si="51">BQ370/BQ372</f>
        <v>6.3474137931035663</v>
      </c>
      <c r="BR379">
        <f t="shared" si="51"/>
        <v>7.044696969697438</v>
      </c>
      <c r="BS379">
        <f t="shared" si="51"/>
        <v>7.1396825396824735</v>
      </c>
      <c r="BT379">
        <f t="shared" si="51"/>
        <v>7.6793333333337985</v>
      </c>
      <c r="BU379">
        <f t="shared" si="51"/>
        <v>9.9953488372084855</v>
      </c>
      <c r="BV379">
        <f t="shared" si="51"/>
        <v>6.4381355932199771</v>
      </c>
      <c r="BW379">
        <f t="shared" si="51"/>
        <v>6.4763157894733805</v>
      </c>
      <c r="BX379">
        <f t="shared" si="51"/>
        <v>6.6536585365831282</v>
      </c>
      <c r="BY379">
        <f t="shared" si="51"/>
        <v>8.4853448275862089</v>
      </c>
      <c r="BZ379">
        <f t="shared" si="51"/>
        <v>7.0367924528301931</v>
      </c>
      <c r="CA379">
        <f t="shared" si="51"/>
        <v>8.8833333333333311</v>
      </c>
      <c r="CB379">
        <f t="shared" si="51"/>
        <v>7.236752136752135</v>
      </c>
      <c r="CC379">
        <f t="shared" si="51"/>
        <v>5.6171717171717184</v>
      </c>
      <c r="CD379">
        <f t="shared" si="51"/>
        <v>8.5068627450980365</v>
      </c>
      <c r="CE379">
        <f t="shared" si="51"/>
        <v>6.5127819548872186</v>
      </c>
      <c r="CF379">
        <f t="shared" si="51"/>
        <v>6.6149122807017537</v>
      </c>
      <c r="CG379">
        <f t="shared" si="51"/>
        <v>6.6561224489797688</v>
      </c>
      <c r="CH379">
        <f t="shared" si="51"/>
        <v>7.2009259259259615</v>
      </c>
      <c r="CI379">
        <f t="shared" si="51"/>
        <v>6.6587786259542847</v>
      </c>
      <c r="CJ379">
        <f t="shared" si="51"/>
        <v>6.6265151515151519</v>
      </c>
      <c r="CK379">
        <f t="shared" si="51"/>
        <v>9.2833333333333332</v>
      </c>
      <c r="CL379">
        <f t="shared" si="51"/>
        <v>7.2545454545454531</v>
      </c>
      <c r="CM379">
        <f t="shared" si="51"/>
        <v>7.3532110091743128</v>
      </c>
      <c r="CN379">
        <f t="shared" si="51"/>
        <v>7.4972222222222227</v>
      </c>
      <c r="CO379">
        <f t="shared" si="51"/>
        <v>9.1286956521739171</v>
      </c>
      <c r="CP379">
        <f t="shared" si="51"/>
        <v>7.4867256637168174</v>
      </c>
      <c r="CQ379">
        <f t="shared" si="51"/>
        <v>7.0863247863247896</v>
      </c>
      <c r="CR379">
        <f t="shared" si="51"/>
        <v>9.5000000000000018</v>
      </c>
      <c r="CS379">
        <f t="shared" si="51"/>
        <v>6.22027972027972</v>
      </c>
      <c r="CT379">
        <f t="shared" si="51"/>
        <v>8.0788461538461558</v>
      </c>
      <c r="CU379">
        <f t="shared" si="51"/>
        <v>5.531730769230772</v>
      </c>
      <c r="CV379">
        <f t="shared" si="51"/>
        <v>8.6461538461538456</v>
      </c>
      <c r="CW379">
        <f t="shared" si="51"/>
        <v>7.2718750000000041</v>
      </c>
      <c r="CX379">
        <f t="shared" si="51"/>
        <v>9.6685483870967683</v>
      </c>
      <c r="CY379">
        <f t="shared" si="51"/>
        <v>5.9747572815533987</v>
      </c>
      <c r="CZ379">
        <f t="shared" si="51"/>
        <v>7.1070175438596497</v>
      </c>
      <c r="DA379">
        <f t="shared" si="51"/>
        <v>4.8508771929824572</v>
      </c>
      <c r="DB379">
        <f t="shared" si="51"/>
        <v>7.5023255813953522</v>
      </c>
      <c r="DC379">
        <f t="shared" ref="DC379:DD379" si="52">DC370/DC372</f>
        <v>7.9258620689655199</v>
      </c>
      <c r="DD379">
        <f t="shared" si="52"/>
        <v>7.2961600000000004</v>
      </c>
    </row>
    <row r="380" spans="1:129">
      <c r="A380" t="s">
        <v>5</v>
      </c>
      <c r="D380">
        <f>MAX(D2:D367)</f>
        <v>42.5</v>
      </c>
      <c r="E380">
        <f t="shared" ref="E380:BP380" si="53">MAX(E2:E367)</f>
        <v>85.7</v>
      </c>
      <c r="F380">
        <f t="shared" si="53"/>
        <v>82.1</v>
      </c>
      <c r="G380">
        <f t="shared" si="53"/>
        <v>55.5</v>
      </c>
      <c r="H380">
        <f t="shared" si="53"/>
        <v>24.1</v>
      </c>
      <c r="I380">
        <f t="shared" si="53"/>
        <v>32.1</v>
      </c>
      <c r="J380">
        <f t="shared" si="53"/>
        <v>54.9</v>
      </c>
      <c r="K380">
        <f t="shared" si="53"/>
        <v>41.5</v>
      </c>
      <c r="L380">
        <f t="shared" si="53"/>
        <v>42.2</v>
      </c>
      <c r="M380">
        <f t="shared" si="53"/>
        <v>38.6</v>
      </c>
      <c r="N380">
        <f t="shared" si="53"/>
        <v>40.5</v>
      </c>
      <c r="O380">
        <f t="shared" si="53"/>
        <v>51.4</v>
      </c>
      <c r="P380">
        <f t="shared" si="53"/>
        <v>91</v>
      </c>
      <c r="Q380">
        <f t="shared" si="53"/>
        <v>46</v>
      </c>
      <c r="R380">
        <f t="shared" si="53"/>
        <v>42</v>
      </c>
      <c r="S380">
        <f t="shared" si="53"/>
        <v>104.9</v>
      </c>
      <c r="T380">
        <f t="shared" si="53"/>
        <v>37.1</v>
      </c>
      <c r="U380">
        <f t="shared" si="53"/>
        <v>58.2</v>
      </c>
      <c r="V380">
        <f t="shared" si="53"/>
        <v>71</v>
      </c>
      <c r="W380">
        <f t="shared" si="53"/>
        <v>54.5</v>
      </c>
      <c r="X380">
        <f t="shared" si="53"/>
        <v>49</v>
      </c>
      <c r="Y380">
        <f t="shared" si="53"/>
        <v>48</v>
      </c>
      <c r="Z380">
        <f t="shared" si="53"/>
        <v>66</v>
      </c>
      <c r="AA380">
        <f t="shared" si="53"/>
        <v>45.599999999976703</v>
      </c>
      <c r="AB380">
        <f t="shared" si="53"/>
        <v>57.5</v>
      </c>
      <c r="AC380">
        <f t="shared" si="53"/>
        <v>53</v>
      </c>
      <c r="AD380">
        <f t="shared" si="53"/>
        <v>79.899999999906896</v>
      </c>
      <c r="AE380">
        <f t="shared" si="53"/>
        <v>56.5</v>
      </c>
      <c r="AF380">
        <f t="shared" si="53"/>
        <v>44.299999999988401</v>
      </c>
      <c r="AG380">
        <f t="shared" si="53"/>
        <v>53.599999999976703</v>
      </c>
      <c r="AH380">
        <f t="shared" si="53"/>
        <v>131.29999999981399</v>
      </c>
      <c r="AI380">
        <f t="shared" si="53"/>
        <v>76.399999999906896</v>
      </c>
      <c r="AJ380">
        <f t="shared" si="53"/>
        <v>60.799999999988401</v>
      </c>
      <c r="AK380">
        <f t="shared" si="53"/>
        <v>42.5</v>
      </c>
      <c r="AL380">
        <f t="shared" si="53"/>
        <v>44.199999999953398</v>
      </c>
      <c r="AM380">
        <f t="shared" si="53"/>
        <v>51</v>
      </c>
      <c r="AN380">
        <f t="shared" si="53"/>
        <v>49.2</v>
      </c>
      <c r="AO380">
        <f t="shared" si="53"/>
        <v>80.099999999976703</v>
      </c>
      <c r="AP380">
        <f t="shared" si="53"/>
        <v>43.599999999976703</v>
      </c>
      <c r="AQ380">
        <f t="shared" si="53"/>
        <v>165.79999999981399</v>
      </c>
      <c r="AR380">
        <f t="shared" si="53"/>
        <v>39.399999999965097</v>
      </c>
      <c r="AS380">
        <f t="shared" si="53"/>
        <v>70.299999999930193</v>
      </c>
      <c r="AT380">
        <f t="shared" si="53"/>
        <v>39</v>
      </c>
      <c r="AU380">
        <f t="shared" si="53"/>
        <v>94.2</v>
      </c>
      <c r="AV380">
        <f t="shared" si="53"/>
        <v>35.5</v>
      </c>
      <c r="AW380">
        <f t="shared" si="53"/>
        <v>51.8</v>
      </c>
      <c r="AX380">
        <f t="shared" si="53"/>
        <v>53</v>
      </c>
      <c r="AY380">
        <f t="shared" si="53"/>
        <v>31.299999999988401</v>
      </c>
      <c r="AZ380">
        <f t="shared" si="53"/>
        <v>36.799999999988401</v>
      </c>
      <c r="BA380">
        <f t="shared" si="53"/>
        <v>123</v>
      </c>
      <c r="BB380">
        <f t="shared" si="53"/>
        <v>45.799999999988401</v>
      </c>
      <c r="BC380">
        <f t="shared" si="53"/>
        <v>59.299999999988401</v>
      </c>
      <c r="BD380">
        <f t="shared" si="53"/>
        <v>50.799999999988401</v>
      </c>
      <c r="BE380">
        <f t="shared" si="53"/>
        <v>61</v>
      </c>
      <c r="BF380">
        <f t="shared" si="53"/>
        <v>76.399999999906896</v>
      </c>
      <c r="BG380">
        <f t="shared" si="53"/>
        <v>27.200000000011599</v>
      </c>
      <c r="BH380">
        <f t="shared" si="53"/>
        <v>36.799999999988401</v>
      </c>
      <c r="BI380">
        <f t="shared" si="53"/>
        <v>31</v>
      </c>
      <c r="BJ380">
        <f t="shared" si="53"/>
        <v>55</v>
      </c>
      <c r="BK380">
        <f t="shared" si="53"/>
        <v>64</v>
      </c>
      <c r="BL380">
        <f t="shared" si="53"/>
        <v>66.399999999906896</v>
      </c>
      <c r="BM380">
        <f t="shared" si="53"/>
        <v>35.5</v>
      </c>
      <c r="BN380">
        <f t="shared" si="53"/>
        <v>84</v>
      </c>
      <c r="BO380">
        <f t="shared" si="53"/>
        <v>39</v>
      </c>
      <c r="BP380">
        <f t="shared" si="53"/>
        <v>39.400000000023297</v>
      </c>
      <c r="BQ380">
        <f t="shared" ref="BQ380:DB380" si="54">MAX(BQ2:BQ367)</f>
        <v>71.5</v>
      </c>
      <c r="BR380">
        <f t="shared" si="54"/>
        <v>91</v>
      </c>
      <c r="BS380">
        <f t="shared" si="54"/>
        <v>47</v>
      </c>
      <c r="BT380">
        <f t="shared" si="54"/>
        <v>47.520000000018598</v>
      </c>
      <c r="BU380">
        <f t="shared" si="54"/>
        <v>86.900000000023297</v>
      </c>
      <c r="BV380">
        <f t="shared" si="54"/>
        <v>36.6999999999964</v>
      </c>
      <c r="BW380">
        <f t="shared" si="54"/>
        <v>52.1</v>
      </c>
      <c r="BX380">
        <f t="shared" si="54"/>
        <v>123</v>
      </c>
      <c r="BY380">
        <f t="shared" si="54"/>
        <v>111.8</v>
      </c>
      <c r="BZ380">
        <f t="shared" si="54"/>
        <v>48.6</v>
      </c>
      <c r="CA380">
        <f t="shared" si="54"/>
        <v>100.5</v>
      </c>
      <c r="CB380">
        <f t="shared" si="54"/>
        <v>67</v>
      </c>
      <c r="CC380">
        <f t="shared" si="54"/>
        <v>51.5</v>
      </c>
      <c r="CD380">
        <f t="shared" si="54"/>
        <v>77.5</v>
      </c>
      <c r="CE380">
        <f t="shared" si="54"/>
        <v>66</v>
      </c>
      <c r="CF380">
        <f t="shared" si="54"/>
        <v>41.3</v>
      </c>
      <c r="CG380">
        <f t="shared" si="54"/>
        <v>68.099999999999994</v>
      </c>
      <c r="CH380">
        <f t="shared" si="54"/>
        <v>47.9</v>
      </c>
      <c r="CI380">
        <f t="shared" si="54"/>
        <v>67.5</v>
      </c>
      <c r="CJ380">
        <f t="shared" si="54"/>
        <v>41.3</v>
      </c>
      <c r="CK380">
        <f t="shared" si="54"/>
        <v>117</v>
      </c>
      <c r="CL380">
        <f t="shared" si="54"/>
        <v>59.5</v>
      </c>
      <c r="CM380">
        <f t="shared" si="54"/>
        <v>50.1</v>
      </c>
      <c r="CN380">
        <f t="shared" si="54"/>
        <v>40.5</v>
      </c>
      <c r="CO380">
        <f t="shared" si="54"/>
        <v>38.4</v>
      </c>
      <c r="CP380">
        <f t="shared" si="54"/>
        <v>56.3</v>
      </c>
      <c r="CQ380">
        <f t="shared" si="54"/>
        <v>33.700000000000003</v>
      </c>
      <c r="CR380">
        <f t="shared" si="54"/>
        <v>120.5</v>
      </c>
      <c r="CS380">
        <f t="shared" si="54"/>
        <v>41.3</v>
      </c>
      <c r="CT380">
        <f t="shared" si="54"/>
        <v>47.6</v>
      </c>
      <c r="CU380">
        <f t="shared" si="54"/>
        <v>97</v>
      </c>
      <c r="CV380">
        <f t="shared" si="54"/>
        <v>110</v>
      </c>
      <c r="CW380">
        <f t="shared" si="54"/>
        <v>57.5</v>
      </c>
      <c r="CX380">
        <f t="shared" si="54"/>
        <v>91.2</v>
      </c>
      <c r="CY380">
        <f t="shared" si="54"/>
        <v>36.6</v>
      </c>
      <c r="CZ380">
        <f t="shared" si="54"/>
        <v>36.5</v>
      </c>
      <c r="DA380">
        <f t="shared" si="54"/>
        <v>30.5</v>
      </c>
      <c r="DB380">
        <f t="shared" si="54"/>
        <v>67.3</v>
      </c>
      <c r="DC380">
        <f t="shared" ref="DC380:DD380" si="55">MAX(DC2:DC367)</f>
        <v>47.8</v>
      </c>
      <c r="DD380">
        <f t="shared" si="55"/>
        <v>84.5</v>
      </c>
    </row>
    <row r="381" spans="1:129">
      <c r="A381" t="s">
        <v>21</v>
      </c>
      <c r="D381">
        <f>MIN(D2:D367)</f>
        <v>0</v>
      </c>
      <c r="E381">
        <f t="shared" ref="E381:BP381" si="56">MIN(E2:E367)</f>
        <v>0</v>
      </c>
      <c r="F381">
        <f t="shared" si="56"/>
        <v>0</v>
      </c>
      <c r="G381">
        <f t="shared" si="56"/>
        <v>0.1</v>
      </c>
      <c r="H381">
        <f t="shared" si="56"/>
        <v>0.1</v>
      </c>
      <c r="I381">
        <f t="shared" si="56"/>
        <v>0.3</v>
      </c>
      <c r="J381">
        <f t="shared" si="56"/>
        <v>0.1</v>
      </c>
      <c r="K381">
        <f t="shared" si="56"/>
        <v>0.1</v>
      </c>
      <c r="L381">
        <f t="shared" si="56"/>
        <v>0</v>
      </c>
      <c r="M381">
        <f t="shared" si="56"/>
        <v>0.1</v>
      </c>
      <c r="N381">
        <f t="shared" si="56"/>
        <v>0.1</v>
      </c>
      <c r="O381">
        <f t="shared" si="56"/>
        <v>0.1</v>
      </c>
      <c r="P381">
        <f t="shared" si="56"/>
        <v>0.1</v>
      </c>
      <c r="Q381">
        <f t="shared" si="56"/>
        <v>0.1</v>
      </c>
      <c r="R381">
        <f t="shared" si="56"/>
        <v>0</v>
      </c>
      <c r="S381">
        <f t="shared" si="56"/>
        <v>0.1</v>
      </c>
      <c r="T381">
        <f t="shared" si="56"/>
        <v>0.1</v>
      </c>
      <c r="U381">
        <f t="shared" si="56"/>
        <v>0</v>
      </c>
      <c r="V381">
        <f t="shared" si="56"/>
        <v>0</v>
      </c>
      <c r="W381">
        <f t="shared" si="56"/>
        <v>0</v>
      </c>
      <c r="X381">
        <f t="shared" si="56"/>
        <v>0</v>
      </c>
      <c r="Y381">
        <f t="shared" si="56"/>
        <v>0</v>
      </c>
      <c r="Z381">
        <f t="shared" si="56"/>
        <v>0</v>
      </c>
      <c r="AA381">
        <f t="shared" si="56"/>
        <v>0</v>
      </c>
      <c r="AB381">
        <f t="shared" si="56"/>
        <v>0</v>
      </c>
      <c r="AC381">
        <f t="shared" si="56"/>
        <v>0</v>
      </c>
      <c r="AD381">
        <f t="shared" si="56"/>
        <v>0</v>
      </c>
      <c r="AE381">
        <f t="shared" si="56"/>
        <v>0</v>
      </c>
      <c r="AF381">
        <f t="shared" si="56"/>
        <v>0</v>
      </c>
      <c r="AG381">
        <f t="shared" si="56"/>
        <v>0</v>
      </c>
      <c r="AH381">
        <f t="shared" si="56"/>
        <v>0</v>
      </c>
      <c r="AI381">
        <f t="shared" si="56"/>
        <v>0</v>
      </c>
      <c r="AJ381">
        <f t="shared" si="56"/>
        <v>0</v>
      </c>
      <c r="AK381">
        <f t="shared" si="56"/>
        <v>0</v>
      </c>
      <c r="AL381">
        <f t="shared" si="56"/>
        <v>0</v>
      </c>
      <c r="AM381">
        <f t="shared" si="56"/>
        <v>0</v>
      </c>
      <c r="AN381">
        <f t="shared" si="56"/>
        <v>0</v>
      </c>
      <c r="AO381">
        <f t="shared" si="56"/>
        <v>0</v>
      </c>
      <c r="AP381">
        <f t="shared" si="56"/>
        <v>0</v>
      </c>
      <c r="AQ381">
        <f t="shared" si="56"/>
        <v>0</v>
      </c>
      <c r="AR381">
        <f t="shared" si="56"/>
        <v>0</v>
      </c>
      <c r="AS381">
        <f t="shared" si="56"/>
        <v>0</v>
      </c>
      <c r="AT381">
        <f t="shared" si="56"/>
        <v>0</v>
      </c>
      <c r="AU381">
        <f t="shared" si="56"/>
        <v>0</v>
      </c>
      <c r="AV381">
        <f t="shared" si="56"/>
        <v>0</v>
      </c>
      <c r="AW381">
        <f t="shared" si="56"/>
        <v>0</v>
      </c>
      <c r="AX381">
        <f t="shared" si="56"/>
        <v>0</v>
      </c>
      <c r="AY381">
        <f t="shared" si="56"/>
        <v>0</v>
      </c>
      <c r="AZ381">
        <f t="shared" si="56"/>
        <v>0</v>
      </c>
      <c r="BA381">
        <f t="shared" si="56"/>
        <v>0</v>
      </c>
      <c r="BB381">
        <f t="shared" si="56"/>
        <v>0</v>
      </c>
      <c r="BC381">
        <f t="shared" si="56"/>
        <v>0</v>
      </c>
      <c r="BD381">
        <f t="shared" si="56"/>
        <v>0</v>
      </c>
      <c r="BE381">
        <f t="shared" si="56"/>
        <v>0</v>
      </c>
      <c r="BF381">
        <f t="shared" si="56"/>
        <v>0</v>
      </c>
      <c r="BG381">
        <f t="shared" si="56"/>
        <v>0</v>
      </c>
      <c r="BH381">
        <f t="shared" si="56"/>
        <v>0</v>
      </c>
      <c r="BI381">
        <f t="shared" si="56"/>
        <v>0</v>
      </c>
      <c r="BJ381">
        <f t="shared" si="56"/>
        <v>0</v>
      </c>
      <c r="BK381">
        <f t="shared" si="56"/>
        <v>0</v>
      </c>
      <c r="BL381">
        <f t="shared" si="56"/>
        <v>0</v>
      </c>
      <c r="BM381">
        <f t="shared" si="56"/>
        <v>0</v>
      </c>
      <c r="BN381">
        <f t="shared" si="56"/>
        <v>0</v>
      </c>
      <c r="BO381">
        <f t="shared" si="56"/>
        <v>0</v>
      </c>
      <c r="BP381">
        <f t="shared" si="56"/>
        <v>0</v>
      </c>
      <c r="BQ381">
        <f t="shared" ref="BQ381:DB381" si="57">MIN(BQ2:BQ367)</f>
        <v>0</v>
      </c>
      <c r="BR381">
        <f t="shared" si="57"/>
        <v>0</v>
      </c>
      <c r="BS381">
        <f t="shared" si="57"/>
        <v>0</v>
      </c>
      <c r="BT381">
        <f t="shared" si="57"/>
        <v>0</v>
      </c>
      <c r="BU381">
        <f t="shared" si="57"/>
        <v>0</v>
      </c>
      <c r="BV381">
        <f t="shared" si="57"/>
        <v>0</v>
      </c>
      <c r="BW381">
        <f t="shared" si="57"/>
        <v>0</v>
      </c>
      <c r="BX381">
        <f t="shared" si="57"/>
        <v>0</v>
      </c>
      <c r="BY381">
        <f t="shared" si="57"/>
        <v>0</v>
      </c>
      <c r="BZ381">
        <f t="shared" si="57"/>
        <v>0</v>
      </c>
      <c r="CA381">
        <f t="shared" si="57"/>
        <v>0</v>
      </c>
      <c r="CB381">
        <f t="shared" si="57"/>
        <v>0</v>
      </c>
      <c r="CC381">
        <f t="shared" si="57"/>
        <v>0</v>
      </c>
      <c r="CD381">
        <f t="shared" si="57"/>
        <v>0</v>
      </c>
      <c r="CE381">
        <f t="shared" si="57"/>
        <v>0</v>
      </c>
      <c r="CF381">
        <f t="shared" si="57"/>
        <v>0</v>
      </c>
      <c r="CG381">
        <f t="shared" si="57"/>
        <v>0</v>
      </c>
      <c r="CH381">
        <f t="shared" si="57"/>
        <v>0</v>
      </c>
      <c r="CI381">
        <f t="shared" si="57"/>
        <v>0</v>
      </c>
      <c r="CJ381">
        <f t="shared" si="57"/>
        <v>0</v>
      </c>
      <c r="CK381">
        <f t="shared" si="57"/>
        <v>0</v>
      </c>
      <c r="CL381">
        <f t="shared" si="57"/>
        <v>0</v>
      </c>
      <c r="CM381">
        <f t="shared" si="57"/>
        <v>0</v>
      </c>
      <c r="CN381">
        <f t="shared" si="57"/>
        <v>0</v>
      </c>
      <c r="CO381">
        <f t="shared" si="57"/>
        <v>0</v>
      </c>
      <c r="CP381">
        <f t="shared" si="57"/>
        <v>0</v>
      </c>
      <c r="CQ381">
        <f t="shared" si="57"/>
        <v>0</v>
      </c>
      <c r="CR381">
        <f t="shared" si="57"/>
        <v>0</v>
      </c>
      <c r="CS381">
        <f t="shared" si="57"/>
        <v>0</v>
      </c>
      <c r="CT381">
        <f t="shared" si="57"/>
        <v>0</v>
      </c>
      <c r="CU381">
        <f t="shared" si="57"/>
        <v>0</v>
      </c>
      <c r="CV381">
        <f t="shared" si="57"/>
        <v>0.1</v>
      </c>
      <c r="CW381">
        <f t="shared" si="57"/>
        <v>0.1</v>
      </c>
      <c r="CX381">
        <f t="shared" si="57"/>
        <v>0.1</v>
      </c>
      <c r="CY381">
        <f t="shared" si="57"/>
        <v>0.1</v>
      </c>
      <c r="CZ381">
        <f t="shared" si="57"/>
        <v>0.1</v>
      </c>
      <c r="DA381">
        <f t="shared" si="57"/>
        <v>0.1</v>
      </c>
      <c r="DB381">
        <f t="shared" si="57"/>
        <v>0.1</v>
      </c>
      <c r="DC381">
        <f t="shared" ref="DC381:DD381" si="58">MIN(DC2:DC367)</f>
        <v>0.1</v>
      </c>
      <c r="DD381">
        <f t="shared" si="58"/>
        <v>0.1</v>
      </c>
    </row>
    <row r="382" spans="1:129">
      <c r="A382" t="s">
        <v>25</v>
      </c>
      <c r="D382">
        <f>STDEV(D2:D367)</f>
        <v>7.3332569725145751</v>
      </c>
      <c r="E382">
        <f t="shared" ref="E382:BP382" si="59">STDEV(E2:E367)</f>
        <v>13.713038633775835</v>
      </c>
      <c r="F382">
        <f t="shared" si="59"/>
        <v>9.4772469688663072</v>
      </c>
      <c r="G382">
        <f t="shared" si="59"/>
        <v>7.1048389769305746</v>
      </c>
      <c r="H382">
        <f t="shared" si="59"/>
        <v>4.8074129243543826</v>
      </c>
      <c r="I382">
        <f t="shared" si="59"/>
        <v>5.9145904167558196</v>
      </c>
      <c r="J382">
        <f t="shared" si="59"/>
        <v>11.017453833700735</v>
      </c>
      <c r="K382">
        <f t="shared" si="59"/>
        <v>8.6443304074969127</v>
      </c>
      <c r="L382">
        <f t="shared" si="59"/>
        <v>7.4156664886078492</v>
      </c>
      <c r="M382">
        <f t="shared" si="59"/>
        <v>6.184017483882938</v>
      </c>
      <c r="N382">
        <f t="shared" si="59"/>
        <v>9.00913792168563</v>
      </c>
      <c r="O382">
        <f t="shared" si="59"/>
        <v>9.7279019309328465</v>
      </c>
      <c r="P382">
        <f t="shared" si="59"/>
        <v>14.167655666932841</v>
      </c>
      <c r="Q382">
        <f t="shared" si="59"/>
        <v>9.8760633210689299</v>
      </c>
      <c r="R382">
        <f t="shared" si="59"/>
        <v>7.6631566808593261</v>
      </c>
      <c r="S382">
        <f t="shared" si="59"/>
        <v>14.21492381115411</v>
      </c>
      <c r="T382">
        <f t="shared" si="59"/>
        <v>6.9556085798570049</v>
      </c>
      <c r="U382">
        <f t="shared" si="59"/>
        <v>9.650933097630098</v>
      </c>
      <c r="V382">
        <f t="shared" si="59"/>
        <v>9.2712385873849712</v>
      </c>
      <c r="W382">
        <f t="shared" si="59"/>
        <v>9.7462272233925304</v>
      </c>
      <c r="X382">
        <f t="shared" si="59"/>
        <v>8.8753409501844942</v>
      </c>
      <c r="Y382">
        <f t="shared" si="59"/>
        <v>7.8238499596146882</v>
      </c>
      <c r="Z382">
        <f t="shared" si="59"/>
        <v>9.7456387552310222</v>
      </c>
      <c r="AA382">
        <f t="shared" si="59"/>
        <v>8.2892894858512705</v>
      </c>
      <c r="AB382">
        <f t="shared" si="59"/>
        <v>8.9183193587148839</v>
      </c>
      <c r="AC382">
        <f t="shared" si="59"/>
        <v>9.0275619838710135</v>
      </c>
      <c r="AD382">
        <f t="shared" si="59"/>
        <v>11.640156091335056</v>
      </c>
      <c r="AE382">
        <f t="shared" si="59"/>
        <v>10.004728523182235</v>
      </c>
      <c r="AF382">
        <f t="shared" si="59"/>
        <v>9.1890607403160747</v>
      </c>
      <c r="AG382">
        <f t="shared" si="59"/>
        <v>8.0016113471870938</v>
      </c>
      <c r="AH382">
        <f t="shared" si="59"/>
        <v>13.659329641879046</v>
      </c>
      <c r="AI382">
        <f t="shared" si="59"/>
        <v>11.036365633325893</v>
      </c>
      <c r="AJ382">
        <f t="shared" si="59"/>
        <v>8.585239964834317</v>
      </c>
      <c r="AK382">
        <f t="shared" si="59"/>
        <v>8.125513335484408</v>
      </c>
      <c r="AL382">
        <f t="shared" si="59"/>
        <v>6.8894557399839487</v>
      </c>
      <c r="AM382">
        <f t="shared" si="59"/>
        <v>7.3450241713330993</v>
      </c>
      <c r="AN382">
        <f t="shared" si="59"/>
        <v>9.4573817133030289</v>
      </c>
      <c r="AO382">
        <f t="shared" si="59"/>
        <v>11.754272247664161</v>
      </c>
      <c r="AP382">
        <f t="shared" si="59"/>
        <v>7.9967969599800526</v>
      </c>
      <c r="AQ382">
        <f t="shared" si="59"/>
        <v>17.2842565926085</v>
      </c>
      <c r="AR382">
        <f t="shared" si="59"/>
        <v>8.1972417042091621</v>
      </c>
      <c r="AS382">
        <f t="shared" si="59"/>
        <v>9.2806484796591828</v>
      </c>
      <c r="AT382">
        <f t="shared" si="59"/>
        <v>5.9927516678423354</v>
      </c>
      <c r="AU382">
        <f t="shared" si="59"/>
        <v>12.971217705453274</v>
      </c>
      <c r="AV382">
        <f t="shared" si="59"/>
        <v>6.68091132679384</v>
      </c>
      <c r="AW382">
        <f t="shared" si="59"/>
        <v>7.307982380345396</v>
      </c>
      <c r="AX382">
        <f t="shared" si="59"/>
        <v>9.7252016231582026</v>
      </c>
      <c r="AY382">
        <f t="shared" si="59"/>
        <v>7.1869134137948052</v>
      </c>
      <c r="AZ382">
        <f t="shared" si="59"/>
        <v>6.5860190207527864</v>
      </c>
      <c r="BA382">
        <f t="shared" si="59"/>
        <v>15.431956002169443</v>
      </c>
      <c r="BB382">
        <f t="shared" si="59"/>
        <v>9.7718574448005207</v>
      </c>
      <c r="BC382">
        <f t="shared" si="59"/>
        <v>10.297912060597021</v>
      </c>
      <c r="BD382">
        <f t="shared" si="59"/>
        <v>8.8534931673108108</v>
      </c>
      <c r="BE382">
        <f t="shared" si="59"/>
        <v>10.470316827738484</v>
      </c>
      <c r="BF382">
        <f t="shared" si="59"/>
        <v>11.176440372544139</v>
      </c>
      <c r="BG382">
        <f t="shared" si="59"/>
        <v>5.9425305179389198</v>
      </c>
      <c r="BH382">
        <f t="shared" si="59"/>
        <v>8.6939000323735609</v>
      </c>
      <c r="BI382">
        <f t="shared" si="59"/>
        <v>6.8438423949641249</v>
      </c>
      <c r="BJ382">
        <f t="shared" si="59"/>
        <v>7.859389276046806</v>
      </c>
      <c r="BK382">
        <f t="shared" si="59"/>
        <v>7.6561118398093884</v>
      </c>
      <c r="BL382">
        <f t="shared" si="59"/>
        <v>8.4453889589200166</v>
      </c>
      <c r="BM382">
        <f t="shared" si="59"/>
        <v>6.2928367551271016</v>
      </c>
      <c r="BN382">
        <f t="shared" si="59"/>
        <v>9.9036943032747775</v>
      </c>
      <c r="BO382">
        <f t="shared" si="59"/>
        <v>7.6337624048718302</v>
      </c>
      <c r="BP382">
        <f t="shared" si="59"/>
        <v>7.4280248280098942</v>
      </c>
      <c r="BQ382">
        <f t="shared" ref="BQ382:DB382" si="60">STDEV(BQ2:BQ367)</f>
        <v>8.2828959078427982</v>
      </c>
      <c r="BR382">
        <f t="shared" si="60"/>
        <v>9.9576767689412087</v>
      </c>
      <c r="BS382">
        <f t="shared" si="60"/>
        <v>8.5937336027087294</v>
      </c>
      <c r="BT382">
        <f t="shared" si="60"/>
        <v>9.4117581773112722</v>
      </c>
      <c r="BU382">
        <f t="shared" si="60"/>
        <v>12.34459969210881</v>
      </c>
      <c r="BV382">
        <f t="shared" si="60"/>
        <v>7.0410440077480088</v>
      </c>
      <c r="BW382">
        <f t="shared" si="60"/>
        <v>7.4341257660357556</v>
      </c>
      <c r="BX382">
        <f t="shared" si="60"/>
        <v>11.135786547666163</v>
      </c>
      <c r="BY382">
        <f t="shared" si="60"/>
        <v>14.412457056547892</v>
      </c>
      <c r="BZ382">
        <f t="shared" si="60"/>
        <v>7.6311152638426289</v>
      </c>
      <c r="CA382">
        <f t="shared" si="60"/>
        <v>12.590884882929412</v>
      </c>
      <c r="CB382">
        <f t="shared" si="60"/>
        <v>9.4136886082696183</v>
      </c>
      <c r="CC382">
        <f t="shared" si="60"/>
        <v>7.3412305336880861</v>
      </c>
      <c r="CD382">
        <f t="shared" si="60"/>
        <v>10.957186236724127</v>
      </c>
      <c r="CE382">
        <f t="shared" si="60"/>
        <v>8.9215363189655807</v>
      </c>
      <c r="CF382">
        <f t="shared" si="60"/>
        <v>7.627279979295384</v>
      </c>
      <c r="CG382">
        <f t="shared" si="60"/>
        <v>8.8416121851023171</v>
      </c>
      <c r="CH382">
        <f t="shared" si="60"/>
        <v>8.2732600722191023</v>
      </c>
      <c r="CI382">
        <f t="shared" si="60"/>
        <v>8.4431951080191432</v>
      </c>
      <c r="CJ382">
        <f t="shared" si="60"/>
        <v>7.4705335331270346</v>
      </c>
      <c r="CK382">
        <f t="shared" si="60"/>
        <v>13.470364216529239</v>
      </c>
      <c r="CL382">
        <f t="shared" si="60"/>
        <v>8.0653246601509085</v>
      </c>
      <c r="CM382">
        <f t="shared" si="60"/>
        <v>8.8305174598604737</v>
      </c>
      <c r="CN382">
        <f t="shared" si="60"/>
        <v>8.2169267024237023</v>
      </c>
      <c r="CO382">
        <f t="shared" si="60"/>
        <v>9.974636250458401</v>
      </c>
      <c r="CP382">
        <f t="shared" si="60"/>
        <v>9.4453486263697926</v>
      </c>
      <c r="CQ382">
        <f t="shared" si="60"/>
        <v>7.2084009627429628</v>
      </c>
      <c r="CR382">
        <f t="shared" si="60"/>
        <v>14.011746179821836</v>
      </c>
      <c r="CS382">
        <f t="shared" si="60"/>
        <v>7.3474745279755043</v>
      </c>
      <c r="CT382">
        <f t="shared" si="60"/>
        <v>9.4858318350179953</v>
      </c>
      <c r="CU382">
        <f t="shared" si="60"/>
        <v>9.7507824805429575</v>
      </c>
      <c r="CV382">
        <f t="shared" si="60"/>
        <v>12.842148862303956</v>
      </c>
      <c r="CW382">
        <f t="shared" si="60"/>
        <v>8.5905809074835933</v>
      </c>
      <c r="CX382">
        <f t="shared" si="60"/>
        <v>12.329264966730785</v>
      </c>
      <c r="CY382">
        <f t="shared" si="60"/>
        <v>6.0222722819918149</v>
      </c>
      <c r="CZ382">
        <f t="shared" si="60"/>
        <v>7.1912937597276168</v>
      </c>
      <c r="DA382">
        <f t="shared" si="60"/>
        <v>4.8903777137809312</v>
      </c>
      <c r="DB382">
        <f t="shared" si="60"/>
        <v>8.9262808041037278</v>
      </c>
      <c r="DC382">
        <f t="shared" ref="DC382:DD382" si="61">STDEV(DC2:DC367)</f>
        <v>9.3697644494821706</v>
      </c>
      <c r="DD382">
        <f t="shared" si="61"/>
        <v>10.524914881109757</v>
      </c>
    </row>
    <row r="383" spans="1:129">
      <c r="A383" t="s">
        <v>26</v>
      </c>
      <c r="D383">
        <f>LARGE(D2:D367,1)</f>
        <v>42.5</v>
      </c>
      <c r="E383">
        <f t="shared" ref="E383:BP383" si="62">LARGE(E2:E367,1)</f>
        <v>85.7</v>
      </c>
      <c r="F383">
        <f t="shared" si="62"/>
        <v>82.1</v>
      </c>
      <c r="G383">
        <f t="shared" si="62"/>
        <v>55.5</v>
      </c>
      <c r="H383">
        <f t="shared" si="62"/>
        <v>24.1</v>
      </c>
      <c r="I383">
        <f t="shared" si="62"/>
        <v>32.1</v>
      </c>
      <c r="J383">
        <f t="shared" si="62"/>
        <v>54.9</v>
      </c>
      <c r="K383">
        <f t="shared" si="62"/>
        <v>41.5</v>
      </c>
      <c r="L383">
        <f t="shared" si="62"/>
        <v>42.2</v>
      </c>
      <c r="M383">
        <f t="shared" si="62"/>
        <v>38.6</v>
      </c>
      <c r="N383">
        <f t="shared" si="62"/>
        <v>40.5</v>
      </c>
      <c r="O383">
        <f t="shared" si="62"/>
        <v>51.4</v>
      </c>
      <c r="P383">
        <f t="shared" si="62"/>
        <v>91</v>
      </c>
      <c r="Q383">
        <f t="shared" si="62"/>
        <v>46</v>
      </c>
      <c r="R383">
        <f t="shared" si="62"/>
        <v>42</v>
      </c>
      <c r="S383">
        <f t="shared" si="62"/>
        <v>104.9</v>
      </c>
      <c r="T383">
        <f t="shared" si="62"/>
        <v>37.1</v>
      </c>
      <c r="U383">
        <f t="shared" si="62"/>
        <v>58.2</v>
      </c>
      <c r="V383">
        <f t="shared" si="62"/>
        <v>71</v>
      </c>
      <c r="W383">
        <f t="shared" si="62"/>
        <v>54.5</v>
      </c>
      <c r="X383">
        <f t="shared" si="62"/>
        <v>49</v>
      </c>
      <c r="Y383">
        <f t="shared" si="62"/>
        <v>48</v>
      </c>
      <c r="Z383">
        <f t="shared" si="62"/>
        <v>66</v>
      </c>
      <c r="AA383">
        <f t="shared" si="62"/>
        <v>45.599999999976703</v>
      </c>
      <c r="AB383">
        <f t="shared" si="62"/>
        <v>57.5</v>
      </c>
      <c r="AC383">
        <f t="shared" si="62"/>
        <v>53</v>
      </c>
      <c r="AD383">
        <f t="shared" si="62"/>
        <v>79.899999999906896</v>
      </c>
      <c r="AE383">
        <f t="shared" si="62"/>
        <v>56.5</v>
      </c>
      <c r="AF383">
        <f t="shared" si="62"/>
        <v>44.299999999988401</v>
      </c>
      <c r="AG383">
        <f t="shared" si="62"/>
        <v>53.599999999976703</v>
      </c>
      <c r="AH383">
        <f t="shared" si="62"/>
        <v>131.29999999981399</v>
      </c>
      <c r="AI383">
        <f t="shared" si="62"/>
        <v>76.399999999906896</v>
      </c>
      <c r="AJ383">
        <f t="shared" si="62"/>
        <v>60.799999999988401</v>
      </c>
      <c r="AK383">
        <f t="shared" si="62"/>
        <v>42.5</v>
      </c>
      <c r="AL383">
        <f t="shared" si="62"/>
        <v>44.199999999953398</v>
      </c>
      <c r="AM383">
        <f t="shared" si="62"/>
        <v>51</v>
      </c>
      <c r="AN383">
        <f t="shared" si="62"/>
        <v>49.2</v>
      </c>
      <c r="AO383">
        <f t="shared" si="62"/>
        <v>80.099999999976703</v>
      </c>
      <c r="AP383">
        <f t="shared" si="62"/>
        <v>43.599999999976703</v>
      </c>
      <c r="AQ383">
        <f t="shared" si="62"/>
        <v>165.79999999981399</v>
      </c>
      <c r="AR383">
        <f t="shared" si="62"/>
        <v>39.399999999965097</v>
      </c>
      <c r="AS383">
        <f t="shared" si="62"/>
        <v>70.299999999930193</v>
      </c>
      <c r="AT383">
        <f t="shared" si="62"/>
        <v>39</v>
      </c>
      <c r="AU383">
        <f t="shared" si="62"/>
        <v>94.2</v>
      </c>
      <c r="AV383">
        <f t="shared" si="62"/>
        <v>35.5</v>
      </c>
      <c r="AW383">
        <f t="shared" si="62"/>
        <v>51.8</v>
      </c>
      <c r="AX383">
        <f t="shared" si="62"/>
        <v>53</v>
      </c>
      <c r="AY383">
        <f t="shared" si="62"/>
        <v>31.299999999988401</v>
      </c>
      <c r="AZ383">
        <f t="shared" si="62"/>
        <v>36.799999999988401</v>
      </c>
      <c r="BA383">
        <f t="shared" si="62"/>
        <v>123</v>
      </c>
      <c r="BB383">
        <f t="shared" si="62"/>
        <v>45.799999999988401</v>
      </c>
      <c r="BC383">
        <f t="shared" si="62"/>
        <v>59.299999999988401</v>
      </c>
      <c r="BD383">
        <f t="shared" si="62"/>
        <v>50.799999999988401</v>
      </c>
      <c r="BE383">
        <f t="shared" si="62"/>
        <v>61</v>
      </c>
      <c r="BF383">
        <f t="shared" si="62"/>
        <v>76.399999999906896</v>
      </c>
      <c r="BG383">
        <f t="shared" si="62"/>
        <v>27.200000000011599</v>
      </c>
      <c r="BH383">
        <f t="shared" si="62"/>
        <v>36.799999999988401</v>
      </c>
      <c r="BI383">
        <f t="shared" si="62"/>
        <v>31</v>
      </c>
      <c r="BJ383">
        <f t="shared" si="62"/>
        <v>55</v>
      </c>
      <c r="BK383">
        <f t="shared" si="62"/>
        <v>64</v>
      </c>
      <c r="BL383">
        <f t="shared" si="62"/>
        <v>66.399999999906896</v>
      </c>
      <c r="BM383">
        <f t="shared" si="62"/>
        <v>35.5</v>
      </c>
      <c r="BN383">
        <f t="shared" si="62"/>
        <v>84</v>
      </c>
      <c r="BO383">
        <f t="shared" si="62"/>
        <v>39</v>
      </c>
      <c r="BP383">
        <f t="shared" si="62"/>
        <v>39.400000000023297</v>
      </c>
      <c r="BQ383">
        <f t="shared" ref="BQ383:DB383" si="63">LARGE(BQ2:BQ367,1)</f>
        <v>71.5</v>
      </c>
      <c r="BR383">
        <f t="shared" si="63"/>
        <v>91</v>
      </c>
      <c r="BS383">
        <f t="shared" si="63"/>
        <v>47</v>
      </c>
      <c r="BT383">
        <f t="shared" si="63"/>
        <v>47.520000000018598</v>
      </c>
      <c r="BU383">
        <f t="shared" si="63"/>
        <v>86.900000000023297</v>
      </c>
      <c r="BV383">
        <f t="shared" si="63"/>
        <v>36.6999999999964</v>
      </c>
      <c r="BW383">
        <f t="shared" si="63"/>
        <v>52.1</v>
      </c>
      <c r="BX383">
        <f t="shared" si="63"/>
        <v>123</v>
      </c>
      <c r="BY383">
        <f t="shared" si="63"/>
        <v>111.8</v>
      </c>
      <c r="BZ383">
        <f t="shared" si="63"/>
        <v>48.6</v>
      </c>
      <c r="CA383">
        <f t="shared" si="63"/>
        <v>100.5</v>
      </c>
      <c r="CB383">
        <f t="shared" si="63"/>
        <v>67</v>
      </c>
      <c r="CC383">
        <f t="shared" si="63"/>
        <v>51.5</v>
      </c>
      <c r="CD383">
        <f t="shared" si="63"/>
        <v>77.5</v>
      </c>
      <c r="CE383">
        <f t="shared" si="63"/>
        <v>66</v>
      </c>
      <c r="CF383">
        <f t="shared" si="63"/>
        <v>41.3</v>
      </c>
      <c r="CG383">
        <f t="shared" si="63"/>
        <v>68.099999999999994</v>
      </c>
      <c r="CH383">
        <f t="shared" si="63"/>
        <v>47.9</v>
      </c>
      <c r="CI383">
        <f t="shared" si="63"/>
        <v>67.5</v>
      </c>
      <c r="CJ383">
        <f t="shared" si="63"/>
        <v>41.3</v>
      </c>
      <c r="CK383">
        <f t="shared" si="63"/>
        <v>117</v>
      </c>
      <c r="CL383">
        <f t="shared" si="63"/>
        <v>59.5</v>
      </c>
      <c r="CM383">
        <f t="shared" si="63"/>
        <v>50.1</v>
      </c>
      <c r="CN383">
        <f t="shared" si="63"/>
        <v>40.5</v>
      </c>
      <c r="CO383">
        <f t="shared" si="63"/>
        <v>38.4</v>
      </c>
      <c r="CP383">
        <f t="shared" si="63"/>
        <v>56.3</v>
      </c>
      <c r="CQ383">
        <f t="shared" si="63"/>
        <v>33.700000000000003</v>
      </c>
      <c r="CR383">
        <f t="shared" si="63"/>
        <v>120.5</v>
      </c>
      <c r="CS383">
        <f t="shared" si="63"/>
        <v>41.3</v>
      </c>
      <c r="CT383">
        <f t="shared" si="63"/>
        <v>47.6</v>
      </c>
      <c r="CU383">
        <f t="shared" si="63"/>
        <v>97</v>
      </c>
      <c r="CV383">
        <f t="shared" si="63"/>
        <v>110</v>
      </c>
      <c r="CW383">
        <f t="shared" si="63"/>
        <v>57.5</v>
      </c>
      <c r="CX383">
        <f t="shared" si="63"/>
        <v>91.2</v>
      </c>
      <c r="CY383">
        <f t="shared" si="63"/>
        <v>36.6</v>
      </c>
      <c r="CZ383">
        <f t="shared" si="63"/>
        <v>36.5</v>
      </c>
      <c r="DA383">
        <f t="shared" si="63"/>
        <v>30.5</v>
      </c>
      <c r="DB383">
        <f t="shared" si="63"/>
        <v>67.3</v>
      </c>
      <c r="DC383">
        <f t="shared" ref="DC383:DD383" si="64">LARGE(DC2:DC367,1)</f>
        <v>47.8</v>
      </c>
      <c r="DD383">
        <f t="shared" si="64"/>
        <v>84.5</v>
      </c>
    </row>
    <row r="384" spans="1:129">
      <c r="A384" t="s">
        <v>27</v>
      </c>
      <c r="D384">
        <f>LARGE(D2:D367,2)</f>
        <v>38.200000000000003</v>
      </c>
      <c r="E384">
        <f t="shared" ref="E384:BP384" si="65">LARGE(E2:E367,2)</f>
        <v>85.4</v>
      </c>
      <c r="F384">
        <f t="shared" si="65"/>
        <v>45.5</v>
      </c>
      <c r="G384">
        <f t="shared" si="65"/>
        <v>27.5</v>
      </c>
      <c r="H384">
        <f t="shared" si="65"/>
        <v>23.3</v>
      </c>
      <c r="I384">
        <f t="shared" si="65"/>
        <v>28.2</v>
      </c>
      <c r="J384">
        <f t="shared" si="65"/>
        <v>49.6</v>
      </c>
      <c r="K384">
        <f t="shared" si="65"/>
        <v>33.4</v>
      </c>
      <c r="L384">
        <f t="shared" si="65"/>
        <v>37.700000000000003</v>
      </c>
      <c r="M384">
        <f t="shared" si="65"/>
        <v>32.700000000000003</v>
      </c>
      <c r="N384">
        <f t="shared" si="65"/>
        <v>38.6</v>
      </c>
      <c r="O384">
        <f t="shared" si="65"/>
        <v>47.2</v>
      </c>
      <c r="P384">
        <f t="shared" si="65"/>
        <v>88.7</v>
      </c>
      <c r="Q384">
        <f t="shared" si="65"/>
        <v>42.7</v>
      </c>
      <c r="R384">
        <f t="shared" si="65"/>
        <v>33.200000000000003</v>
      </c>
      <c r="S384">
        <f t="shared" si="65"/>
        <v>55.1</v>
      </c>
      <c r="T384">
        <f t="shared" si="65"/>
        <v>30.2</v>
      </c>
      <c r="U384">
        <f t="shared" si="65"/>
        <v>44.5</v>
      </c>
      <c r="V384">
        <f t="shared" si="65"/>
        <v>47.7</v>
      </c>
      <c r="W384">
        <f t="shared" si="65"/>
        <v>45.2</v>
      </c>
      <c r="X384">
        <f t="shared" si="65"/>
        <v>43.8</v>
      </c>
      <c r="Y384">
        <f t="shared" si="65"/>
        <v>27</v>
      </c>
      <c r="Z384">
        <f t="shared" si="65"/>
        <v>53</v>
      </c>
      <c r="AA384">
        <f t="shared" si="65"/>
        <v>43.199999999953398</v>
      </c>
      <c r="AB384">
        <f t="shared" si="65"/>
        <v>48.899999999965097</v>
      </c>
      <c r="AC384">
        <f t="shared" si="65"/>
        <v>40.799999999988401</v>
      </c>
      <c r="AD384">
        <f t="shared" si="65"/>
        <v>77.799999999930193</v>
      </c>
      <c r="AE384">
        <f t="shared" si="65"/>
        <v>49.5</v>
      </c>
      <c r="AF384">
        <f t="shared" si="65"/>
        <v>40.399999999965097</v>
      </c>
      <c r="AG384">
        <f t="shared" si="65"/>
        <v>41.399999999965097</v>
      </c>
      <c r="AH384">
        <f t="shared" si="65"/>
        <v>60</v>
      </c>
      <c r="AI384">
        <f t="shared" si="65"/>
        <v>47</v>
      </c>
      <c r="AJ384">
        <f t="shared" si="65"/>
        <v>46.399999999965097</v>
      </c>
      <c r="AK384">
        <f t="shared" si="65"/>
        <v>35</v>
      </c>
      <c r="AL384">
        <f t="shared" si="65"/>
        <v>31</v>
      </c>
      <c r="AM384">
        <f t="shared" si="65"/>
        <v>38.099999999976703</v>
      </c>
      <c r="AN384">
        <f t="shared" si="65"/>
        <v>39</v>
      </c>
      <c r="AO384">
        <f t="shared" si="65"/>
        <v>66.399999999906896</v>
      </c>
      <c r="AP384">
        <f t="shared" si="65"/>
        <v>30.699999999982499</v>
      </c>
      <c r="AQ384">
        <f t="shared" si="65"/>
        <v>69.599999999976703</v>
      </c>
      <c r="AR384">
        <f t="shared" si="65"/>
        <v>34</v>
      </c>
      <c r="AS384">
        <f t="shared" si="65"/>
        <v>42.5</v>
      </c>
      <c r="AT384">
        <f t="shared" si="65"/>
        <v>27.399999999994201</v>
      </c>
      <c r="AU384">
        <f t="shared" si="65"/>
        <v>74.2</v>
      </c>
      <c r="AV384">
        <f t="shared" si="65"/>
        <v>30</v>
      </c>
      <c r="AW384">
        <f t="shared" si="65"/>
        <v>30.299999999988401</v>
      </c>
      <c r="AX384">
        <f t="shared" si="65"/>
        <v>52.5</v>
      </c>
      <c r="AY384">
        <f t="shared" si="65"/>
        <v>31.099999999976699</v>
      </c>
      <c r="AZ384">
        <f t="shared" si="65"/>
        <v>26.899999999994201</v>
      </c>
      <c r="BA384">
        <f t="shared" si="65"/>
        <v>79.899999999906896</v>
      </c>
      <c r="BB384">
        <f t="shared" si="65"/>
        <v>44.5</v>
      </c>
      <c r="BC384">
        <f t="shared" si="65"/>
        <v>58.199999999953398</v>
      </c>
      <c r="BD384">
        <f t="shared" si="65"/>
        <v>38.900000000023297</v>
      </c>
      <c r="BE384">
        <f t="shared" si="65"/>
        <v>55.099999999976703</v>
      </c>
      <c r="BF384">
        <f t="shared" si="65"/>
        <v>50.599999999976703</v>
      </c>
      <c r="BG384">
        <f t="shared" si="65"/>
        <v>22.399999999994201</v>
      </c>
      <c r="BH384">
        <f t="shared" si="65"/>
        <v>35</v>
      </c>
      <c r="BI384">
        <f t="shared" si="65"/>
        <v>27.299999999988401</v>
      </c>
      <c r="BJ384">
        <f t="shared" si="65"/>
        <v>40.799999999988401</v>
      </c>
      <c r="BK384">
        <f t="shared" si="65"/>
        <v>37.5</v>
      </c>
      <c r="BL384">
        <f t="shared" si="65"/>
        <v>43</v>
      </c>
      <c r="BM384">
        <f t="shared" si="65"/>
        <v>34.5</v>
      </c>
      <c r="BN384">
        <f t="shared" si="65"/>
        <v>84</v>
      </c>
      <c r="BO384">
        <f t="shared" si="65"/>
        <v>33.5</v>
      </c>
      <c r="BP384">
        <f t="shared" si="65"/>
        <v>33</v>
      </c>
      <c r="BQ384">
        <f t="shared" ref="BQ384:DB384" si="66">LARGE(BQ2:BQ367,2)</f>
        <v>42.4</v>
      </c>
      <c r="BR384">
        <f t="shared" si="66"/>
        <v>50.400000000023297</v>
      </c>
      <c r="BS384">
        <f t="shared" si="66"/>
        <v>43</v>
      </c>
      <c r="BT384">
        <f t="shared" si="66"/>
        <v>47.5</v>
      </c>
      <c r="BU384">
        <f t="shared" si="66"/>
        <v>78.199999999953405</v>
      </c>
      <c r="BV384">
        <f t="shared" si="66"/>
        <v>34.700000000011599</v>
      </c>
      <c r="BW384">
        <f t="shared" si="66"/>
        <v>35</v>
      </c>
      <c r="BX384">
        <f t="shared" si="66"/>
        <v>40.399999999965097</v>
      </c>
      <c r="BY384">
        <f t="shared" si="66"/>
        <v>103.7</v>
      </c>
      <c r="BZ384">
        <f t="shared" si="66"/>
        <v>37.6</v>
      </c>
      <c r="CA384">
        <f t="shared" si="66"/>
        <v>58.5</v>
      </c>
      <c r="CB384">
        <f t="shared" si="66"/>
        <v>36.299999999999997</v>
      </c>
      <c r="CC384">
        <f t="shared" si="66"/>
        <v>33.4</v>
      </c>
      <c r="CD384">
        <f t="shared" si="66"/>
        <v>48</v>
      </c>
      <c r="CE384">
        <f t="shared" si="66"/>
        <v>45</v>
      </c>
      <c r="CF384">
        <f t="shared" si="66"/>
        <v>30</v>
      </c>
      <c r="CG384">
        <f t="shared" si="66"/>
        <v>30.5</v>
      </c>
      <c r="CH384">
        <f t="shared" si="66"/>
        <v>36</v>
      </c>
      <c r="CI384">
        <f t="shared" si="66"/>
        <v>42.6</v>
      </c>
      <c r="CJ384">
        <f t="shared" si="66"/>
        <v>36.299999999999997</v>
      </c>
      <c r="CK384">
        <f t="shared" si="66"/>
        <v>46</v>
      </c>
      <c r="CL384">
        <f t="shared" si="66"/>
        <v>39</v>
      </c>
      <c r="CM384">
        <f t="shared" si="66"/>
        <v>45</v>
      </c>
      <c r="CN384">
        <f t="shared" si="66"/>
        <v>39.5</v>
      </c>
      <c r="CO384">
        <f t="shared" si="66"/>
        <v>38.299999999999997</v>
      </c>
      <c r="CP384">
        <f t="shared" si="66"/>
        <v>49</v>
      </c>
      <c r="CQ384">
        <f t="shared" si="66"/>
        <v>30.5</v>
      </c>
      <c r="CR384">
        <f t="shared" si="66"/>
        <v>50.5</v>
      </c>
      <c r="CS384">
        <f t="shared" si="66"/>
        <v>34.1</v>
      </c>
      <c r="CT384">
        <f t="shared" si="66"/>
        <v>39.700000000000003</v>
      </c>
      <c r="CU384">
        <f t="shared" si="66"/>
        <v>32</v>
      </c>
      <c r="CV384">
        <f t="shared" si="66"/>
        <v>55.8</v>
      </c>
      <c r="CW384">
        <f t="shared" si="66"/>
        <v>40.6</v>
      </c>
      <c r="CX384">
        <f t="shared" si="66"/>
        <v>50</v>
      </c>
      <c r="CY384">
        <f t="shared" si="66"/>
        <v>28</v>
      </c>
      <c r="CZ384">
        <f t="shared" si="66"/>
        <v>35.299999999999997</v>
      </c>
      <c r="DA384">
        <f t="shared" si="66"/>
        <v>20.2</v>
      </c>
      <c r="DB384">
        <f t="shared" si="66"/>
        <v>32.200000000000003</v>
      </c>
      <c r="DC384">
        <f t="shared" ref="DC384:DD384" si="67">LARGE(DC2:DC367,2)</f>
        <v>46.4</v>
      </c>
      <c r="DD384">
        <f t="shared" si="67"/>
        <v>50.1</v>
      </c>
    </row>
    <row r="385" spans="1:108">
      <c r="A385" t="s">
        <v>28</v>
      </c>
      <c r="D385">
        <f>LARGE(D2:D367,3)</f>
        <v>29.3</v>
      </c>
      <c r="E385">
        <f t="shared" ref="E385:BP385" si="68">LARGE(E2:E367,3)</f>
        <v>68</v>
      </c>
      <c r="F385">
        <f t="shared" si="68"/>
        <v>45.4</v>
      </c>
      <c r="G385">
        <f t="shared" si="68"/>
        <v>27.4</v>
      </c>
      <c r="H385">
        <f t="shared" si="68"/>
        <v>23.1</v>
      </c>
      <c r="I385">
        <f t="shared" si="68"/>
        <v>28.2</v>
      </c>
      <c r="J385">
        <f t="shared" si="68"/>
        <v>46.8</v>
      </c>
      <c r="K385">
        <f t="shared" si="68"/>
        <v>33.1</v>
      </c>
      <c r="L385">
        <f t="shared" si="68"/>
        <v>27.5</v>
      </c>
      <c r="M385">
        <f t="shared" si="68"/>
        <v>26.1</v>
      </c>
      <c r="N385">
        <f t="shared" si="68"/>
        <v>36.5</v>
      </c>
      <c r="O385">
        <f t="shared" si="68"/>
        <v>34.700000000000003</v>
      </c>
      <c r="P385">
        <f t="shared" si="68"/>
        <v>44.7</v>
      </c>
      <c r="Q385">
        <f t="shared" si="68"/>
        <v>38.700000000000003</v>
      </c>
      <c r="R385">
        <f t="shared" si="68"/>
        <v>24.9</v>
      </c>
      <c r="S385">
        <f t="shared" si="68"/>
        <v>51.1</v>
      </c>
      <c r="T385">
        <f t="shared" si="68"/>
        <v>29.1</v>
      </c>
      <c r="U385">
        <f t="shared" si="68"/>
        <v>43.8</v>
      </c>
      <c r="V385">
        <f t="shared" si="68"/>
        <v>33.5</v>
      </c>
      <c r="W385">
        <f t="shared" si="68"/>
        <v>40.1</v>
      </c>
      <c r="X385">
        <f t="shared" si="68"/>
        <v>32.5</v>
      </c>
      <c r="Y385">
        <f t="shared" si="68"/>
        <v>27</v>
      </c>
      <c r="Z385">
        <f t="shared" si="68"/>
        <v>31.5</v>
      </c>
      <c r="AA385">
        <f t="shared" si="68"/>
        <v>35.699999999953398</v>
      </c>
      <c r="AB385">
        <f t="shared" si="68"/>
        <v>34</v>
      </c>
      <c r="AC385">
        <f t="shared" si="68"/>
        <v>37</v>
      </c>
      <c r="AD385">
        <f t="shared" si="68"/>
        <v>44</v>
      </c>
      <c r="AE385">
        <f t="shared" si="68"/>
        <v>45.799999999988401</v>
      </c>
      <c r="AF385">
        <f t="shared" si="68"/>
        <v>39.299999999999997</v>
      </c>
      <c r="AG385">
        <f t="shared" si="68"/>
        <v>31.399999999994201</v>
      </c>
      <c r="AH385">
        <f t="shared" si="68"/>
        <v>44.5</v>
      </c>
      <c r="AI385">
        <f t="shared" si="68"/>
        <v>46.099999999976703</v>
      </c>
      <c r="AJ385">
        <f t="shared" si="68"/>
        <v>28.599999999976699</v>
      </c>
      <c r="AK385">
        <f t="shared" si="68"/>
        <v>32.899999999965097</v>
      </c>
      <c r="AL385">
        <f t="shared" si="68"/>
        <v>25.799999999988401</v>
      </c>
      <c r="AM385">
        <f t="shared" si="68"/>
        <v>27.299999999988401</v>
      </c>
      <c r="AN385">
        <f t="shared" si="68"/>
        <v>35.5</v>
      </c>
      <c r="AO385">
        <f t="shared" si="68"/>
        <v>59</v>
      </c>
      <c r="AP385">
        <f t="shared" si="68"/>
        <v>26</v>
      </c>
      <c r="AQ385">
        <f t="shared" si="68"/>
        <v>56</v>
      </c>
      <c r="AR385">
        <f t="shared" si="68"/>
        <v>32</v>
      </c>
      <c r="AS385">
        <f t="shared" si="68"/>
        <v>33.599999999976703</v>
      </c>
      <c r="AT385">
        <f t="shared" si="68"/>
        <v>26.399999999994201</v>
      </c>
      <c r="AU385">
        <f t="shared" si="68"/>
        <v>60.199999999953398</v>
      </c>
      <c r="AV385">
        <f t="shared" si="68"/>
        <v>29.299999999988401</v>
      </c>
      <c r="AW385">
        <f t="shared" si="68"/>
        <v>25</v>
      </c>
      <c r="AX385">
        <f t="shared" si="68"/>
        <v>37.699999999953398</v>
      </c>
      <c r="AY385">
        <f t="shared" si="68"/>
        <v>30</v>
      </c>
      <c r="AZ385">
        <f t="shared" si="68"/>
        <v>25.5</v>
      </c>
      <c r="BA385">
        <f t="shared" si="68"/>
        <v>77.799999999930193</v>
      </c>
      <c r="BB385">
        <f t="shared" si="68"/>
        <v>42.599999999976703</v>
      </c>
      <c r="BC385">
        <f t="shared" si="68"/>
        <v>56.899999999965097</v>
      </c>
      <c r="BD385">
        <f t="shared" si="68"/>
        <v>34.400000000023297</v>
      </c>
      <c r="BE385">
        <f t="shared" si="68"/>
        <v>37.5</v>
      </c>
      <c r="BF385">
        <f t="shared" si="68"/>
        <v>43.799999999988401</v>
      </c>
      <c r="BG385">
        <f t="shared" si="68"/>
        <v>22</v>
      </c>
      <c r="BH385">
        <f t="shared" si="68"/>
        <v>34</v>
      </c>
      <c r="BI385">
        <f t="shared" si="68"/>
        <v>27</v>
      </c>
      <c r="BJ385">
        <f t="shared" si="68"/>
        <v>38.5</v>
      </c>
      <c r="BK385">
        <f t="shared" si="68"/>
        <v>37</v>
      </c>
      <c r="BL385">
        <f t="shared" si="68"/>
        <v>38.099999999976703</v>
      </c>
      <c r="BM385">
        <f t="shared" si="68"/>
        <v>30</v>
      </c>
      <c r="BN385">
        <f t="shared" si="68"/>
        <v>36.400000000023297</v>
      </c>
      <c r="BO385">
        <f t="shared" si="68"/>
        <v>30.899999999994201</v>
      </c>
      <c r="BP385">
        <f t="shared" si="68"/>
        <v>29.700000000011599</v>
      </c>
      <c r="BQ385">
        <f t="shared" ref="BQ385:DB385" si="69">LARGE(BQ2:BQ367,3)</f>
        <v>30.600000000005799</v>
      </c>
      <c r="BR385">
        <f t="shared" si="69"/>
        <v>41.200000000011599</v>
      </c>
      <c r="BS385">
        <f t="shared" si="69"/>
        <v>43</v>
      </c>
      <c r="BT385">
        <f t="shared" si="69"/>
        <v>43.799999999988401</v>
      </c>
      <c r="BU385">
        <f t="shared" si="69"/>
        <v>49.799999999988401</v>
      </c>
      <c r="BV385">
        <f t="shared" si="69"/>
        <v>29.599999999976699</v>
      </c>
      <c r="BW385">
        <f t="shared" si="69"/>
        <v>32.3999999999944</v>
      </c>
      <c r="BX385">
        <f t="shared" si="69"/>
        <v>31</v>
      </c>
      <c r="BY385">
        <f t="shared" si="69"/>
        <v>51.5</v>
      </c>
      <c r="BZ385">
        <f t="shared" si="69"/>
        <v>28</v>
      </c>
      <c r="CA385">
        <f t="shared" si="69"/>
        <v>57</v>
      </c>
      <c r="CB385">
        <f t="shared" si="69"/>
        <v>36</v>
      </c>
      <c r="CC385">
        <f t="shared" si="69"/>
        <v>29.2</v>
      </c>
      <c r="CD385">
        <f t="shared" si="69"/>
        <v>39.5</v>
      </c>
      <c r="CE385">
        <f t="shared" si="69"/>
        <v>45</v>
      </c>
      <c r="CF385">
        <f t="shared" si="69"/>
        <v>27</v>
      </c>
      <c r="CG385">
        <f t="shared" si="69"/>
        <v>29.5</v>
      </c>
      <c r="CH385">
        <f t="shared" si="69"/>
        <v>32.5</v>
      </c>
      <c r="CI385">
        <f t="shared" si="69"/>
        <v>28.2</v>
      </c>
      <c r="CJ385">
        <f t="shared" si="69"/>
        <v>31.4</v>
      </c>
      <c r="CK385">
        <f t="shared" si="69"/>
        <v>46</v>
      </c>
      <c r="CL385">
        <f t="shared" si="69"/>
        <v>25.5</v>
      </c>
      <c r="CM385">
        <f t="shared" si="69"/>
        <v>33.700000000000003</v>
      </c>
      <c r="CN385">
        <f t="shared" si="69"/>
        <v>34.5</v>
      </c>
      <c r="CO385">
        <f t="shared" si="69"/>
        <v>34.6</v>
      </c>
      <c r="CP385">
        <f t="shared" si="69"/>
        <v>37.799999999999997</v>
      </c>
      <c r="CQ385">
        <f t="shared" si="69"/>
        <v>25.9</v>
      </c>
      <c r="CR385">
        <f t="shared" si="69"/>
        <v>43</v>
      </c>
      <c r="CS385">
        <f t="shared" si="69"/>
        <v>34</v>
      </c>
      <c r="CT385">
        <f t="shared" si="69"/>
        <v>33.6</v>
      </c>
      <c r="CU385">
        <f t="shared" si="69"/>
        <v>27.3</v>
      </c>
      <c r="CV385">
        <f t="shared" si="69"/>
        <v>37.9</v>
      </c>
      <c r="CW385">
        <f t="shared" si="69"/>
        <v>31.3</v>
      </c>
      <c r="CX385">
        <f t="shared" si="69"/>
        <v>48.5</v>
      </c>
      <c r="CY385">
        <f t="shared" si="69"/>
        <v>26.6</v>
      </c>
      <c r="CZ385">
        <f t="shared" si="69"/>
        <v>25</v>
      </c>
      <c r="DA385">
        <f t="shared" si="69"/>
        <v>18.5</v>
      </c>
      <c r="DB385">
        <f t="shared" si="69"/>
        <v>29.2</v>
      </c>
      <c r="DC385">
        <f t="shared" ref="DC385:DD385" si="70">LARGE(DC2:DC367,3)</f>
        <v>39.5</v>
      </c>
      <c r="DD385">
        <f t="shared" si="70"/>
        <v>43.3</v>
      </c>
    </row>
    <row r="386" spans="1:108">
      <c r="A386" t="s">
        <v>29</v>
      </c>
      <c r="D386">
        <f>LARGE(D2:D367,4)</f>
        <v>28.8</v>
      </c>
      <c r="E386">
        <f t="shared" ref="E386:BP386" si="71">LARGE(E2:E367,4)</f>
        <v>42.9</v>
      </c>
      <c r="F386">
        <f t="shared" si="71"/>
        <v>36.200000000000003</v>
      </c>
      <c r="G386">
        <f t="shared" si="71"/>
        <v>23.5</v>
      </c>
      <c r="H386">
        <f t="shared" si="71"/>
        <v>17.5</v>
      </c>
      <c r="I386">
        <f t="shared" si="71"/>
        <v>19.899999999999999</v>
      </c>
      <c r="J386">
        <f t="shared" si="71"/>
        <v>43.3</v>
      </c>
      <c r="K386">
        <f t="shared" si="71"/>
        <v>31.8</v>
      </c>
      <c r="L386">
        <f t="shared" si="71"/>
        <v>26.8</v>
      </c>
      <c r="M386">
        <f t="shared" si="71"/>
        <v>25.2</v>
      </c>
      <c r="N386">
        <f t="shared" si="71"/>
        <v>35.1</v>
      </c>
      <c r="O386">
        <f t="shared" si="71"/>
        <v>34.5</v>
      </c>
      <c r="P386">
        <f t="shared" si="71"/>
        <v>42</v>
      </c>
      <c r="Q386">
        <f t="shared" si="71"/>
        <v>37</v>
      </c>
      <c r="R386">
        <f t="shared" si="71"/>
        <v>23.4</v>
      </c>
      <c r="S386">
        <f t="shared" si="71"/>
        <v>46</v>
      </c>
      <c r="T386">
        <f t="shared" si="71"/>
        <v>23.5</v>
      </c>
      <c r="U386">
        <f t="shared" si="71"/>
        <v>43.3</v>
      </c>
      <c r="V386">
        <f t="shared" si="71"/>
        <v>22.8</v>
      </c>
      <c r="W386">
        <f t="shared" si="71"/>
        <v>39.1</v>
      </c>
      <c r="X386">
        <f t="shared" si="71"/>
        <v>31.1</v>
      </c>
      <c r="Y386">
        <f t="shared" si="71"/>
        <v>26.8</v>
      </c>
      <c r="Z386">
        <f t="shared" si="71"/>
        <v>23.799999999988401</v>
      </c>
      <c r="AA386">
        <f t="shared" si="71"/>
        <v>33.799999999988401</v>
      </c>
      <c r="AB386">
        <f t="shared" si="71"/>
        <v>33.799999999999997</v>
      </c>
      <c r="AC386">
        <f t="shared" si="71"/>
        <v>35.199999999953398</v>
      </c>
      <c r="AD386">
        <f t="shared" si="71"/>
        <v>38.299999999988401</v>
      </c>
      <c r="AE386">
        <f t="shared" si="71"/>
        <v>42.099999999976703</v>
      </c>
      <c r="AF386">
        <f t="shared" si="71"/>
        <v>37</v>
      </c>
      <c r="AG386">
        <f t="shared" si="71"/>
        <v>28.699999999982499</v>
      </c>
      <c r="AH386">
        <f t="shared" si="71"/>
        <v>37.5</v>
      </c>
      <c r="AI386">
        <f t="shared" si="71"/>
        <v>43.799999999988401</v>
      </c>
      <c r="AJ386">
        <f t="shared" si="71"/>
        <v>27.7</v>
      </c>
      <c r="AK386">
        <f t="shared" si="71"/>
        <v>28.699999999982499</v>
      </c>
      <c r="AL386">
        <f t="shared" si="71"/>
        <v>22.8</v>
      </c>
      <c r="AM386">
        <f t="shared" si="71"/>
        <v>25.5</v>
      </c>
      <c r="AN386">
        <f t="shared" si="71"/>
        <v>35.5</v>
      </c>
      <c r="AO386">
        <f t="shared" si="71"/>
        <v>40.5</v>
      </c>
      <c r="AP386">
        <f t="shared" si="71"/>
        <v>26</v>
      </c>
      <c r="AQ386">
        <f t="shared" si="71"/>
        <v>41.599999999976703</v>
      </c>
      <c r="AR386">
        <f t="shared" si="71"/>
        <v>30.5</v>
      </c>
      <c r="AS386">
        <f t="shared" si="71"/>
        <v>31.199999999982499</v>
      </c>
      <c r="AT386">
        <f t="shared" si="71"/>
        <v>24.099999999976699</v>
      </c>
      <c r="AU386">
        <f t="shared" si="71"/>
        <v>40.699999999953398</v>
      </c>
      <c r="AV386">
        <f t="shared" si="71"/>
        <v>25.699999999982499</v>
      </c>
      <c r="AW386">
        <f t="shared" si="71"/>
        <v>22</v>
      </c>
      <c r="AX386">
        <f t="shared" si="71"/>
        <v>35.699999999953398</v>
      </c>
      <c r="AY386">
        <f t="shared" si="71"/>
        <v>29.599999999976699</v>
      </c>
      <c r="AZ386">
        <f t="shared" si="71"/>
        <v>24.099999999976699</v>
      </c>
      <c r="BA386">
        <f t="shared" si="71"/>
        <v>43.5</v>
      </c>
      <c r="BB386">
        <f t="shared" si="71"/>
        <v>36.199999999953398</v>
      </c>
      <c r="BC386">
        <f t="shared" si="71"/>
        <v>32.899999999965097</v>
      </c>
      <c r="BD386">
        <f t="shared" si="71"/>
        <v>29.200000000011599</v>
      </c>
      <c r="BE386">
        <f t="shared" si="71"/>
        <v>35.599999999976703</v>
      </c>
      <c r="BF386">
        <f t="shared" si="71"/>
        <v>39.299999999988401</v>
      </c>
      <c r="BG386">
        <f t="shared" si="71"/>
        <v>20.899999999994201</v>
      </c>
      <c r="BH386">
        <f t="shared" si="71"/>
        <v>32</v>
      </c>
      <c r="BI386">
        <f t="shared" si="71"/>
        <v>26.700000000011599</v>
      </c>
      <c r="BJ386">
        <f t="shared" si="71"/>
        <v>37</v>
      </c>
      <c r="BK386">
        <f t="shared" si="71"/>
        <v>31.3</v>
      </c>
      <c r="BL386">
        <f t="shared" si="71"/>
        <v>37.599999999976703</v>
      </c>
      <c r="BM386">
        <f t="shared" si="71"/>
        <v>29</v>
      </c>
      <c r="BN386">
        <f t="shared" si="71"/>
        <v>29.5</v>
      </c>
      <c r="BO386">
        <f t="shared" si="71"/>
        <v>28.799999999988401</v>
      </c>
      <c r="BP386">
        <f t="shared" si="71"/>
        <v>27.5</v>
      </c>
      <c r="BQ386">
        <f t="shared" ref="BQ386:DB386" si="72">LARGE(BQ2:BQ367,4)</f>
        <v>23.100000000005799</v>
      </c>
      <c r="BR386">
        <f t="shared" si="72"/>
        <v>40.200000000011599</v>
      </c>
      <c r="BS386">
        <f t="shared" si="72"/>
        <v>36.700000000011599</v>
      </c>
      <c r="BT386">
        <f t="shared" si="72"/>
        <v>40</v>
      </c>
      <c r="BU386">
        <f t="shared" si="72"/>
        <v>47</v>
      </c>
      <c r="BV386">
        <f t="shared" si="72"/>
        <v>28.899999999994201</v>
      </c>
      <c r="BW386">
        <f t="shared" si="72"/>
        <v>28.099999999999</v>
      </c>
      <c r="BX386">
        <f t="shared" si="72"/>
        <v>29.399999999994201</v>
      </c>
      <c r="BY386">
        <f t="shared" si="72"/>
        <v>47.3</v>
      </c>
      <c r="BZ386">
        <f t="shared" si="72"/>
        <v>25.6</v>
      </c>
      <c r="CA386">
        <f t="shared" si="72"/>
        <v>42.5</v>
      </c>
      <c r="CB386">
        <f t="shared" si="72"/>
        <v>33.4</v>
      </c>
      <c r="CC386">
        <f t="shared" si="72"/>
        <v>27.4</v>
      </c>
      <c r="CD386">
        <f t="shared" si="72"/>
        <v>34</v>
      </c>
      <c r="CE386">
        <f t="shared" si="72"/>
        <v>35.5</v>
      </c>
      <c r="CF386">
        <f t="shared" si="72"/>
        <v>26.5</v>
      </c>
      <c r="CG386">
        <f t="shared" si="72"/>
        <v>26.7</v>
      </c>
      <c r="CH386">
        <f t="shared" si="72"/>
        <v>32.4</v>
      </c>
      <c r="CI386">
        <f t="shared" si="72"/>
        <v>25.5</v>
      </c>
      <c r="CJ386">
        <f t="shared" si="72"/>
        <v>26.9</v>
      </c>
      <c r="CK386">
        <f t="shared" si="72"/>
        <v>40.299999999999997</v>
      </c>
      <c r="CL386">
        <f t="shared" si="72"/>
        <v>24.1</v>
      </c>
      <c r="CM386">
        <f t="shared" si="72"/>
        <v>29</v>
      </c>
      <c r="CN386">
        <f t="shared" si="72"/>
        <v>30.2</v>
      </c>
      <c r="CO386">
        <f t="shared" si="72"/>
        <v>32.9</v>
      </c>
      <c r="CP386">
        <f t="shared" si="72"/>
        <v>26.6</v>
      </c>
      <c r="CQ386">
        <f t="shared" si="72"/>
        <v>25.1</v>
      </c>
      <c r="CR386">
        <f t="shared" si="72"/>
        <v>41.6</v>
      </c>
      <c r="CS386">
        <f t="shared" si="72"/>
        <v>30</v>
      </c>
      <c r="CT386">
        <f t="shared" si="72"/>
        <v>32.4</v>
      </c>
      <c r="CU386">
        <f t="shared" si="72"/>
        <v>22.6</v>
      </c>
      <c r="CV386">
        <f t="shared" si="72"/>
        <v>37.299999999999997</v>
      </c>
      <c r="CW386">
        <f t="shared" si="72"/>
        <v>30.3</v>
      </c>
      <c r="CX386">
        <f t="shared" si="72"/>
        <v>46</v>
      </c>
      <c r="CY386">
        <f t="shared" si="72"/>
        <v>23.2</v>
      </c>
      <c r="CZ386">
        <f t="shared" si="72"/>
        <v>25</v>
      </c>
      <c r="DA386">
        <f t="shared" si="72"/>
        <v>18.5</v>
      </c>
      <c r="DB386">
        <f t="shared" si="72"/>
        <v>27.8</v>
      </c>
      <c r="DC386">
        <f t="shared" ref="DC386:DD386" si="73">LARGE(DC2:DC367,4)</f>
        <v>39.299999999999997</v>
      </c>
      <c r="DD386">
        <f t="shared" si="73"/>
        <v>38</v>
      </c>
    </row>
    <row r="387" spans="1:108">
      <c r="A387" t="s">
        <v>30</v>
      </c>
      <c r="D387">
        <f>LARGE(D2:D367,5)</f>
        <v>22.5</v>
      </c>
      <c r="E387">
        <f t="shared" ref="E387:BP387" si="74">LARGE(E2:E367,5)</f>
        <v>39.5</v>
      </c>
      <c r="F387">
        <f t="shared" si="74"/>
        <v>35.799999999999997</v>
      </c>
      <c r="G387">
        <f t="shared" si="74"/>
        <v>18.600000000000001</v>
      </c>
      <c r="H387">
        <f t="shared" si="74"/>
        <v>15.5</v>
      </c>
      <c r="I387">
        <f t="shared" si="74"/>
        <v>19.7</v>
      </c>
      <c r="J387">
        <f t="shared" si="74"/>
        <v>41.7</v>
      </c>
      <c r="K387">
        <f t="shared" si="74"/>
        <v>31.2</v>
      </c>
      <c r="L387">
        <f t="shared" si="74"/>
        <v>23.9</v>
      </c>
      <c r="M387">
        <f t="shared" si="74"/>
        <v>23.8</v>
      </c>
      <c r="N387">
        <f t="shared" si="74"/>
        <v>30.8</v>
      </c>
      <c r="O387">
        <f t="shared" si="74"/>
        <v>31.2</v>
      </c>
      <c r="P387">
        <f t="shared" si="74"/>
        <v>41.8</v>
      </c>
      <c r="Q387">
        <f t="shared" si="74"/>
        <v>31</v>
      </c>
      <c r="R387">
        <f t="shared" si="74"/>
        <v>21.7</v>
      </c>
      <c r="S387">
        <f t="shared" si="74"/>
        <v>35.4</v>
      </c>
      <c r="T387">
        <f t="shared" si="74"/>
        <v>20.5</v>
      </c>
      <c r="U387">
        <f t="shared" si="74"/>
        <v>38.799999999999997</v>
      </c>
      <c r="V387">
        <f t="shared" si="74"/>
        <v>22.5</v>
      </c>
      <c r="W387">
        <f t="shared" si="74"/>
        <v>37</v>
      </c>
      <c r="X387">
        <f t="shared" si="74"/>
        <v>26.1</v>
      </c>
      <c r="Y387">
        <f t="shared" si="74"/>
        <v>26</v>
      </c>
      <c r="Z387">
        <f t="shared" si="74"/>
        <v>20</v>
      </c>
      <c r="AA387">
        <f t="shared" si="74"/>
        <v>28.899999999994201</v>
      </c>
      <c r="AB387">
        <f t="shared" si="74"/>
        <v>29.399999999994201</v>
      </c>
      <c r="AC387">
        <f t="shared" si="74"/>
        <v>33.799999999988401</v>
      </c>
      <c r="AD387">
        <f t="shared" si="74"/>
        <v>28</v>
      </c>
      <c r="AE387">
        <f t="shared" si="74"/>
        <v>33.899999999965097</v>
      </c>
      <c r="AF387">
        <f t="shared" si="74"/>
        <v>32.899999999965097</v>
      </c>
      <c r="AG387">
        <f t="shared" si="74"/>
        <v>27.699999999982499</v>
      </c>
      <c r="AH387">
        <f t="shared" si="74"/>
        <v>37.5</v>
      </c>
      <c r="AI387">
        <f t="shared" si="74"/>
        <v>37.5</v>
      </c>
      <c r="AJ387">
        <f t="shared" si="74"/>
        <v>27.099999999976699</v>
      </c>
      <c r="AK387">
        <f t="shared" si="74"/>
        <v>28.599999999976699</v>
      </c>
      <c r="AL387">
        <f t="shared" si="74"/>
        <v>22.5</v>
      </c>
      <c r="AM387">
        <f t="shared" si="74"/>
        <v>24.799999999988401</v>
      </c>
      <c r="AN387">
        <f t="shared" si="74"/>
        <v>31</v>
      </c>
      <c r="AO387">
        <f t="shared" si="74"/>
        <v>37</v>
      </c>
      <c r="AP387">
        <f t="shared" si="74"/>
        <v>23.399999999994201</v>
      </c>
      <c r="AQ387">
        <f t="shared" si="74"/>
        <v>33</v>
      </c>
      <c r="AR387">
        <f t="shared" si="74"/>
        <v>25.799999999988401</v>
      </c>
      <c r="AS387">
        <f t="shared" si="74"/>
        <v>28.599999999976699</v>
      </c>
      <c r="AT387">
        <f t="shared" si="74"/>
        <v>22.199999999982499</v>
      </c>
      <c r="AU387">
        <f t="shared" si="74"/>
        <v>37.199999999953398</v>
      </c>
      <c r="AV387">
        <f t="shared" si="74"/>
        <v>22.399999999994201</v>
      </c>
      <c r="AW387">
        <f t="shared" si="74"/>
        <v>21.119999999995301</v>
      </c>
      <c r="AX387">
        <f t="shared" si="74"/>
        <v>31.899999999994201</v>
      </c>
      <c r="AY387">
        <f t="shared" si="74"/>
        <v>25.799999999988401</v>
      </c>
      <c r="AZ387">
        <f t="shared" si="74"/>
        <v>23.799999999988401</v>
      </c>
      <c r="BA387">
        <f t="shared" si="74"/>
        <v>40.399999999965097</v>
      </c>
      <c r="BB387">
        <f t="shared" si="74"/>
        <v>34.799999999988401</v>
      </c>
      <c r="BC387">
        <f t="shared" si="74"/>
        <v>32.599999999976703</v>
      </c>
      <c r="BD387">
        <f t="shared" si="74"/>
        <v>28.299999999988401</v>
      </c>
      <c r="BE387">
        <f t="shared" si="74"/>
        <v>35.400000000023297</v>
      </c>
      <c r="BF387">
        <f t="shared" si="74"/>
        <v>34.700000000011599</v>
      </c>
      <c r="BG387">
        <f t="shared" si="74"/>
        <v>18.700000000011599</v>
      </c>
      <c r="BH387">
        <f t="shared" si="74"/>
        <v>30.799999999988401</v>
      </c>
      <c r="BI387">
        <f t="shared" si="74"/>
        <v>25.399999999994201</v>
      </c>
      <c r="BJ387">
        <f t="shared" si="74"/>
        <v>31</v>
      </c>
      <c r="BK387">
        <f t="shared" si="74"/>
        <v>26.899999999994201</v>
      </c>
      <c r="BL387">
        <f t="shared" si="74"/>
        <v>31.5</v>
      </c>
      <c r="BM387">
        <f t="shared" si="74"/>
        <v>27.600000000005799</v>
      </c>
      <c r="BN387">
        <f t="shared" si="74"/>
        <v>26.5</v>
      </c>
      <c r="BO387">
        <f t="shared" si="74"/>
        <v>28</v>
      </c>
      <c r="BP387">
        <f t="shared" si="74"/>
        <v>27</v>
      </c>
      <c r="BQ387">
        <f t="shared" ref="BQ387:DB387" si="75">LARGE(BQ2:BQ367,5)</f>
        <v>22</v>
      </c>
      <c r="BR387">
        <f t="shared" si="75"/>
        <v>28.600000000005799</v>
      </c>
      <c r="BS387">
        <f t="shared" si="75"/>
        <v>35.5</v>
      </c>
      <c r="BT387">
        <f t="shared" si="75"/>
        <v>38.5</v>
      </c>
      <c r="BU387">
        <f t="shared" si="75"/>
        <v>36.700000000011599</v>
      </c>
      <c r="BV387">
        <f t="shared" si="75"/>
        <v>28.399999999994201</v>
      </c>
      <c r="BW387">
        <f t="shared" si="75"/>
        <v>25.099999999998801</v>
      </c>
      <c r="BX387">
        <f t="shared" si="75"/>
        <v>27.599999999976699</v>
      </c>
      <c r="BY387">
        <f t="shared" si="75"/>
        <v>37.4</v>
      </c>
      <c r="BZ387">
        <f t="shared" si="75"/>
        <v>23.3</v>
      </c>
      <c r="CA387">
        <f t="shared" si="75"/>
        <v>33.5</v>
      </c>
      <c r="CB387">
        <f t="shared" si="75"/>
        <v>28.9</v>
      </c>
      <c r="CC387">
        <f t="shared" si="75"/>
        <v>26.2</v>
      </c>
      <c r="CD387">
        <f t="shared" si="75"/>
        <v>30.7</v>
      </c>
      <c r="CE387">
        <f t="shared" si="75"/>
        <v>29</v>
      </c>
      <c r="CF387">
        <f t="shared" si="75"/>
        <v>25.7</v>
      </c>
      <c r="CG387">
        <f t="shared" si="75"/>
        <v>25.2</v>
      </c>
      <c r="CH387">
        <f t="shared" si="75"/>
        <v>32.1</v>
      </c>
      <c r="CI387">
        <f t="shared" si="75"/>
        <v>25.3</v>
      </c>
      <c r="CJ387">
        <f t="shared" si="75"/>
        <v>26.3</v>
      </c>
      <c r="CK387">
        <f t="shared" si="75"/>
        <v>33.6</v>
      </c>
      <c r="CL387">
        <f t="shared" si="75"/>
        <v>22.5</v>
      </c>
      <c r="CM387">
        <f t="shared" si="75"/>
        <v>24.7</v>
      </c>
      <c r="CN387">
        <f t="shared" si="75"/>
        <v>25.6</v>
      </c>
      <c r="CO387">
        <f t="shared" si="75"/>
        <v>32.5</v>
      </c>
      <c r="CP387">
        <f t="shared" si="75"/>
        <v>25.5</v>
      </c>
      <c r="CQ387">
        <f t="shared" si="75"/>
        <v>24.5</v>
      </c>
      <c r="CR387">
        <f t="shared" si="75"/>
        <v>40.1</v>
      </c>
      <c r="CS387">
        <f t="shared" si="75"/>
        <v>28.4</v>
      </c>
      <c r="CT387">
        <f t="shared" si="75"/>
        <v>32.299999999999997</v>
      </c>
      <c r="CU387">
        <f t="shared" si="75"/>
        <v>21.6</v>
      </c>
      <c r="CV387">
        <f t="shared" si="75"/>
        <v>32.299999999999997</v>
      </c>
      <c r="CW387">
        <f t="shared" si="75"/>
        <v>28.6</v>
      </c>
      <c r="CX387">
        <f t="shared" si="75"/>
        <v>40.799999999999997</v>
      </c>
      <c r="CY387">
        <f t="shared" si="75"/>
        <v>17.399999999999999</v>
      </c>
      <c r="CZ387">
        <f t="shared" si="75"/>
        <v>24.6</v>
      </c>
      <c r="DA387">
        <f t="shared" si="75"/>
        <v>16.899999999999999</v>
      </c>
      <c r="DB387">
        <f t="shared" si="75"/>
        <v>27.1</v>
      </c>
      <c r="DC387">
        <f t="shared" ref="DC387:DD387" si="76">LARGE(DC2:DC367,5)</f>
        <v>36</v>
      </c>
      <c r="DD387">
        <f t="shared" si="76"/>
        <v>31.5</v>
      </c>
    </row>
    <row r="389" spans="1:108">
      <c r="D389">
        <f>AVERAGE(D383:D387)</f>
        <v>32.260000000000005</v>
      </c>
      <c r="E389">
        <f t="shared" ref="E389:BP389" si="77">AVERAGE(E383:E387)</f>
        <v>64.3</v>
      </c>
      <c r="F389">
        <f t="shared" si="77"/>
        <v>49</v>
      </c>
      <c r="G389">
        <f t="shared" si="77"/>
        <v>30.5</v>
      </c>
      <c r="H389">
        <f t="shared" si="77"/>
        <v>20.7</v>
      </c>
      <c r="I389">
        <f t="shared" si="77"/>
        <v>25.619999999999997</v>
      </c>
      <c r="J389">
        <f t="shared" si="77"/>
        <v>47.260000000000005</v>
      </c>
      <c r="K389">
        <f t="shared" si="77"/>
        <v>34.200000000000003</v>
      </c>
      <c r="L389">
        <f t="shared" si="77"/>
        <v>31.620000000000005</v>
      </c>
      <c r="M389">
        <f t="shared" si="77"/>
        <v>29.28</v>
      </c>
      <c r="N389">
        <f t="shared" si="77"/>
        <v>36.299999999999997</v>
      </c>
      <c r="O389">
        <f t="shared" si="77"/>
        <v>39.799999999999997</v>
      </c>
      <c r="P389">
        <f t="shared" si="77"/>
        <v>61.64</v>
      </c>
      <c r="Q389">
        <f t="shared" si="77"/>
        <v>39.08</v>
      </c>
      <c r="R389">
        <f t="shared" si="77"/>
        <v>29.04</v>
      </c>
      <c r="S389">
        <f t="shared" si="77"/>
        <v>58.5</v>
      </c>
      <c r="T389">
        <f t="shared" si="77"/>
        <v>28.080000000000002</v>
      </c>
      <c r="U389">
        <f t="shared" si="77"/>
        <v>45.720000000000006</v>
      </c>
      <c r="V389">
        <f t="shared" si="77"/>
        <v>39.5</v>
      </c>
      <c r="W389">
        <f t="shared" si="77"/>
        <v>43.18</v>
      </c>
      <c r="X389">
        <f t="shared" si="77"/>
        <v>36.5</v>
      </c>
      <c r="Y389">
        <f t="shared" si="77"/>
        <v>30.96</v>
      </c>
      <c r="Z389">
        <f t="shared" si="77"/>
        <v>38.859999999997683</v>
      </c>
      <c r="AA389">
        <f t="shared" si="77"/>
        <v>37.439999999973217</v>
      </c>
      <c r="AB389">
        <f t="shared" si="77"/>
        <v>40.719999999991856</v>
      </c>
      <c r="AC389">
        <f t="shared" si="77"/>
        <v>39.959999999986039</v>
      </c>
      <c r="AD389">
        <f t="shared" si="77"/>
        <v>53.5999999999651</v>
      </c>
      <c r="AE389">
        <f t="shared" si="77"/>
        <v>45.559999999986047</v>
      </c>
      <c r="AF389">
        <f t="shared" si="77"/>
        <v>38.779999999983723</v>
      </c>
      <c r="AG389">
        <f t="shared" si="77"/>
        <v>36.559999999980207</v>
      </c>
      <c r="AH389">
        <f t="shared" si="77"/>
        <v>62.159999999962793</v>
      </c>
      <c r="AI389">
        <f t="shared" si="77"/>
        <v>50.159999999974403</v>
      </c>
      <c r="AJ389">
        <f t="shared" si="77"/>
        <v>38.119999999981374</v>
      </c>
      <c r="AK389">
        <f t="shared" si="77"/>
        <v>33.539999999984857</v>
      </c>
      <c r="AL389">
        <f t="shared" si="77"/>
        <v>29.259999999988359</v>
      </c>
      <c r="AM389">
        <f t="shared" si="77"/>
        <v>33.339999999990695</v>
      </c>
      <c r="AN389">
        <f t="shared" si="77"/>
        <v>38.04</v>
      </c>
      <c r="AO389">
        <f t="shared" si="77"/>
        <v>56.599999999976717</v>
      </c>
      <c r="AP389">
        <f t="shared" si="77"/>
        <v>29.939999999990683</v>
      </c>
      <c r="AQ389">
        <f t="shared" si="77"/>
        <v>73.199999999953477</v>
      </c>
      <c r="AR389">
        <f t="shared" si="77"/>
        <v>32.339999999990695</v>
      </c>
      <c r="AS389">
        <f t="shared" si="77"/>
        <v>41.239999999973222</v>
      </c>
      <c r="AT389">
        <f t="shared" si="77"/>
        <v>27.819999999989523</v>
      </c>
      <c r="AU389">
        <f t="shared" si="77"/>
        <v>61.29999999997203</v>
      </c>
      <c r="AV389">
        <f t="shared" si="77"/>
        <v>28.579999999993021</v>
      </c>
      <c r="AW389">
        <f t="shared" si="77"/>
        <v>30.043999999996743</v>
      </c>
      <c r="AX389">
        <f t="shared" si="77"/>
        <v>42.159999999980201</v>
      </c>
      <c r="AY389">
        <f t="shared" si="77"/>
        <v>29.55999999998604</v>
      </c>
      <c r="AZ389">
        <f t="shared" si="77"/>
        <v>27.419999999989539</v>
      </c>
      <c r="BA389">
        <f t="shared" si="77"/>
        <v>72.919999999960424</v>
      </c>
      <c r="BB389">
        <f t="shared" si="77"/>
        <v>40.779999999981385</v>
      </c>
      <c r="BC389">
        <f t="shared" si="77"/>
        <v>47.979999999969742</v>
      </c>
      <c r="BD389">
        <f t="shared" si="77"/>
        <v>36.320000000006999</v>
      </c>
      <c r="BE389">
        <f t="shared" si="77"/>
        <v>44.919999999995341</v>
      </c>
      <c r="BF389">
        <f t="shared" si="77"/>
        <v>48.9599999999744</v>
      </c>
      <c r="BG389">
        <f t="shared" si="77"/>
        <v>22.240000000002318</v>
      </c>
      <c r="BH389">
        <f t="shared" si="77"/>
        <v>33.719999999995366</v>
      </c>
      <c r="BI389">
        <f t="shared" si="77"/>
        <v>27.479999999998842</v>
      </c>
      <c r="BJ389">
        <f t="shared" si="77"/>
        <v>40.459999999997684</v>
      </c>
      <c r="BK389">
        <f t="shared" si="77"/>
        <v>39.339999999998845</v>
      </c>
      <c r="BL389">
        <f t="shared" si="77"/>
        <v>43.319999999972062</v>
      </c>
      <c r="BM389">
        <f t="shared" si="77"/>
        <v>31.320000000001158</v>
      </c>
      <c r="BN389">
        <f t="shared" si="77"/>
        <v>52.080000000004659</v>
      </c>
      <c r="BO389">
        <f t="shared" si="77"/>
        <v>32.039999999996517</v>
      </c>
      <c r="BP389">
        <f t="shared" si="77"/>
        <v>31.320000000006978</v>
      </c>
      <c r="BQ389">
        <f t="shared" ref="BQ389:DD389" si="78">AVERAGE(BQ383:BQ387)</f>
        <v>37.920000000002318</v>
      </c>
      <c r="BR389">
        <f t="shared" si="78"/>
        <v>50.280000000010446</v>
      </c>
      <c r="BS389">
        <f t="shared" si="78"/>
        <v>41.040000000002316</v>
      </c>
      <c r="BT389">
        <f t="shared" si="78"/>
        <v>43.464000000001398</v>
      </c>
      <c r="BU389">
        <f t="shared" si="78"/>
        <v>59.719999999995345</v>
      </c>
      <c r="BV389">
        <f t="shared" si="78"/>
        <v>31.659999999994618</v>
      </c>
      <c r="BW389">
        <f t="shared" si="78"/>
        <v>34.539999999998443</v>
      </c>
      <c r="BX389">
        <f t="shared" si="78"/>
        <v>50.279999999987197</v>
      </c>
      <c r="BY389">
        <f t="shared" si="78"/>
        <v>70.34</v>
      </c>
      <c r="BZ389">
        <f t="shared" si="78"/>
        <v>32.620000000000005</v>
      </c>
      <c r="CA389">
        <f t="shared" si="78"/>
        <v>58.4</v>
      </c>
      <c r="CB389">
        <f t="shared" si="78"/>
        <v>40.320000000000007</v>
      </c>
      <c r="CC389">
        <f t="shared" si="78"/>
        <v>33.54</v>
      </c>
      <c r="CD389">
        <f t="shared" si="78"/>
        <v>45.94</v>
      </c>
      <c r="CE389">
        <f t="shared" si="78"/>
        <v>44.1</v>
      </c>
      <c r="CF389">
        <f t="shared" si="78"/>
        <v>30.1</v>
      </c>
      <c r="CG389">
        <f t="shared" si="78"/>
        <v>35.999999999999993</v>
      </c>
      <c r="CH389">
        <f t="shared" si="78"/>
        <v>36.18</v>
      </c>
      <c r="CI389">
        <f t="shared" si="78"/>
        <v>37.82</v>
      </c>
      <c r="CJ389">
        <f t="shared" si="78"/>
        <v>32.440000000000005</v>
      </c>
      <c r="CK389">
        <f t="shared" si="78"/>
        <v>56.580000000000005</v>
      </c>
      <c r="CL389">
        <f t="shared" si="78"/>
        <v>34.119999999999997</v>
      </c>
      <c r="CM389">
        <f t="shared" si="78"/>
        <v>36.5</v>
      </c>
      <c r="CN389">
        <f t="shared" si="78"/>
        <v>34.059999999999995</v>
      </c>
      <c r="CO389">
        <f t="shared" si="78"/>
        <v>35.339999999999996</v>
      </c>
      <c r="CP389">
        <f t="shared" si="78"/>
        <v>39.04</v>
      </c>
      <c r="CQ389">
        <f t="shared" si="78"/>
        <v>27.939999999999998</v>
      </c>
      <c r="CR389">
        <f t="shared" si="78"/>
        <v>59.14</v>
      </c>
      <c r="CS389">
        <f t="shared" si="78"/>
        <v>33.56</v>
      </c>
      <c r="CT389">
        <f t="shared" si="78"/>
        <v>37.120000000000005</v>
      </c>
      <c r="CU389">
        <f t="shared" si="78"/>
        <v>40.1</v>
      </c>
      <c r="CV389">
        <f t="shared" si="78"/>
        <v>54.660000000000004</v>
      </c>
      <c r="CW389">
        <f t="shared" si="78"/>
        <v>37.660000000000004</v>
      </c>
      <c r="CX389">
        <f t="shared" si="78"/>
        <v>55.3</v>
      </c>
      <c r="CY389">
        <f t="shared" si="78"/>
        <v>26.359999999999996</v>
      </c>
      <c r="CZ389">
        <f t="shared" si="78"/>
        <v>29.28</v>
      </c>
      <c r="DA389">
        <f t="shared" si="78"/>
        <v>20.919999999999998</v>
      </c>
      <c r="DB389">
        <f t="shared" si="78"/>
        <v>36.72</v>
      </c>
      <c r="DC389">
        <f t="shared" si="78"/>
        <v>41.8</v>
      </c>
      <c r="DD389">
        <f t="shared" si="78"/>
        <v>49.48</v>
      </c>
    </row>
    <row r="390" spans="1:108">
      <c r="C390">
        <v>1911</v>
      </c>
      <c r="D390">
        <v>1912</v>
      </c>
      <c r="E390">
        <v>1913</v>
      </c>
      <c r="F390">
        <v>1914</v>
      </c>
      <c r="G390">
        <v>1915</v>
      </c>
      <c r="H390">
        <v>1916</v>
      </c>
      <c r="I390">
        <v>1917</v>
      </c>
      <c r="J390">
        <v>1918</v>
      </c>
      <c r="K390">
        <v>1919</v>
      </c>
      <c r="L390">
        <v>1920</v>
      </c>
      <c r="M390">
        <v>1921</v>
      </c>
      <c r="N390">
        <v>1922</v>
      </c>
      <c r="O390">
        <v>1923</v>
      </c>
      <c r="P390">
        <v>1924</v>
      </c>
      <c r="Q390">
        <v>1925</v>
      </c>
      <c r="R390">
        <v>1926</v>
      </c>
      <c r="S390">
        <v>1927</v>
      </c>
      <c r="T390">
        <v>1928</v>
      </c>
      <c r="U390">
        <v>1929</v>
      </c>
      <c r="V390">
        <v>1930</v>
      </c>
      <c r="W390">
        <v>1931</v>
      </c>
      <c r="X390">
        <v>1932</v>
      </c>
      <c r="Y390">
        <v>1933</v>
      </c>
      <c r="Z390">
        <v>1934</v>
      </c>
      <c r="AA390">
        <v>1935</v>
      </c>
      <c r="AB390">
        <v>1936</v>
      </c>
      <c r="AC390">
        <v>1937</v>
      </c>
      <c r="AD390">
        <v>1938</v>
      </c>
      <c r="AE390">
        <v>1939</v>
      </c>
      <c r="AF390">
        <v>1940</v>
      </c>
      <c r="AG390">
        <v>1941</v>
      </c>
      <c r="AH390">
        <v>1942</v>
      </c>
      <c r="AI390">
        <v>1943</v>
      </c>
      <c r="AJ390">
        <v>1944</v>
      </c>
      <c r="AK390">
        <v>1945</v>
      </c>
      <c r="AL390">
        <v>1946</v>
      </c>
      <c r="AM390">
        <v>1947</v>
      </c>
      <c r="AN390">
        <v>1948</v>
      </c>
      <c r="AO390">
        <v>1949</v>
      </c>
      <c r="AP390">
        <v>1950</v>
      </c>
      <c r="AQ390">
        <v>1951</v>
      </c>
      <c r="AR390">
        <v>1952</v>
      </c>
      <c r="AS390">
        <v>1953</v>
      </c>
      <c r="AT390">
        <v>1954</v>
      </c>
      <c r="AU390">
        <v>1955</v>
      </c>
      <c r="AV390">
        <v>1956</v>
      </c>
      <c r="AW390">
        <v>1957</v>
      </c>
      <c r="AX390">
        <v>1958</v>
      </c>
      <c r="AY390">
        <v>1959</v>
      </c>
      <c r="AZ390">
        <v>1960</v>
      </c>
      <c r="BA390">
        <v>1961</v>
      </c>
      <c r="BB390">
        <v>1962</v>
      </c>
      <c r="BC390">
        <v>1963</v>
      </c>
      <c r="BD390">
        <v>1964</v>
      </c>
      <c r="BE390">
        <v>1965</v>
      </c>
      <c r="BF390">
        <v>1966</v>
      </c>
      <c r="BG390">
        <v>1967</v>
      </c>
      <c r="BH390">
        <v>1968</v>
      </c>
      <c r="BI390">
        <v>1969</v>
      </c>
      <c r="BJ390">
        <v>1970</v>
      </c>
      <c r="BK390">
        <v>1971</v>
      </c>
      <c r="BL390">
        <v>1972</v>
      </c>
      <c r="BM390">
        <v>1973</v>
      </c>
      <c r="BN390">
        <v>1974</v>
      </c>
      <c r="BO390">
        <v>1975</v>
      </c>
      <c r="BP390">
        <v>1976</v>
      </c>
      <c r="BQ390">
        <v>1977</v>
      </c>
      <c r="BR390">
        <v>1978</v>
      </c>
      <c r="BS390">
        <v>1979</v>
      </c>
      <c r="BT390">
        <v>1980</v>
      </c>
      <c r="BU390">
        <v>1981</v>
      </c>
      <c r="BV390">
        <v>1982</v>
      </c>
      <c r="BW390">
        <v>1983</v>
      </c>
      <c r="BX390">
        <v>1984</v>
      </c>
      <c r="BY390">
        <v>1985</v>
      </c>
      <c r="BZ390">
        <v>1986</v>
      </c>
      <c r="CA390">
        <v>1987</v>
      </c>
      <c r="CB390">
        <v>1988</v>
      </c>
      <c r="CC390">
        <v>1989</v>
      </c>
      <c r="CD390">
        <v>1990</v>
      </c>
      <c r="CE390">
        <v>1991</v>
      </c>
      <c r="CF390">
        <v>1992</v>
      </c>
      <c r="CG390">
        <v>1993</v>
      </c>
      <c r="CH390">
        <v>1994</v>
      </c>
      <c r="CI390">
        <v>1995</v>
      </c>
      <c r="CJ390">
        <v>1996</v>
      </c>
      <c r="CK390">
        <v>1997</v>
      </c>
      <c r="CL390">
        <v>1998</v>
      </c>
      <c r="CM390">
        <v>1999</v>
      </c>
      <c r="CN390">
        <v>2000</v>
      </c>
      <c r="CO390">
        <v>2001</v>
      </c>
      <c r="CP390">
        <v>2002</v>
      </c>
      <c r="CQ390">
        <v>2003</v>
      </c>
      <c r="CR390">
        <v>2004</v>
      </c>
      <c r="CS390">
        <v>2005</v>
      </c>
      <c r="CT390">
        <v>2006</v>
      </c>
      <c r="CU390">
        <v>2007</v>
      </c>
      <c r="CV390">
        <v>2008</v>
      </c>
      <c r="CW390">
        <v>2009</v>
      </c>
      <c r="CX390">
        <v>2010</v>
      </c>
      <c r="CY390">
        <v>2011</v>
      </c>
      <c r="CZ390">
        <v>2012</v>
      </c>
      <c r="DA390">
        <v>2013</v>
      </c>
      <c r="DB390">
        <v>2014</v>
      </c>
      <c r="DC390">
        <v>2015</v>
      </c>
      <c r="DD390">
        <v>2016</v>
      </c>
    </row>
  </sheetData>
  <autoFilter ref="A1:DC376">
    <filterColumn colId="1"/>
  </autoFilter>
  <pageMargins left="0.7" right="0.7" top="0.75" bottom="0.75" header="0.3" footer="0.3"/>
  <pageSetup paperSize="9" orientation="portrait" r:id="rId1"/>
  <ignoredErrors>
    <ignoredError sqref="C370 D370:DA370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ayfa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ayfa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Boun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Meteoroloji</dc:creator>
  <cp:lastModifiedBy>Administrator</cp:lastModifiedBy>
  <dcterms:created xsi:type="dcterms:W3CDTF">2013-11-27T14:19:36Z</dcterms:created>
  <dcterms:modified xsi:type="dcterms:W3CDTF">2017-01-23T13:30:45Z</dcterms:modified>
</cp:coreProperties>
</file>